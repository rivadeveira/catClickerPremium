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showSheetTabs="0" xWindow="60" yWindow="60" windowWidth="18210" windowHeight="8730" tabRatio="934"/>
  </bookViews>
  <sheets>
    <sheet name="Menu" sheetId="43" r:id="rId1"/>
    <sheet name="I-Armadolar" sheetId="10" state="veryHidden" r:id="rId2"/>
    <sheet name="I-Plazo dólar" sheetId="11" state="veryHidden" r:id="rId3"/>
    <sheet name="I-Certificado Anticipado" sheetId="44" state="veryHidden" r:id="rId4"/>
    <sheet name="I-Europlazo" sheetId="13" state="veryHidden" r:id="rId5"/>
    <sheet name="A-Ahorro Tradicional" sheetId="14" state="veryHidden" r:id="rId6"/>
    <sheet name="A-Ahorro Euro" sheetId="19" state="veryHidden" r:id="rId7"/>
    <sheet name="A-Cuenta Xperta" sheetId="18" state="veryHidden" r:id="rId8"/>
    <sheet name="F-Ahorro Futuro Genérico" sheetId="31" state="veryHidden" r:id="rId9"/>
    <sheet name="F-Ahorro Futuro Reservas" sheetId="26" state="veryHidden" r:id="rId10"/>
    <sheet name="F-Ahorro Futuro Decimos" sheetId="38" state="veryHidden" r:id="rId11"/>
    <sheet name="C-Cuenta corriente" sheetId="42" state="veryHidden" r:id="rId12"/>
    <sheet name="FR_Mantenimiento tasas" sheetId="1" state="veryHidden" r:id="rId13"/>
    <sheet name="Tabla Ahorro Futuro Genérico" sheetId="30" state="veryHidden" r:id="rId14"/>
    <sheet name="Tabla Ahorro Futuro Decimos" sheetId="39" state="veryHidden" r:id="rId15"/>
    <sheet name="Tabla de meses" sheetId="28" state="veryHidden" r:id="rId16"/>
    <sheet name="Tabla Ahorro Futuro Reservas" sheetId="25" state="veryHidden" r:id="rId17"/>
  </sheets>
  <definedNames>
    <definedName name="_xlnm._FilterDatabase" localSheetId="14" hidden="1">'Tabla Ahorro Futuro Decimos'!$A$1:$E$1801</definedName>
    <definedName name="_xlnm._FilterDatabase" localSheetId="13" hidden="1">'Tabla Ahorro Futuro Genérico'!$A$1:$D$1801</definedName>
    <definedName name="_xlnm._FilterDatabase" localSheetId="16" hidden="1">'Tabla Ahorro Futuro Reservas'!$A$1:$D$1801</definedName>
    <definedName name="TipodeCliente">'FR_Mantenimiento tasas'!$B$101:$B$102</definedName>
  </definedNames>
  <calcPr calcId="144525"/>
  <webPublishing codePage="1252"/>
</workbook>
</file>

<file path=xl/calcChain.xml><?xml version="1.0" encoding="utf-8"?>
<calcChain xmlns="http://schemas.openxmlformats.org/spreadsheetml/2006/main">
  <c r="G12" i="18" l="1"/>
  <c r="H12" i="18" s="1"/>
  <c r="G13" i="18" l="1"/>
  <c r="C115" i="1"/>
  <c r="D115" i="1" s="1"/>
  <c r="H13" i="18" l="1"/>
  <c r="G14" i="18"/>
  <c r="I4" i="39"/>
  <c r="H10" i="38"/>
  <c r="G15" i="18" l="1"/>
  <c r="H14" i="18"/>
  <c r="H7" i="44"/>
  <c r="G16" i="18" l="1"/>
  <c r="H16" i="18" s="1"/>
  <c r="H15" i="18"/>
  <c r="A3" i="28"/>
  <c r="A4" i="28" s="1"/>
  <c r="A5" i="28" s="1"/>
  <c r="F5" i="38"/>
  <c r="F5" i="26"/>
  <c r="F5" i="31"/>
  <c r="F5" i="18"/>
  <c r="F5" i="19"/>
  <c r="F5" i="14"/>
  <c r="F5" i="44"/>
  <c r="G20" i="44" l="1"/>
  <c r="H20" i="44" s="1"/>
  <c r="F20" i="44"/>
  <c r="F19" i="44"/>
  <c r="F18" i="44"/>
  <c r="F17" i="44"/>
  <c r="F16" i="44"/>
  <c r="F15" i="44"/>
  <c r="F14" i="44"/>
  <c r="F13" i="44"/>
  <c r="G13" i="44" s="1"/>
  <c r="G17" i="44" l="1"/>
  <c r="H17" i="44" s="1"/>
  <c r="I17" i="44" s="1"/>
  <c r="G18" i="44"/>
  <c r="H18" i="44" s="1"/>
  <c r="I18" i="44" s="1"/>
  <c r="J18" i="44" s="1"/>
  <c r="G14" i="44"/>
  <c r="H14" i="44" s="1"/>
  <c r="I14" i="44" s="1"/>
  <c r="G19" i="44"/>
  <c r="H19" i="44" s="1"/>
  <c r="G16" i="44"/>
  <c r="H16" i="44" s="1"/>
  <c r="I16" i="44" s="1"/>
  <c r="G15" i="44"/>
  <c r="H15" i="44" s="1"/>
  <c r="I20" i="44"/>
  <c r="J20" i="44" s="1"/>
  <c r="H13" i="44"/>
  <c r="J16" i="44" l="1"/>
  <c r="J14" i="44"/>
  <c r="I19" i="44"/>
  <c r="J19" i="44" s="1"/>
  <c r="J17" i="44"/>
  <c r="I15" i="44"/>
  <c r="J15" i="44" s="1"/>
  <c r="I13" i="44"/>
  <c r="J13" i="44" s="1"/>
  <c r="F5" i="13"/>
  <c r="F5" i="11"/>
  <c r="F5" i="10"/>
  <c r="H7" i="38" l="1"/>
  <c r="H11" i="38" l="1"/>
  <c r="H12" i="38" s="1"/>
  <c r="A2" i="39"/>
  <c r="H15" i="31"/>
  <c r="H14" i="31"/>
  <c r="A2" i="30"/>
  <c r="B2" i="30" s="1"/>
  <c r="H7" i="31"/>
  <c r="H12" i="31"/>
  <c r="H12" i="26"/>
  <c r="A6" i="28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2" i="25"/>
  <c r="B2" i="25" s="1"/>
  <c r="H7" i="26"/>
  <c r="H7" i="19"/>
  <c r="H16" i="38" l="1"/>
  <c r="B2" i="39"/>
  <c r="C2" i="39"/>
  <c r="A3" i="30"/>
  <c r="A4" i="30" s="1"/>
  <c r="C2" i="30"/>
  <c r="D2" i="39" l="1"/>
  <c r="E2" i="39" s="1"/>
  <c r="H24" i="38"/>
  <c r="H23" i="38"/>
  <c r="B3" i="30"/>
  <c r="A5" i="30"/>
  <c r="B4" i="30"/>
  <c r="E2" i="30"/>
  <c r="D2" i="30"/>
  <c r="A3" i="25"/>
  <c r="C2" i="25"/>
  <c r="D2" i="25" s="1"/>
  <c r="F2" i="39" l="1"/>
  <c r="A3" i="39"/>
  <c r="C3" i="30"/>
  <c r="E3" i="30" s="1"/>
  <c r="B5" i="30"/>
  <c r="A6" i="30"/>
  <c r="B3" i="25"/>
  <c r="A4" i="25"/>
  <c r="B4" i="25" s="1"/>
  <c r="E2" i="25"/>
  <c r="B3" i="39" l="1"/>
  <c r="C3" i="39"/>
  <c r="A4" i="39"/>
  <c r="B4" i="39" s="1"/>
  <c r="D3" i="30"/>
  <c r="C4" i="30" s="1"/>
  <c r="E4" i="30" s="1"/>
  <c r="B6" i="30"/>
  <c r="A7" i="30"/>
  <c r="A5" i="25"/>
  <c r="B5" i="25" s="1"/>
  <c r="C3" i="25"/>
  <c r="E3" i="25" s="1"/>
  <c r="D3" i="39" l="1"/>
  <c r="E3" i="39" s="1"/>
  <c r="C4" i="39"/>
  <c r="A5" i="39"/>
  <c r="D4" i="30"/>
  <c r="C5" i="30" s="1"/>
  <c r="E5" i="30" s="1"/>
  <c r="B7" i="30"/>
  <c r="A8" i="30"/>
  <c r="A6" i="25"/>
  <c r="B6" i="25" s="1"/>
  <c r="D3" i="25"/>
  <c r="B5" i="39" l="1"/>
  <c r="F3" i="39"/>
  <c r="C5" i="39"/>
  <c r="A6" i="39"/>
  <c r="B6" i="39" s="1"/>
  <c r="D4" i="39"/>
  <c r="D5" i="30"/>
  <c r="C6" i="30" s="1"/>
  <c r="D6" i="30" s="1"/>
  <c r="B8" i="30"/>
  <c r="A9" i="30"/>
  <c r="A7" i="25"/>
  <c r="B7" i="25" s="1"/>
  <c r="C4" i="25"/>
  <c r="E6" i="30" l="1"/>
  <c r="C6" i="39"/>
  <c r="A7" i="39"/>
  <c r="F4" i="39"/>
  <c r="E4" i="39"/>
  <c r="A8" i="25"/>
  <c r="B8" i="25" s="1"/>
  <c r="B9" i="30"/>
  <c r="A10" i="30"/>
  <c r="C7" i="30"/>
  <c r="D7" i="30" s="1"/>
  <c r="C8" i="30" s="1"/>
  <c r="E4" i="25"/>
  <c r="D4" i="25"/>
  <c r="D5" i="39" l="1"/>
  <c r="E5" i="39" s="1"/>
  <c r="B7" i="39"/>
  <c r="C7" i="39"/>
  <c r="A8" i="39"/>
  <c r="B8" i="39" s="1"/>
  <c r="A9" i="25"/>
  <c r="B9" i="25" s="1"/>
  <c r="B10" i="30"/>
  <c r="A11" i="30"/>
  <c r="E7" i="30"/>
  <c r="D8" i="30"/>
  <c r="C9" i="30" s="1"/>
  <c r="E8" i="30"/>
  <c r="C5" i="25"/>
  <c r="E5" i="25" s="1"/>
  <c r="D6" i="39" l="1"/>
  <c r="F6" i="39" s="1"/>
  <c r="F5" i="39"/>
  <c r="C8" i="39"/>
  <c r="A9" i="39"/>
  <c r="A10" i="25"/>
  <c r="B10" i="25" s="1"/>
  <c r="B11" i="30"/>
  <c r="A12" i="30"/>
  <c r="D9" i="30"/>
  <c r="C10" i="30" s="1"/>
  <c r="E9" i="30"/>
  <c r="D5" i="25"/>
  <c r="C6" i="25" s="1"/>
  <c r="D6" i="25" s="1"/>
  <c r="E6" i="39" l="1"/>
  <c r="D7" i="39" s="1"/>
  <c r="F7" i="39" s="1"/>
  <c r="B9" i="39"/>
  <c r="A11" i="25"/>
  <c r="B11" i="25" s="1"/>
  <c r="C9" i="39"/>
  <c r="A10" i="39"/>
  <c r="B10" i="39" s="1"/>
  <c r="B12" i="30"/>
  <c r="A13" i="30"/>
  <c r="D10" i="30"/>
  <c r="C11" i="30" s="1"/>
  <c r="E10" i="30"/>
  <c r="E6" i="25"/>
  <c r="C7" i="25"/>
  <c r="E7" i="39" l="1"/>
  <c r="A12" i="25"/>
  <c r="B12" i="25" s="1"/>
  <c r="C10" i="39"/>
  <c r="A11" i="39"/>
  <c r="B11" i="39" s="1"/>
  <c r="B13" i="30"/>
  <c r="A14" i="30"/>
  <c r="D11" i="30"/>
  <c r="C12" i="30" s="1"/>
  <c r="E11" i="30"/>
  <c r="D7" i="25"/>
  <c r="E7" i="25"/>
  <c r="D8" i="39" l="1"/>
  <c r="A13" i="25"/>
  <c r="B13" i="25" s="1"/>
  <c r="C11" i="39"/>
  <c r="A12" i="39"/>
  <c r="B12" i="39" s="1"/>
  <c r="B14" i="30"/>
  <c r="A15" i="30"/>
  <c r="D12" i="30"/>
  <c r="C13" i="30" s="1"/>
  <c r="E12" i="30"/>
  <c r="C8" i="25"/>
  <c r="F8" i="39" l="1"/>
  <c r="E8" i="39"/>
  <c r="D9" i="39" s="1"/>
  <c r="A14" i="25"/>
  <c r="B14" i="25" s="1"/>
  <c r="C12" i="39"/>
  <c r="A13" i="39"/>
  <c r="B13" i="39" s="1"/>
  <c r="B15" i="30"/>
  <c r="A16" i="30"/>
  <c r="D13" i="30"/>
  <c r="C14" i="30" s="1"/>
  <c r="E13" i="30"/>
  <c r="D8" i="25"/>
  <c r="C9" i="25" s="1"/>
  <c r="E8" i="25"/>
  <c r="E9" i="39" l="1"/>
  <c r="D10" i="39" s="1"/>
  <c r="F9" i="39"/>
  <c r="A15" i="25"/>
  <c r="B15" i="25" s="1"/>
  <c r="C13" i="39"/>
  <c r="A14" i="39"/>
  <c r="B14" i="39" s="1"/>
  <c r="B16" i="30"/>
  <c r="A17" i="30"/>
  <c r="D14" i="30"/>
  <c r="C15" i="30" s="1"/>
  <c r="E14" i="30"/>
  <c r="D9" i="25"/>
  <c r="C10" i="25" s="1"/>
  <c r="E9" i="25"/>
  <c r="F10" i="39" l="1"/>
  <c r="E10" i="39"/>
  <c r="D11" i="39" s="1"/>
  <c r="A16" i="25"/>
  <c r="B16" i="25" s="1"/>
  <c r="C14" i="39"/>
  <c r="A15" i="39"/>
  <c r="B15" i="39" s="1"/>
  <c r="B17" i="30"/>
  <c r="A18" i="30"/>
  <c r="D15" i="30"/>
  <c r="C16" i="30" s="1"/>
  <c r="E15" i="30"/>
  <c r="D10" i="25"/>
  <c r="C11" i="25" s="1"/>
  <c r="E10" i="25"/>
  <c r="E11" i="39" l="1"/>
  <c r="D12" i="39" s="1"/>
  <c r="F11" i="39"/>
  <c r="A17" i="25"/>
  <c r="B17" i="25" s="1"/>
  <c r="C15" i="39"/>
  <c r="A16" i="39"/>
  <c r="B16" i="39" s="1"/>
  <c r="B18" i="30"/>
  <c r="A19" i="30"/>
  <c r="D16" i="30"/>
  <c r="C17" i="30" s="1"/>
  <c r="E16" i="30"/>
  <c r="E11" i="25"/>
  <c r="D11" i="25"/>
  <c r="C12" i="25" s="1"/>
  <c r="F12" i="39" l="1"/>
  <c r="E12" i="39"/>
  <c r="D13" i="39" s="1"/>
  <c r="A18" i="25"/>
  <c r="B18" i="25" s="1"/>
  <c r="C16" i="39"/>
  <c r="A17" i="39"/>
  <c r="B17" i="39" s="1"/>
  <c r="B19" i="30"/>
  <c r="A20" i="30"/>
  <c r="D17" i="30"/>
  <c r="C18" i="30" s="1"/>
  <c r="E17" i="30"/>
  <c r="D12" i="25"/>
  <c r="C13" i="25" s="1"/>
  <c r="E12" i="25"/>
  <c r="E13" i="39" l="1"/>
  <c r="D14" i="39" s="1"/>
  <c r="F13" i="39"/>
  <c r="A19" i="25"/>
  <c r="B19" i="25" s="1"/>
  <c r="C17" i="39"/>
  <c r="A18" i="39"/>
  <c r="B18" i="39" s="1"/>
  <c r="B20" i="30"/>
  <c r="A21" i="30"/>
  <c r="D18" i="30"/>
  <c r="C19" i="30" s="1"/>
  <c r="E18" i="30"/>
  <c r="D13" i="25"/>
  <c r="C14" i="25" s="1"/>
  <c r="E13" i="25"/>
  <c r="F14" i="39" l="1"/>
  <c r="E14" i="39"/>
  <c r="D15" i="39" s="1"/>
  <c r="A20" i="25"/>
  <c r="B20" i="25" s="1"/>
  <c r="C18" i="39"/>
  <c r="A19" i="39"/>
  <c r="B19" i="39" s="1"/>
  <c r="B21" i="30"/>
  <c r="A22" i="30"/>
  <c r="D19" i="30"/>
  <c r="C20" i="30" s="1"/>
  <c r="E19" i="30"/>
  <c r="D14" i="25"/>
  <c r="C15" i="25" s="1"/>
  <c r="E14" i="25"/>
  <c r="E15" i="39" l="1"/>
  <c r="D16" i="39" s="1"/>
  <c r="F15" i="39"/>
  <c r="A21" i="25"/>
  <c r="B21" i="25" s="1"/>
  <c r="C19" i="39"/>
  <c r="A20" i="39"/>
  <c r="B20" i="39" s="1"/>
  <c r="B22" i="30"/>
  <c r="A23" i="30"/>
  <c r="D20" i="30"/>
  <c r="C21" i="30" s="1"/>
  <c r="E20" i="30"/>
  <c r="D15" i="25"/>
  <c r="C16" i="25" s="1"/>
  <c r="E15" i="25"/>
  <c r="F16" i="39" l="1"/>
  <c r="E16" i="39"/>
  <c r="D17" i="39" s="1"/>
  <c r="A22" i="25"/>
  <c r="B22" i="25" s="1"/>
  <c r="C20" i="39"/>
  <c r="A21" i="39"/>
  <c r="B21" i="39" s="1"/>
  <c r="B23" i="30"/>
  <c r="A24" i="30"/>
  <c r="D21" i="30"/>
  <c r="C22" i="30" s="1"/>
  <c r="E21" i="30"/>
  <c r="E16" i="25"/>
  <c r="D16" i="25"/>
  <c r="C17" i="25" s="1"/>
  <c r="F17" i="39" l="1"/>
  <c r="E17" i="39"/>
  <c r="D18" i="39" s="1"/>
  <c r="A23" i="25"/>
  <c r="B23" i="25" s="1"/>
  <c r="C21" i="39"/>
  <c r="A22" i="39"/>
  <c r="B22" i="39" s="1"/>
  <c r="B24" i="30"/>
  <c r="A25" i="30"/>
  <c r="D22" i="30"/>
  <c r="C23" i="30" s="1"/>
  <c r="E22" i="30"/>
  <c r="D17" i="25"/>
  <c r="C18" i="25" s="1"/>
  <c r="E17" i="25"/>
  <c r="A24" i="25" l="1"/>
  <c r="B24" i="25" s="1"/>
  <c r="E18" i="39"/>
  <c r="D19" i="39" s="1"/>
  <c r="F18" i="39"/>
  <c r="C22" i="39"/>
  <c r="A23" i="39"/>
  <c r="B23" i="39" s="1"/>
  <c r="B25" i="30"/>
  <c r="A26" i="30"/>
  <c r="D23" i="30"/>
  <c r="C24" i="30" s="1"/>
  <c r="E23" i="30"/>
  <c r="E18" i="25"/>
  <c r="D18" i="25"/>
  <c r="C19" i="25" s="1"/>
  <c r="A25" i="25" l="1"/>
  <c r="B25" i="25" s="1"/>
  <c r="F19" i="39"/>
  <c r="E19" i="39"/>
  <c r="D20" i="39" s="1"/>
  <c r="C23" i="39"/>
  <c r="A24" i="39"/>
  <c r="B24" i="39" s="1"/>
  <c r="B26" i="30"/>
  <c r="A27" i="30"/>
  <c r="D24" i="30"/>
  <c r="C25" i="30" s="1"/>
  <c r="E24" i="30"/>
  <c r="D19" i="25"/>
  <c r="C20" i="25" s="1"/>
  <c r="E19" i="25"/>
  <c r="A26" i="25" l="1"/>
  <c r="B26" i="25" s="1"/>
  <c r="F20" i="39"/>
  <c r="E20" i="39"/>
  <c r="D21" i="39" s="1"/>
  <c r="C24" i="39"/>
  <c r="A25" i="39"/>
  <c r="B25" i="39" s="1"/>
  <c r="B27" i="30"/>
  <c r="A28" i="30"/>
  <c r="D25" i="30"/>
  <c r="C26" i="30" s="1"/>
  <c r="E25" i="30"/>
  <c r="E20" i="25"/>
  <c r="D20" i="25"/>
  <c r="C21" i="25" s="1"/>
  <c r="A27" i="25" l="1"/>
  <c r="B27" i="25" s="1"/>
  <c r="F21" i="39"/>
  <c r="E21" i="39"/>
  <c r="D22" i="39" s="1"/>
  <c r="C25" i="39"/>
  <c r="A26" i="39"/>
  <c r="B26" i="39" s="1"/>
  <c r="B28" i="30"/>
  <c r="A29" i="30"/>
  <c r="D26" i="30"/>
  <c r="C27" i="30" s="1"/>
  <c r="E26" i="30"/>
  <c r="D21" i="25"/>
  <c r="C22" i="25" s="1"/>
  <c r="E21" i="25"/>
  <c r="A28" i="25" l="1"/>
  <c r="B28" i="25" s="1"/>
  <c r="E22" i="39"/>
  <c r="D23" i="39" s="1"/>
  <c r="F22" i="39"/>
  <c r="C26" i="39"/>
  <c r="A27" i="39"/>
  <c r="B27" i="39" s="1"/>
  <c r="B29" i="30"/>
  <c r="A30" i="30"/>
  <c r="D27" i="30"/>
  <c r="C28" i="30" s="1"/>
  <c r="E27" i="30"/>
  <c r="E22" i="25"/>
  <c r="D22" i="25"/>
  <c r="C23" i="25" s="1"/>
  <c r="A29" i="25" l="1"/>
  <c r="B29" i="25" s="1"/>
  <c r="F23" i="39"/>
  <c r="E23" i="39"/>
  <c r="D24" i="39" s="1"/>
  <c r="C27" i="39"/>
  <c r="A28" i="39"/>
  <c r="B28" i="39" s="1"/>
  <c r="B30" i="30"/>
  <c r="A31" i="30"/>
  <c r="D28" i="30"/>
  <c r="C29" i="30" s="1"/>
  <c r="E28" i="30"/>
  <c r="D23" i="25"/>
  <c r="C24" i="25" s="1"/>
  <c r="E23" i="25"/>
  <c r="A30" i="25" l="1"/>
  <c r="B30" i="25" s="1"/>
  <c r="E24" i="39"/>
  <c r="D25" i="39" s="1"/>
  <c r="F24" i="39"/>
  <c r="C28" i="39"/>
  <c r="A29" i="39"/>
  <c r="B29" i="39" s="1"/>
  <c r="B31" i="30"/>
  <c r="A32" i="30"/>
  <c r="D29" i="30"/>
  <c r="C30" i="30" s="1"/>
  <c r="E29" i="30"/>
  <c r="E24" i="25"/>
  <c r="D24" i="25"/>
  <c r="C25" i="25" s="1"/>
  <c r="A31" i="25" l="1"/>
  <c r="B31" i="25" s="1"/>
  <c r="F25" i="39"/>
  <c r="E25" i="39"/>
  <c r="D26" i="39" s="1"/>
  <c r="C29" i="39"/>
  <c r="A30" i="39"/>
  <c r="B30" i="39" s="1"/>
  <c r="B32" i="30"/>
  <c r="A33" i="30"/>
  <c r="D30" i="30"/>
  <c r="C31" i="30" s="1"/>
  <c r="E30" i="30"/>
  <c r="D25" i="25"/>
  <c r="C26" i="25" s="1"/>
  <c r="E25" i="25"/>
  <c r="A32" i="25" l="1"/>
  <c r="B32" i="25" s="1"/>
  <c r="E26" i="39"/>
  <c r="D27" i="39" s="1"/>
  <c r="F26" i="39"/>
  <c r="C30" i="39"/>
  <c r="A31" i="39"/>
  <c r="B31" i="39" s="1"/>
  <c r="B33" i="30"/>
  <c r="A34" i="30"/>
  <c r="D31" i="30"/>
  <c r="C32" i="30" s="1"/>
  <c r="E31" i="30"/>
  <c r="D26" i="25"/>
  <c r="C27" i="25" s="1"/>
  <c r="E26" i="25"/>
  <c r="A33" i="25" l="1"/>
  <c r="B33" i="25" s="1"/>
  <c r="E27" i="39"/>
  <c r="D28" i="39" s="1"/>
  <c r="F27" i="39"/>
  <c r="C31" i="39"/>
  <c r="A32" i="39"/>
  <c r="B32" i="39" s="1"/>
  <c r="B34" i="30"/>
  <c r="A35" i="30"/>
  <c r="D32" i="30"/>
  <c r="C33" i="30" s="1"/>
  <c r="E32" i="30"/>
  <c r="D27" i="25"/>
  <c r="C28" i="25" s="1"/>
  <c r="E27" i="25"/>
  <c r="A34" i="25" l="1"/>
  <c r="B34" i="25" s="1"/>
  <c r="F28" i="39"/>
  <c r="E28" i="39"/>
  <c r="D29" i="39" s="1"/>
  <c r="C32" i="39"/>
  <c r="A33" i="39"/>
  <c r="B33" i="39" s="1"/>
  <c r="B35" i="30"/>
  <c r="A36" i="30"/>
  <c r="D33" i="30"/>
  <c r="C34" i="30" s="1"/>
  <c r="E33" i="30"/>
  <c r="D28" i="25"/>
  <c r="C29" i="25" s="1"/>
  <c r="E28" i="25"/>
  <c r="A35" i="25" l="1"/>
  <c r="B35" i="25" s="1"/>
  <c r="E29" i="39"/>
  <c r="D30" i="39" s="1"/>
  <c r="F29" i="39"/>
  <c r="C33" i="39"/>
  <c r="A34" i="39"/>
  <c r="B34" i="39" s="1"/>
  <c r="B36" i="30"/>
  <c r="A37" i="30"/>
  <c r="D34" i="30"/>
  <c r="C35" i="30" s="1"/>
  <c r="E34" i="30"/>
  <c r="D29" i="25"/>
  <c r="C30" i="25" s="1"/>
  <c r="E29" i="25"/>
  <c r="A36" i="25" l="1"/>
  <c r="B36" i="25" s="1"/>
  <c r="F30" i="39"/>
  <c r="E30" i="39"/>
  <c r="D31" i="39" s="1"/>
  <c r="C34" i="39"/>
  <c r="A35" i="39"/>
  <c r="B35" i="39" s="1"/>
  <c r="B37" i="30"/>
  <c r="A38" i="30"/>
  <c r="D35" i="30"/>
  <c r="C36" i="30" s="1"/>
  <c r="E35" i="30"/>
  <c r="D30" i="25"/>
  <c r="C31" i="25" s="1"/>
  <c r="E30" i="25"/>
  <c r="A37" i="25" l="1"/>
  <c r="B37" i="25" s="1"/>
  <c r="F31" i="39"/>
  <c r="E31" i="39"/>
  <c r="D32" i="39" s="1"/>
  <c r="C35" i="39"/>
  <c r="A36" i="39"/>
  <c r="B36" i="39" s="1"/>
  <c r="B38" i="30"/>
  <c r="A39" i="30"/>
  <c r="D36" i="30"/>
  <c r="C37" i="30" s="1"/>
  <c r="E36" i="30"/>
  <c r="E31" i="25"/>
  <c r="D31" i="25"/>
  <c r="C32" i="25" s="1"/>
  <c r="A38" i="25" l="1"/>
  <c r="B38" i="25" s="1"/>
  <c r="E32" i="39"/>
  <c r="D33" i="39" s="1"/>
  <c r="F32" i="39"/>
  <c r="C36" i="39"/>
  <c r="A37" i="39"/>
  <c r="B37" i="39" s="1"/>
  <c r="B39" i="30"/>
  <c r="A40" i="30"/>
  <c r="D37" i="30"/>
  <c r="C38" i="30" s="1"/>
  <c r="E37" i="30"/>
  <c r="D32" i="25"/>
  <c r="C33" i="25" s="1"/>
  <c r="E32" i="25"/>
  <c r="A39" i="25" l="1"/>
  <c r="B39" i="25" s="1"/>
  <c r="F33" i="39"/>
  <c r="E33" i="39"/>
  <c r="D34" i="39" s="1"/>
  <c r="C37" i="39"/>
  <c r="A38" i="39"/>
  <c r="B38" i="39" s="1"/>
  <c r="B40" i="30"/>
  <c r="A41" i="30"/>
  <c r="D38" i="30"/>
  <c r="C39" i="30" s="1"/>
  <c r="E38" i="30"/>
  <c r="D33" i="25"/>
  <c r="C34" i="25" s="1"/>
  <c r="E33" i="25"/>
  <c r="A40" i="25" l="1"/>
  <c r="B40" i="25" s="1"/>
  <c r="E34" i="39"/>
  <c r="D35" i="39" s="1"/>
  <c r="F34" i="39"/>
  <c r="C38" i="39"/>
  <c r="A39" i="39"/>
  <c r="B39" i="39" s="1"/>
  <c r="B41" i="30"/>
  <c r="A42" i="30"/>
  <c r="D39" i="30"/>
  <c r="C40" i="30" s="1"/>
  <c r="E39" i="30"/>
  <c r="E34" i="25"/>
  <c r="D34" i="25"/>
  <c r="C35" i="25" s="1"/>
  <c r="A41" i="25" l="1"/>
  <c r="B41" i="25" s="1"/>
  <c r="E35" i="39"/>
  <c r="D36" i="39" s="1"/>
  <c r="F35" i="39"/>
  <c r="C39" i="39"/>
  <c r="A40" i="39"/>
  <c r="B40" i="39" s="1"/>
  <c r="B42" i="30"/>
  <c r="A43" i="30"/>
  <c r="D40" i="30"/>
  <c r="C41" i="30" s="1"/>
  <c r="E40" i="30"/>
  <c r="E35" i="25"/>
  <c r="D35" i="25"/>
  <c r="C36" i="25" s="1"/>
  <c r="A42" i="25" l="1"/>
  <c r="B42" i="25" s="1"/>
  <c r="F36" i="39"/>
  <c r="E36" i="39"/>
  <c r="D37" i="39" s="1"/>
  <c r="C40" i="39"/>
  <c r="A41" i="39"/>
  <c r="B41" i="39" s="1"/>
  <c r="B43" i="30"/>
  <c r="A44" i="30"/>
  <c r="D41" i="30"/>
  <c r="C42" i="30" s="1"/>
  <c r="E41" i="30"/>
  <c r="E36" i="25"/>
  <c r="D36" i="25"/>
  <c r="C37" i="25" s="1"/>
  <c r="A43" i="25" l="1"/>
  <c r="B43" i="25" s="1"/>
  <c r="F37" i="39"/>
  <c r="E37" i="39"/>
  <c r="D38" i="39" s="1"/>
  <c r="C41" i="39"/>
  <c r="A42" i="39"/>
  <c r="B42" i="39" s="1"/>
  <c r="B44" i="30"/>
  <c r="A45" i="30"/>
  <c r="D42" i="30"/>
  <c r="C43" i="30" s="1"/>
  <c r="E42" i="30"/>
  <c r="E37" i="25"/>
  <c r="D37" i="25"/>
  <c r="C38" i="25" s="1"/>
  <c r="A44" i="25" l="1"/>
  <c r="B44" i="25" s="1"/>
  <c r="E38" i="39"/>
  <c r="D39" i="39" s="1"/>
  <c r="F38" i="39"/>
  <c r="C42" i="39"/>
  <c r="A43" i="39"/>
  <c r="B43" i="39" s="1"/>
  <c r="B45" i="30"/>
  <c r="A46" i="30"/>
  <c r="D43" i="30"/>
  <c r="C44" i="30" s="1"/>
  <c r="E43" i="30"/>
  <c r="E38" i="25"/>
  <c r="D38" i="25"/>
  <c r="C39" i="25" s="1"/>
  <c r="A45" i="25" l="1"/>
  <c r="B45" i="25" s="1"/>
  <c r="F39" i="39"/>
  <c r="E39" i="39"/>
  <c r="D40" i="39" s="1"/>
  <c r="C43" i="39"/>
  <c r="A44" i="39"/>
  <c r="B44" i="39" s="1"/>
  <c r="B46" i="30"/>
  <c r="A47" i="30"/>
  <c r="D44" i="30"/>
  <c r="C45" i="30" s="1"/>
  <c r="E44" i="30"/>
  <c r="E39" i="25"/>
  <c r="D39" i="25"/>
  <c r="C40" i="25" s="1"/>
  <c r="A46" i="25" l="1"/>
  <c r="B46" i="25" s="1"/>
  <c r="F40" i="39"/>
  <c r="E40" i="39"/>
  <c r="D41" i="39" s="1"/>
  <c r="C44" i="39"/>
  <c r="A45" i="39"/>
  <c r="B45" i="39" s="1"/>
  <c r="B47" i="30"/>
  <c r="A48" i="30"/>
  <c r="D45" i="30"/>
  <c r="C46" i="30" s="1"/>
  <c r="E45" i="30"/>
  <c r="E40" i="25"/>
  <c r="D40" i="25"/>
  <c r="C41" i="25" s="1"/>
  <c r="A47" i="25" l="1"/>
  <c r="B47" i="25" s="1"/>
  <c r="F41" i="39"/>
  <c r="E41" i="39"/>
  <c r="D42" i="39" s="1"/>
  <c r="C45" i="39"/>
  <c r="A46" i="39"/>
  <c r="B46" i="39" s="1"/>
  <c r="B48" i="30"/>
  <c r="A49" i="30"/>
  <c r="D46" i="30"/>
  <c r="C47" i="30" s="1"/>
  <c r="E46" i="30"/>
  <c r="E41" i="25"/>
  <c r="D41" i="25"/>
  <c r="C42" i="25" s="1"/>
  <c r="A48" i="25" l="1"/>
  <c r="B48" i="25" s="1"/>
  <c r="F42" i="39"/>
  <c r="E42" i="39"/>
  <c r="D43" i="39" s="1"/>
  <c r="C46" i="39"/>
  <c r="A47" i="39"/>
  <c r="B47" i="39" s="1"/>
  <c r="B49" i="30"/>
  <c r="A50" i="30"/>
  <c r="D47" i="30"/>
  <c r="C48" i="30" s="1"/>
  <c r="E47" i="30"/>
  <c r="E42" i="25"/>
  <c r="D42" i="25"/>
  <c r="C43" i="25" s="1"/>
  <c r="A49" i="25" l="1"/>
  <c r="B49" i="25" s="1"/>
  <c r="F43" i="39"/>
  <c r="E43" i="39"/>
  <c r="D44" i="39" s="1"/>
  <c r="C47" i="39"/>
  <c r="A48" i="39"/>
  <c r="B48" i="39" s="1"/>
  <c r="B50" i="30"/>
  <c r="A51" i="30"/>
  <c r="D48" i="30"/>
  <c r="C49" i="30" s="1"/>
  <c r="E48" i="30"/>
  <c r="E43" i="25"/>
  <c r="D43" i="25"/>
  <c r="C44" i="25" s="1"/>
  <c r="A50" i="25" l="1"/>
  <c r="B50" i="25" s="1"/>
  <c r="E44" i="39"/>
  <c r="D45" i="39" s="1"/>
  <c r="F44" i="39"/>
  <c r="C48" i="39"/>
  <c r="A49" i="39"/>
  <c r="B49" i="39" s="1"/>
  <c r="B51" i="30"/>
  <c r="A52" i="30"/>
  <c r="D49" i="30"/>
  <c r="C50" i="30" s="1"/>
  <c r="E49" i="30"/>
  <c r="D44" i="25"/>
  <c r="C45" i="25" s="1"/>
  <c r="E44" i="25"/>
  <c r="A51" i="25" l="1"/>
  <c r="B51" i="25" s="1"/>
  <c r="F45" i="39"/>
  <c r="E45" i="39"/>
  <c r="D46" i="39" s="1"/>
  <c r="C49" i="39"/>
  <c r="A50" i="39"/>
  <c r="B50" i="39" s="1"/>
  <c r="B52" i="30"/>
  <c r="A53" i="30"/>
  <c r="D50" i="30"/>
  <c r="C51" i="30" s="1"/>
  <c r="E50" i="30"/>
  <c r="E45" i="25"/>
  <c r="D45" i="25"/>
  <c r="C46" i="25" s="1"/>
  <c r="A52" i="25" l="1"/>
  <c r="B52" i="25" s="1"/>
  <c r="E46" i="39"/>
  <c r="D47" i="39" s="1"/>
  <c r="F46" i="39"/>
  <c r="C50" i="39"/>
  <c r="A51" i="39"/>
  <c r="B51" i="39" s="1"/>
  <c r="B53" i="30"/>
  <c r="A54" i="30"/>
  <c r="D51" i="30"/>
  <c r="C52" i="30" s="1"/>
  <c r="E51" i="30"/>
  <c r="D46" i="25"/>
  <c r="C47" i="25" s="1"/>
  <c r="E46" i="25"/>
  <c r="A53" i="25" l="1"/>
  <c r="B53" i="25" s="1"/>
  <c r="E47" i="39"/>
  <c r="D48" i="39" s="1"/>
  <c r="F47" i="39"/>
  <c r="C51" i="39"/>
  <c r="A52" i="39"/>
  <c r="B52" i="39" s="1"/>
  <c r="B54" i="30"/>
  <c r="A55" i="30"/>
  <c r="D52" i="30"/>
  <c r="C53" i="30" s="1"/>
  <c r="E52" i="30"/>
  <c r="D47" i="25"/>
  <c r="C48" i="25" s="1"/>
  <c r="E47" i="25"/>
  <c r="A54" i="25" l="1"/>
  <c r="B54" i="25" s="1"/>
  <c r="E48" i="39"/>
  <c r="D49" i="39" s="1"/>
  <c r="F48" i="39"/>
  <c r="C52" i="39"/>
  <c r="A53" i="39"/>
  <c r="B53" i="39" s="1"/>
  <c r="B55" i="30"/>
  <c r="A56" i="30"/>
  <c r="D53" i="30"/>
  <c r="C54" i="30" s="1"/>
  <c r="E53" i="30"/>
  <c r="D48" i="25"/>
  <c r="C49" i="25" s="1"/>
  <c r="E48" i="25"/>
  <c r="A55" i="25" l="1"/>
  <c r="B55" i="25" s="1"/>
  <c r="F49" i="39"/>
  <c r="E49" i="39"/>
  <c r="D50" i="39" s="1"/>
  <c r="C53" i="39"/>
  <c r="A54" i="39"/>
  <c r="B54" i="39" s="1"/>
  <c r="B56" i="30"/>
  <c r="A57" i="30"/>
  <c r="D54" i="30"/>
  <c r="C55" i="30" s="1"/>
  <c r="E54" i="30"/>
  <c r="E49" i="25"/>
  <c r="D49" i="25"/>
  <c r="C50" i="25" s="1"/>
  <c r="A56" i="25" l="1"/>
  <c r="B56" i="25" s="1"/>
  <c r="E50" i="39"/>
  <c r="D51" i="39" s="1"/>
  <c r="F50" i="39"/>
  <c r="C54" i="39"/>
  <c r="A55" i="39"/>
  <c r="B55" i="39" s="1"/>
  <c r="B57" i="30"/>
  <c r="A58" i="30"/>
  <c r="D55" i="30"/>
  <c r="C56" i="30" s="1"/>
  <c r="E55" i="30"/>
  <c r="D50" i="25"/>
  <c r="C51" i="25" s="1"/>
  <c r="E50" i="25"/>
  <c r="A57" i="25" l="1"/>
  <c r="B57" i="25" s="1"/>
  <c r="E51" i="39"/>
  <c r="D52" i="39" s="1"/>
  <c r="F51" i="39"/>
  <c r="C55" i="39"/>
  <c r="A56" i="39"/>
  <c r="B56" i="39" s="1"/>
  <c r="B58" i="30"/>
  <c r="A59" i="30"/>
  <c r="D56" i="30"/>
  <c r="C57" i="30" s="1"/>
  <c r="E56" i="30"/>
  <c r="D51" i="25"/>
  <c r="C52" i="25" s="1"/>
  <c r="E51" i="25"/>
  <c r="A58" i="25" l="1"/>
  <c r="B58" i="25" s="1"/>
  <c r="F52" i="39"/>
  <c r="E52" i="39"/>
  <c r="D53" i="39" s="1"/>
  <c r="C56" i="39"/>
  <c r="A57" i="39"/>
  <c r="B57" i="39" s="1"/>
  <c r="B59" i="30"/>
  <c r="A60" i="30"/>
  <c r="D57" i="30"/>
  <c r="C58" i="30" s="1"/>
  <c r="E57" i="30"/>
  <c r="E52" i="25"/>
  <c r="D52" i="25"/>
  <c r="C53" i="25" s="1"/>
  <c r="A59" i="25" l="1"/>
  <c r="B59" i="25" s="1"/>
  <c r="E53" i="39"/>
  <c r="D54" i="39" s="1"/>
  <c r="F53" i="39"/>
  <c r="C57" i="39"/>
  <c r="A58" i="39"/>
  <c r="B58" i="39" s="1"/>
  <c r="B60" i="30"/>
  <c r="A61" i="30"/>
  <c r="D58" i="30"/>
  <c r="C59" i="30" s="1"/>
  <c r="E58" i="30"/>
  <c r="D53" i="25"/>
  <c r="C54" i="25" s="1"/>
  <c r="E53" i="25"/>
  <c r="A60" i="25" l="1"/>
  <c r="B60" i="25" s="1"/>
  <c r="F54" i="39"/>
  <c r="E54" i="39"/>
  <c r="D55" i="39" s="1"/>
  <c r="C58" i="39"/>
  <c r="A59" i="39"/>
  <c r="B59" i="39" s="1"/>
  <c r="B61" i="30"/>
  <c r="A62" i="30"/>
  <c r="D59" i="30"/>
  <c r="C60" i="30" s="1"/>
  <c r="E59" i="30"/>
  <c r="D54" i="25"/>
  <c r="C55" i="25" s="1"/>
  <c r="E54" i="25"/>
  <c r="A61" i="25" l="1"/>
  <c r="B61" i="25" s="1"/>
  <c r="E55" i="39"/>
  <c r="D56" i="39" s="1"/>
  <c r="F55" i="39"/>
  <c r="C59" i="39"/>
  <c r="A60" i="39"/>
  <c r="B60" i="39" s="1"/>
  <c r="B62" i="30"/>
  <c r="A63" i="30"/>
  <c r="D60" i="30"/>
  <c r="C61" i="30" s="1"/>
  <c r="E60" i="30"/>
  <c r="D55" i="25"/>
  <c r="C56" i="25" s="1"/>
  <c r="E55" i="25"/>
  <c r="A62" i="25" l="1"/>
  <c r="B62" i="25" s="1"/>
  <c r="F56" i="39"/>
  <c r="E56" i="39"/>
  <c r="D57" i="39" s="1"/>
  <c r="C60" i="39"/>
  <c r="A61" i="39"/>
  <c r="B61" i="39" s="1"/>
  <c r="B63" i="30"/>
  <c r="A64" i="30"/>
  <c r="D61" i="30"/>
  <c r="C62" i="30" s="1"/>
  <c r="E61" i="30"/>
  <c r="D56" i="25"/>
  <c r="C57" i="25" s="1"/>
  <c r="E56" i="25"/>
  <c r="A63" i="25" l="1"/>
  <c r="B63" i="25" s="1"/>
  <c r="F57" i="39"/>
  <c r="E57" i="39"/>
  <c r="D58" i="39" s="1"/>
  <c r="C61" i="39"/>
  <c r="A62" i="39"/>
  <c r="B62" i="39" s="1"/>
  <c r="B64" i="30"/>
  <c r="A65" i="30"/>
  <c r="D62" i="30"/>
  <c r="C63" i="30" s="1"/>
  <c r="E62" i="30"/>
  <c r="E57" i="25"/>
  <c r="D57" i="25"/>
  <c r="C58" i="25" s="1"/>
  <c r="A64" i="25" l="1"/>
  <c r="B64" i="25" s="1"/>
  <c r="F58" i="39"/>
  <c r="E58" i="39"/>
  <c r="D59" i="39" s="1"/>
  <c r="C62" i="39"/>
  <c r="A63" i="39"/>
  <c r="B63" i="39" s="1"/>
  <c r="B65" i="30"/>
  <c r="A66" i="30"/>
  <c r="D63" i="30"/>
  <c r="C64" i="30" s="1"/>
  <c r="E63" i="30"/>
  <c r="D58" i="25"/>
  <c r="C59" i="25" s="1"/>
  <c r="E58" i="25"/>
  <c r="A65" i="25"/>
  <c r="B65" i="25" s="1"/>
  <c r="F59" i="39" l="1"/>
  <c r="E59" i="39"/>
  <c r="D60" i="39" s="1"/>
  <c r="C63" i="39"/>
  <c r="A64" i="39"/>
  <c r="B64" i="39" s="1"/>
  <c r="B66" i="30"/>
  <c r="A67" i="30"/>
  <c r="D64" i="30"/>
  <c r="C65" i="30" s="1"/>
  <c r="E64" i="30"/>
  <c r="D59" i="25"/>
  <c r="C60" i="25" s="1"/>
  <c r="E59" i="25"/>
  <c r="A66" i="25"/>
  <c r="B66" i="25" s="1"/>
  <c r="E60" i="39" l="1"/>
  <c r="D61" i="39" s="1"/>
  <c r="F60" i="39"/>
  <c r="C64" i="39"/>
  <c r="A65" i="39"/>
  <c r="B65" i="39" s="1"/>
  <c r="B67" i="30"/>
  <c r="A68" i="30"/>
  <c r="D65" i="30"/>
  <c r="C66" i="30" s="1"/>
  <c r="E65" i="30"/>
  <c r="D60" i="25"/>
  <c r="C61" i="25" s="1"/>
  <c r="E60" i="25"/>
  <c r="A67" i="25"/>
  <c r="B67" i="25" s="1"/>
  <c r="F61" i="39" l="1"/>
  <c r="E61" i="39"/>
  <c r="D62" i="39" s="1"/>
  <c r="C65" i="39"/>
  <c r="A66" i="39"/>
  <c r="B66" i="39" s="1"/>
  <c r="B68" i="30"/>
  <c r="A69" i="30"/>
  <c r="D66" i="30"/>
  <c r="C67" i="30" s="1"/>
  <c r="E66" i="30"/>
  <c r="D61" i="25"/>
  <c r="C62" i="25" s="1"/>
  <c r="E61" i="25"/>
  <c r="A68" i="25"/>
  <c r="B68" i="25" s="1"/>
  <c r="F62" i="39" l="1"/>
  <c r="E62" i="39"/>
  <c r="D63" i="39" s="1"/>
  <c r="C66" i="39"/>
  <c r="A67" i="39"/>
  <c r="B67" i="39" s="1"/>
  <c r="B69" i="30"/>
  <c r="A70" i="30"/>
  <c r="D67" i="30"/>
  <c r="C68" i="30" s="1"/>
  <c r="E67" i="30"/>
  <c r="E62" i="25"/>
  <c r="D62" i="25"/>
  <c r="C63" i="25" s="1"/>
  <c r="A69" i="25"/>
  <c r="B69" i="25" s="1"/>
  <c r="F63" i="39" l="1"/>
  <c r="E63" i="39"/>
  <c r="D64" i="39" s="1"/>
  <c r="C67" i="39"/>
  <c r="A68" i="39"/>
  <c r="B68" i="39" s="1"/>
  <c r="B70" i="30"/>
  <c r="A71" i="30"/>
  <c r="D68" i="30"/>
  <c r="C69" i="30" s="1"/>
  <c r="E68" i="30"/>
  <c r="D63" i="25"/>
  <c r="C64" i="25" s="1"/>
  <c r="E63" i="25"/>
  <c r="A70" i="25"/>
  <c r="B70" i="25" s="1"/>
  <c r="F64" i="39" l="1"/>
  <c r="E64" i="39"/>
  <c r="D65" i="39" s="1"/>
  <c r="C68" i="39"/>
  <c r="A69" i="39"/>
  <c r="B69" i="39" s="1"/>
  <c r="B71" i="30"/>
  <c r="A72" i="30"/>
  <c r="D69" i="30"/>
  <c r="C70" i="30" s="1"/>
  <c r="E69" i="30"/>
  <c r="E64" i="25"/>
  <c r="D64" i="25"/>
  <c r="C65" i="25" s="1"/>
  <c r="A71" i="25"/>
  <c r="B71" i="25" s="1"/>
  <c r="E65" i="39" l="1"/>
  <c r="D66" i="39" s="1"/>
  <c r="F65" i="39"/>
  <c r="C69" i="39"/>
  <c r="A70" i="39"/>
  <c r="B70" i="39" s="1"/>
  <c r="B72" i="30"/>
  <c r="A73" i="30"/>
  <c r="D70" i="30"/>
  <c r="C71" i="30" s="1"/>
  <c r="E70" i="30"/>
  <c r="E65" i="25"/>
  <c r="D65" i="25"/>
  <c r="C66" i="25" s="1"/>
  <c r="A72" i="25"/>
  <c r="B72" i="25" s="1"/>
  <c r="E66" i="39" l="1"/>
  <c r="D67" i="39" s="1"/>
  <c r="F66" i="39"/>
  <c r="C70" i="39"/>
  <c r="A71" i="39"/>
  <c r="B71" i="39" s="1"/>
  <c r="B73" i="30"/>
  <c r="A74" i="30"/>
  <c r="D71" i="30"/>
  <c r="C72" i="30" s="1"/>
  <c r="E71" i="30"/>
  <c r="E66" i="25"/>
  <c r="D66" i="25"/>
  <c r="C67" i="25" s="1"/>
  <c r="A73" i="25"/>
  <c r="B73" i="25" s="1"/>
  <c r="F67" i="39" l="1"/>
  <c r="E67" i="39"/>
  <c r="D68" i="39" s="1"/>
  <c r="C71" i="39"/>
  <c r="A72" i="39"/>
  <c r="B72" i="39" s="1"/>
  <c r="B74" i="30"/>
  <c r="A75" i="30"/>
  <c r="D72" i="30"/>
  <c r="C73" i="30" s="1"/>
  <c r="E72" i="30"/>
  <c r="D67" i="25"/>
  <c r="C68" i="25" s="1"/>
  <c r="E67" i="25"/>
  <c r="A74" i="25"/>
  <c r="B74" i="25" s="1"/>
  <c r="E68" i="39" l="1"/>
  <c r="D69" i="39" s="1"/>
  <c r="F68" i="39"/>
  <c r="C72" i="39"/>
  <c r="A73" i="39"/>
  <c r="B73" i="39" s="1"/>
  <c r="B75" i="30"/>
  <c r="A76" i="30"/>
  <c r="D73" i="30"/>
  <c r="C74" i="30" s="1"/>
  <c r="E73" i="30"/>
  <c r="D68" i="25"/>
  <c r="C69" i="25" s="1"/>
  <c r="E68" i="25"/>
  <c r="A75" i="25"/>
  <c r="B75" i="25" s="1"/>
  <c r="E69" i="39" l="1"/>
  <c r="D70" i="39" s="1"/>
  <c r="F69" i="39"/>
  <c r="C73" i="39"/>
  <c r="A74" i="39"/>
  <c r="B74" i="39" s="1"/>
  <c r="B76" i="30"/>
  <c r="A77" i="30"/>
  <c r="D74" i="30"/>
  <c r="C75" i="30" s="1"/>
  <c r="E74" i="30"/>
  <c r="D69" i="25"/>
  <c r="C70" i="25" s="1"/>
  <c r="E69" i="25"/>
  <c r="A76" i="25"/>
  <c r="B76" i="25" s="1"/>
  <c r="F70" i="39" l="1"/>
  <c r="E70" i="39"/>
  <c r="D71" i="39" s="1"/>
  <c r="C74" i="39"/>
  <c r="A75" i="39"/>
  <c r="B75" i="39" s="1"/>
  <c r="B77" i="30"/>
  <c r="A78" i="30"/>
  <c r="D75" i="30"/>
  <c r="C76" i="30" s="1"/>
  <c r="E75" i="30"/>
  <c r="E70" i="25"/>
  <c r="D70" i="25"/>
  <c r="C71" i="25" s="1"/>
  <c r="A77" i="25"/>
  <c r="B77" i="25" s="1"/>
  <c r="F71" i="39" l="1"/>
  <c r="E71" i="39"/>
  <c r="D72" i="39" s="1"/>
  <c r="C75" i="39"/>
  <c r="A76" i="39"/>
  <c r="B76" i="39" s="1"/>
  <c r="B78" i="30"/>
  <c r="A79" i="30"/>
  <c r="D76" i="30"/>
  <c r="C77" i="30" s="1"/>
  <c r="E76" i="30"/>
  <c r="E71" i="25"/>
  <c r="D71" i="25"/>
  <c r="C72" i="25" s="1"/>
  <c r="A78" i="25"/>
  <c r="B78" i="25" s="1"/>
  <c r="F72" i="39" l="1"/>
  <c r="E72" i="39"/>
  <c r="D73" i="39" s="1"/>
  <c r="C76" i="39"/>
  <c r="A77" i="39"/>
  <c r="B77" i="39" s="1"/>
  <c r="B79" i="30"/>
  <c r="A80" i="30"/>
  <c r="D77" i="30"/>
  <c r="C78" i="30" s="1"/>
  <c r="E77" i="30"/>
  <c r="E72" i="25"/>
  <c r="D72" i="25"/>
  <c r="C73" i="25" s="1"/>
  <c r="A79" i="25"/>
  <c r="B79" i="25" s="1"/>
  <c r="E73" i="39" l="1"/>
  <c r="D74" i="39" s="1"/>
  <c r="F73" i="39"/>
  <c r="C77" i="39"/>
  <c r="A78" i="39"/>
  <c r="B78" i="39" s="1"/>
  <c r="B80" i="30"/>
  <c r="A81" i="30"/>
  <c r="D78" i="30"/>
  <c r="C79" i="30" s="1"/>
  <c r="E78" i="30"/>
  <c r="D73" i="25"/>
  <c r="C74" i="25" s="1"/>
  <c r="E73" i="25"/>
  <c r="A80" i="25"/>
  <c r="B80" i="25" s="1"/>
  <c r="E74" i="39" l="1"/>
  <c r="D75" i="39" s="1"/>
  <c r="F74" i="39"/>
  <c r="C78" i="39"/>
  <c r="A79" i="39"/>
  <c r="B79" i="39" s="1"/>
  <c r="B81" i="30"/>
  <c r="A82" i="30"/>
  <c r="D79" i="30"/>
  <c r="C80" i="30" s="1"/>
  <c r="E79" i="30"/>
  <c r="E74" i="25"/>
  <c r="D74" i="25"/>
  <c r="C75" i="25" s="1"/>
  <c r="A81" i="25"/>
  <c r="B81" i="25" s="1"/>
  <c r="E75" i="39" l="1"/>
  <c r="D76" i="39" s="1"/>
  <c r="F75" i="39"/>
  <c r="C79" i="39"/>
  <c r="A80" i="39"/>
  <c r="B80" i="39" s="1"/>
  <c r="B82" i="30"/>
  <c r="A83" i="30"/>
  <c r="D80" i="30"/>
  <c r="C81" i="30" s="1"/>
  <c r="E80" i="30"/>
  <c r="D75" i="25"/>
  <c r="C76" i="25" s="1"/>
  <c r="E75" i="25"/>
  <c r="A82" i="25"/>
  <c r="B82" i="25" s="1"/>
  <c r="F76" i="39" l="1"/>
  <c r="E76" i="39"/>
  <c r="D77" i="39" s="1"/>
  <c r="C80" i="39"/>
  <c r="A81" i="39"/>
  <c r="B81" i="39" s="1"/>
  <c r="B83" i="30"/>
  <c r="A84" i="30"/>
  <c r="D81" i="30"/>
  <c r="C82" i="30" s="1"/>
  <c r="E81" i="30"/>
  <c r="E76" i="25"/>
  <c r="D76" i="25"/>
  <c r="C77" i="25" s="1"/>
  <c r="A83" i="25"/>
  <c r="B83" i="25" s="1"/>
  <c r="E77" i="39" l="1"/>
  <c r="D78" i="39" s="1"/>
  <c r="F77" i="39"/>
  <c r="C81" i="39"/>
  <c r="A82" i="39"/>
  <c r="B82" i="39" s="1"/>
  <c r="B84" i="30"/>
  <c r="A85" i="30"/>
  <c r="D82" i="30"/>
  <c r="C83" i="30" s="1"/>
  <c r="E82" i="30"/>
  <c r="D77" i="25"/>
  <c r="C78" i="25" s="1"/>
  <c r="E77" i="25"/>
  <c r="A84" i="25"/>
  <c r="B84" i="25" s="1"/>
  <c r="F78" i="39" l="1"/>
  <c r="E78" i="39"/>
  <c r="D79" i="39" s="1"/>
  <c r="C82" i="39"/>
  <c r="A83" i="39"/>
  <c r="B83" i="39" s="1"/>
  <c r="B85" i="30"/>
  <c r="A86" i="30"/>
  <c r="D83" i="30"/>
  <c r="C84" i="30" s="1"/>
  <c r="E83" i="30"/>
  <c r="D78" i="25"/>
  <c r="C79" i="25" s="1"/>
  <c r="E78" i="25"/>
  <c r="A85" i="25"/>
  <c r="B85" i="25" s="1"/>
  <c r="E79" i="39" l="1"/>
  <c r="D80" i="39" s="1"/>
  <c r="F79" i="39"/>
  <c r="C83" i="39"/>
  <c r="A84" i="39"/>
  <c r="B84" i="39" s="1"/>
  <c r="B86" i="30"/>
  <c r="A87" i="30"/>
  <c r="D84" i="30"/>
  <c r="C85" i="30" s="1"/>
  <c r="E84" i="30"/>
  <c r="D79" i="25"/>
  <c r="C80" i="25" s="1"/>
  <c r="E79" i="25"/>
  <c r="A86" i="25"/>
  <c r="B86" i="25" s="1"/>
  <c r="E80" i="39" l="1"/>
  <c r="D81" i="39" s="1"/>
  <c r="F80" i="39"/>
  <c r="C84" i="39"/>
  <c r="A85" i="39"/>
  <c r="B85" i="39" s="1"/>
  <c r="B87" i="30"/>
  <c r="A88" i="30"/>
  <c r="D85" i="30"/>
  <c r="C86" i="30" s="1"/>
  <c r="E85" i="30"/>
  <c r="D80" i="25"/>
  <c r="C81" i="25" s="1"/>
  <c r="E80" i="25"/>
  <c r="A87" i="25"/>
  <c r="B87" i="25" s="1"/>
  <c r="E81" i="39" l="1"/>
  <c r="D82" i="39" s="1"/>
  <c r="F81" i="39"/>
  <c r="C85" i="39"/>
  <c r="A86" i="39"/>
  <c r="B86" i="39" s="1"/>
  <c r="B88" i="30"/>
  <c r="A89" i="30"/>
  <c r="D86" i="30"/>
  <c r="C87" i="30" s="1"/>
  <c r="E86" i="30"/>
  <c r="D81" i="25"/>
  <c r="C82" i="25" s="1"/>
  <c r="E81" i="25"/>
  <c r="A88" i="25"/>
  <c r="B88" i="25" s="1"/>
  <c r="F82" i="39" l="1"/>
  <c r="E82" i="39"/>
  <c r="D83" i="39" s="1"/>
  <c r="C86" i="39"/>
  <c r="A87" i="39"/>
  <c r="B87" i="39" s="1"/>
  <c r="B89" i="30"/>
  <c r="A90" i="30"/>
  <c r="D87" i="30"/>
  <c r="C88" i="30" s="1"/>
  <c r="E87" i="30"/>
  <c r="D82" i="25"/>
  <c r="C83" i="25" s="1"/>
  <c r="E82" i="25"/>
  <c r="A89" i="25"/>
  <c r="B89" i="25" s="1"/>
  <c r="E83" i="39" l="1"/>
  <c r="D84" i="39" s="1"/>
  <c r="F83" i="39"/>
  <c r="C87" i="39"/>
  <c r="A88" i="39"/>
  <c r="B88" i="39" s="1"/>
  <c r="B90" i="30"/>
  <c r="A91" i="30"/>
  <c r="D88" i="30"/>
  <c r="C89" i="30" s="1"/>
  <c r="E88" i="30"/>
  <c r="D83" i="25"/>
  <c r="C84" i="25" s="1"/>
  <c r="E83" i="25"/>
  <c r="A90" i="25"/>
  <c r="B90" i="25" s="1"/>
  <c r="F84" i="39" l="1"/>
  <c r="E84" i="39"/>
  <c r="D85" i="39" s="1"/>
  <c r="C88" i="39"/>
  <c r="A89" i="39"/>
  <c r="B89" i="39" s="1"/>
  <c r="B91" i="30"/>
  <c r="A92" i="30"/>
  <c r="D89" i="30"/>
  <c r="C90" i="30" s="1"/>
  <c r="E89" i="30"/>
  <c r="D84" i="25"/>
  <c r="C85" i="25" s="1"/>
  <c r="E84" i="25"/>
  <c r="A91" i="25"/>
  <c r="B91" i="25" s="1"/>
  <c r="F85" i="39" l="1"/>
  <c r="E85" i="39"/>
  <c r="D86" i="39" s="1"/>
  <c r="C89" i="39"/>
  <c r="A90" i="39"/>
  <c r="B90" i="39" s="1"/>
  <c r="B92" i="30"/>
  <c r="A93" i="30"/>
  <c r="D90" i="30"/>
  <c r="C91" i="30" s="1"/>
  <c r="E90" i="30"/>
  <c r="D85" i="25"/>
  <c r="C86" i="25" s="1"/>
  <c r="E85" i="25"/>
  <c r="A92" i="25"/>
  <c r="B92" i="25" s="1"/>
  <c r="E86" i="39" l="1"/>
  <c r="D87" i="39" s="1"/>
  <c r="F86" i="39"/>
  <c r="C90" i="39"/>
  <c r="A91" i="39"/>
  <c r="B91" i="39" s="1"/>
  <c r="B93" i="30"/>
  <c r="A94" i="30"/>
  <c r="D91" i="30"/>
  <c r="C92" i="30" s="1"/>
  <c r="E91" i="30"/>
  <c r="D86" i="25"/>
  <c r="C87" i="25" s="1"/>
  <c r="E86" i="25"/>
  <c r="A93" i="25"/>
  <c r="B93" i="25" s="1"/>
  <c r="F87" i="39" l="1"/>
  <c r="E87" i="39"/>
  <c r="D88" i="39" s="1"/>
  <c r="C91" i="39"/>
  <c r="A92" i="39"/>
  <c r="B92" i="39" s="1"/>
  <c r="B94" i="30"/>
  <c r="A95" i="30"/>
  <c r="D92" i="30"/>
  <c r="C93" i="30" s="1"/>
  <c r="E92" i="30"/>
  <c r="D87" i="25"/>
  <c r="C88" i="25" s="1"/>
  <c r="E87" i="25"/>
  <c r="A94" i="25"/>
  <c r="B94" i="25" s="1"/>
  <c r="E88" i="39" l="1"/>
  <c r="D89" i="39" s="1"/>
  <c r="F88" i="39"/>
  <c r="C92" i="39"/>
  <c r="A93" i="39"/>
  <c r="B93" i="39" s="1"/>
  <c r="B95" i="30"/>
  <c r="A96" i="30"/>
  <c r="D93" i="30"/>
  <c r="C94" i="30" s="1"/>
  <c r="E93" i="30"/>
  <c r="E88" i="25"/>
  <c r="D88" i="25"/>
  <c r="C89" i="25" s="1"/>
  <c r="A95" i="25"/>
  <c r="B95" i="25" s="1"/>
  <c r="E89" i="39" l="1"/>
  <c r="D90" i="39" s="1"/>
  <c r="F89" i="39"/>
  <c r="C93" i="39"/>
  <c r="A94" i="39"/>
  <c r="B94" i="39" s="1"/>
  <c r="B96" i="30"/>
  <c r="A97" i="30"/>
  <c r="D94" i="30"/>
  <c r="C95" i="30" s="1"/>
  <c r="E94" i="30"/>
  <c r="D89" i="25"/>
  <c r="C90" i="25" s="1"/>
  <c r="E89" i="25"/>
  <c r="A96" i="25"/>
  <c r="B96" i="25" s="1"/>
  <c r="F90" i="39" l="1"/>
  <c r="E90" i="39"/>
  <c r="D91" i="39" s="1"/>
  <c r="C94" i="39"/>
  <c r="A95" i="39"/>
  <c r="B95" i="39" s="1"/>
  <c r="B97" i="30"/>
  <c r="A98" i="30"/>
  <c r="D95" i="30"/>
  <c r="C96" i="30" s="1"/>
  <c r="E95" i="30"/>
  <c r="E90" i="25"/>
  <c r="D90" i="25"/>
  <c r="C91" i="25" s="1"/>
  <c r="A97" i="25"/>
  <c r="B97" i="25" s="1"/>
  <c r="F91" i="39" l="1"/>
  <c r="E91" i="39"/>
  <c r="D92" i="39" s="1"/>
  <c r="C95" i="39"/>
  <c r="A96" i="39"/>
  <c r="B96" i="39" s="1"/>
  <c r="B98" i="30"/>
  <c r="A99" i="30"/>
  <c r="D96" i="30"/>
  <c r="C97" i="30" s="1"/>
  <c r="E96" i="30"/>
  <c r="D91" i="25"/>
  <c r="C92" i="25" s="1"/>
  <c r="E91" i="25"/>
  <c r="A98" i="25"/>
  <c r="B98" i="25" s="1"/>
  <c r="E92" i="39" l="1"/>
  <c r="D93" i="39" s="1"/>
  <c r="F92" i="39"/>
  <c r="C96" i="39"/>
  <c r="A97" i="39"/>
  <c r="B97" i="39" s="1"/>
  <c r="B99" i="30"/>
  <c r="A100" i="30"/>
  <c r="D97" i="30"/>
  <c r="C98" i="30" s="1"/>
  <c r="E97" i="30"/>
  <c r="D92" i="25"/>
  <c r="C93" i="25" s="1"/>
  <c r="E92" i="25"/>
  <c r="A99" i="25"/>
  <c r="B99" i="25" s="1"/>
  <c r="F93" i="39" l="1"/>
  <c r="E93" i="39"/>
  <c r="D94" i="39" s="1"/>
  <c r="C97" i="39"/>
  <c r="A98" i="39"/>
  <c r="B98" i="39" s="1"/>
  <c r="B100" i="30"/>
  <c r="A101" i="30"/>
  <c r="D98" i="30"/>
  <c r="C99" i="30" s="1"/>
  <c r="E98" i="30"/>
  <c r="E93" i="25"/>
  <c r="D93" i="25"/>
  <c r="C94" i="25" s="1"/>
  <c r="A100" i="25"/>
  <c r="B100" i="25" s="1"/>
  <c r="F94" i="39" l="1"/>
  <c r="E94" i="39"/>
  <c r="D95" i="39" s="1"/>
  <c r="C98" i="39"/>
  <c r="A99" i="39"/>
  <c r="B99" i="39" s="1"/>
  <c r="B101" i="30"/>
  <c r="A102" i="30"/>
  <c r="D99" i="30"/>
  <c r="C100" i="30" s="1"/>
  <c r="E99" i="30"/>
  <c r="D94" i="25"/>
  <c r="C95" i="25" s="1"/>
  <c r="E94" i="25"/>
  <c r="A101" i="25"/>
  <c r="B101" i="25" s="1"/>
  <c r="E95" i="39" l="1"/>
  <c r="D96" i="39" s="1"/>
  <c r="F95" i="39"/>
  <c r="C99" i="39"/>
  <c r="A100" i="39"/>
  <c r="B100" i="39" s="1"/>
  <c r="B102" i="30"/>
  <c r="A103" i="30"/>
  <c r="D100" i="30"/>
  <c r="C101" i="30" s="1"/>
  <c r="E100" i="30"/>
  <c r="D95" i="25"/>
  <c r="C96" i="25" s="1"/>
  <c r="E95" i="25"/>
  <c r="A102" i="25"/>
  <c r="B102" i="25" s="1"/>
  <c r="E96" i="39" l="1"/>
  <c r="D97" i="39" s="1"/>
  <c r="F96" i="39"/>
  <c r="C100" i="39"/>
  <c r="A101" i="39"/>
  <c r="B101" i="39" s="1"/>
  <c r="B103" i="30"/>
  <c r="A104" i="30"/>
  <c r="D101" i="30"/>
  <c r="C102" i="30" s="1"/>
  <c r="E101" i="30"/>
  <c r="D96" i="25"/>
  <c r="C97" i="25" s="1"/>
  <c r="E96" i="25"/>
  <c r="A103" i="25"/>
  <c r="B103" i="25" s="1"/>
  <c r="F97" i="39" l="1"/>
  <c r="E97" i="39"/>
  <c r="D98" i="39" s="1"/>
  <c r="C101" i="39"/>
  <c r="A102" i="39"/>
  <c r="B102" i="39" s="1"/>
  <c r="B104" i="30"/>
  <c r="A105" i="30"/>
  <c r="D102" i="30"/>
  <c r="C103" i="30" s="1"/>
  <c r="E102" i="30"/>
  <c r="D97" i="25"/>
  <c r="C98" i="25" s="1"/>
  <c r="E97" i="25"/>
  <c r="A104" i="25"/>
  <c r="B104" i="25" s="1"/>
  <c r="F98" i="39" l="1"/>
  <c r="E98" i="39"/>
  <c r="D99" i="39" s="1"/>
  <c r="C102" i="39"/>
  <c r="A103" i="39"/>
  <c r="B103" i="39" s="1"/>
  <c r="B105" i="30"/>
  <c r="A106" i="30"/>
  <c r="D103" i="30"/>
  <c r="C104" i="30" s="1"/>
  <c r="E103" i="30"/>
  <c r="D98" i="25"/>
  <c r="C99" i="25" s="1"/>
  <c r="E98" i="25"/>
  <c r="A105" i="25"/>
  <c r="B105" i="25" s="1"/>
  <c r="F99" i="39" l="1"/>
  <c r="E99" i="39"/>
  <c r="D100" i="39" s="1"/>
  <c r="C103" i="39"/>
  <c r="A104" i="39"/>
  <c r="B104" i="39" s="1"/>
  <c r="B106" i="30"/>
  <c r="A107" i="30"/>
  <c r="D104" i="30"/>
  <c r="C105" i="30" s="1"/>
  <c r="E104" i="30"/>
  <c r="D99" i="25"/>
  <c r="C100" i="25" s="1"/>
  <c r="E99" i="25"/>
  <c r="A106" i="25"/>
  <c r="B106" i="25" s="1"/>
  <c r="F100" i="39" l="1"/>
  <c r="E100" i="39"/>
  <c r="D101" i="39" s="1"/>
  <c r="C104" i="39"/>
  <c r="A105" i="39"/>
  <c r="B105" i="39" s="1"/>
  <c r="B107" i="30"/>
  <c r="A108" i="30"/>
  <c r="D105" i="30"/>
  <c r="C106" i="30" s="1"/>
  <c r="E105" i="30"/>
  <c r="E100" i="25"/>
  <c r="D100" i="25"/>
  <c r="C101" i="25" s="1"/>
  <c r="A107" i="25"/>
  <c r="B107" i="25" s="1"/>
  <c r="E101" i="39" l="1"/>
  <c r="D102" i="39" s="1"/>
  <c r="F101" i="39"/>
  <c r="C105" i="39"/>
  <c r="A106" i="39"/>
  <c r="B106" i="39" s="1"/>
  <c r="B108" i="30"/>
  <c r="A109" i="30"/>
  <c r="D106" i="30"/>
  <c r="C107" i="30" s="1"/>
  <c r="E106" i="30"/>
  <c r="D101" i="25"/>
  <c r="C102" i="25" s="1"/>
  <c r="E101" i="25"/>
  <c r="A108" i="25"/>
  <c r="B108" i="25" s="1"/>
  <c r="E102" i="39" l="1"/>
  <c r="D103" i="39" s="1"/>
  <c r="F102" i="39"/>
  <c r="C106" i="39"/>
  <c r="A107" i="39"/>
  <c r="B107" i="39" s="1"/>
  <c r="B109" i="30"/>
  <c r="A110" i="30"/>
  <c r="D107" i="30"/>
  <c r="C108" i="30" s="1"/>
  <c r="E107" i="30"/>
  <c r="D102" i="25"/>
  <c r="C103" i="25" s="1"/>
  <c r="E102" i="25"/>
  <c r="A109" i="25"/>
  <c r="B109" i="25" s="1"/>
  <c r="F103" i="39" l="1"/>
  <c r="E103" i="39"/>
  <c r="D104" i="39" s="1"/>
  <c r="C107" i="39"/>
  <c r="A108" i="39"/>
  <c r="B108" i="39" s="1"/>
  <c r="B110" i="30"/>
  <c r="A111" i="30"/>
  <c r="D108" i="30"/>
  <c r="C109" i="30" s="1"/>
  <c r="E108" i="30"/>
  <c r="D103" i="25"/>
  <c r="C104" i="25" s="1"/>
  <c r="E103" i="25"/>
  <c r="A110" i="25"/>
  <c r="B110" i="25" s="1"/>
  <c r="E104" i="39" l="1"/>
  <c r="D105" i="39" s="1"/>
  <c r="F104" i="39"/>
  <c r="C108" i="39"/>
  <c r="A109" i="39"/>
  <c r="B109" i="39" s="1"/>
  <c r="B111" i="30"/>
  <c r="A112" i="30"/>
  <c r="D109" i="30"/>
  <c r="C110" i="30" s="1"/>
  <c r="E109" i="30"/>
  <c r="D104" i="25"/>
  <c r="C105" i="25" s="1"/>
  <c r="E104" i="25"/>
  <c r="A111" i="25"/>
  <c r="B111" i="25" s="1"/>
  <c r="E105" i="39" l="1"/>
  <c r="D106" i="39" s="1"/>
  <c r="F105" i="39"/>
  <c r="C109" i="39"/>
  <c r="A110" i="39"/>
  <c r="B110" i="39" s="1"/>
  <c r="B112" i="30"/>
  <c r="A113" i="30"/>
  <c r="D110" i="30"/>
  <c r="C111" i="30" s="1"/>
  <c r="E110" i="30"/>
  <c r="E105" i="25"/>
  <c r="D105" i="25"/>
  <c r="C106" i="25" s="1"/>
  <c r="A112" i="25"/>
  <c r="B112" i="25" s="1"/>
  <c r="E106" i="39" l="1"/>
  <c r="D107" i="39" s="1"/>
  <c r="F106" i="39"/>
  <c r="C110" i="39"/>
  <c r="A111" i="39"/>
  <c r="B111" i="39" s="1"/>
  <c r="B113" i="30"/>
  <c r="A114" i="30"/>
  <c r="D111" i="30"/>
  <c r="C112" i="30" s="1"/>
  <c r="E111" i="30"/>
  <c r="D106" i="25"/>
  <c r="C107" i="25" s="1"/>
  <c r="E106" i="25"/>
  <c r="A113" i="25"/>
  <c r="B113" i="25" s="1"/>
  <c r="E107" i="39" l="1"/>
  <c r="D108" i="39" s="1"/>
  <c r="F107" i="39"/>
  <c r="C111" i="39"/>
  <c r="A112" i="39"/>
  <c r="B112" i="39" s="1"/>
  <c r="B114" i="30"/>
  <c r="A115" i="30"/>
  <c r="D112" i="30"/>
  <c r="C113" i="30" s="1"/>
  <c r="E112" i="30"/>
  <c r="D107" i="25"/>
  <c r="C108" i="25" s="1"/>
  <c r="E107" i="25"/>
  <c r="A114" i="25"/>
  <c r="B114" i="25" s="1"/>
  <c r="E108" i="39" l="1"/>
  <c r="D109" i="39" s="1"/>
  <c r="F108" i="39"/>
  <c r="C112" i="39"/>
  <c r="A113" i="39"/>
  <c r="B113" i="39" s="1"/>
  <c r="B115" i="30"/>
  <c r="A116" i="30"/>
  <c r="D113" i="30"/>
  <c r="C114" i="30" s="1"/>
  <c r="E113" i="30"/>
  <c r="D108" i="25"/>
  <c r="C109" i="25" s="1"/>
  <c r="E108" i="25"/>
  <c r="A115" i="25"/>
  <c r="B115" i="25" s="1"/>
  <c r="E109" i="39" l="1"/>
  <c r="D110" i="39" s="1"/>
  <c r="F109" i="39"/>
  <c r="C113" i="39"/>
  <c r="A114" i="39"/>
  <c r="B114" i="39" s="1"/>
  <c r="B116" i="30"/>
  <c r="A117" i="30"/>
  <c r="D114" i="30"/>
  <c r="C115" i="30" s="1"/>
  <c r="E114" i="30"/>
  <c r="D109" i="25"/>
  <c r="C110" i="25" s="1"/>
  <c r="E109" i="25"/>
  <c r="A116" i="25"/>
  <c r="B116" i="25" s="1"/>
  <c r="F110" i="39" l="1"/>
  <c r="E110" i="39"/>
  <c r="D111" i="39" s="1"/>
  <c r="C114" i="39"/>
  <c r="A115" i="39"/>
  <c r="B115" i="39" s="1"/>
  <c r="B117" i="30"/>
  <c r="A118" i="30"/>
  <c r="D115" i="30"/>
  <c r="C116" i="30" s="1"/>
  <c r="E115" i="30"/>
  <c r="E110" i="25"/>
  <c r="D110" i="25"/>
  <c r="C111" i="25" s="1"/>
  <c r="A117" i="25"/>
  <c r="B117" i="25" s="1"/>
  <c r="F111" i="39" l="1"/>
  <c r="E111" i="39"/>
  <c r="D112" i="39" s="1"/>
  <c r="C115" i="39"/>
  <c r="A116" i="39"/>
  <c r="B116" i="39" s="1"/>
  <c r="B118" i="30"/>
  <c r="A119" i="30"/>
  <c r="D116" i="30"/>
  <c r="C117" i="30" s="1"/>
  <c r="E116" i="30"/>
  <c r="D111" i="25"/>
  <c r="C112" i="25" s="1"/>
  <c r="E111" i="25"/>
  <c r="A118" i="25"/>
  <c r="B118" i="25" s="1"/>
  <c r="E112" i="39" l="1"/>
  <c r="D113" i="39" s="1"/>
  <c r="F112" i="39"/>
  <c r="C116" i="39"/>
  <c r="A117" i="39"/>
  <c r="B117" i="39" s="1"/>
  <c r="B119" i="30"/>
  <c r="A120" i="30"/>
  <c r="D117" i="30"/>
  <c r="C118" i="30" s="1"/>
  <c r="E117" i="30"/>
  <c r="D112" i="25"/>
  <c r="C113" i="25" s="1"/>
  <c r="E112" i="25"/>
  <c r="A119" i="25"/>
  <c r="B119" i="25" s="1"/>
  <c r="F113" i="39" l="1"/>
  <c r="E113" i="39"/>
  <c r="D114" i="39" s="1"/>
  <c r="C117" i="39"/>
  <c r="A118" i="39"/>
  <c r="B118" i="39" s="1"/>
  <c r="B120" i="30"/>
  <c r="A121" i="30"/>
  <c r="D118" i="30"/>
  <c r="C119" i="30" s="1"/>
  <c r="E118" i="30"/>
  <c r="D113" i="25"/>
  <c r="C114" i="25" s="1"/>
  <c r="E113" i="25"/>
  <c r="A120" i="25"/>
  <c r="B120" i="25" s="1"/>
  <c r="F114" i="39" l="1"/>
  <c r="E114" i="39"/>
  <c r="D115" i="39" s="1"/>
  <c r="C118" i="39"/>
  <c r="A119" i="39"/>
  <c r="B119" i="39" s="1"/>
  <c r="B121" i="30"/>
  <c r="A122" i="30"/>
  <c r="D119" i="30"/>
  <c r="C120" i="30" s="1"/>
  <c r="E119" i="30"/>
  <c r="D114" i="25"/>
  <c r="C115" i="25" s="1"/>
  <c r="E114" i="25"/>
  <c r="A121" i="25"/>
  <c r="B121" i="25" s="1"/>
  <c r="F115" i="39" l="1"/>
  <c r="E115" i="39"/>
  <c r="D116" i="39" s="1"/>
  <c r="C119" i="39"/>
  <c r="A120" i="39"/>
  <c r="B120" i="39" s="1"/>
  <c r="B122" i="30"/>
  <c r="A123" i="30"/>
  <c r="D120" i="30"/>
  <c r="C121" i="30" s="1"/>
  <c r="E120" i="30"/>
  <c r="D115" i="25"/>
  <c r="C116" i="25" s="1"/>
  <c r="E115" i="25"/>
  <c r="A122" i="25"/>
  <c r="B122" i="25" s="1"/>
  <c r="F116" i="39" l="1"/>
  <c r="E116" i="39"/>
  <c r="D117" i="39" s="1"/>
  <c r="C120" i="39"/>
  <c r="A121" i="39"/>
  <c r="B121" i="39" s="1"/>
  <c r="B123" i="30"/>
  <c r="A124" i="30"/>
  <c r="D121" i="30"/>
  <c r="C122" i="30" s="1"/>
  <c r="E121" i="30"/>
  <c r="D116" i="25"/>
  <c r="C117" i="25" s="1"/>
  <c r="E116" i="25"/>
  <c r="A123" i="25"/>
  <c r="B123" i="25" s="1"/>
  <c r="F117" i="39" l="1"/>
  <c r="E117" i="39"/>
  <c r="D118" i="39" s="1"/>
  <c r="C121" i="39"/>
  <c r="A122" i="39"/>
  <c r="B122" i="39" s="1"/>
  <c r="B124" i="30"/>
  <c r="A125" i="30"/>
  <c r="D122" i="30"/>
  <c r="C123" i="30" s="1"/>
  <c r="E122" i="30"/>
  <c r="E117" i="25"/>
  <c r="D117" i="25"/>
  <c r="C118" i="25" s="1"/>
  <c r="A124" i="25"/>
  <c r="B124" i="25" s="1"/>
  <c r="E118" i="39" l="1"/>
  <c r="D119" i="39" s="1"/>
  <c r="F118" i="39"/>
  <c r="C122" i="39"/>
  <c r="A123" i="39"/>
  <c r="B123" i="39" s="1"/>
  <c r="B125" i="30"/>
  <c r="A126" i="30"/>
  <c r="D123" i="30"/>
  <c r="C124" i="30" s="1"/>
  <c r="E123" i="30"/>
  <c r="D118" i="25"/>
  <c r="C119" i="25" s="1"/>
  <c r="E118" i="25"/>
  <c r="A125" i="25"/>
  <c r="B125" i="25" s="1"/>
  <c r="E119" i="39" l="1"/>
  <c r="D120" i="39" s="1"/>
  <c r="F119" i="39"/>
  <c r="C123" i="39"/>
  <c r="A124" i="39"/>
  <c r="B124" i="39" s="1"/>
  <c r="B126" i="30"/>
  <c r="A127" i="30"/>
  <c r="D124" i="30"/>
  <c r="C125" i="30" s="1"/>
  <c r="E124" i="30"/>
  <c r="D119" i="25"/>
  <c r="C120" i="25" s="1"/>
  <c r="E119" i="25"/>
  <c r="A126" i="25"/>
  <c r="B126" i="25" s="1"/>
  <c r="F120" i="39" l="1"/>
  <c r="E120" i="39"/>
  <c r="D121" i="39" s="1"/>
  <c r="C124" i="39"/>
  <c r="A125" i="39"/>
  <c r="B125" i="39" s="1"/>
  <c r="B127" i="30"/>
  <c r="A128" i="30"/>
  <c r="D125" i="30"/>
  <c r="C126" i="30" s="1"/>
  <c r="E125" i="30"/>
  <c r="E120" i="25"/>
  <c r="D120" i="25"/>
  <c r="C121" i="25" s="1"/>
  <c r="A127" i="25"/>
  <c r="B127" i="25" s="1"/>
  <c r="F121" i="39" l="1"/>
  <c r="E121" i="39"/>
  <c r="D122" i="39" s="1"/>
  <c r="C125" i="39"/>
  <c r="A126" i="39"/>
  <c r="B126" i="39" s="1"/>
  <c r="B128" i="30"/>
  <c r="A129" i="30"/>
  <c r="D126" i="30"/>
  <c r="C127" i="30" s="1"/>
  <c r="E126" i="30"/>
  <c r="E121" i="25"/>
  <c r="D121" i="25"/>
  <c r="C122" i="25" s="1"/>
  <c r="A128" i="25"/>
  <c r="B128" i="25" s="1"/>
  <c r="F122" i="39" l="1"/>
  <c r="E122" i="39"/>
  <c r="D123" i="39" s="1"/>
  <c r="C126" i="39"/>
  <c r="A127" i="39"/>
  <c r="B127" i="39" s="1"/>
  <c r="B129" i="30"/>
  <c r="A130" i="30"/>
  <c r="D127" i="30"/>
  <c r="C128" i="30" s="1"/>
  <c r="E127" i="30"/>
  <c r="D122" i="25"/>
  <c r="C123" i="25" s="1"/>
  <c r="E122" i="25"/>
  <c r="A129" i="25"/>
  <c r="B129" i="25" s="1"/>
  <c r="F123" i="39" l="1"/>
  <c r="E123" i="39"/>
  <c r="D124" i="39" s="1"/>
  <c r="C127" i="39"/>
  <c r="A128" i="39"/>
  <c r="B128" i="39" s="1"/>
  <c r="B130" i="30"/>
  <c r="A131" i="30"/>
  <c r="D128" i="30"/>
  <c r="C129" i="30" s="1"/>
  <c r="E128" i="30"/>
  <c r="D123" i="25"/>
  <c r="C124" i="25" s="1"/>
  <c r="E123" i="25"/>
  <c r="A130" i="25"/>
  <c r="B130" i="25" s="1"/>
  <c r="E124" i="39" l="1"/>
  <c r="D125" i="39" s="1"/>
  <c r="F124" i="39"/>
  <c r="C128" i="39"/>
  <c r="A129" i="39"/>
  <c r="B129" i="39" s="1"/>
  <c r="B131" i="30"/>
  <c r="A132" i="30"/>
  <c r="D129" i="30"/>
  <c r="C130" i="30" s="1"/>
  <c r="E129" i="30"/>
  <c r="D124" i="25"/>
  <c r="C125" i="25" s="1"/>
  <c r="E124" i="25"/>
  <c r="A131" i="25"/>
  <c r="B131" i="25" s="1"/>
  <c r="F125" i="39" l="1"/>
  <c r="E125" i="39"/>
  <c r="D126" i="39" s="1"/>
  <c r="C129" i="39"/>
  <c r="A130" i="39"/>
  <c r="B130" i="39" s="1"/>
  <c r="B132" i="30"/>
  <c r="A133" i="30"/>
  <c r="D130" i="30"/>
  <c r="C131" i="30" s="1"/>
  <c r="E130" i="30"/>
  <c r="D125" i="25"/>
  <c r="C126" i="25" s="1"/>
  <c r="E125" i="25"/>
  <c r="A132" i="25"/>
  <c r="B132" i="25" s="1"/>
  <c r="F126" i="39" l="1"/>
  <c r="E126" i="39"/>
  <c r="D127" i="39" s="1"/>
  <c r="C130" i="39"/>
  <c r="A131" i="39"/>
  <c r="B131" i="39" s="1"/>
  <c r="B133" i="30"/>
  <c r="A134" i="30"/>
  <c r="D131" i="30"/>
  <c r="C132" i="30" s="1"/>
  <c r="E131" i="30"/>
  <c r="D126" i="25"/>
  <c r="C127" i="25" s="1"/>
  <c r="E126" i="25"/>
  <c r="A133" i="25"/>
  <c r="B133" i="25" s="1"/>
  <c r="E127" i="39" l="1"/>
  <c r="D128" i="39" s="1"/>
  <c r="F127" i="39"/>
  <c r="C131" i="39"/>
  <c r="A132" i="39"/>
  <c r="B132" i="39" s="1"/>
  <c r="B134" i="30"/>
  <c r="A135" i="30"/>
  <c r="D132" i="30"/>
  <c r="C133" i="30" s="1"/>
  <c r="E132" i="30"/>
  <c r="D127" i="25"/>
  <c r="C128" i="25" s="1"/>
  <c r="E127" i="25"/>
  <c r="A134" i="25"/>
  <c r="B134" i="25" s="1"/>
  <c r="F128" i="39" l="1"/>
  <c r="E128" i="39"/>
  <c r="D129" i="39" s="1"/>
  <c r="C132" i="39"/>
  <c r="A133" i="39"/>
  <c r="B133" i="39" s="1"/>
  <c r="B135" i="30"/>
  <c r="A136" i="30"/>
  <c r="D133" i="30"/>
  <c r="C134" i="30" s="1"/>
  <c r="E133" i="30"/>
  <c r="D128" i="25"/>
  <c r="C129" i="25" s="1"/>
  <c r="E128" i="25"/>
  <c r="A135" i="25"/>
  <c r="B135" i="25" s="1"/>
  <c r="F129" i="39" l="1"/>
  <c r="E129" i="39"/>
  <c r="D130" i="39" s="1"/>
  <c r="C133" i="39"/>
  <c r="A134" i="39"/>
  <c r="B134" i="39" s="1"/>
  <c r="B136" i="30"/>
  <c r="A137" i="30"/>
  <c r="D134" i="30"/>
  <c r="C135" i="30" s="1"/>
  <c r="E134" i="30"/>
  <c r="D129" i="25"/>
  <c r="C130" i="25" s="1"/>
  <c r="E129" i="25"/>
  <c r="A136" i="25"/>
  <c r="B136" i="25" s="1"/>
  <c r="F130" i="39" l="1"/>
  <c r="E130" i="39"/>
  <c r="D131" i="39" s="1"/>
  <c r="C134" i="39"/>
  <c r="A135" i="39"/>
  <c r="B135" i="39" s="1"/>
  <c r="B137" i="30"/>
  <c r="A138" i="30"/>
  <c r="D135" i="30"/>
  <c r="C136" i="30" s="1"/>
  <c r="E135" i="30"/>
  <c r="D130" i="25"/>
  <c r="C131" i="25" s="1"/>
  <c r="E130" i="25"/>
  <c r="A137" i="25"/>
  <c r="B137" i="25" s="1"/>
  <c r="E131" i="39" l="1"/>
  <c r="D132" i="39" s="1"/>
  <c r="F131" i="39"/>
  <c r="C135" i="39"/>
  <c r="A136" i="39"/>
  <c r="B136" i="39" s="1"/>
  <c r="B138" i="30"/>
  <c r="A139" i="30"/>
  <c r="D136" i="30"/>
  <c r="C137" i="30" s="1"/>
  <c r="E136" i="30"/>
  <c r="D131" i="25"/>
  <c r="C132" i="25" s="1"/>
  <c r="E131" i="25"/>
  <c r="A138" i="25"/>
  <c r="B138" i="25" s="1"/>
  <c r="F132" i="39" l="1"/>
  <c r="E132" i="39"/>
  <c r="D133" i="39" s="1"/>
  <c r="C136" i="39"/>
  <c r="A137" i="39"/>
  <c r="B137" i="39" s="1"/>
  <c r="B139" i="30"/>
  <c r="A140" i="30"/>
  <c r="D137" i="30"/>
  <c r="C138" i="30" s="1"/>
  <c r="E137" i="30"/>
  <c r="D132" i="25"/>
  <c r="C133" i="25" s="1"/>
  <c r="E132" i="25"/>
  <c r="A139" i="25"/>
  <c r="B139" i="25" s="1"/>
  <c r="E133" i="39" l="1"/>
  <c r="D134" i="39" s="1"/>
  <c r="F133" i="39"/>
  <c r="C137" i="39"/>
  <c r="A138" i="39"/>
  <c r="B138" i="39" s="1"/>
  <c r="B140" i="30"/>
  <c r="A141" i="30"/>
  <c r="D138" i="30"/>
  <c r="C139" i="30" s="1"/>
  <c r="E138" i="30"/>
  <c r="D133" i="25"/>
  <c r="C134" i="25" s="1"/>
  <c r="E133" i="25"/>
  <c r="A140" i="25"/>
  <c r="B140" i="25" s="1"/>
  <c r="E134" i="39" l="1"/>
  <c r="D135" i="39" s="1"/>
  <c r="F134" i="39"/>
  <c r="C138" i="39"/>
  <c r="A139" i="39"/>
  <c r="B139" i="39" s="1"/>
  <c r="B141" i="30"/>
  <c r="A142" i="30"/>
  <c r="D139" i="30"/>
  <c r="C140" i="30" s="1"/>
  <c r="E139" i="30"/>
  <c r="D134" i="25"/>
  <c r="C135" i="25" s="1"/>
  <c r="E134" i="25"/>
  <c r="A141" i="25"/>
  <c r="B141" i="25" s="1"/>
  <c r="F135" i="39" l="1"/>
  <c r="E135" i="39"/>
  <c r="D136" i="39" s="1"/>
  <c r="C139" i="39"/>
  <c r="A140" i="39"/>
  <c r="B140" i="39" s="1"/>
  <c r="B142" i="30"/>
  <c r="A143" i="30"/>
  <c r="D140" i="30"/>
  <c r="C141" i="30" s="1"/>
  <c r="E140" i="30"/>
  <c r="D135" i="25"/>
  <c r="C136" i="25" s="1"/>
  <c r="E135" i="25"/>
  <c r="A142" i="25"/>
  <c r="B142" i="25" s="1"/>
  <c r="E136" i="39" l="1"/>
  <c r="D137" i="39" s="1"/>
  <c r="F136" i="39"/>
  <c r="C140" i="39"/>
  <c r="A141" i="39"/>
  <c r="B141" i="39" s="1"/>
  <c r="B143" i="30"/>
  <c r="A144" i="30"/>
  <c r="D141" i="30"/>
  <c r="C142" i="30" s="1"/>
  <c r="E141" i="30"/>
  <c r="D136" i="25"/>
  <c r="C137" i="25" s="1"/>
  <c r="E136" i="25"/>
  <c r="A143" i="25"/>
  <c r="B143" i="25" s="1"/>
  <c r="E137" i="39" l="1"/>
  <c r="D138" i="39" s="1"/>
  <c r="F137" i="39"/>
  <c r="C141" i="39"/>
  <c r="A142" i="39"/>
  <c r="B142" i="39" s="1"/>
  <c r="B144" i="30"/>
  <c r="A145" i="30"/>
  <c r="D142" i="30"/>
  <c r="C143" i="30" s="1"/>
  <c r="E142" i="30"/>
  <c r="D137" i="25"/>
  <c r="C138" i="25" s="1"/>
  <c r="E137" i="25"/>
  <c r="A144" i="25"/>
  <c r="B144" i="25" s="1"/>
  <c r="F138" i="39" l="1"/>
  <c r="E138" i="39"/>
  <c r="D139" i="39" s="1"/>
  <c r="C142" i="39"/>
  <c r="A143" i="39"/>
  <c r="B143" i="39" s="1"/>
  <c r="B145" i="30"/>
  <c r="A146" i="30"/>
  <c r="D143" i="30"/>
  <c r="C144" i="30" s="1"/>
  <c r="E143" i="30"/>
  <c r="D138" i="25"/>
  <c r="C139" i="25" s="1"/>
  <c r="E138" i="25"/>
  <c r="A145" i="25"/>
  <c r="B145" i="25" s="1"/>
  <c r="F139" i="39" l="1"/>
  <c r="E139" i="39"/>
  <c r="D140" i="39" s="1"/>
  <c r="C143" i="39"/>
  <c r="A144" i="39"/>
  <c r="B144" i="39" s="1"/>
  <c r="B146" i="30"/>
  <c r="A147" i="30"/>
  <c r="D144" i="30"/>
  <c r="C145" i="30" s="1"/>
  <c r="E144" i="30"/>
  <c r="D139" i="25"/>
  <c r="C140" i="25" s="1"/>
  <c r="E139" i="25"/>
  <c r="A146" i="25"/>
  <c r="B146" i="25" s="1"/>
  <c r="E140" i="39" l="1"/>
  <c r="D141" i="39" s="1"/>
  <c r="F140" i="39"/>
  <c r="C144" i="39"/>
  <c r="A145" i="39"/>
  <c r="B145" i="39" s="1"/>
  <c r="B147" i="30"/>
  <c r="A148" i="30"/>
  <c r="D145" i="30"/>
  <c r="C146" i="30" s="1"/>
  <c r="E145" i="30"/>
  <c r="D140" i="25"/>
  <c r="C141" i="25" s="1"/>
  <c r="E140" i="25"/>
  <c r="A147" i="25"/>
  <c r="B147" i="25" s="1"/>
  <c r="E141" i="39" l="1"/>
  <c r="D142" i="39" s="1"/>
  <c r="F141" i="39"/>
  <c r="C145" i="39"/>
  <c r="A146" i="39"/>
  <c r="B146" i="39" s="1"/>
  <c r="B148" i="30"/>
  <c r="A149" i="30"/>
  <c r="D146" i="30"/>
  <c r="C147" i="30" s="1"/>
  <c r="E146" i="30"/>
  <c r="D141" i="25"/>
  <c r="C142" i="25" s="1"/>
  <c r="E141" i="25"/>
  <c r="A148" i="25"/>
  <c r="B148" i="25" s="1"/>
  <c r="F142" i="39" l="1"/>
  <c r="E142" i="39"/>
  <c r="D143" i="39" s="1"/>
  <c r="C146" i="39"/>
  <c r="A147" i="39"/>
  <c r="B147" i="39" s="1"/>
  <c r="B149" i="30"/>
  <c r="A150" i="30"/>
  <c r="D147" i="30"/>
  <c r="C148" i="30" s="1"/>
  <c r="E147" i="30"/>
  <c r="D142" i="25"/>
  <c r="C143" i="25" s="1"/>
  <c r="E142" i="25"/>
  <c r="A149" i="25"/>
  <c r="B149" i="25" s="1"/>
  <c r="E143" i="39" l="1"/>
  <c r="D144" i="39" s="1"/>
  <c r="F143" i="39"/>
  <c r="C147" i="39"/>
  <c r="A148" i="39"/>
  <c r="B148" i="39" s="1"/>
  <c r="B150" i="30"/>
  <c r="A151" i="30"/>
  <c r="D148" i="30"/>
  <c r="C149" i="30" s="1"/>
  <c r="E148" i="30"/>
  <c r="D143" i="25"/>
  <c r="C144" i="25" s="1"/>
  <c r="E143" i="25"/>
  <c r="A150" i="25"/>
  <c r="B150" i="25" s="1"/>
  <c r="E144" i="39" l="1"/>
  <c r="D145" i="39" s="1"/>
  <c r="F144" i="39"/>
  <c r="C148" i="39"/>
  <c r="A149" i="39"/>
  <c r="B149" i="39" s="1"/>
  <c r="B151" i="30"/>
  <c r="A152" i="30"/>
  <c r="D149" i="30"/>
  <c r="C150" i="30" s="1"/>
  <c r="E149" i="30"/>
  <c r="D144" i="25"/>
  <c r="C145" i="25" s="1"/>
  <c r="E144" i="25"/>
  <c r="A151" i="25"/>
  <c r="B151" i="25" s="1"/>
  <c r="E145" i="39" l="1"/>
  <c r="D146" i="39" s="1"/>
  <c r="F145" i="39"/>
  <c r="C149" i="39"/>
  <c r="A150" i="39"/>
  <c r="B150" i="39" s="1"/>
  <c r="B152" i="30"/>
  <c r="A153" i="30"/>
  <c r="D150" i="30"/>
  <c r="C151" i="30" s="1"/>
  <c r="E150" i="30"/>
  <c r="D145" i="25"/>
  <c r="C146" i="25" s="1"/>
  <c r="E145" i="25"/>
  <c r="A152" i="25"/>
  <c r="B152" i="25" s="1"/>
  <c r="F146" i="39" l="1"/>
  <c r="E146" i="39"/>
  <c r="D147" i="39" s="1"/>
  <c r="C150" i="39"/>
  <c r="A151" i="39"/>
  <c r="B151" i="39" s="1"/>
  <c r="B153" i="30"/>
  <c r="A154" i="30"/>
  <c r="D151" i="30"/>
  <c r="C152" i="30" s="1"/>
  <c r="E151" i="30"/>
  <c r="D146" i="25"/>
  <c r="C147" i="25" s="1"/>
  <c r="E146" i="25"/>
  <c r="A153" i="25"/>
  <c r="B153" i="25" s="1"/>
  <c r="E147" i="39" l="1"/>
  <c r="D148" i="39" s="1"/>
  <c r="F147" i="39"/>
  <c r="C151" i="39"/>
  <c r="A152" i="39"/>
  <c r="B152" i="39" s="1"/>
  <c r="B154" i="30"/>
  <c r="A155" i="30"/>
  <c r="D152" i="30"/>
  <c r="C153" i="30" s="1"/>
  <c r="E152" i="30"/>
  <c r="D147" i="25"/>
  <c r="C148" i="25" s="1"/>
  <c r="E147" i="25"/>
  <c r="A154" i="25"/>
  <c r="B154" i="25" s="1"/>
  <c r="E148" i="39" l="1"/>
  <c r="D149" i="39" s="1"/>
  <c r="F148" i="39"/>
  <c r="C152" i="39"/>
  <c r="A153" i="39"/>
  <c r="B153" i="39" s="1"/>
  <c r="B155" i="30"/>
  <c r="A156" i="30"/>
  <c r="D153" i="30"/>
  <c r="C154" i="30" s="1"/>
  <c r="E153" i="30"/>
  <c r="D148" i="25"/>
  <c r="C149" i="25" s="1"/>
  <c r="E148" i="25"/>
  <c r="A155" i="25"/>
  <c r="B155" i="25" s="1"/>
  <c r="E149" i="39" l="1"/>
  <c r="D150" i="39" s="1"/>
  <c r="F149" i="39"/>
  <c r="C153" i="39"/>
  <c r="A154" i="39"/>
  <c r="B154" i="39" s="1"/>
  <c r="B156" i="30"/>
  <c r="A157" i="30"/>
  <c r="D154" i="30"/>
  <c r="C155" i="30" s="1"/>
  <c r="E154" i="30"/>
  <c r="D149" i="25"/>
  <c r="C150" i="25" s="1"/>
  <c r="E149" i="25"/>
  <c r="A156" i="25"/>
  <c r="B156" i="25" s="1"/>
  <c r="F150" i="39" l="1"/>
  <c r="E150" i="39"/>
  <c r="D151" i="39" s="1"/>
  <c r="C154" i="39"/>
  <c r="A155" i="39"/>
  <c r="B155" i="39" s="1"/>
  <c r="B157" i="30"/>
  <c r="A158" i="30"/>
  <c r="D155" i="30"/>
  <c r="C156" i="30" s="1"/>
  <c r="E155" i="30"/>
  <c r="D150" i="25"/>
  <c r="C151" i="25" s="1"/>
  <c r="E150" i="25"/>
  <c r="A157" i="25"/>
  <c r="B157" i="25" s="1"/>
  <c r="E151" i="39" l="1"/>
  <c r="D152" i="39" s="1"/>
  <c r="F151" i="39"/>
  <c r="C155" i="39"/>
  <c r="A156" i="39"/>
  <c r="B156" i="39" s="1"/>
  <c r="B158" i="30"/>
  <c r="A159" i="30"/>
  <c r="D156" i="30"/>
  <c r="C157" i="30" s="1"/>
  <c r="E156" i="30"/>
  <c r="D151" i="25"/>
  <c r="C152" i="25" s="1"/>
  <c r="E151" i="25"/>
  <c r="A158" i="25"/>
  <c r="B158" i="25" s="1"/>
  <c r="E152" i="39" l="1"/>
  <c r="D153" i="39" s="1"/>
  <c r="F152" i="39"/>
  <c r="C156" i="39"/>
  <c r="A157" i="39"/>
  <c r="B157" i="39" s="1"/>
  <c r="B159" i="30"/>
  <c r="A160" i="30"/>
  <c r="D157" i="30"/>
  <c r="C158" i="30" s="1"/>
  <c r="E157" i="30"/>
  <c r="D152" i="25"/>
  <c r="C153" i="25" s="1"/>
  <c r="E152" i="25"/>
  <c r="A159" i="25"/>
  <c r="B159" i="25" s="1"/>
  <c r="E153" i="39" l="1"/>
  <c r="D154" i="39" s="1"/>
  <c r="F153" i="39"/>
  <c r="C157" i="39"/>
  <c r="A158" i="39"/>
  <c r="B158" i="39" s="1"/>
  <c r="B160" i="30"/>
  <c r="A161" i="30"/>
  <c r="D158" i="30"/>
  <c r="C159" i="30" s="1"/>
  <c r="E158" i="30"/>
  <c r="D153" i="25"/>
  <c r="C154" i="25" s="1"/>
  <c r="E153" i="25"/>
  <c r="A160" i="25"/>
  <c r="B160" i="25" s="1"/>
  <c r="E154" i="39" l="1"/>
  <c r="D155" i="39" s="1"/>
  <c r="F154" i="39"/>
  <c r="C158" i="39"/>
  <c r="A159" i="39"/>
  <c r="B159" i="39" s="1"/>
  <c r="B161" i="30"/>
  <c r="A162" i="30"/>
  <c r="D159" i="30"/>
  <c r="C160" i="30" s="1"/>
  <c r="E159" i="30"/>
  <c r="D154" i="25"/>
  <c r="C155" i="25" s="1"/>
  <c r="E154" i="25"/>
  <c r="A161" i="25"/>
  <c r="B161" i="25" s="1"/>
  <c r="E155" i="39" l="1"/>
  <c r="D156" i="39" s="1"/>
  <c r="F155" i="39"/>
  <c r="C159" i="39"/>
  <c r="A160" i="39"/>
  <c r="B160" i="39" s="1"/>
  <c r="B162" i="30"/>
  <c r="A163" i="30"/>
  <c r="D160" i="30"/>
  <c r="C161" i="30" s="1"/>
  <c r="E160" i="30"/>
  <c r="D155" i="25"/>
  <c r="C156" i="25" s="1"/>
  <c r="E155" i="25"/>
  <c r="A162" i="25"/>
  <c r="B162" i="25" s="1"/>
  <c r="F156" i="39" l="1"/>
  <c r="E156" i="39"/>
  <c r="D157" i="39" s="1"/>
  <c r="C160" i="39"/>
  <c r="A161" i="39"/>
  <c r="B161" i="39" s="1"/>
  <c r="B163" i="30"/>
  <c r="A164" i="30"/>
  <c r="D161" i="30"/>
  <c r="C162" i="30" s="1"/>
  <c r="E161" i="30"/>
  <c r="D156" i="25"/>
  <c r="C157" i="25" s="1"/>
  <c r="E156" i="25"/>
  <c r="A163" i="25"/>
  <c r="B163" i="25" s="1"/>
  <c r="E157" i="39" l="1"/>
  <c r="D158" i="39" s="1"/>
  <c r="F157" i="39"/>
  <c r="C161" i="39"/>
  <c r="A162" i="39"/>
  <c r="B162" i="39" s="1"/>
  <c r="B164" i="30"/>
  <c r="A165" i="30"/>
  <c r="D162" i="30"/>
  <c r="C163" i="30" s="1"/>
  <c r="E162" i="30"/>
  <c r="D157" i="25"/>
  <c r="C158" i="25" s="1"/>
  <c r="E157" i="25"/>
  <c r="A164" i="25"/>
  <c r="B164" i="25" s="1"/>
  <c r="F158" i="39" l="1"/>
  <c r="E158" i="39"/>
  <c r="D159" i="39" s="1"/>
  <c r="C162" i="39"/>
  <c r="A163" i="39"/>
  <c r="B163" i="39" s="1"/>
  <c r="B165" i="30"/>
  <c r="A166" i="30"/>
  <c r="D163" i="30"/>
  <c r="C164" i="30" s="1"/>
  <c r="E163" i="30"/>
  <c r="D158" i="25"/>
  <c r="C159" i="25" s="1"/>
  <c r="E158" i="25"/>
  <c r="A165" i="25"/>
  <c r="B165" i="25" s="1"/>
  <c r="E159" i="39" l="1"/>
  <c r="D160" i="39" s="1"/>
  <c r="F159" i="39"/>
  <c r="C163" i="39"/>
  <c r="A164" i="39"/>
  <c r="B164" i="39" s="1"/>
  <c r="B166" i="30"/>
  <c r="A167" i="30"/>
  <c r="D164" i="30"/>
  <c r="C165" i="30" s="1"/>
  <c r="E164" i="30"/>
  <c r="D159" i="25"/>
  <c r="C160" i="25" s="1"/>
  <c r="E159" i="25"/>
  <c r="A166" i="25"/>
  <c r="B166" i="25" s="1"/>
  <c r="F160" i="39" l="1"/>
  <c r="E160" i="39"/>
  <c r="D161" i="39" s="1"/>
  <c r="C164" i="39"/>
  <c r="A165" i="39"/>
  <c r="B165" i="39" s="1"/>
  <c r="B167" i="30"/>
  <c r="A168" i="30"/>
  <c r="D165" i="30"/>
  <c r="C166" i="30" s="1"/>
  <c r="E165" i="30"/>
  <c r="D160" i="25"/>
  <c r="C161" i="25" s="1"/>
  <c r="E160" i="25"/>
  <c r="A167" i="25"/>
  <c r="B167" i="25" s="1"/>
  <c r="E161" i="39" l="1"/>
  <c r="D162" i="39" s="1"/>
  <c r="F161" i="39"/>
  <c r="C165" i="39"/>
  <c r="A166" i="39"/>
  <c r="B166" i="39" s="1"/>
  <c r="B168" i="30"/>
  <c r="A169" i="30"/>
  <c r="D166" i="30"/>
  <c r="C167" i="30" s="1"/>
  <c r="E166" i="30"/>
  <c r="D161" i="25"/>
  <c r="C162" i="25" s="1"/>
  <c r="E161" i="25"/>
  <c r="A168" i="25"/>
  <c r="B168" i="25" s="1"/>
  <c r="E162" i="39" l="1"/>
  <c r="D163" i="39" s="1"/>
  <c r="F162" i="39"/>
  <c r="C166" i="39"/>
  <c r="A167" i="39"/>
  <c r="B167" i="39" s="1"/>
  <c r="B169" i="30"/>
  <c r="A170" i="30"/>
  <c r="D167" i="30"/>
  <c r="C168" i="30" s="1"/>
  <c r="E167" i="30"/>
  <c r="D162" i="25"/>
  <c r="C163" i="25" s="1"/>
  <c r="E162" i="25"/>
  <c r="A169" i="25"/>
  <c r="B169" i="25" s="1"/>
  <c r="E163" i="39" l="1"/>
  <c r="D164" i="39" s="1"/>
  <c r="F163" i="39"/>
  <c r="C167" i="39"/>
  <c r="A168" i="39"/>
  <c r="B168" i="39" s="1"/>
  <c r="B170" i="30"/>
  <c r="A171" i="30"/>
  <c r="D168" i="30"/>
  <c r="C169" i="30" s="1"/>
  <c r="E168" i="30"/>
  <c r="D163" i="25"/>
  <c r="C164" i="25" s="1"/>
  <c r="E163" i="25"/>
  <c r="A170" i="25"/>
  <c r="B170" i="25" s="1"/>
  <c r="F164" i="39" l="1"/>
  <c r="E164" i="39"/>
  <c r="D165" i="39" s="1"/>
  <c r="C168" i="39"/>
  <c r="A169" i="39"/>
  <c r="B169" i="39" s="1"/>
  <c r="B171" i="30"/>
  <c r="A172" i="30"/>
  <c r="D169" i="30"/>
  <c r="C170" i="30" s="1"/>
  <c r="E169" i="30"/>
  <c r="D164" i="25"/>
  <c r="C165" i="25" s="1"/>
  <c r="E164" i="25"/>
  <c r="A171" i="25"/>
  <c r="B171" i="25" s="1"/>
  <c r="E165" i="39" l="1"/>
  <c r="D166" i="39" s="1"/>
  <c r="F165" i="39"/>
  <c r="C169" i="39"/>
  <c r="A170" i="39"/>
  <c r="B170" i="39" s="1"/>
  <c r="B172" i="30"/>
  <c r="A173" i="30"/>
  <c r="D170" i="30"/>
  <c r="C171" i="30" s="1"/>
  <c r="E170" i="30"/>
  <c r="D165" i="25"/>
  <c r="C166" i="25" s="1"/>
  <c r="E165" i="25"/>
  <c r="A172" i="25"/>
  <c r="B172" i="25" s="1"/>
  <c r="F166" i="39" l="1"/>
  <c r="E166" i="39"/>
  <c r="D167" i="39" s="1"/>
  <c r="C170" i="39"/>
  <c r="A171" i="39"/>
  <c r="B171" i="39" s="1"/>
  <c r="B173" i="30"/>
  <c r="A174" i="30"/>
  <c r="D171" i="30"/>
  <c r="C172" i="30" s="1"/>
  <c r="E171" i="30"/>
  <c r="D166" i="25"/>
  <c r="C167" i="25" s="1"/>
  <c r="E166" i="25"/>
  <c r="A173" i="25"/>
  <c r="B173" i="25" s="1"/>
  <c r="E167" i="39" l="1"/>
  <c r="D168" i="39" s="1"/>
  <c r="F167" i="39"/>
  <c r="C171" i="39"/>
  <c r="A172" i="39"/>
  <c r="B172" i="39" s="1"/>
  <c r="B174" i="30"/>
  <c r="A175" i="30"/>
  <c r="D172" i="30"/>
  <c r="C173" i="30" s="1"/>
  <c r="E172" i="30"/>
  <c r="D167" i="25"/>
  <c r="C168" i="25" s="1"/>
  <c r="E167" i="25"/>
  <c r="A174" i="25"/>
  <c r="B174" i="25" s="1"/>
  <c r="F168" i="39" l="1"/>
  <c r="E168" i="39"/>
  <c r="D169" i="39" s="1"/>
  <c r="C172" i="39"/>
  <c r="A173" i="39"/>
  <c r="B173" i="39" s="1"/>
  <c r="B175" i="30"/>
  <c r="A176" i="30"/>
  <c r="D173" i="30"/>
  <c r="C174" i="30" s="1"/>
  <c r="E173" i="30"/>
  <c r="D168" i="25"/>
  <c r="C169" i="25" s="1"/>
  <c r="E168" i="25"/>
  <c r="A175" i="25"/>
  <c r="B175" i="25" s="1"/>
  <c r="E169" i="39" l="1"/>
  <c r="D170" i="39" s="1"/>
  <c r="F169" i="39"/>
  <c r="C173" i="39"/>
  <c r="A174" i="39"/>
  <c r="B174" i="39" s="1"/>
  <c r="B176" i="30"/>
  <c r="A177" i="30"/>
  <c r="D174" i="30"/>
  <c r="C175" i="30" s="1"/>
  <c r="E174" i="30"/>
  <c r="D169" i="25"/>
  <c r="C170" i="25" s="1"/>
  <c r="E169" i="25"/>
  <c r="A176" i="25"/>
  <c r="B176" i="25" s="1"/>
  <c r="E170" i="39" l="1"/>
  <c r="D171" i="39" s="1"/>
  <c r="F170" i="39"/>
  <c r="C174" i="39"/>
  <c r="A175" i="39"/>
  <c r="B175" i="39" s="1"/>
  <c r="B177" i="30"/>
  <c r="A178" i="30"/>
  <c r="D175" i="30"/>
  <c r="C176" i="30" s="1"/>
  <c r="E175" i="30"/>
  <c r="D170" i="25"/>
  <c r="C171" i="25" s="1"/>
  <c r="E170" i="25"/>
  <c r="A177" i="25"/>
  <c r="B177" i="25" s="1"/>
  <c r="F171" i="39" l="1"/>
  <c r="E171" i="39"/>
  <c r="D172" i="39" s="1"/>
  <c r="C175" i="39"/>
  <c r="A176" i="39"/>
  <c r="B176" i="39" s="1"/>
  <c r="B178" i="30"/>
  <c r="A179" i="30"/>
  <c r="D176" i="30"/>
  <c r="C177" i="30" s="1"/>
  <c r="E176" i="30"/>
  <c r="D171" i="25"/>
  <c r="C172" i="25" s="1"/>
  <c r="E171" i="25"/>
  <c r="A178" i="25"/>
  <c r="B178" i="25" s="1"/>
  <c r="F172" i="39" l="1"/>
  <c r="E172" i="39"/>
  <c r="D173" i="39" s="1"/>
  <c r="C176" i="39"/>
  <c r="A177" i="39"/>
  <c r="B177" i="39" s="1"/>
  <c r="B179" i="30"/>
  <c r="A180" i="30"/>
  <c r="D177" i="30"/>
  <c r="C178" i="30" s="1"/>
  <c r="E177" i="30"/>
  <c r="D172" i="25"/>
  <c r="C173" i="25" s="1"/>
  <c r="E172" i="25"/>
  <c r="A179" i="25"/>
  <c r="B179" i="25" s="1"/>
  <c r="F173" i="39" l="1"/>
  <c r="E173" i="39"/>
  <c r="D174" i="39" s="1"/>
  <c r="C177" i="39"/>
  <c r="A178" i="39"/>
  <c r="B178" i="39" s="1"/>
  <c r="B180" i="30"/>
  <c r="A181" i="30"/>
  <c r="D178" i="30"/>
  <c r="C179" i="30" s="1"/>
  <c r="E178" i="30"/>
  <c r="D173" i="25"/>
  <c r="C174" i="25" s="1"/>
  <c r="E173" i="25"/>
  <c r="A180" i="25"/>
  <c r="B180" i="25" s="1"/>
  <c r="E174" i="39" l="1"/>
  <c r="D175" i="39" s="1"/>
  <c r="F174" i="39"/>
  <c r="C178" i="39"/>
  <c r="A179" i="39"/>
  <c r="B179" i="39" s="1"/>
  <c r="B181" i="30"/>
  <c r="A182" i="30"/>
  <c r="D179" i="30"/>
  <c r="C180" i="30" s="1"/>
  <c r="E179" i="30"/>
  <c r="D174" i="25"/>
  <c r="C175" i="25" s="1"/>
  <c r="E174" i="25"/>
  <c r="A181" i="25"/>
  <c r="B181" i="25" s="1"/>
  <c r="F175" i="39" l="1"/>
  <c r="E175" i="39"/>
  <c r="D176" i="39" s="1"/>
  <c r="C179" i="39"/>
  <c r="A180" i="39"/>
  <c r="B180" i="39" s="1"/>
  <c r="B182" i="30"/>
  <c r="A183" i="30"/>
  <c r="D180" i="30"/>
  <c r="C181" i="30" s="1"/>
  <c r="E180" i="30"/>
  <c r="D175" i="25"/>
  <c r="C176" i="25" s="1"/>
  <c r="E175" i="25"/>
  <c r="A182" i="25"/>
  <c r="B182" i="25" s="1"/>
  <c r="F176" i="39" l="1"/>
  <c r="E176" i="39"/>
  <c r="D177" i="39" s="1"/>
  <c r="C180" i="39"/>
  <c r="A181" i="39"/>
  <c r="B181" i="39" s="1"/>
  <c r="B183" i="30"/>
  <c r="A184" i="30"/>
  <c r="D181" i="30"/>
  <c r="C182" i="30" s="1"/>
  <c r="E181" i="30"/>
  <c r="D176" i="25"/>
  <c r="C177" i="25" s="1"/>
  <c r="E176" i="25"/>
  <c r="A183" i="25"/>
  <c r="B183" i="25" s="1"/>
  <c r="F177" i="39" l="1"/>
  <c r="E177" i="39"/>
  <c r="D178" i="39" s="1"/>
  <c r="C181" i="39"/>
  <c r="A182" i="39"/>
  <c r="B182" i="39" s="1"/>
  <c r="B184" i="30"/>
  <c r="A185" i="30"/>
  <c r="D182" i="30"/>
  <c r="C183" i="30" s="1"/>
  <c r="E182" i="30"/>
  <c r="D177" i="25"/>
  <c r="C178" i="25" s="1"/>
  <c r="E177" i="25"/>
  <c r="A184" i="25"/>
  <c r="B184" i="25" s="1"/>
  <c r="E178" i="39" l="1"/>
  <c r="D179" i="39" s="1"/>
  <c r="F178" i="39"/>
  <c r="C182" i="39"/>
  <c r="A183" i="39"/>
  <c r="B183" i="39" s="1"/>
  <c r="B185" i="30"/>
  <c r="A186" i="30"/>
  <c r="D183" i="30"/>
  <c r="C184" i="30" s="1"/>
  <c r="E183" i="30"/>
  <c r="E178" i="25"/>
  <c r="D178" i="25"/>
  <c r="C179" i="25" s="1"/>
  <c r="A185" i="25"/>
  <c r="B185" i="25" s="1"/>
  <c r="E179" i="39" l="1"/>
  <c r="D180" i="39" s="1"/>
  <c r="F179" i="39"/>
  <c r="C183" i="39"/>
  <c r="A184" i="39"/>
  <c r="B184" i="39" s="1"/>
  <c r="B186" i="30"/>
  <c r="A187" i="30"/>
  <c r="D184" i="30"/>
  <c r="C185" i="30" s="1"/>
  <c r="E184" i="30"/>
  <c r="D179" i="25"/>
  <c r="C180" i="25" s="1"/>
  <c r="E179" i="25"/>
  <c r="A186" i="25"/>
  <c r="B186" i="25" s="1"/>
  <c r="E180" i="39" l="1"/>
  <c r="D181" i="39" s="1"/>
  <c r="F180" i="39"/>
  <c r="C184" i="39"/>
  <c r="A185" i="39"/>
  <c r="B185" i="39" s="1"/>
  <c r="B187" i="30"/>
  <c r="A188" i="30"/>
  <c r="D185" i="30"/>
  <c r="C186" i="30" s="1"/>
  <c r="E185" i="30"/>
  <c r="D180" i="25"/>
  <c r="C181" i="25" s="1"/>
  <c r="E180" i="25"/>
  <c r="A187" i="25"/>
  <c r="B187" i="25" s="1"/>
  <c r="E181" i="39" l="1"/>
  <c r="D182" i="39" s="1"/>
  <c r="F181" i="39"/>
  <c r="C185" i="39"/>
  <c r="A186" i="39"/>
  <c r="B186" i="39" s="1"/>
  <c r="B188" i="30"/>
  <c r="A189" i="30"/>
  <c r="D186" i="30"/>
  <c r="C187" i="30" s="1"/>
  <c r="E186" i="30"/>
  <c r="D181" i="25"/>
  <c r="C182" i="25" s="1"/>
  <c r="E181" i="25"/>
  <c r="A188" i="25"/>
  <c r="B188" i="25" s="1"/>
  <c r="F182" i="39" l="1"/>
  <c r="E182" i="39"/>
  <c r="D183" i="39" s="1"/>
  <c r="C186" i="39"/>
  <c r="A187" i="39"/>
  <c r="B187" i="39" s="1"/>
  <c r="B189" i="30"/>
  <c r="A190" i="30"/>
  <c r="D187" i="30"/>
  <c r="C188" i="30" s="1"/>
  <c r="E187" i="30"/>
  <c r="D182" i="25"/>
  <c r="C183" i="25" s="1"/>
  <c r="E182" i="25"/>
  <c r="A189" i="25"/>
  <c r="B189" i="25" s="1"/>
  <c r="E183" i="39" l="1"/>
  <c r="D184" i="39" s="1"/>
  <c r="F183" i="39"/>
  <c r="C187" i="39"/>
  <c r="A188" i="39"/>
  <c r="B188" i="39" s="1"/>
  <c r="B190" i="30"/>
  <c r="A191" i="30"/>
  <c r="D188" i="30"/>
  <c r="C189" i="30" s="1"/>
  <c r="E188" i="30"/>
  <c r="D183" i="25"/>
  <c r="C184" i="25" s="1"/>
  <c r="E183" i="25"/>
  <c r="A190" i="25"/>
  <c r="B190" i="25" s="1"/>
  <c r="F184" i="39" l="1"/>
  <c r="E184" i="39"/>
  <c r="D185" i="39" s="1"/>
  <c r="C188" i="39"/>
  <c r="A189" i="39"/>
  <c r="B189" i="39" s="1"/>
  <c r="B191" i="30"/>
  <c r="A192" i="30"/>
  <c r="D189" i="30"/>
  <c r="C190" i="30" s="1"/>
  <c r="E189" i="30"/>
  <c r="E184" i="25"/>
  <c r="D184" i="25"/>
  <c r="C185" i="25" s="1"/>
  <c r="A191" i="25"/>
  <c r="B191" i="25" s="1"/>
  <c r="F185" i="39" l="1"/>
  <c r="E185" i="39"/>
  <c r="D186" i="39" s="1"/>
  <c r="C189" i="39"/>
  <c r="A190" i="39"/>
  <c r="B190" i="39" s="1"/>
  <c r="B192" i="30"/>
  <c r="A193" i="30"/>
  <c r="D190" i="30"/>
  <c r="C191" i="30" s="1"/>
  <c r="E190" i="30"/>
  <c r="D185" i="25"/>
  <c r="C186" i="25" s="1"/>
  <c r="E185" i="25"/>
  <c r="A192" i="25"/>
  <c r="B192" i="25" s="1"/>
  <c r="E186" i="39" l="1"/>
  <c r="D187" i="39" s="1"/>
  <c r="F186" i="39"/>
  <c r="C190" i="39"/>
  <c r="A191" i="39"/>
  <c r="B191" i="39" s="1"/>
  <c r="B193" i="30"/>
  <c r="A194" i="30"/>
  <c r="D191" i="30"/>
  <c r="C192" i="30" s="1"/>
  <c r="E191" i="30"/>
  <c r="D186" i="25"/>
  <c r="C187" i="25" s="1"/>
  <c r="E186" i="25"/>
  <c r="A193" i="25"/>
  <c r="B193" i="25" s="1"/>
  <c r="E187" i="39" l="1"/>
  <c r="D188" i="39" s="1"/>
  <c r="F187" i="39"/>
  <c r="C191" i="39"/>
  <c r="A192" i="39"/>
  <c r="B192" i="39" s="1"/>
  <c r="B194" i="30"/>
  <c r="A195" i="30"/>
  <c r="D192" i="30"/>
  <c r="C193" i="30" s="1"/>
  <c r="E192" i="30"/>
  <c r="D187" i="25"/>
  <c r="C188" i="25" s="1"/>
  <c r="E187" i="25"/>
  <c r="A194" i="25"/>
  <c r="B194" i="25" s="1"/>
  <c r="F188" i="39" l="1"/>
  <c r="E188" i="39"/>
  <c r="D189" i="39" s="1"/>
  <c r="C192" i="39"/>
  <c r="A193" i="39"/>
  <c r="B193" i="39" s="1"/>
  <c r="B195" i="30"/>
  <c r="A196" i="30"/>
  <c r="D193" i="30"/>
  <c r="C194" i="30" s="1"/>
  <c r="E193" i="30"/>
  <c r="D188" i="25"/>
  <c r="C189" i="25" s="1"/>
  <c r="E188" i="25"/>
  <c r="A195" i="25"/>
  <c r="B195" i="25" s="1"/>
  <c r="F189" i="39" l="1"/>
  <c r="E189" i="39"/>
  <c r="D190" i="39" s="1"/>
  <c r="C193" i="39"/>
  <c r="A194" i="39"/>
  <c r="B194" i="39" s="1"/>
  <c r="B196" i="30"/>
  <c r="A197" i="30"/>
  <c r="D194" i="30"/>
  <c r="C195" i="30" s="1"/>
  <c r="E194" i="30"/>
  <c r="D189" i="25"/>
  <c r="C190" i="25" s="1"/>
  <c r="E189" i="25"/>
  <c r="A196" i="25"/>
  <c r="B196" i="25" s="1"/>
  <c r="F190" i="39" l="1"/>
  <c r="E190" i="39"/>
  <c r="D191" i="39" s="1"/>
  <c r="C194" i="39"/>
  <c r="A195" i="39"/>
  <c r="B195" i="39" s="1"/>
  <c r="B197" i="30"/>
  <c r="A198" i="30"/>
  <c r="D195" i="30"/>
  <c r="C196" i="30" s="1"/>
  <c r="E195" i="30"/>
  <c r="D190" i="25"/>
  <c r="C191" i="25" s="1"/>
  <c r="E190" i="25"/>
  <c r="A197" i="25"/>
  <c r="B197" i="25" s="1"/>
  <c r="E191" i="39" l="1"/>
  <c r="D192" i="39" s="1"/>
  <c r="F191" i="39"/>
  <c r="C195" i="39"/>
  <c r="A196" i="39"/>
  <c r="B196" i="39" s="1"/>
  <c r="B198" i="30"/>
  <c r="A199" i="30"/>
  <c r="D196" i="30"/>
  <c r="C197" i="30" s="1"/>
  <c r="E196" i="30"/>
  <c r="D191" i="25"/>
  <c r="C192" i="25" s="1"/>
  <c r="E191" i="25"/>
  <c r="A198" i="25"/>
  <c r="B198" i="25" s="1"/>
  <c r="F192" i="39" l="1"/>
  <c r="E192" i="39"/>
  <c r="D193" i="39" s="1"/>
  <c r="C196" i="39"/>
  <c r="A197" i="39"/>
  <c r="B197" i="39" s="1"/>
  <c r="B199" i="30"/>
  <c r="A200" i="30"/>
  <c r="D197" i="30"/>
  <c r="C198" i="30" s="1"/>
  <c r="E197" i="30"/>
  <c r="D192" i="25"/>
  <c r="C193" i="25" s="1"/>
  <c r="E192" i="25"/>
  <c r="A199" i="25"/>
  <c r="B199" i="25" s="1"/>
  <c r="E193" i="39" l="1"/>
  <c r="D194" i="39" s="1"/>
  <c r="F193" i="39"/>
  <c r="C197" i="39"/>
  <c r="A198" i="39"/>
  <c r="B198" i="39" s="1"/>
  <c r="B200" i="30"/>
  <c r="A201" i="30"/>
  <c r="D198" i="30"/>
  <c r="C199" i="30" s="1"/>
  <c r="E198" i="30"/>
  <c r="D193" i="25"/>
  <c r="C194" i="25" s="1"/>
  <c r="E193" i="25"/>
  <c r="A200" i="25"/>
  <c r="B200" i="25" s="1"/>
  <c r="E194" i="39" l="1"/>
  <c r="D195" i="39" s="1"/>
  <c r="F194" i="39"/>
  <c r="C198" i="39"/>
  <c r="A199" i="39"/>
  <c r="B199" i="39" s="1"/>
  <c r="B201" i="30"/>
  <c r="A202" i="30"/>
  <c r="D199" i="30"/>
  <c r="C200" i="30" s="1"/>
  <c r="E199" i="30"/>
  <c r="D194" i="25"/>
  <c r="C195" i="25" s="1"/>
  <c r="E194" i="25"/>
  <c r="A201" i="25"/>
  <c r="B201" i="25" s="1"/>
  <c r="F195" i="39" l="1"/>
  <c r="E195" i="39"/>
  <c r="D196" i="39" s="1"/>
  <c r="C199" i="39"/>
  <c r="A200" i="39"/>
  <c r="B200" i="39" s="1"/>
  <c r="B202" i="30"/>
  <c r="A203" i="30"/>
  <c r="D200" i="30"/>
  <c r="C201" i="30" s="1"/>
  <c r="E200" i="30"/>
  <c r="D195" i="25"/>
  <c r="C196" i="25" s="1"/>
  <c r="E195" i="25"/>
  <c r="A202" i="25"/>
  <c r="B202" i="25" s="1"/>
  <c r="E196" i="39" l="1"/>
  <c r="D197" i="39" s="1"/>
  <c r="F196" i="39"/>
  <c r="C200" i="39"/>
  <c r="A201" i="39"/>
  <c r="B201" i="39" s="1"/>
  <c r="B203" i="30"/>
  <c r="A204" i="30"/>
  <c r="D201" i="30"/>
  <c r="C202" i="30" s="1"/>
  <c r="E201" i="30"/>
  <c r="D196" i="25"/>
  <c r="C197" i="25" s="1"/>
  <c r="E196" i="25"/>
  <c r="A203" i="25"/>
  <c r="B203" i="25" s="1"/>
  <c r="E197" i="39" l="1"/>
  <c r="D198" i="39" s="1"/>
  <c r="F197" i="39"/>
  <c r="C201" i="39"/>
  <c r="A202" i="39"/>
  <c r="B202" i="39" s="1"/>
  <c r="B204" i="30"/>
  <c r="A205" i="30"/>
  <c r="D202" i="30"/>
  <c r="C203" i="30" s="1"/>
  <c r="E202" i="30"/>
  <c r="D197" i="25"/>
  <c r="C198" i="25" s="1"/>
  <c r="E197" i="25"/>
  <c r="A204" i="25"/>
  <c r="B204" i="25" s="1"/>
  <c r="E198" i="39" l="1"/>
  <c r="D199" i="39" s="1"/>
  <c r="F198" i="39"/>
  <c r="C202" i="39"/>
  <c r="A203" i="39"/>
  <c r="B203" i="39" s="1"/>
  <c r="B205" i="30"/>
  <c r="A206" i="30"/>
  <c r="D203" i="30"/>
  <c r="C204" i="30" s="1"/>
  <c r="E203" i="30"/>
  <c r="D198" i="25"/>
  <c r="C199" i="25" s="1"/>
  <c r="E198" i="25"/>
  <c r="A205" i="25"/>
  <c r="B205" i="25" s="1"/>
  <c r="F199" i="39" l="1"/>
  <c r="E199" i="39"/>
  <c r="D200" i="39" s="1"/>
  <c r="C203" i="39"/>
  <c r="A204" i="39"/>
  <c r="B204" i="39" s="1"/>
  <c r="B206" i="30"/>
  <c r="A207" i="30"/>
  <c r="D204" i="30"/>
  <c r="C205" i="30" s="1"/>
  <c r="E204" i="30"/>
  <c r="D199" i="25"/>
  <c r="C200" i="25" s="1"/>
  <c r="E199" i="25"/>
  <c r="A206" i="25"/>
  <c r="B206" i="25" s="1"/>
  <c r="E200" i="39" l="1"/>
  <c r="D201" i="39" s="1"/>
  <c r="F200" i="39"/>
  <c r="C204" i="39"/>
  <c r="A205" i="39"/>
  <c r="B205" i="39" s="1"/>
  <c r="B207" i="30"/>
  <c r="A208" i="30"/>
  <c r="D205" i="30"/>
  <c r="C206" i="30" s="1"/>
  <c r="E205" i="30"/>
  <c r="D200" i="25"/>
  <c r="C201" i="25" s="1"/>
  <c r="E200" i="25"/>
  <c r="A207" i="25"/>
  <c r="B207" i="25" s="1"/>
  <c r="E201" i="39" l="1"/>
  <c r="D202" i="39" s="1"/>
  <c r="F201" i="39"/>
  <c r="C205" i="39"/>
  <c r="A206" i="39"/>
  <c r="B206" i="39" s="1"/>
  <c r="B208" i="30"/>
  <c r="A209" i="30"/>
  <c r="D206" i="30"/>
  <c r="C207" i="30" s="1"/>
  <c r="E206" i="30"/>
  <c r="D201" i="25"/>
  <c r="C202" i="25" s="1"/>
  <c r="E201" i="25"/>
  <c r="A208" i="25"/>
  <c r="B208" i="25" s="1"/>
  <c r="F202" i="39" l="1"/>
  <c r="E202" i="39"/>
  <c r="D203" i="39" s="1"/>
  <c r="C206" i="39"/>
  <c r="A207" i="39"/>
  <c r="B207" i="39" s="1"/>
  <c r="B209" i="30"/>
  <c r="A210" i="30"/>
  <c r="D207" i="30"/>
  <c r="C208" i="30" s="1"/>
  <c r="E207" i="30"/>
  <c r="D202" i="25"/>
  <c r="C203" i="25" s="1"/>
  <c r="E202" i="25"/>
  <c r="A209" i="25"/>
  <c r="B209" i="25" s="1"/>
  <c r="F203" i="39" l="1"/>
  <c r="E203" i="39"/>
  <c r="D204" i="39" s="1"/>
  <c r="C207" i="39"/>
  <c r="A208" i="39"/>
  <c r="B208" i="39" s="1"/>
  <c r="B210" i="30"/>
  <c r="A211" i="30"/>
  <c r="D208" i="30"/>
  <c r="C209" i="30" s="1"/>
  <c r="E208" i="30"/>
  <c r="D203" i="25"/>
  <c r="C204" i="25" s="1"/>
  <c r="E203" i="25"/>
  <c r="A210" i="25"/>
  <c r="B210" i="25" s="1"/>
  <c r="E204" i="39" l="1"/>
  <c r="D205" i="39" s="1"/>
  <c r="F204" i="39"/>
  <c r="C208" i="39"/>
  <c r="A209" i="39"/>
  <c r="B209" i="39" s="1"/>
  <c r="B211" i="30"/>
  <c r="A212" i="30"/>
  <c r="D209" i="30"/>
  <c r="C210" i="30" s="1"/>
  <c r="E209" i="30"/>
  <c r="D204" i="25"/>
  <c r="C205" i="25" s="1"/>
  <c r="E204" i="25"/>
  <c r="A211" i="25"/>
  <c r="B211" i="25" s="1"/>
  <c r="E205" i="39" l="1"/>
  <c r="D206" i="39" s="1"/>
  <c r="F205" i="39"/>
  <c r="C209" i="39"/>
  <c r="A210" i="39"/>
  <c r="B210" i="39" s="1"/>
  <c r="B212" i="30"/>
  <c r="A213" i="30"/>
  <c r="D210" i="30"/>
  <c r="C211" i="30" s="1"/>
  <c r="E210" i="30"/>
  <c r="E205" i="25"/>
  <c r="D205" i="25"/>
  <c r="C206" i="25" s="1"/>
  <c r="A212" i="25"/>
  <c r="B212" i="25" s="1"/>
  <c r="E206" i="39" l="1"/>
  <c r="D207" i="39" s="1"/>
  <c r="F206" i="39"/>
  <c r="C210" i="39"/>
  <c r="A211" i="39"/>
  <c r="B211" i="39" s="1"/>
  <c r="B213" i="30"/>
  <c r="A214" i="30"/>
  <c r="D211" i="30"/>
  <c r="C212" i="30" s="1"/>
  <c r="E211" i="30"/>
  <c r="D206" i="25"/>
  <c r="C207" i="25" s="1"/>
  <c r="E206" i="25"/>
  <c r="A213" i="25"/>
  <c r="B213" i="25" s="1"/>
  <c r="F207" i="39" l="1"/>
  <c r="E207" i="39"/>
  <c r="D208" i="39" s="1"/>
  <c r="C211" i="39"/>
  <c r="A212" i="39"/>
  <c r="B212" i="39" s="1"/>
  <c r="B214" i="30"/>
  <c r="A215" i="30"/>
  <c r="D212" i="30"/>
  <c r="C213" i="30" s="1"/>
  <c r="E212" i="30"/>
  <c r="D207" i="25"/>
  <c r="C208" i="25" s="1"/>
  <c r="E207" i="25"/>
  <c r="A214" i="25"/>
  <c r="B214" i="25" s="1"/>
  <c r="E208" i="39" l="1"/>
  <c r="D209" i="39" s="1"/>
  <c r="F208" i="39"/>
  <c r="C212" i="39"/>
  <c r="A213" i="39"/>
  <c r="B213" i="39" s="1"/>
  <c r="B215" i="30"/>
  <c r="A216" i="30"/>
  <c r="D213" i="30"/>
  <c r="C214" i="30" s="1"/>
  <c r="E213" i="30"/>
  <c r="D208" i="25"/>
  <c r="C209" i="25" s="1"/>
  <c r="E208" i="25"/>
  <c r="A215" i="25"/>
  <c r="B215" i="25" s="1"/>
  <c r="F209" i="39" l="1"/>
  <c r="E209" i="39"/>
  <c r="D210" i="39" s="1"/>
  <c r="C213" i="39"/>
  <c r="A214" i="39"/>
  <c r="B214" i="39" s="1"/>
  <c r="B216" i="30"/>
  <c r="A217" i="30"/>
  <c r="D214" i="30"/>
  <c r="C215" i="30" s="1"/>
  <c r="E214" i="30"/>
  <c r="D209" i="25"/>
  <c r="C210" i="25" s="1"/>
  <c r="E209" i="25"/>
  <c r="A216" i="25"/>
  <c r="B216" i="25" s="1"/>
  <c r="E210" i="39" l="1"/>
  <c r="D211" i="39" s="1"/>
  <c r="F210" i="39"/>
  <c r="C214" i="39"/>
  <c r="A215" i="39"/>
  <c r="B215" i="39" s="1"/>
  <c r="B217" i="30"/>
  <c r="A218" i="30"/>
  <c r="D215" i="30"/>
  <c r="C216" i="30" s="1"/>
  <c r="E215" i="30"/>
  <c r="D210" i="25"/>
  <c r="C211" i="25" s="1"/>
  <c r="E210" i="25"/>
  <c r="A217" i="25"/>
  <c r="B217" i="25" s="1"/>
  <c r="E211" i="39" l="1"/>
  <c r="D212" i="39" s="1"/>
  <c r="F211" i="39"/>
  <c r="C215" i="39"/>
  <c r="A216" i="39"/>
  <c r="B216" i="39" s="1"/>
  <c r="B218" i="30"/>
  <c r="A219" i="30"/>
  <c r="D216" i="30"/>
  <c r="C217" i="30" s="1"/>
  <c r="E216" i="30"/>
  <c r="D211" i="25"/>
  <c r="C212" i="25" s="1"/>
  <c r="E211" i="25"/>
  <c r="A218" i="25"/>
  <c r="B218" i="25" s="1"/>
  <c r="E212" i="39" l="1"/>
  <c r="D213" i="39" s="1"/>
  <c r="F212" i="39"/>
  <c r="C216" i="39"/>
  <c r="A217" i="39"/>
  <c r="B217" i="39" s="1"/>
  <c r="B219" i="30"/>
  <c r="A220" i="30"/>
  <c r="D217" i="30"/>
  <c r="C218" i="30" s="1"/>
  <c r="E217" i="30"/>
  <c r="D212" i="25"/>
  <c r="C213" i="25" s="1"/>
  <c r="E212" i="25"/>
  <c r="A219" i="25"/>
  <c r="B219" i="25" s="1"/>
  <c r="F213" i="39" l="1"/>
  <c r="E213" i="39"/>
  <c r="D214" i="39" s="1"/>
  <c r="C217" i="39"/>
  <c r="A218" i="39"/>
  <c r="B218" i="39" s="1"/>
  <c r="B220" i="30"/>
  <c r="A221" i="30"/>
  <c r="D218" i="30"/>
  <c r="C219" i="30" s="1"/>
  <c r="E218" i="30"/>
  <c r="D213" i="25"/>
  <c r="C214" i="25" s="1"/>
  <c r="E213" i="25"/>
  <c r="A220" i="25"/>
  <c r="B220" i="25" s="1"/>
  <c r="F214" i="39" l="1"/>
  <c r="E214" i="39"/>
  <c r="D215" i="39" s="1"/>
  <c r="C218" i="39"/>
  <c r="A219" i="39"/>
  <c r="B219" i="39" s="1"/>
  <c r="B221" i="30"/>
  <c r="A222" i="30"/>
  <c r="D219" i="30"/>
  <c r="C220" i="30" s="1"/>
  <c r="E219" i="30"/>
  <c r="D214" i="25"/>
  <c r="C215" i="25" s="1"/>
  <c r="E214" i="25"/>
  <c r="A221" i="25"/>
  <c r="B221" i="25" s="1"/>
  <c r="E215" i="39" l="1"/>
  <c r="D216" i="39" s="1"/>
  <c r="F215" i="39"/>
  <c r="C219" i="39"/>
  <c r="A220" i="39"/>
  <c r="B220" i="39" s="1"/>
  <c r="B222" i="30"/>
  <c r="A223" i="30"/>
  <c r="D220" i="30"/>
  <c r="C221" i="30" s="1"/>
  <c r="E220" i="30"/>
  <c r="D215" i="25"/>
  <c r="C216" i="25" s="1"/>
  <c r="E215" i="25"/>
  <c r="A222" i="25"/>
  <c r="B222" i="25" s="1"/>
  <c r="E216" i="39" l="1"/>
  <c r="D217" i="39" s="1"/>
  <c r="F216" i="39"/>
  <c r="C220" i="39"/>
  <c r="A221" i="39"/>
  <c r="B221" i="39" s="1"/>
  <c r="B223" i="30"/>
  <c r="A224" i="30"/>
  <c r="D221" i="30"/>
  <c r="C222" i="30" s="1"/>
  <c r="E221" i="30"/>
  <c r="D216" i="25"/>
  <c r="C217" i="25" s="1"/>
  <c r="E216" i="25"/>
  <c r="A223" i="25"/>
  <c r="B223" i="25" s="1"/>
  <c r="E217" i="39" l="1"/>
  <c r="D218" i="39" s="1"/>
  <c r="F217" i="39"/>
  <c r="C221" i="39"/>
  <c r="A222" i="39"/>
  <c r="B222" i="39" s="1"/>
  <c r="B224" i="30"/>
  <c r="A225" i="30"/>
  <c r="D222" i="30"/>
  <c r="C223" i="30" s="1"/>
  <c r="E222" i="30"/>
  <c r="D217" i="25"/>
  <c r="C218" i="25" s="1"/>
  <c r="E217" i="25"/>
  <c r="A224" i="25"/>
  <c r="B224" i="25" s="1"/>
  <c r="F218" i="39" l="1"/>
  <c r="E218" i="39"/>
  <c r="D219" i="39" s="1"/>
  <c r="C222" i="39"/>
  <c r="A223" i="39"/>
  <c r="B223" i="39" s="1"/>
  <c r="B225" i="30"/>
  <c r="A226" i="30"/>
  <c r="D223" i="30"/>
  <c r="C224" i="30" s="1"/>
  <c r="E223" i="30"/>
  <c r="E218" i="25"/>
  <c r="D218" i="25"/>
  <c r="C219" i="25" s="1"/>
  <c r="A225" i="25"/>
  <c r="B225" i="25" s="1"/>
  <c r="E219" i="39" l="1"/>
  <c r="D220" i="39" s="1"/>
  <c r="F219" i="39"/>
  <c r="C223" i="39"/>
  <c r="A224" i="39"/>
  <c r="B224" i="39" s="1"/>
  <c r="B226" i="30"/>
  <c r="A227" i="30"/>
  <c r="D224" i="30"/>
  <c r="C225" i="30" s="1"/>
  <c r="E224" i="30"/>
  <c r="D219" i="25"/>
  <c r="C220" i="25" s="1"/>
  <c r="E219" i="25"/>
  <c r="A226" i="25"/>
  <c r="B226" i="25" s="1"/>
  <c r="F220" i="39" l="1"/>
  <c r="E220" i="39"/>
  <c r="D221" i="39" s="1"/>
  <c r="C224" i="39"/>
  <c r="A225" i="39"/>
  <c r="B225" i="39" s="1"/>
  <c r="B227" i="30"/>
  <c r="A228" i="30"/>
  <c r="D225" i="30"/>
  <c r="C226" i="30" s="1"/>
  <c r="E225" i="30"/>
  <c r="D220" i="25"/>
  <c r="C221" i="25" s="1"/>
  <c r="E220" i="25"/>
  <c r="A227" i="25"/>
  <c r="B227" i="25" s="1"/>
  <c r="F221" i="39" l="1"/>
  <c r="E221" i="39"/>
  <c r="D222" i="39" s="1"/>
  <c r="C225" i="39"/>
  <c r="A226" i="39"/>
  <c r="B226" i="39" s="1"/>
  <c r="B228" i="30"/>
  <c r="A229" i="30"/>
  <c r="D226" i="30"/>
  <c r="C227" i="30" s="1"/>
  <c r="E226" i="30"/>
  <c r="E221" i="25"/>
  <c r="D221" i="25"/>
  <c r="C222" i="25" s="1"/>
  <c r="A228" i="25"/>
  <c r="B228" i="25" s="1"/>
  <c r="F222" i="39" l="1"/>
  <c r="E222" i="39"/>
  <c r="D223" i="39" s="1"/>
  <c r="C226" i="39"/>
  <c r="A227" i="39"/>
  <c r="B227" i="39" s="1"/>
  <c r="B229" i="30"/>
  <c r="A230" i="30"/>
  <c r="D227" i="30"/>
  <c r="C228" i="30" s="1"/>
  <c r="E227" i="30"/>
  <c r="E222" i="25"/>
  <c r="D222" i="25"/>
  <c r="C223" i="25" s="1"/>
  <c r="A229" i="25"/>
  <c r="B229" i="25" s="1"/>
  <c r="E223" i="39" l="1"/>
  <c r="D224" i="39" s="1"/>
  <c r="F223" i="39"/>
  <c r="C227" i="39"/>
  <c r="A228" i="39"/>
  <c r="B228" i="39" s="1"/>
  <c r="B230" i="30"/>
  <c r="A231" i="30"/>
  <c r="D228" i="30"/>
  <c r="C229" i="30" s="1"/>
  <c r="E228" i="30"/>
  <c r="D223" i="25"/>
  <c r="C224" i="25" s="1"/>
  <c r="E223" i="25"/>
  <c r="A230" i="25"/>
  <c r="B230" i="25" s="1"/>
  <c r="E224" i="39" l="1"/>
  <c r="D225" i="39" s="1"/>
  <c r="F224" i="39"/>
  <c r="C228" i="39"/>
  <c r="A229" i="39"/>
  <c r="B229" i="39" s="1"/>
  <c r="B231" i="30"/>
  <c r="A232" i="30"/>
  <c r="D229" i="30"/>
  <c r="C230" i="30" s="1"/>
  <c r="E229" i="30"/>
  <c r="E224" i="25"/>
  <c r="D224" i="25"/>
  <c r="C225" i="25" s="1"/>
  <c r="A231" i="25"/>
  <c r="B231" i="25" s="1"/>
  <c r="E225" i="39" l="1"/>
  <c r="D226" i="39" s="1"/>
  <c r="F225" i="39"/>
  <c r="C229" i="39"/>
  <c r="A230" i="39"/>
  <c r="B230" i="39" s="1"/>
  <c r="B232" i="30"/>
  <c r="A233" i="30"/>
  <c r="D230" i="30"/>
  <c r="C231" i="30" s="1"/>
  <c r="E230" i="30"/>
  <c r="E225" i="25"/>
  <c r="D225" i="25"/>
  <c r="C226" i="25" s="1"/>
  <c r="A232" i="25"/>
  <c r="B232" i="25" s="1"/>
  <c r="E226" i="39" l="1"/>
  <c r="D227" i="39" s="1"/>
  <c r="F226" i="39"/>
  <c r="C230" i="39"/>
  <c r="A231" i="39"/>
  <c r="B231" i="39" s="1"/>
  <c r="B233" i="30"/>
  <c r="A234" i="30"/>
  <c r="D231" i="30"/>
  <c r="C232" i="30" s="1"/>
  <c r="E231" i="30"/>
  <c r="D226" i="25"/>
  <c r="C227" i="25" s="1"/>
  <c r="E226" i="25"/>
  <c r="A233" i="25"/>
  <c r="B233" i="25" s="1"/>
  <c r="F227" i="39" l="1"/>
  <c r="E227" i="39"/>
  <c r="D228" i="39" s="1"/>
  <c r="C231" i="39"/>
  <c r="A232" i="39"/>
  <c r="B232" i="39" s="1"/>
  <c r="B234" i="30"/>
  <c r="A235" i="30"/>
  <c r="D232" i="30"/>
  <c r="C233" i="30" s="1"/>
  <c r="E232" i="30"/>
  <c r="D227" i="25"/>
  <c r="C228" i="25" s="1"/>
  <c r="E227" i="25"/>
  <c r="A234" i="25"/>
  <c r="B234" i="25" s="1"/>
  <c r="F228" i="39" l="1"/>
  <c r="E228" i="39"/>
  <c r="D229" i="39" s="1"/>
  <c r="C232" i="39"/>
  <c r="A233" i="39"/>
  <c r="B233" i="39" s="1"/>
  <c r="B235" i="30"/>
  <c r="A236" i="30"/>
  <c r="D233" i="30"/>
  <c r="C234" i="30" s="1"/>
  <c r="E233" i="30"/>
  <c r="E228" i="25"/>
  <c r="D228" i="25"/>
  <c r="C229" i="25" s="1"/>
  <c r="A235" i="25"/>
  <c r="B235" i="25" s="1"/>
  <c r="E229" i="39" l="1"/>
  <c r="D230" i="39" s="1"/>
  <c r="F229" i="39"/>
  <c r="C233" i="39"/>
  <c r="A234" i="39"/>
  <c r="B234" i="39" s="1"/>
  <c r="B236" i="30"/>
  <c r="A237" i="30"/>
  <c r="D234" i="30"/>
  <c r="C235" i="30" s="1"/>
  <c r="E234" i="30"/>
  <c r="D229" i="25"/>
  <c r="C230" i="25" s="1"/>
  <c r="E229" i="25"/>
  <c r="A236" i="25"/>
  <c r="B236" i="25" s="1"/>
  <c r="E230" i="39" l="1"/>
  <c r="D231" i="39" s="1"/>
  <c r="F230" i="39"/>
  <c r="C234" i="39"/>
  <c r="A235" i="39"/>
  <c r="B235" i="39" s="1"/>
  <c r="B237" i="30"/>
  <c r="A238" i="30"/>
  <c r="D235" i="30"/>
  <c r="C236" i="30" s="1"/>
  <c r="E235" i="30"/>
  <c r="D230" i="25"/>
  <c r="C231" i="25" s="1"/>
  <c r="E230" i="25"/>
  <c r="A237" i="25"/>
  <c r="B237" i="25" s="1"/>
  <c r="E231" i="39" l="1"/>
  <c r="D232" i="39" s="1"/>
  <c r="F231" i="39"/>
  <c r="C235" i="39"/>
  <c r="A236" i="39"/>
  <c r="B236" i="39" s="1"/>
  <c r="B238" i="30"/>
  <c r="A239" i="30"/>
  <c r="D236" i="30"/>
  <c r="C237" i="30" s="1"/>
  <c r="E236" i="30"/>
  <c r="D231" i="25"/>
  <c r="C232" i="25" s="1"/>
  <c r="E231" i="25"/>
  <c r="A238" i="25"/>
  <c r="B238" i="25" s="1"/>
  <c r="F232" i="39" l="1"/>
  <c r="E232" i="39"/>
  <c r="D233" i="39" s="1"/>
  <c r="C236" i="39"/>
  <c r="A237" i="39"/>
  <c r="B237" i="39" s="1"/>
  <c r="B239" i="30"/>
  <c r="A240" i="30"/>
  <c r="D237" i="30"/>
  <c r="C238" i="30" s="1"/>
  <c r="E237" i="30"/>
  <c r="D232" i="25"/>
  <c r="C233" i="25" s="1"/>
  <c r="E232" i="25"/>
  <c r="A239" i="25"/>
  <c r="B239" i="25" s="1"/>
  <c r="E233" i="39" l="1"/>
  <c r="D234" i="39" s="1"/>
  <c r="F233" i="39"/>
  <c r="C237" i="39"/>
  <c r="A238" i="39"/>
  <c r="B238" i="39" s="1"/>
  <c r="B240" i="30"/>
  <c r="A241" i="30"/>
  <c r="D238" i="30"/>
  <c r="C239" i="30" s="1"/>
  <c r="E238" i="30"/>
  <c r="D233" i="25"/>
  <c r="C234" i="25" s="1"/>
  <c r="E233" i="25"/>
  <c r="A240" i="25"/>
  <c r="B240" i="25" s="1"/>
  <c r="E234" i="39" l="1"/>
  <c r="D235" i="39" s="1"/>
  <c r="F234" i="39"/>
  <c r="C238" i="39"/>
  <c r="A239" i="39"/>
  <c r="B239" i="39" s="1"/>
  <c r="B241" i="30"/>
  <c r="A242" i="30"/>
  <c r="D239" i="30"/>
  <c r="C240" i="30" s="1"/>
  <c r="E239" i="30"/>
  <c r="D234" i="25"/>
  <c r="C235" i="25" s="1"/>
  <c r="E234" i="25"/>
  <c r="A241" i="25"/>
  <c r="B241" i="25" s="1"/>
  <c r="F235" i="39" l="1"/>
  <c r="E235" i="39"/>
  <c r="D236" i="39" s="1"/>
  <c r="C239" i="39"/>
  <c r="A240" i="39"/>
  <c r="B240" i="39" s="1"/>
  <c r="B242" i="30"/>
  <c r="A243" i="30"/>
  <c r="D240" i="30"/>
  <c r="C241" i="30" s="1"/>
  <c r="E240" i="30"/>
  <c r="E235" i="25"/>
  <c r="D235" i="25"/>
  <c r="C236" i="25" s="1"/>
  <c r="A242" i="25"/>
  <c r="B242" i="25" s="1"/>
  <c r="F236" i="39" l="1"/>
  <c r="E236" i="39"/>
  <c r="D237" i="39" s="1"/>
  <c r="C240" i="39"/>
  <c r="A241" i="39"/>
  <c r="B241" i="39" s="1"/>
  <c r="B243" i="30"/>
  <c r="A244" i="30"/>
  <c r="D241" i="30"/>
  <c r="C242" i="30" s="1"/>
  <c r="E241" i="30"/>
  <c r="D236" i="25"/>
  <c r="C237" i="25" s="1"/>
  <c r="E236" i="25"/>
  <c r="A243" i="25"/>
  <c r="B243" i="25" s="1"/>
  <c r="E237" i="39" l="1"/>
  <c r="D238" i="39" s="1"/>
  <c r="F237" i="39"/>
  <c r="C241" i="39"/>
  <c r="A242" i="39"/>
  <c r="B242" i="39" s="1"/>
  <c r="B244" i="30"/>
  <c r="A245" i="30"/>
  <c r="D242" i="30"/>
  <c r="C243" i="30" s="1"/>
  <c r="E242" i="30"/>
  <c r="D237" i="25"/>
  <c r="C238" i="25" s="1"/>
  <c r="E237" i="25"/>
  <c r="A244" i="25"/>
  <c r="B244" i="25" s="1"/>
  <c r="E238" i="39" l="1"/>
  <c r="D239" i="39" s="1"/>
  <c r="F238" i="39"/>
  <c r="C242" i="39"/>
  <c r="A243" i="39"/>
  <c r="B243" i="39" s="1"/>
  <c r="B245" i="30"/>
  <c r="A246" i="30"/>
  <c r="D243" i="30"/>
  <c r="C244" i="30" s="1"/>
  <c r="E243" i="30"/>
  <c r="D238" i="25"/>
  <c r="C239" i="25" s="1"/>
  <c r="E238" i="25"/>
  <c r="A245" i="25"/>
  <c r="B245" i="25" s="1"/>
  <c r="E239" i="39" l="1"/>
  <c r="D240" i="39" s="1"/>
  <c r="F239" i="39"/>
  <c r="C243" i="39"/>
  <c r="A244" i="39"/>
  <c r="B244" i="39" s="1"/>
  <c r="B246" i="30"/>
  <c r="A247" i="30"/>
  <c r="D244" i="30"/>
  <c r="C245" i="30" s="1"/>
  <c r="E244" i="30"/>
  <c r="D239" i="25"/>
  <c r="C240" i="25" s="1"/>
  <c r="E239" i="25"/>
  <c r="A246" i="25"/>
  <c r="B246" i="25" s="1"/>
  <c r="F240" i="39" l="1"/>
  <c r="E240" i="39"/>
  <c r="D241" i="39" s="1"/>
  <c r="C244" i="39"/>
  <c r="A245" i="39"/>
  <c r="B245" i="39" s="1"/>
  <c r="B247" i="30"/>
  <c r="A248" i="30"/>
  <c r="D245" i="30"/>
  <c r="C246" i="30" s="1"/>
  <c r="E245" i="30"/>
  <c r="D240" i="25"/>
  <c r="C241" i="25" s="1"/>
  <c r="E240" i="25"/>
  <c r="A247" i="25"/>
  <c r="B247" i="25" s="1"/>
  <c r="E241" i="39" l="1"/>
  <c r="D242" i="39" s="1"/>
  <c r="F241" i="39"/>
  <c r="C245" i="39"/>
  <c r="A246" i="39"/>
  <c r="B246" i="39" s="1"/>
  <c r="B248" i="30"/>
  <c r="A249" i="30"/>
  <c r="D246" i="30"/>
  <c r="C247" i="30" s="1"/>
  <c r="E246" i="30"/>
  <c r="D241" i="25"/>
  <c r="C242" i="25" s="1"/>
  <c r="E241" i="25"/>
  <c r="A248" i="25"/>
  <c r="B248" i="25" s="1"/>
  <c r="E242" i="39" l="1"/>
  <c r="D243" i="39" s="1"/>
  <c r="F242" i="39"/>
  <c r="C246" i="39"/>
  <c r="A247" i="39"/>
  <c r="B247" i="39" s="1"/>
  <c r="B249" i="30"/>
  <c r="A250" i="30"/>
  <c r="D247" i="30"/>
  <c r="C248" i="30" s="1"/>
  <c r="E247" i="30"/>
  <c r="E242" i="25"/>
  <c r="D242" i="25"/>
  <c r="C243" i="25" s="1"/>
  <c r="A249" i="25"/>
  <c r="B249" i="25" s="1"/>
  <c r="F243" i="39" l="1"/>
  <c r="E243" i="39"/>
  <c r="D244" i="39" s="1"/>
  <c r="C247" i="39"/>
  <c r="A248" i="39"/>
  <c r="B248" i="39" s="1"/>
  <c r="B250" i="30"/>
  <c r="A251" i="30"/>
  <c r="D248" i="30"/>
  <c r="C249" i="30" s="1"/>
  <c r="E248" i="30"/>
  <c r="D243" i="25"/>
  <c r="C244" i="25" s="1"/>
  <c r="E243" i="25"/>
  <c r="A250" i="25"/>
  <c r="B250" i="25" s="1"/>
  <c r="F244" i="39" l="1"/>
  <c r="E244" i="39"/>
  <c r="D245" i="39" s="1"/>
  <c r="C248" i="39"/>
  <c r="A249" i="39"/>
  <c r="B249" i="39" s="1"/>
  <c r="B251" i="30"/>
  <c r="A252" i="30"/>
  <c r="D249" i="30"/>
  <c r="C250" i="30" s="1"/>
  <c r="E249" i="30"/>
  <c r="E244" i="25"/>
  <c r="D244" i="25"/>
  <c r="C245" i="25" s="1"/>
  <c r="A251" i="25"/>
  <c r="B251" i="25" s="1"/>
  <c r="F245" i="39" l="1"/>
  <c r="E245" i="39"/>
  <c r="D246" i="39" s="1"/>
  <c r="C249" i="39"/>
  <c r="A250" i="39"/>
  <c r="B250" i="39" s="1"/>
  <c r="B252" i="30"/>
  <c r="A253" i="30"/>
  <c r="D250" i="30"/>
  <c r="C251" i="30" s="1"/>
  <c r="E250" i="30"/>
  <c r="D245" i="25"/>
  <c r="C246" i="25" s="1"/>
  <c r="E245" i="25"/>
  <c r="A252" i="25"/>
  <c r="B252" i="25" s="1"/>
  <c r="F246" i="39" l="1"/>
  <c r="E246" i="39"/>
  <c r="D247" i="39" s="1"/>
  <c r="C250" i="39"/>
  <c r="A251" i="39"/>
  <c r="B251" i="39" s="1"/>
  <c r="B253" i="30"/>
  <c r="A254" i="30"/>
  <c r="D251" i="30"/>
  <c r="C252" i="30" s="1"/>
  <c r="E251" i="30"/>
  <c r="D246" i="25"/>
  <c r="C247" i="25" s="1"/>
  <c r="E246" i="25"/>
  <c r="A253" i="25"/>
  <c r="B253" i="25" s="1"/>
  <c r="E247" i="39" l="1"/>
  <c r="D248" i="39" s="1"/>
  <c r="F247" i="39"/>
  <c r="C251" i="39"/>
  <c r="A252" i="39"/>
  <c r="B252" i="39" s="1"/>
  <c r="B254" i="30"/>
  <c r="A255" i="30"/>
  <c r="D252" i="30"/>
  <c r="C253" i="30" s="1"/>
  <c r="E252" i="30"/>
  <c r="D247" i="25"/>
  <c r="C248" i="25" s="1"/>
  <c r="E247" i="25"/>
  <c r="A254" i="25"/>
  <c r="B254" i="25" s="1"/>
  <c r="F248" i="39" l="1"/>
  <c r="E248" i="39"/>
  <c r="D249" i="39" s="1"/>
  <c r="C252" i="39"/>
  <c r="A253" i="39"/>
  <c r="B253" i="39" s="1"/>
  <c r="B255" i="30"/>
  <c r="A256" i="30"/>
  <c r="D253" i="30"/>
  <c r="C254" i="30" s="1"/>
  <c r="E253" i="30"/>
  <c r="D248" i="25"/>
  <c r="C249" i="25" s="1"/>
  <c r="E248" i="25"/>
  <c r="A255" i="25"/>
  <c r="B255" i="25" s="1"/>
  <c r="E249" i="39" l="1"/>
  <c r="D250" i="39" s="1"/>
  <c r="F249" i="39"/>
  <c r="C253" i="39"/>
  <c r="A254" i="39"/>
  <c r="B254" i="39" s="1"/>
  <c r="B256" i="30"/>
  <c r="A257" i="30"/>
  <c r="D254" i="30"/>
  <c r="C255" i="30" s="1"/>
  <c r="E254" i="30"/>
  <c r="D249" i="25"/>
  <c r="C250" i="25" s="1"/>
  <c r="E249" i="25"/>
  <c r="A256" i="25"/>
  <c r="B256" i="25" s="1"/>
  <c r="E250" i="39" l="1"/>
  <c r="D251" i="39" s="1"/>
  <c r="F250" i="39"/>
  <c r="C254" i="39"/>
  <c r="A255" i="39"/>
  <c r="B255" i="39" s="1"/>
  <c r="B257" i="30"/>
  <c r="A258" i="30"/>
  <c r="D255" i="30"/>
  <c r="C256" i="30" s="1"/>
  <c r="E255" i="30"/>
  <c r="D250" i="25"/>
  <c r="C251" i="25" s="1"/>
  <c r="E250" i="25"/>
  <c r="A257" i="25"/>
  <c r="B257" i="25" s="1"/>
  <c r="E251" i="39" l="1"/>
  <c r="D252" i="39" s="1"/>
  <c r="F251" i="39"/>
  <c r="C255" i="39"/>
  <c r="A256" i="39"/>
  <c r="B256" i="39" s="1"/>
  <c r="B258" i="30"/>
  <c r="A259" i="30"/>
  <c r="D256" i="30"/>
  <c r="C257" i="30" s="1"/>
  <c r="E256" i="30"/>
  <c r="D251" i="25"/>
  <c r="C252" i="25" s="1"/>
  <c r="E251" i="25"/>
  <c r="A258" i="25"/>
  <c r="B258" i="25" s="1"/>
  <c r="E252" i="39" l="1"/>
  <c r="D253" i="39" s="1"/>
  <c r="F252" i="39"/>
  <c r="C256" i="39"/>
  <c r="A257" i="39"/>
  <c r="B257" i="39" s="1"/>
  <c r="B259" i="30"/>
  <c r="A260" i="30"/>
  <c r="D257" i="30"/>
  <c r="C258" i="30" s="1"/>
  <c r="E257" i="30"/>
  <c r="D252" i="25"/>
  <c r="C253" i="25" s="1"/>
  <c r="E252" i="25"/>
  <c r="A259" i="25"/>
  <c r="B259" i="25" s="1"/>
  <c r="F253" i="39" l="1"/>
  <c r="E253" i="39"/>
  <c r="D254" i="39" s="1"/>
  <c r="C257" i="39"/>
  <c r="A258" i="39"/>
  <c r="B258" i="39" s="1"/>
  <c r="B260" i="30"/>
  <c r="A261" i="30"/>
  <c r="D258" i="30"/>
  <c r="C259" i="30" s="1"/>
  <c r="E258" i="30"/>
  <c r="D253" i="25"/>
  <c r="C254" i="25" s="1"/>
  <c r="E253" i="25"/>
  <c r="A260" i="25"/>
  <c r="B260" i="25" s="1"/>
  <c r="F254" i="39" l="1"/>
  <c r="E254" i="39"/>
  <c r="D255" i="39" s="1"/>
  <c r="C258" i="39"/>
  <c r="A259" i="39"/>
  <c r="B259" i="39" s="1"/>
  <c r="B261" i="30"/>
  <c r="A262" i="30"/>
  <c r="D259" i="30"/>
  <c r="C260" i="30" s="1"/>
  <c r="E259" i="30"/>
  <c r="E254" i="25"/>
  <c r="D254" i="25"/>
  <c r="C255" i="25" s="1"/>
  <c r="A261" i="25"/>
  <c r="B261" i="25" s="1"/>
  <c r="F255" i="39" l="1"/>
  <c r="E255" i="39"/>
  <c r="D256" i="39" s="1"/>
  <c r="C259" i="39"/>
  <c r="A260" i="39"/>
  <c r="B260" i="39" s="1"/>
  <c r="B262" i="30"/>
  <c r="A263" i="30"/>
  <c r="D260" i="30"/>
  <c r="C261" i="30" s="1"/>
  <c r="E260" i="30"/>
  <c r="E255" i="25"/>
  <c r="D255" i="25"/>
  <c r="C256" i="25" s="1"/>
  <c r="A262" i="25"/>
  <c r="B262" i="25" s="1"/>
  <c r="F256" i="39" l="1"/>
  <c r="E256" i="39"/>
  <c r="D257" i="39" s="1"/>
  <c r="C260" i="39"/>
  <c r="A261" i="39"/>
  <c r="B261" i="39" s="1"/>
  <c r="B263" i="30"/>
  <c r="A264" i="30"/>
  <c r="D261" i="30"/>
  <c r="C262" i="30" s="1"/>
  <c r="E261" i="30"/>
  <c r="E256" i="25"/>
  <c r="D256" i="25"/>
  <c r="C257" i="25" s="1"/>
  <c r="A263" i="25"/>
  <c r="B263" i="25" s="1"/>
  <c r="E257" i="39" l="1"/>
  <c r="D258" i="39" s="1"/>
  <c r="F257" i="39"/>
  <c r="C261" i="39"/>
  <c r="A262" i="39"/>
  <c r="B262" i="39" s="1"/>
  <c r="B264" i="30"/>
  <c r="A265" i="30"/>
  <c r="D262" i="30"/>
  <c r="C263" i="30" s="1"/>
  <c r="E262" i="30"/>
  <c r="E257" i="25"/>
  <c r="D257" i="25"/>
  <c r="C258" i="25" s="1"/>
  <c r="A264" i="25"/>
  <c r="B264" i="25" s="1"/>
  <c r="E258" i="39" l="1"/>
  <c r="D259" i="39" s="1"/>
  <c r="F258" i="39"/>
  <c r="C262" i="39"/>
  <c r="A263" i="39"/>
  <c r="B263" i="39" s="1"/>
  <c r="B265" i="30"/>
  <c r="A266" i="30"/>
  <c r="D263" i="30"/>
  <c r="C264" i="30" s="1"/>
  <c r="E263" i="30"/>
  <c r="D258" i="25"/>
  <c r="C259" i="25" s="1"/>
  <c r="E258" i="25"/>
  <c r="A265" i="25"/>
  <c r="B265" i="25" s="1"/>
  <c r="E259" i="39" l="1"/>
  <c r="D260" i="39" s="1"/>
  <c r="F259" i="39"/>
  <c r="C263" i="39"/>
  <c r="A264" i="39"/>
  <c r="B264" i="39" s="1"/>
  <c r="B266" i="30"/>
  <c r="A267" i="30"/>
  <c r="D264" i="30"/>
  <c r="C265" i="30" s="1"/>
  <c r="E264" i="30"/>
  <c r="D259" i="25"/>
  <c r="C260" i="25" s="1"/>
  <c r="E259" i="25"/>
  <c r="A266" i="25"/>
  <c r="B266" i="25" s="1"/>
  <c r="E260" i="39" l="1"/>
  <c r="D261" i="39" s="1"/>
  <c r="F260" i="39"/>
  <c r="C264" i="39"/>
  <c r="A265" i="39"/>
  <c r="B265" i="39" s="1"/>
  <c r="B267" i="30"/>
  <c r="A268" i="30"/>
  <c r="D265" i="30"/>
  <c r="C266" i="30" s="1"/>
  <c r="E265" i="30"/>
  <c r="E260" i="25"/>
  <c r="D260" i="25"/>
  <c r="C261" i="25" s="1"/>
  <c r="A267" i="25"/>
  <c r="B267" i="25" s="1"/>
  <c r="E261" i="39" l="1"/>
  <c r="D262" i="39" s="1"/>
  <c r="F261" i="39"/>
  <c r="C265" i="39"/>
  <c r="A266" i="39"/>
  <c r="B266" i="39" s="1"/>
  <c r="B268" i="30"/>
  <c r="A269" i="30"/>
  <c r="D266" i="30"/>
  <c r="C267" i="30" s="1"/>
  <c r="E266" i="30"/>
  <c r="D261" i="25"/>
  <c r="C262" i="25" s="1"/>
  <c r="E261" i="25"/>
  <c r="A268" i="25"/>
  <c r="B268" i="25" s="1"/>
  <c r="F262" i="39" l="1"/>
  <c r="E262" i="39"/>
  <c r="D263" i="39" s="1"/>
  <c r="C266" i="39"/>
  <c r="A267" i="39"/>
  <c r="B267" i="39" s="1"/>
  <c r="B269" i="30"/>
  <c r="A270" i="30"/>
  <c r="D267" i="30"/>
  <c r="C268" i="30" s="1"/>
  <c r="E267" i="30"/>
  <c r="D262" i="25"/>
  <c r="C263" i="25" s="1"/>
  <c r="E262" i="25"/>
  <c r="A269" i="25"/>
  <c r="B269" i="25" s="1"/>
  <c r="F263" i="39" l="1"/>
  <c r="E263" i="39"/>
  <c r="D264" i="39" s="1"/>
  <c r="C267" i="39"/>
  <c r="A268" i="39"/>
  <c r="B268" i="39" s="1"/>
  <c r="B270" i="30"/>
  <c r="A271" i="30"/>
  <c r="D268" i="30"/>
  <c r="C269" i="30" s="1"/>
  <c r="E268" i="30"/>
  <c r="D263" i="25"/>
  <c r="C264" i="25" s="1"/>
  <c r="E263" i="25"/>
  <c r="A270" i="25"/>
  <c r="B270" i="25" s="1"/>
  <c r="E264" i="39" l="1"/>
  <c r="D265" i="39" s="1"/>
  <c r="F264" i="39"/>
  <c r="C268" i="39"/>
  <c r="A269" i="39"/>
  <c r="B269" i="39" s="1"/>
  <c r="B271" i="30"/>
  <c r="A272" i="30"/>
  <c r="D269" i="30"/>
  <c r="C270" i="30" s="1"/>
  <c r="E269" i="30"/>
  <c r="E264" i="25"/>
  <c r="D264" i="25"/>
  <c r="C265" i="25" s="1"/>
  <c r="A271" i="25"/>
  <c r="B271" i="25" s="1"/>
  <c r="F265" i="39" l="1"/>
  <c r="E265" i="39"/>
  <c r="D266" i="39" s="1"/>
  <c r="C269" i="39"/>
  <c r="A270" i="39"/>
  <c r="B270" i="39" s="1"/>
  <c r="B272" i="30"/>
  <c r="A273" i="30"/>
  <c r="D270" i="30"/>
  <c r="C271" i="30" s="1"/>
  <c r="E270" i="30"/>
  <c r="E265" i="25"/>
  <c r="D265" i="25"/>
  <c r="C266" i="25" s="1"/>
  <c r="A272" i="25"/>
  <c r="B272" i="25" s="1"/>
  <c r="F266" i="39" l="1"/>
  <c r="E266" i="39"/>
  <c r="D267" i="39" s="1"/>
  <c r="C270" i="39"/>
  <c r="A271" i="39"/>
  <c r="B271" i="39" s="1"/>
  <c r="B273" i="30"/>
  <c r="A274" i="30"/>
  <c r="D271" i="30"/>
  <c r="C272" i="30" s="1"/>
  <c r="E271" i="30"/>
  <c r="E266" i="25"/>
  <c r="D266" i="25"/>
  <c r="C267" i="25" s="1"/>
  <c r="A273" i="25"/>
  <c r="B273" i="25" s="1"/>
  <c r="E267" i="39" l="1"/>
  <c r="D268" i="39" s="1"/>
  <c r="F267" i="39"/>
  <c r="C271" i="39"/>
  <c r="A272" i="39"/>
  <c r="B272" i="39" s="1"/>
  <c r="B274" i="30"/>
  <c r="A275" i="30"/>
  <c r="D272" i="30"/>
  <c r="C273" i="30" s="1"/>
  <c r="E272" i="30"/>
  <c r="E267" i="25"/>
  <c r="D267" i="25"/>
  <c r="C268" i="25" s="1"/>
  <c r="A274" i="25"/>
  <c r="B274" i="25" s="1"/>
  <c r="E268" i="39" l="1"/>
  <c r="D269" i="39" s="1"/>
  <c r="F268" i="39"/>
  <c r="C272" i="39"/>
  <c r="A273" i="39"/>
  <c r="B273" i="39" s="1"/>
  <c r="B275" i="30"/>
  <c r="A276" i="30"/>
  <c r="D273" i="30"/>
  <c r="C274" i="30" s="1"/>
  <c r="E273" i="30"/>
  <c r="D268" i="25"/>
  <c r="C269" i="25" s="1"/>
  <c r="E268" i="25"/>
  <c r="A275" i="25"/>
  <c r="B275" i="25" s="1"/>
  <c r="F269" i="39" l="1"/>
  <c r="E269" i="39"/>
  <c r="D270" i="39" s="1"/>
  <c r="C273" i="39"/>
  <c r="A274" i="39"/>
  <c r="B274" i="39" s="1"/>
  <c r="B276" i="30"/>
  <c r="A277" i="30"/>
  <c r="D274" i="30"/>
  <c r="C275" i="30" s="1"/>
  <c r="E274" i="30"/>
  <c r="E269" i="25"/>
  <c r="D269" i="25"/>
  <c r="C270" i="25" s="1"/>
  <c r="A276" i="25"/>
  <c r="B276" i="25" s="1"/>
  <c r="E270" i="39" l="1"/>
  <c r="D271" i="39" s="1"/>
  <c r="F270" i="39"/>
  <c r="C274" i="39"/>
  <c r="A275" i="39"/>
  <c r="B275" i="39" s="1"/>
  <c r="B277" i="30"/>
  <c r="A278" i="30"/>
  <c r="D275" i="30"/>
  <c r="C276" i="30" s="1"/>
  <c r="E275" i="30"/>
  <c r="D270" i="25"/>
  <c r="C271" i="25" s="1"/>
  <c r="E270" i="25"/>
  <c r="A277" i="25"/>
  <c r="B277" i="25" s="1"/>
  <c r="E271" i="39" l="1"/>
  <c r="D272" i="39" s="1"/>
  <c r="F271" i="39"/>
  <c r="C275" i="39"/>
  <c r="A276" i="39"/>
  <c r="B276" i="39" s="1"/>
  <c r="B278" i="30"/>
  <c r="A279" i="30"/>
  <c r="D276" i="30"/>
  <c r="C277" i="30" s="1"/>
  <c r="E276" i="30"/>
  <c r="E271" i="25"/>
  <c r="D271" i="25"/>
  <c r="C272" i="25" s="1"/>
  <c r="A278" i="25"/>
  <c r="B278" i="25" s="1"/>
  <c r="E272" i="39" l="1"/>
  <c r="D273" i="39" s="1"/>
  <c r="F272" i="39"/>
  <c r="C276" i="39"/>
  <c r="A277" i="39"/>
  <c r="B277" i="39" s="1"/>
  <c r="B279" i="30"/>
  <c r="A280" i="30"/>
  <c r="D277" i="30"/>
  <c r="C278" i="30" s="1"/>
  <c r="E277" i="30"/>
  <c r="D272" i="25"/>
  <c r="C273" i="25" s="1"/>
  <c r="E272" i="25"/>
  <c r="A279" i="25"/>
  <c r="B279" i="25" s="1"/>
  <c r="F273" i="39" l="1"/>
  <c r="E273" i="39"/>
  <c r="D274" i="39" s="1"/>
  <c r="C277" i="39"/>
  <c r="A278" i="39"/>
  <c r="B278" i="39" s="1"/>
  <c r="B280" i="30"/>
  <c r="A281" i="30"/>
  <c r="D278" i="30"/>
  <c r="C279" i="30" s="1"/>
  <c r="E278" i="30"/>
  <c r="D273" i="25"/>
  <c r="C274" i="25" s="1"/>
  <c r="E273" i="25"/>
  <c r="A280" i="25"/>
  <c r="B280" i="25" s="1"/>
  <c r="F274" i="39" l="1"/>
  <c r="E274" i="39"/>
  <c r="D275" i="39" s="1"/>
  <c r="C278" i="39"/>
  <c r="A279" i="39"/>
  <c r="B279" i="39" s="1"/>
  <c r="B281" i="30"/>
  <c r="A282" i="30"/>
  <c r="D279" i="30"/>
  <c r="C280" i="30" s="1"/>
  <c r="E279" i="30"/>
  <c r="D274" i="25"/>
  <c r="C275" i="25" s="1"/>
  <c r="E274" i="25"/>
  <c r="A281" i="25"/>
  <c r="B281" i="25" s="1"/>
  <c r="E275" i="39" l="1"/>
  <c r="D276" i="39" s="1"/>
  <c r="F275" i="39"/>
  <c r="C279" i="39"/>
  <c r="A280" i="39"/>
  <c r="B280" i="39" s="1"/>
  <c r="B282" i="30"/>
  <c r="A283" i="30"/>
  <c r="D280" i="30"/>
  <c r="C281" i="30" s="1"/>
  <c r="E280" i="30"/>
  <c r="D275" i="25"/>
  <c r="C276" i="25" s="1"/>
  <c r="E275" i="25"/>
  <c r="A282" i="25"/>
  <c r="B282" i="25" s="1"/>
  <c r="E276" i="39" l="1"/>
  <c r="D277" i="39" s="1"/>
  <c r="F276" i="39"/>
  <c r="C280" i="39"/>
  <c r="A281" i="39"/>
  <c r="B281" i="39" s="1"/>
  <c r="B283" i="30"/>
  <c r="A284" i="30"/>
  <c r="D281" i="30"/>
  <c r="C282" i="30" s="1"/>
  <c r="E281" i="30"/>
  <c r="D276" i="25"/>
  <c r="C277" i="25" s="1"/>
  <c r="E276" i="25"/>
  <c r="A283" i="25"/>
  <c r="B283" i="25" s="1"/>
  <c r="F277" i="39" l="1"/>
  <c r="E277" i="39"/>
  <c r="D278" i="39" s="1"/>
  <c r="C281" i="39"/>
  <c r="A282" i="39"/>
  <c r="B282" i="39" s="1"/>
  <c r="B284" i="30"/>
  <c r="A285" i="30"/>
  <c r="D282" i="30"/>
  <c r="C283" i="30" s="1"/>
  <c r="E282" i="30"/>
  <c r="D277" i="25"/>
  <c r="C278" i="25" s="1"/>
  <c r="E277" i="25"/>
  <c r="A284" i="25"/>
  <c r="B284" i="25" s="1"/>
  <c r="F278" i="39" l="1"/>
  <c r="E278" i="39"/>
  <c r="D279" i="39" s="1"/>
  <c r="C282" i="39"/>
  <c r="A283" i="39"/>
  <c r="B283" i="39" s="1"/>
  <c r="B285" i="30"/>
  <c r="A286" i="30"/>
  <c r="D283" i="30"/>
  <c r="C284" i="30" s="1"/>
  <c r="E283" i="30"/>
  <c r="D278" i="25"/>
  <c r="C279" i="25" s="1"/>
  <c r="E278" i="25"/>
  <c r="A285" i="25"/>
  <c r="B285" i="25" s="1"/>
  <c r="E279" i="39" l="1"/>
  <c r="D280" i="39" s="1"/>
  <c r="F279" i="39"/>
  <c r="C283" i="39"/>
  <c r="A284" i="39"/>
  <c r="B284" i="39" s="1"/>
  <c r="B286" i="30"/>
  <c r="A287" i="30"/>
  <c r="D284" i="30"/>
  <c r="C285" i="30" s="1"/>
  <c r="E284" i="30"/>
  <c r="E279" i="25"/>
  <c r="D279" i="25"/>
  <c r="C280" i="25" s="1"/>
  <c r="A286" i="25"/>
  <c r="B286" i="25" s="1"/>
  <c r="F280" i="39" l="1"/>
  <c r="E280" i="39"/>
  <c r="D281" i="39" s="1"/>
  <c r="C284" i="39"/>
  <c r="A285" i="39"/>
  <c r="B285" i="39" s="1"/>
  <c r="B287" i="30"/>
  <c r="A288" i="30"/>
  <c r="D285" i="30"/>
  <c r="C286" i="30" s="1"/>
  <c r="E285" i="30"/>
  <c r="D280" i="25"/>
  <c r="C281" i="25" s="1"/>
  <c r="E280" i="25"/>
  <c r="A287" i="25"/>
  <c r="B287" i="25" s="1"/>
  <c r="F281" i="39" l="1"/>
  <c r="E281" i="39"/>
  <c r="D282" i="39" s="1"/>
  <c r="C285" i="39"/>
  <c r="A286" i="39"/>
  <c r="B286" i="39" s="1"/>
  <c r="B288" i="30"/>
  <c r="A289" i="30"/>
  <c r="D286" i="30"/>
  <c r="C287" i="30" s="1"/>
  <c r="E286" i="30"/>
  <c r="D281" i="25"/>
  <c r="C282" i="25" s="1"/>
  <c r="E281" i="25"/>
  <c r="A288" i="25"/>
  <c r="B288" i="25" s="1"/>
  <c r="F282" i="39" l="1"/>
  <c r="E282" i="39"/>
  <c r="D283" i="39" s="1"/>
  <c r="C286" i="39"/>
  <c r="A287" i="39"/>
  <c r="B287" i="39" s="1"/>
  <c r="B289" i="30"/>
  <c r="A290" i="30"/>
  <c r="D287" i="30"/>
  <c r="C288" i="30" s="1"/>
  <c r="E287" i="30"/>
  <c r="D282" i="25"/>
  <c r="C283" i="25" s="1"/>
  <c r="E282" i="25"/>
  <c r="A289" i="25"/>
  <c r="B289" i="25" s="1"/>
  <c r="E283" i="39" l="1"/>
  <c r="D284" i="39" s="1"/>
  <c r="F283" i="39"/>
  <c r="C287" i="39"/>
  <c r="A288" i="39"/>
  <c r="B288" i="39" s="1"/>
  <c r="B290" i="30"/>
  <c r="A291" i="30"/>
  <c r="D288" i="30"/>
  <c r="C289" i="30" s="1"/>
  <c r="E288" i="30"/>
  <c r="D283" i="25"/>
  <c r="C284" i="25" s="1"/>
  <c r="E283" i="25"/>
  <c r="A290" i="25"/>
  <c r="B290" i="25" s="1"/>
  <c r="E284" i="39" l="1"/>
  <c r="D285" i="39" s="1"/>
  <c r="F284" i="39"/>
  <c r="C288" i="39"/>
  <c r="A289" i="39"/>
  <c r="B289" i="39" s="1"/>
  <c r="B291" i="30"/>
  <c r="A292" i="30"/>
  <c r="D289" i="30"/>
  <c r="C290" i="30" s="1"/>
  <c r="E289" i="30"/>
  <c r="D284" i="25"/>
  <c r="C285" i="25" s="1"/>
  <c r="E284" i="25"/>
  <c r="A291" i="25"/>
  <c r="B291" i="25" s="1"/>
  <c r="F285" i="39" l="1"/>
  <c r="E285" i="39"/>
  <c r="D286" i="39" s="1"/>
  <c r="C289" i="39"/>
  <c r="A290" i="39"/>
  <c r="B290" i="39" s="1"/>
  <c r="B292" i="30"/>
  <c r="A293" i="30"/>
  <c r="D290" i="30"/>
  <c r="C291" i="30" s="1"/>
  <c r="E290" i="30"/>
  <c r="E285" i="25"/>
  <c r="D285" i="25"/>
  <c r="C286" i="25" s="1"/>
  <c r="A292" i="25"/>
  <c r="B292" i="25" s="1"/>
  <c r="E286" i="39" l="1"/>
  <c r="D287" i="39" s="1"/>
  <c r="F286" i="39"/>
  <c r="C290" i="39"/>
  <c r="A291" i="39"/>
  <c r="B291" i="39" s="1"/>
  <c r="B293" i="30"/>
  <c r="A294" i="30"/>
  <c r="D291" i="30"/>
  <c r="C292" i="30" s="1"/>
  <c r="E291" i="30"/>
  <c r="E286" i="25"/>
  <c r="D286" i="25"/>
  <c r="C287" i="25" s="1"/>
  <c r="A293" i="25"/>
  <c r="B293" i="25" s="1"/>
  <c r="E287" i="39" l="1"/>
  <c r="D288" i="39" s="1"/>
  <c r="F287" i="39"/>
  <c r="C291" i="39"/>
  <c r="A292" i="39"/>
  <c r="B292" i="39" s="1"/>
  <c r="B294" i="30"/>
  <c r="A295" i="30"/>
  <c r="D292" i="30"/>
  <c r="C293" i="30" s="1"/>
  <c r="E292" i="30"/>
  <c r="E287" i="25"/>
  <c r="D287" i="25"/>
  <c r="C288" i="25" s="1"/>
  <c r="A294" i="25"/>
  <c r="B294" i="25" s="1"/>
  <c r="E288" i="39" l="1"/>
  <c r="D289" i="39" s="1"/>
  <c r="F288" i="39"/>
  <c r="C292" i="39"/>
  <c r="A293" i="39"/>
  <c r="B293" i="39" s="1"/>
  <c r="B295" i="30"/>
  <c r="A296" i="30"/>
  <c r="D293" i="30"/>
  <c r="C294" i="30" s="1"/>
  <c r="E293" i="30"/>
  <c r="E288" i="25"/>
  <c r="D288" i="25"/>
  <c r="C289" i="25" s="1"/>
  <c r="A295" i="25"/>
  <c r="B295" i="25" s="1"/>
  <c r="F289" i="39" l="1"/>
  <c r="E289" i="39"/>
  <c r="D290" i="39" s="1"/>
  <c r="C293" i="39"/>
  <c r="A294" i="39"/>
  <c r="B294" i="39" s="1"/>
  <c r="B296" i="30"/>
  <c r="A297" i="30"/>
  <c r="D294" i="30"/>
  <c r="C295" i="30" s="1"/>
  <c r="E294" i="30"/>
  <c r="E289" i="25"/>
  <c r="D289" i="25"/>
  <c r="C290" i="25" s="1"/>
  <c r="A296" i="25"/>
  <c r="B296" i="25" s="1"/>
  <c r="E290" i="39" l="1"/>
  <c r="D291" i="39" s="1"/>
  <c r="F290" i="39"/>
  <c r="C294" i="39"/>
  <c r="A295" i="39"/>
  <c r="B295" i="39" s="1"/>
  <c r="B297" i="30"/>
  <c r="A298" i="30"/>
  <c r="D295" i="30"/>
  <c r="C296" i="30" s="1"/>
  <c r="E295" i="30"/>
  <c r="E290" i="25"/>
  <c r="D290" i="25"/>
  <c r="C291" i="25" s="1"/>
  <c r="A297" i="25"/>
  <c r="B297" i="25" s="1"/>
  <c r="F291" i="39" l="1"/>
  <c r="E291" i="39"/>
  <c r="D292" i="39" s="1"/>
  <c r="C295" i="39"/>
  <c r="A296" i="39"/>
  <c r="B296" i="39" s="1"/>
  <c r="B298" i="30"/>
  <c r="A299" i="30"/>
  <c r="D296" i="30"/>
  <c r="C297" i="30" s="1"/>
  <c r="E296" i="30"/>
  <c r="D291" i="25"/>
  <c r="C292" i="25" s="1"/>
  <c r="E291" i="25"/>
  <c r="A298" i="25"/>
  <c r="B298" i="25" s="1"/>
  <c r="E292" i="39" l="1"/>
  <c r="D293" i="39" s="1"/>
  <c r="F292" i="39"/>
  <c r="C296" i="39"/>
  <c r="A297" i="39"/>
  <c r="B297" i="39" s="1"/>
  <c r="B299" i="30"/>
  <c r="A300" i="30"/>
  <c r="D297" i="30"/>
  <c r="C298" i="30" s="1"/>
  <c r="E297" i="30"/>
  <c r="E292" i="25"/>
  <c r="D292" i="25"/>
  <c r="C293" i="25" s="1"/>
  <c r="A299" i="25"/>
  <c r="B299" i="25" s="1"/>
  <c r="E293" i="39" l="1"/>
  <c r="D294" i="39" s="1"/>
  <c r="F293" i="39"/>
  <c r="C297" i="39"/>
  <c r="A298" i="39"/>
  <c r="B298" i="39" s="1"/>
  <c r="B300" i="30"/>
  <c r="A301" i="30"/>
  <c r="D298" i="30"/>
  <c r="C299" i="30" s="1"/>
  <c r="E298" i="30"/>
  <c r="D293" i="25"/>
  <c r="C294" i="25" s="1"/>
  <c r="E293" i="25"/>
  <c r="A300" i="25"/>
  <c r="B300" i="25" s="1"/>
  <c r="F294" i="39" l="1"/>
  <c r="E294" i="39"/>
  <c r="D295" i="39" s="1"/>
  <c r="C298" i="39"/>
  <c r="A299" i="39"/>
  <c r="B299" i="39" s="1"/>
  <c r="B301" i="30"/>
  <c r="A302" i="30"/>
  <c r="D299" i="30"/>
  <c r="C300" i="30" s="1"/>
  <c r="E299" i="30"/>
  <c r="E294" i="25"/>
  <c r="D294" i="25"/>
  <c r="C295" i="25" s="1"/>
  <c r="A301" i="25"/>
  <c r="B301" i="25" s="1"/>
  <c r="E295" i="39" l="1"/>
  <c r="D296" i="39" s="1"/>
  <c r="F295" i="39"/>
  <c r="C299" i="39"/>
  <c r="A300" i="39"/>
  <c r="B300" i="39" s="1"/>
  <c r="B302" i="30"/>
  <c r="A303" i="30"/>
  <c r="D300" i="30"/>
  <c r="C301" i="30" s="1"/>
  <c r="E300" i="30"/>
  <c r="D295" i="25"/>
  <c r="C296" i="25" s="1"/>
  <c r="E295" i="25"/>
  <c r="A302" i="25"/>
  <c r="B302" i="25" s="1"/>
  <c r="E296" i="39" l="1"/>
  <c r="D297" i="39" s="1"/>
  <c r="F296" i="39"/>
  <c r="C300" i="39"/>
  <c r="A301" i="39"/>
  <c r="B301" i="39" s="1"/>
  <c r="B303" i="30"/>
  <c r="A304" i="30"/>
  <c r="D301" i="30"/>
  <c r="C302" i="30" s="1"/>
  <c r="E301" i="30"/>
  <c r="D296" i="25"/>
  <c r="C297" i="25" s="1"/>
  <c r="E296" i="25"/>
  <c r="A303" i="25"/>
  <c r="B303" i="25" s="1"/>
  <c r="F297" i="39" l="1"/>
  <c r="E297" i="39"/>
  <c r="D298" i="39" s="1"/>
  <c r="C301" i="39"/>
  <c r="A302" i="39"/>
  <c r="B302" i="39" s="1"/>
  <c r="B304" i="30"/>
  <c r="A305" i="30"/>
  <c r="D302" i="30"/>
  <c r="C303" i="30" s="1"/>
  <c r="E302" i="30"/>
  <c r="D297" i="25"/>
  <c r="C298" i="25" s="1"/>
  <c r="E297" i="25"/>
  <c r="A304" i="25"/>
  <c r="B304" i="25" s="1"/>
  <c r="F298" i="39" l="1"/>
  <c r="E298" i="39"/>
  <c r="D299" i="39" s="1"/>
  <c r="C302" i="39"/>
  <c r="A303" i="39"/>
  <c r="B303" i="39" s="1"/>
  <c r="B305" i="30"/>
  <c r="A306" i="30"/>
  <c r="D303" i="30"/>
  <c r="C304" i="30" s="1"/>
  <c r="E303" i="30"/>
  <c r="E298" i="25"/>
  <c r="D298" i="25"/>
  <c r="C299" i="25" s="1"/>
  <c r="A305" i="25"/>
  <c r="B305" i="25" s="1"/>
  <c r="E299" i="39" l="1"/>
  <c r="D300" i="39" s="1"/>
  <c r="F299" i="39"/>
  <c r="C303" i="39"/>
  <c r="A304" i="39"/>
  <c r="B304" i="39" s="1"/>
  <c r="B306" i="30"/>
  <c r="A307" i="30"/>
  <c r="D304" i="30"/>
  <c r="C305" i="30" s="1"/>
  <c r="E304" i="30"/>
  <c r="D299" i="25"/>
  <c r="C300" i="25" s="1"/>
  <c r="E299" i="25"/>
  <c r="A306" i="25"/>
  <c r="B306" i="25" s="1"/>
  <c r="F300" i="39" l="1"/>
  <c r="E300" i="39"/>
  <c r="D301" i="39" s="1"/>
  <c r="C304" i="39"/>
  <c r="A305" i="39"/>
  <c r="B305" i="39" s="1"/>
  <c r="B307" i="30"/>
  <c r="A308" i="30"/>
  <c r="D305" i="30"/>
  <c r="C306" i="30" s="1"/>
  <c r="E305" i="30"/>
  <c r="D300" i="25"/>
  <c r="C301" i="25" s="1"/>
  <c r="E300" i="25"/>
  <c r="A307" i="25"/>
  <c r="B307" i="25" s="1"/>
  <c r="E301" i="39" l="1"/>
  <c r="D302" i="39" s="1"/>
  <c r="F301" i="39"/>
  <c r="C305" i="39"/>
  <c r="A306" i="39"/>
  <c r="B306" i="39" s="1"/>
  <c r="B308" i="30"/>
  <c r="A309" i="30"/>
  <c r="D306" i="30"/>
  <c r="C307" i="30" s="1"/>
  <c r="E306" i="30"/>
  <c r="D301" i="25"/>
  <c r="C302" i="25" s="1"/>
  <c r="E301" i="25"/>
  <c r="A308" i="25"/>
  <c r="B308" i="25" s="1"/>
  <c r="F302" i="39" l="1"/>
  <c r="E302" i="39"/>
  <c r="D303" i="39" s="1"/>
  <c r="C306" i="39"/>
  <c r="A307" i="39"/>
  <c r="B307" i="39" s="1"/>
  <c r="B309" i="30"/>
  <c r="A310" i="30"/>
  <c r="D307" i="30"/>
  <c r="C308" i="30" s="1"/>
  <c r="E307" i="30"/>
  <c r="D302" i="25"/>
  <c r="C303" i="25" s="1"/>
  <c r="E302" i="25"/>
  <c r="A309" i="25"/>
  <c r="B309" i="25" s="1"/>
  <c r="E303" i="39" l="1"/>
  <c r="D304" i="39" s="1"/>
  <c r="F303" i="39"/>
  <c r="C307" i="39"/>
  <c r="A308" i="39"/>
  <c r="B308" i="39" s="1"/>
  <c r="B310" i="30"/>
  <c r="A311" i="30"/>
  <c r="D308" i="30"/>
  <c r="C309" i="30" s="1"/>
  <c r="E308" i="30"/>
  <c r="D303" i="25"/>
  <c r="C304" i="25" s="1"/>
  <c r="E303" i="25"/>
  <c r="A310" i="25"/>
  <c r="B310" i="25" s="1"/>
  <c r="F304" i="39" l="1"/>
  <c r="E304" i="39"/>
  <c r="D305" i="39" s="1"/>
  <c r="C308" i="39"/>
  <c r="A309" i="39"/>
  <c r="B309" i="39" s="1"/>
  <c r="B311" i="30"/>
  <c r="A312" i="30"/>
  <c r="D309" i="30"/>
  <c r="C310" i="30" s="1"/>
  <c r="E309" i="30"/>
  <c r="D304" i="25"/>
  <c r="C305" i="25" s="1"/>
  <c r="E304" i="25"/>
  <c r="A311" i="25"/>
  <c r="B311" i="25" s="1"/>
  <c r="F305" i="39" l="1"/>
  <c r="E305" i="39"/>
  <c r="D306" i="39" s="1"/>
  <c r="C309" i="39"/>
  <c r="A310" i="39"/>
  <c r="B310" i="39" s="1"/>
  <c r="B312" i="30"/>
  <c r="A313" i="30"/>
  <c r="D310" i="30"/>
  <c r="C311" i="30" s="1"/>
  <c r="E310" i="30"/>
  <c r="D305" i="25"/>
  <c r="C306" i="25" s="1"/>
  <c r="E305" i="25"/>
  <c r="A312" i="25"/>
  <c r="B312" i="25" s="1"/>
  <c r="F306" i="39" l="1"/>
  <c r="E306" i="39"/>
  <c r="D307" i="39" s="1"/>
  <c r="C310" i="39"/>
  <c r="A311" i="39"/>
  <c r="B311" i="39" s="1"/>
  <c r="B313" i="30"/>
  <c r="A314" i="30"/>
  <c r="D311" i="30"/>
  <c r="C312" i="30" s="1"/>
  <c r="E311" i="30"/>
  <c r="E306" i="25"/>
  <c r="D306" i="25"/>
  <c r="C307" i="25" s="1"/>
  <c r="A313" i="25"/>
  <c r="B313" i="25" s="1"/>
  <c r="E307" i="39" l="1"/>
  <c r="D308" i="39" s="1"/>
  <c r="F307" i="39"/>
  <c r="C311" i="39"/>
  <c r="A312" i="39"/>
  <c r="B312" i="39" s="1"/>
  <c r="B314" i="30"/>
  <c r="A315" i="30"/>
  <c r="D312" i="30"/>
  <c r="C313" i="30" s="1"/>
  <c r="E312" i="30"/>
  <c r="E307" i="25"/>
  <c r="D307" i="25"/>
  <c r="C308" i="25" s="1"/>
  <c r="A314" i="25"/>
  <c r="B314" i="25" s="1"/>
  <c r="E308" i="39" l="1"/>
  <c r="D309" i="39" s="1"/>
  <c r="F308" i="39"/>
  <c r="C312" i="39"/>
  <c r="A313" i="39"/>
  <c r="B313" i="39" s="1"/>
  <c r="B315" i="30"/>
  <c r="A316" i="30"/>
  <c r="D313" i="30"/>
  <c r="C314" i="30" s="1"/>
  <c r="E313" i="30"/>
  <c r="D308" i="25"/>
  <c r="C309" i="25" s="1"/>
  <c r="E308" i="25"/>
  <c r="A315" i="25"/>
  <c r="B315" i="25" s="1"/>
  <c r="F309" i="39" l="1"/>
  <c r="E309" i="39"/>
  <c r="D310" i="39" s="1"/>
  <c r="C313" i="39"/>
  <c r="A314" i="39"/>
  <c r="B314" i="39" s="1"/>
  <c r="B316" i="30"/>
  <c r="A317" i="30"/>
  <c r="D314" i="30"/>
  <c r="C315" i="30" s="1"/>
  <c r="E314" i="30"/>
  <c r="E309" i="25"/>
  <c r="D309" i="25"/>
  <c r="C310" i="25" s="1"/>
  <c r="A316" i="25"/>
  <c r="B316" i="25" s="1"/>
  <c r="E310" i="39" l="1"/>
  <c r="D311" i="39" s="1"/>
  <c r="F310" i="39"/>
  <c r="C314" i="39"/>
  <c r="A315" i="39"/>
  <c r="B315" i="39" s="1"/>
  <c r="B317" i="30"/>
  <c r="A318" i="30"/>
  <c r="D315" i="30"/>
  <c r="C316" i="30" s="1"/>
  <c r="E315" i="30"/>
  <c r="D310" i="25"/>
  <c r="C311" i="25" s="1"/>
  <c r="E310" i="25"/>
  <c r="A317" i="25"/>
  <c r="B317" i="25" s="1"/>
  <c r="E311" i="39" l="1"/>
  <c r="D312" i="39" s="1"/>
  <c r="F311" i="39"/>
  <c r="C315" i="39"/>
  <c r="A316" i="39"/>
  <c r="B316" i="39" s="1"/>
  <c r="B318" i="30"/>
  <c r="A319" i="30"/>
  <c r="D316" i="30"/>
  <c r="C317" i="30" s="1"/>
  <c r="E316" i="30"/>
  <c r="D311" i="25"/>
  <c r="C312" i="25" s="1"/>
  <c r="E311" i="25"/>
  <c r="A318" i="25"/>
  <c r="B318" i="25" s="1"/>
  <c r="F312" i="39" l="1"/>
  <c r="E312" i="39"/>
  <c r="D313" i="39" s="1"/>
  <c r="C316" i="39"/>
  <c r="A317" i="39"/>
  <c r="B317" i="39" s="1"/>
  <c r="B319" i="30"/>
  <c r="A320" i="30"/>
  <c r="D317" i="30"/>
  <c r="C318" i="30" s="1"/>
  <c r="E317" i="30"/>
  <c r="D312" i="25"/>
  <c r="C313" i="25" s="1"/>
  <c r="E312" i="25"/>
  <c r="A319" i="25"/>
  <c r="B319" i="25" s="1"/>
  <c r="F313" i="39" l="1"/>
  <c r="E313" i="39"/>
  <c r="D314" i="39" s="1"/>
  <c r="C317" i="39"/>
  <c r="A318" i="39"/>
  <c r="B318" i="39" s="1"/>
  <c r="B320" i="30"/>
  <c r="A321" i="30"/>
  <c r="D318" i="30"/>
  <c r="C319" i="30" s="1"/>
  <c r="E318" i="30"/>
  <c r="E313" i="25"/>
  <c r="D313" i="25"/>
  <c r="C314" i="25" s="1"/>
  <c r="A320" i="25"/>
  <c r="B320" i="25" s="1"/>
  <c r="F314" i="39" l="1"/>
  <c r="E314" i="39"/>
  <c r="D315" i="39" s="1"/>
  <c r="C318" i="39"/>
  <c r="A319" i="39"/>
  <c r="B319" i="39" s="1"/>
  <c r="B321" i="30"/>
  <c r="A322" i="30"/>
  <c r="D319" i="30"/>
  <c r="C320" i="30" s="1"/>
  <c r="E319" i="30"/>
  <c r="D314" i="25"/>
  <c r="C315" i="25" s="1"/>
  <c r="E314" i="25"/>
  <c r="A321" i="25"/>
  <c r="B321" i="25" s="1"/>
  <c r="F315" i="39" l="1"/>
  <c r="E315" i="39"/>
  <c r="D316" i="39" s="1"/>
  <c r="C319" i="39"/>
  <c r="A320" i="39"/>
  <c r="B320" i="39" s="1"/>
  <c r="B322" i="30"/>
  <c r="A323" i="30"/>
  <c r="D320" i="30"/>
  <c r="C321" i="30" s="1"/>
  <c r="E320" i="30"/>
  <c r="E315" i="25"/>
  <c r="D315" i="25"/>
  <c r="C316" i="25" s="1"/>
  <c r="A322" i="25"/>
  <c r="B322" i="25" s="1"/>
  <c r="E316" i="39" l="1"/>
  <c r="D317" i="39" s="1"/>
  <c r="F316" i="39"/>
  <c r="C320" i="39"/>
  <c r="A321" i="39"/>
  <c r="B321" i="39" s="1"/>
  <c r="B323" i="30"/>
  <c r="A324" i="30"/>
  <c r="D321" i="30"/>
  <c r="C322" i="30" s="1"/>
  <c r="E321" i="30"/>
  <c r="D316" i="25"/>
  <c r="C317" i="25" s="1"/>
  <c r="E316" i="25"/>
  <c r="A323" i="25"/>
  <c r="B323" i="25" s="1"/>
  <c r="F317" i="39" l="1"/>
  <c r="E317" i="39"/>
  <c r="D318" i="39" s="1"/>
  <c r="C321" i="39"/>
  <c r="A322" i="39"/>
  <c r="B322" i="39" s="1"/>
  <c r="B324" i="30"/>
  <c r="A325" i="30"/>
  <c r="D322" i="30"/>
  <c r="C323" i="30" s="1"/>
  <c r="E322" i="30"/>
  <c r="D317" i="25"/>
  <c r="C318" i="25" s="1"/>
  <c r="E317" i="25"/>
  <c r="A324" i="25"/>
  <c r="B324" i="25" s="1"/>
  <c r="E318" i="39" l="1"/>
  <c r="D319" i="39" s="1"/>
  <c r="F318" i="39"/>
  <c r="C322" i="39"/>
  <c r="A323" i="39"/>
  <c r="B323" i="39" s="1"/>
  <c r="B325" i="30"/>
  <c r="A326" i="30"/>
  <c r="D323" i="30"/>
  <c r="C324" i="30" s="1"/>
  <c r="E323" i="30"/>
  <c r="E318" i="25"/>
  <c r="D318" i="25"/>
  <c r="C319" i="25" s="1"/>
  <c r="A325" i="25"/>
  <c r="B325" i="25" s="1"/>
  <c r="F319" i="39" l="1"/>
  <c r="E319" i="39"/>
  <c r="D320" i="39" s="1"/>
  <c r="C323" i="39"/>
  <c r="A324" i="39"/>
  <c r="B324" i="39" s="1"/>
  <c r="B326" i="30"/>
  <c r="A327" i="30"/>
  <c r="D324" i="30"/>
  <c r="C325" i="30" s="1"/>
  <c r="E324" i="30"/>
  <c r="D319" i="25"/>
  <c r="C320" i="25" s="1"/>
  <c r="E319" i="25"/>
  <c r="A326" i="25"/>
  <c r="B326" i="25" s="1"/>
  <c r="F320" i="39" l="1"/>
  <c r="E320" i="39"/>
  <c r="D321" i="39" s="1"/>
  <c r="C324" i="39"/>
  <c r="A325" i="39"/>
  <c r="B325" i="39" s="1"/>
  <c r="B327" i="30"/>
  <c r="A328" i="30"/>
  <c r="D325" i="30"/>
  <c r="C326" i="30" s="1"/>
  <c r="E325" i="30"/>
  <c r="D320" i="25"/>
  <c r="C321" i="25" s="1"/>
  <c r="E320" i="25"/>
  <c r="A327" i="25"/>
  <c r="B327" i="25" s="1"/>
  <c r="F321" i="39" l="1"/>
  <c r="E321" i="39"/>
  <c r="D322" i="39" s="1"/>
  <c r="C325" i="39"/>
  <c r="A326" i="39"/>
  <c r="B326" i="39" s="1"/>
  <c r="B328" i="30"/>
  <c r="A329" i="30"/>
  <c r="D326" i="30"/>
  <c r="C327" i="30" s="1"/>
  <c r="E326" i="30"/>
  <c r="D321" i="25"/>
  <c r="C322" i="25" s="1"/>
  <c r="E321" i="25"/>
  <c r="A328" i="25"/>
  <c r="B328" i="25" s="1"/>
  <c r="F322" i="39" l="1"/>
  <c r="E322" i="39"/>
  <c r="D323" i="39" s="1"/>
  <c r="C326" i="39"/>
  <c r="A327" i="39"/>
  <c r="B327" i="39" s="1"/>
  <c r="B329" i="30"/>
  <c r="A330" i="30"/>
  <c r="D327" i="30"/>
  <c r="C328" i="30" s="1"/>
  <c r="E327" i="30"/>
  <c r="D322" i="25"/>
  <c r="C323" i="25" s="1"/>
  <c r="E322" i="25"/>
  <c r="A329" i="25"/>
  <c r="B329" i="25" s="1"/>
  <c r="E323" i="39" l="1"/>
  <c r="D324" i="39" s="1"/>
  <c r="F323" i="39"/>
  <c r="C327" i="39"/>
  <c r="A328" i="39"/>
  <c r="B328" i="39" s="1"/>
  <c r="B330" i="30"/>
  <c r="A331" i="30"/>
  <c r="D328" i="30"/>
  <c r="C329" i="30" s="1"/>
  <c r="E328" i="30"/>
  <c r="D323" i="25"/>
  <c r="C324" i="25" s="1"/>
  <c r="E323" i="25"/>
  <c r="A330" i="25"/>
  <c r="B330" i="25" s="1"/>
  <c r="E324" i="39" l="1"/>
  <c r="D325" i="39" s="1"/>
  <c r="F324" i="39"/>
  <c r="C328" i="39"/>
  <c r="A329" i="39"/>
  <c r="B329" i="39" s="1"/>
  <c r="B331" i="30"/>
  <c r="A332" i="30"/>
  <c r="D329" i="30"/>
  <c r="C330" i="30" s="1"/>
  <c r="E329" i="30"/>
  <c r="D324" i="25"/>
  <c r="C325" i="25" s="1"/>
  <c r="E324" i="25"/>
  <c r="A331" i="25"/>
  <c r="B331" i="25" s="1"/>
  <c r="F325" i="39" l="1"/>
  <c r="E325" i="39"/>
  <c r="D326" i="39" s="1"/>
  <c r="C329" i="39"/>
  <c r="A330" i="39"/>
  <c r="B330" i="39" s="1"/>
  <c r="B332" i="30"/>
  <c r="A333" i="30"/>
  <c r="D330" i="30"/>
  <c r="C331" i="30" s="1"/>
  <c r="E330" i="30"/>
  <c r="E325" i="25"/>
  <c r="D325" i="25"/>
  <c r="C326" i="25" s="1"/>
  <c r="A332" i="25"/>
  <c r="B332" i="25" s="1"/>
  <c r="E326" i="39" l="1"/>
  <c r="D327" i="39" s="1"/>
  <c r="F326" i="39"/>
  <c r="C330" i="39"/>
  <c r="A331" i="39"/>
  <c r="B331" i="39" s="1"/>
  <c r="B333" i="30"/>
  <c r="A334" i="30"/>
  <c r="D331" i="30"/>
  <c r="C332" i="30" s="1"/>
  <c r="E331" i="30"/>
  <c r="D326" i="25"/>
  <c r="C327" i="25" s="1"/>
  <c r="E326" i="25"/>
  <c r="A333" i="25"/>
  <c r="B333" i="25" s="1"/>
  <c r="F327" i="39" l="1"/>
  <c r="E327" i="39"/>
  <c r="D328" i="39" s="1"/>
  <c r="C331" i="39"/>
  <c r="A332" i="39"/>
  <c r="B332" i="39" s="1"/>
  <c r="B334" i="30"/>
  <c r="A335" i="30"/>
  <c r="D332" i="30"/>
  <c r="C333" i="30" s="1"/>
  <c r="E332" i="30"/>
  <c r="D327" i="25"/>
  <c r="C328" i="25" s="1"/>
  <c r="E327" i="25"/>
  <c r="A334" i="25"/>
  <c r="B334" i="25" s="1"/>
  <c r="E328" i="39" l="1"/>
  <c r="D329" i="39" s="1"/>
  <c r="F328" i="39"/>
  <c r="C332" i="39"/>
  <c r="A333" i="39"/>
  <c r="B333" i="39" s="1"/>
  <c r="B335" i="30"/>
  <c r="A336" i="30"/>
  <c r="D333" i="30"/>
  <c r="C334" i="30" s="1"/>
  <c r="E333" i="30"/>
  <c r="E328" i="25"/>
  <c r="D328" i="25"/>
  <c r="C329" i="25" s="1"/>
  <c r="A335" i="25"/>
  <c r="B335" i="25" s="1"/>
  <c r="F329" i="39" l="1"/>
  <c r="E329" i="39"/>
  <c r="D330" i="39" s="1"/>
  <c r="C333" i="39"/>
  <c r="A334" i="39"/>
  <c r="B334" i="39" s="1"/>
  <c r="B336" i="30"/>
  <c r="A337" i="30"/>
  <c r="D334" i="30"/>
  <c r="C335" i="30" s="1"/>
  <c r="E334" i="30"/>
  <c r="D329" i="25"/>
  <c r="C330" i="25" s="1"/>
  <c r="E329" i="25"/>
  <c r="A336" i="25"/>
  <c r="B336" i="25" s="1"/>
  <c r="F330" i="39" l="1"/>
  <c r="E330" i="39"/>
  <c r="D331" i="39" s="1"/>
  <c r="C334" i="39"/>
  <c r="A335" i="39"/>
  <c r="B335" i="39" s="1"/>
  <c r="B337" i="30"/>
  <c r="A338" i="30"/>
  <c r="D335" i="30"/>
  <c r="C336" i="30" s="1"/>
  <c r="E335" i="30"/>
  <c r="D330" i="25"/>
  <c r="C331" i="25" s="1"/>
  <c r="E330" i="25"/>
  <c r="A337" i="25"/>
  <c r="B337" i="25" s="1"/>
  <c r="F331" i="39" l="1"/>
  <c r="E331" i="39"/>
  <c r="D332" i="39" s="1"/>
  <c r="C335" i="39"/>
  <c r="A336" i="39"/>
  <c r="B336" i="39" s="1"/>
  <c r="B338" i="30"/>
  <c r="A339" i="30"/>
  <c r="D336" i="30"/>
  <c r="C337" i="30" s="1"/>
  <c r="E336" i="30"/>
  <c r="D331" i="25"/>
  <c r="C332" i="25" s="1"/>
  <c r="E331" i="25"/>
  <c r="A338" i="25"/>
  <c r="B338" i="25" s="1"/>
  <c r="E332" i="39" l="1"/>
  <c r="D333" i="39" s="1"/>
  <c r="F332" i="39"/>
  <c r="C336" i="39"/>
  <c r="A337" i="39"/>
  <c r="B337" i="39" s="1"/>
  <c r="B339" i="30"/>
  <c r="A340" i="30"/>
  <c r="D337" i="30"/>
  <c r="C338" i="30" s="1"/>
  <c r="E337" i="30"/>
  <c r="D332" i="25"/>
  <c r="C333" i="25" s="1"/>
  <c r="E332" i="25"/>
  <c r="A339" i="25"/>
  <c r="B339" i="25" s="1"/>
  <c r="E333" i="39" l="1"/>
  <c r="D334" i="39" s="1"/>
  <c r="F333" i="39"/>
  <c r="C337" i="39"/>
  <c r="A338" i="39"/>
  <c r="B338" i="39" s="1"/>
  <c r="B340" i="30"/>
  <c r="A341" i="30"/>
  <c r="D338" i="30"/>
  <c r="C339" i="30" s="1"/>
  <c r="E338" i="30"/>
  <c r="D333" i="25"/>
  <c r="C334" i="25" s="1"/>
  <c r="E333" i="25"/>
  <c r="A340" i="25"/>
  <c r="B340" i="25" s="1"/>
  <c r="E334" i="39" l="1"/>
  <c r="D335" i="39" s="1"/>
  <c r="F334" i="39"/>
  <c r="C338" i="39"/>
  <c r="A339" i="39"/>
  <c r="B339" i="39" s="1"/>
  <c r="B341" i="30"/>
  <c r="A342" i="30"/>
  <c r="D339" i="30"/>
  <c r="C340" i="30" s="1"/>
  <c r="E339" i="30"/>
  <c r="D334" i="25"/>
  <c r="C335" i="25" s="1"/>
  <c r="E334" i="25"/>
  <c r="A341" i="25"/>
  <c r="B341" i="25" s="1"/>
  <c r="E335" i="39" l="1"/>
  <c r="D336" i="39" s="1"/>
  <c r="F335" i="39"/>
  <c r="C339" i="39"/>
  <c r="A340" i="39"/>
  <c r="B340" i="39" s="1"/>
  <c r="B342" i="30"/>
  <c r="A343" i="30"/>
  <c r="D340" i="30"/>
  <c r="C341" i="30" s="1"/>
  <c r="E340" i="30"/>
  <c r="E335" i="25"/>
  <c r="D335" i="25"/>
  <c r="C336" i="25" s="1"/>
  <c r="A342" i="25"/>
  <c r="B342" i="25" s="1"/>
  <c r="F336" i="39" l="1"/>
  <c r="E336" i="39"/>
  <c r="D337" i="39" s="1"/>
  <c r="C340" i="39"/>
  <c r="A341" i="39"/>
  <c r="B341" i="39" s="1"/>
  <c r="B343" i="30"/>
  <c r="A344" i="30"/>
  <c r="D341" i="30"/>
  <c r="C342" i="30" s="1"/>
  <c r="E341" i="30"/>
  <c r="D336" i="25"/>
  <c r="C337" i="25" s="1"/>
  <c r="E336" i="25"/>
  <c r="A343" i="25"/>
  <c r="B343" i="25" s="1"/>
  <c r="F337" i="39" l="1"/>
  <c r="E337" i="39"/>
  <c r="D338" i="39" s="1"/>
  <c r="C341" i="39"/>
  <c r="A342" i="39"/>
  <c r="B342" i="39" s="1"/>
  <c r="B344" i="30"/>
  <c r="A345" i="30"/>
  <c r="D342" i="30"/>
  <c r="C343" i="30" s="1"/>
  <c r="E342" i="30"/>
  <c r="D337" i="25"/>
  <c r="C338" i="25" s="1"/>
  <c r="E337" i="25"/>
  <c r="A344" i="25"/>
  <c r="B344" i="25" s="1"/>
  <c r="F338" i="39" l="1"/>
  <c r="E338" i="39"/>
  <c r="D339" i="39" s="1"/>
  <c r="C342" i="39"/>
  <c r="A343" i="39"/>
  <c r="B343" i="39" s="1"/>
  <c r="B345" i="30"/>
  <c r="A346" i="30"/>
  <c r="D343" i="30"/>
  <c r="C344" i="30" s="1"/>
  <c r="E343" i="30"/>
  <c r="D338" i="25"/>
  <c r="C339" i="25" s="1"/>
  <c r="E338" i="25"/>
  <c r="A345" i="25"/>
  <c r="B345" i="25" s="1"/>
  <c r="E339" i="39" l="1"/>
  <c r="D340" i="39" s="1"/>
  <c r="F339" i="39"/>
  <c r="C343" i="39"/>
  <c r="A344" i="39"/>
  <c r="B344" i="39" s="1"/>
  <c r="B346" i="30"/>
  <c r="A347" i="30"/>
  <c r="D344" i="30"/>
  <c r="C345" i="30" s="1"/>
  <c r="E344" i="30"/>
  <c r="D339" i="25"/>
  <c r="C340" i="25" s="1"/>
  <c r="E339" i="25"/>
  <c r="A346" i="25"/>
  <c r="B346" i="25" s="1"/>
  <c r="F340" i="39" l="1"/>
  <c r="E340" i="39"/>
  <c r="D341" i="39" s="1"/>
  <c r="C344" i="39"/>
  <c r="A345" i="39"/>
  <c r="B345" i="39" s="1"/>
  <c r="B347" i="30"/>
  <c r="A348" i="30"/>
  <c r="D345" i="30"/>
  <c r="C346" i="30" s="1"/>
  <c r="E345" i="30"/>
  <c r="D340" i="25"/>
  <c r="C341" i="25" s="1"/>
  <c r="E340" i="25"/>
  <c r="A347" i="25"/>
  <c r="B347" i="25" s="1"/>
  <c r="E341" i="39" l="1"/>
  <c r="D342" i="39" s="1"/>
  <c r="F341" i="39"/>
  <c r="C345" i="39"/>
  <c r="A346" i="39"/>
  <c r="B346" i="39" s="1"/>
  <c r="B348" i="30"/>
  <c r="A349" i="30"/>
  <c r="D346" i="30"/>
  <c r="C347" i="30" s="1"/>
  <c r="E346" i="30"/>
  <c r="D341" i="25"/>
  <c r="C342" i="25" s="1"/>
  <c r="E341" i="25"/>
  <c r="A348" i="25"/>
  <c r="B348" i="25" s="1"/>
  <c r="F342" i="39" l="1"/>
  <c r="E342" i="39"/>
  <c r="D343" i="39" s="1"/>
  <c r="C346" i="39"/>
  <c r="A347" i="39"/>
  <c r="B347" i="39" s="1"/>
  <c r="B349" i="30"/>
  <c r="A350" i="30"/>
  <c r="D347" i="30"/>
  <c r="C348" i="30" s="1"/>
  <c r="E347" i="30"/>
  <c r="D342" i="25"/>
  <c r="C343" i="25" s="1"/>
  <c r="E342" i="25"/>
  <c r="A349" i="25"/>
  <c r="B349" i="25" s="1"/>
  <c r="E343" i="39" l="1"/>
  <c r="D344" i="39" s="1"/>
  <c r="F343" i="39"/>
  <c r="C347" i="39"/>
  <c r="A348" i="39"/>
  <c r="B348" i="39" s="1"/>
  <c r="B350" i="30"/>
  <c r="A351" i="30"/>
  <c r="D348" i="30"/>
  <c r="C349" i="30" s="1"/>
  <c r="E348" i="30"/>
  <c r="D343" i="25"/>
  <c r="C344" i="25" s="1"/>
  <c r="E343" i="25"/>
  <c r="A350" i="25"/>
  <c r="B350" i="25" s="1"/>
  <c r="F344" i="39" l="1"/>
  <c r="E344" i="39"/>
  <c r="D345" i="39" s="1"/>
  <c r="C348" i="39"/>
  <c r="A349" i="39"/>
  <c r="B349" i="39" s="1"/>
  <c r="B351" i="30"/>
  <c r="A352" i="30"/>
  <c r="D349" i="30"/>
  <c r="C350" i="30" s="1"/>
  <c r="E349" i="30"/>
  <c r="D344" i="25"/>
  <c r="C345" i="25" s="1"/>
  <c r="E344" i="25"/>
  <c r="A351" i="25"/>
  <c r="B351" i="25" s="1"/>
  <c r="E345" i="39" l="1"/>
  <c r="D346" i="39" s="1"/>
  <c r="F345" i="39"/>
  <c r="C349" i="39"/>
  <c r="A350" i="39"/>
  <c r="B350" i="39" s="1"/>
  <c r="B352" i="30"/>
  <c r="A353" i="30"/>
  <c r="D350" i="30"/>
  <c r="C351" i="30" s="1"/>
  <c r="E350" i="30"/>
  <c r="E345" i="25"/>
  <c r="D345" i="25"/>
  <c r="C346" i="25" s="1"/>
  <c r="A352" i="25"/>
  <c r="B352" i="25" s="1"/>
  <c r="F346" i="39" l="1"/>
  <c r="E346" i="39"/>
  <c r="D347" i="39" s="1"/>
  <c r="C350" i="39"/>
  <c r="A351" i="39"/>
  <c r="B351" i="39" s="1"/>
  <c r="B353" i="30"/>
  <c r="A354" i="30"/>
  <c r="D351" i="30"/>
  <c r="C352" i="30" s="1"/>
  <c r="E351" i="30"/>
  <c r="E346" i="25"/>
  <c r="D346" i="25"/>
  <c r="C347" i="25" s="1"/>
  <c r="A353" i="25"/>
  <c r="B353" i="25" s="1"/>
  <c r="F347" i="39" l="1"/>
  <c r="E347" i="39"/>
  <c r="D348" i="39" s="1"/>
  <c r="C351" i="39"/>
  <c r="A352" i="39"/>
  <c r="B352" i="39" s="1"/>
  <c r="B354" i="30"/>
  <c r="A355" i="30"/>
  <c r="D352" i="30"/>
  <c r="C353" i="30" s="1"/>
  <c r="E352" i="30"/>
  <c r="D347" i="25"/>
  <c r="C348" i="25" s="1"/>
  <c r="E347" i="25"/>
  <c r="A354" i="25"/>
  <c r="B354" i="25" s="1"/>
  <c r="E348" i="39" l="1"/>
  <c r="D349" i="39" s="1"/>
  <c r="F348" i="39"/>
  <c r="C352" i="39"/>
  <c r="A353" i="39"/>
  <c r="B353" i="39" s="1"/>
  <c r="B355" i="30"/>
  <c r="A356" i="30"/>
  <c r="D353" i="30"/>
  <c r="C354" i="30" s="1"/>
  <c r="E353" i="30"/>
  <c r="D348" i="25"/>
  <c r="C349" i="25" s="1"/>
  <c r="E348" i="25"/>
  <c r="A355" i="25"/>
  <c r="B355" i="25" s="1"/>
  <c r="E349" i="39" l="1"/>
  <c r="D350" i="39" s="1"/>
  <c r="F349" i="39"/>
  <c r="C353" i="39"/>
  <c r="A354" i="39"/>
  <c r="B354" i="39" s="1"/>
  <c r="B356" i="30"/>
  <c r="A357" i="30"/>
  <c r="D354" i="30"/>
  <c r="C355" i="30" s="1"/>
  <c r="E354" i="30"/>
  <c r="D349" i="25"/>
  <c r="C350" i="25" s="1"/>
  <c r="E349" i="25"/>
  <c r="A356" i="25"/>
  <c r="B356" i="25" s="1"/>
  <c r="F350" i="39" l="1"/>
  <c r="E350" i="39"/>
  <c r="D351" i="39" s="1"/>
  <c r="C354" i="39"/>
  <c r="A355" i="39"/>
  <c r="B355" i="39" s="1"/>
  <c r="B357" i="30"/>
  <c r="A358" i="30"/>
  <c r="D355" i="30"/>
  <c r="C356" i="30" s="1"/>
  <c r="E355" i="30"/>
  <c r="E350" i="25"/>
  <c r="D350" i="25"/>
  <c r="C351" i="25" s="1"/>
  <c r="A357" i="25"/>
  <c r="B357" i="25" s="1"/>
  <c r="E351" i="39" l="1"/>
  <c r="D352" i="39" s="1"/>
  <c r="F351" i="39"/>
  <c r="C355" i="39"/>
  <c r="A356" i="39"/>
  <c r="B356" i="39" s="1"/>
  <c r="B358" i="30"/>
  <c r="A359" i="30"/>
  <c r="D356" i="30"/>
  <c r="C357" i="30" s="1"/>
  <c r="E356" i="30"/>
  <c r="D351" i="25"/>
  <c r="C352" i="25" s="1"/>
  <c r="E351" i="25"/>
  <c r="A358" i="25"/>
  <c r="B358" i="25" s="1"/>
  <c r="E352" i="39" l="1"/>
  <c r="D353" i="39" s="1"/>
  <c r="F352" i="39"/>
  <c r="C356" i="39"/>
  <c r="A357" i="39"/>
  <c r="B357" i="39" s="1"/>
  <c r="B359" i="30"/>
  <c r="A360" i="30"/>
  <c r="D357" i="30"/>
  <c r="C358" i="30" s="1"/>
  <c r="E357" i="30"/>
  <c r="D352" i="25"/>
  <c r="C353" i="25" s="1"/>
  <c r="E352" i="25"/>
  <c r="A359" i="25"/>
  <c r="B359" i="25" s="1"/>
  <c r="F353" i="39" l="1"/>
  <c r="E353" i="39"/>
  <c r="D354" i="39" s="1"/>
  <c r="C357" i="39"/>
  <c r="A358" i="39"/>
  <c r="B358" i="39" s="1"/>
  <c r="B360" i="30"/>
  <c r="A361" i="30"/>
  <c r="D358" i="30"/>
  <c r="C359" i="30" s="1"/>
  <c r="E358" i="30"/>
  <c r="D353" i="25"/>
  <c r="C354" i="25" s="1"/>
  <c r="E353" i="25"/>
  <c r="A360" i="25"/>
  <c r="B360" i="25" s="1"/>
  <c r="F354" i="39" l="1"/>
  <c r="E354" i="39"/>
  <c r="D355" i="39" s="1"/>
  <c r="C358" i="39"/>
  <c r="A359" i="39"/>
  <c r="B359" i="39" s="1"/>
  <c r="B361" i="30"/>
  <c r="A362" i="30"/>
  <c r="D359" i="30"/>
  <c r="C360" i="30" s="1"/>
  <c r="E359" i="30"/>
  <c r="E354" i="25"/>
  <c r="D354" i="25"/>
  <c r="C355" i="25" s="1"/>
  <c r="A361" i="25"/>
  <c r="B361" i="25" s="1"/>
  <c r="E355" i="39" l="1"/>
  <c r="D356" i="39" s="1"/>
  <c r="F355" i="39"/>
  <c r="C359" i="39"/>
  <c r="A360" i="39"/>
  <c r="B360" i="39" s="1"/>
  <c r="B362" i="30"/>
  <c r="A363" i="30"/>
  <c r="D360" i="30"/>
  <c r="C361" i="30" s="1"/>
  <c r="E360" i="30"/>
  <c r="D355" i="25"/>
  <c r="C356" i="25" s="1"/>
  <c r="E355" i="25"/>
  <c r="A362" i="25"/>
  <c r="B362" i="25" s="1"/>
  <c r="F356" i="39" l="1"/>
  <c r="E356" i="39"/>
  <c r="D357" i="39" s="1"/>
  <c r="C360" i="39"/>
  <c r="A361" i="39"/>
  <c r="B361" i="39" s="1"/>
  <c r="B363" i="30"/>
  <c r="A364" i="30"/>
  <c r="D361" i="30"/>
  <c r="C362" i="30" s="1"/>
  <c r="E361" i="30"/>
  <c r="D356" i="25"/>
  <c r="C357" i="25" s="1"/>
  <c r="E356" i="25"/>
  <c r="A363" i="25"/>
  <c r="B363" i="25" s="1"/>
  <c r="E357" i="39" l="1"/>
  <c r="D358" i="39" s="1"/>
  <c r="F357" i="39"/>
  <c r="C361" i="39"/>
  <c r="A362" i="39"/>
  <c r="B362" i="39" s="1"/>
  <c r="B364" i="30"/>
  <c r="A365" i="30"/>
  <c r="D362" i="30"/>
  <c r="C363" i="30" s="1"/>
  <c r="E362" i="30"/>
  <c r="D357" i="25"/>
  <c r="C358" i="25" s="1"/>
  <c r="E357" i="25"/>
  <c r="A364" i="25"/>
  <c r="B364" i="25" s="1"/>
  <c r="E358" i="39" l="1"/>
  <c r="D359" i="39" s="1"/>
  <c r="F358" i="39"/>
  <c r="C362" i="39"/>
  <c r="A363" i="39"/>
  <c r="B363" i="39" s="1"/>
  <c r="B365" i="30"/>
  <c r="A366" i="30"/>
  <c r="D363" i="30"/>
  <c r="C364" i="30" s="1"/>
  <c r="E363" i="30"/>
  <c r="E358" i="25"/>
  <c r="D358" i="25"/>
  <c r="C359" i="25" s="1"/>
  <c r="A365" i="25"/>
  <c r="B365" i="25" s="1"/>
  <c r="E359" i="39" l="1"/>
  <c r="D360" i="39" s="1"/>
  <c r="F359" i="39"/>
  <c r="C363" i="39"/>
  <c r="A364" i="39"/>
  <c r="B364" i="39" s="1"/>
  <c r="B366" i="30"/>
  <c r="A367" i="30"/>
  <c r="D364" i="30"/>
  <c r="C365" i="30" s="1"/>
  <c r="E364" i="30"/>
  <c r="E359" i="25"/>
  <c r="D359" i="25"/>
  <c r="C360" i="25" s="1"/>
  <c r="A366" i="25"/>
  <c r="B366" i="25" s="1"/>
  <c r="F360" i="39" l="1"/>
  <c r="E360" i="39"/>
  <c r="D361" i="39" s="1"/>
  <c r="C364" i="39"/>
  <c r="A365" i="39"/>
  <c r="B365" i="39" s="1"/>
  <c r="B367" i="30"/>
  <c r="A368" i="30"/>
  <c r="D365" i="30"/>
  <c r="C366" i="30" s="1"/>
  <c r="E365" i="30"/>
  <c r="D360" i="25"/>
  <c r="C361" i="25" s="1"/>
  <c r="E360" i="25"/>
  <c r="A367" i="25"/>
  <c r="B367" i="25" s="1"/>
  <c r="E361" i="39" l="1"/>
  <c r="D362" i="39" s="1"/>
  <c r="F361" i="39"/>
  <c r="C365" i="39"/>
  <c r="A366" i="39"/>
  <c r="B366" i="39" s="1"/>
  <c r="B368" i="30"/>
  <c r="A369" i="30"/>
  <c r="D366" i="30"/>
  <c r="C367" i="30" s="1"/>
  <c r="E366" i="30"/>
  <c r="E361" i="25"/>
  <c r="D361" i="25"/>
  <c r="C362" i="25" s="1"/>
  <c r="A368" i="25"/>
  <c r="B368" i="25" s="1"/>
  <c r="E362" i="39" l="1"/>
  <c r="D363" i="39" s="1"/>
  <c r="F362" i="39"/>
  <c r="C366" i="39"/>
  <c r="A367" i="39"/>
  <c r="B367" i="39" s="1"/>
  <c r="B369" i="30"/>
  <c r="A370" i="30"/>
  <c r="D367" i="30"/>
  <c r="C368" i="30" s="1"/>
  <c r="E367" i="30"/>
  <c r="D362" i="25"/>
  <c r="C363" i="25" s="1"/>
  <c r="E362" i="25"/>
  <c r="A369" i="25"/>
  <c r="B369" i="25" s="1"/>
  <c r="F363" i="39" l="1"/>
  <c r="E363" i="39"/>
  <c r="D364" i="39" s="1"/>
  <c r="C367" i="39"/>
  <c r="A368" i="39"/>
  <c r="B368" i="39" s="1"/>
  <c r="B370" i="30"/>
  <c r="A371" i="30"/>
  <c r="D368" i="30"/>
  <c r="C369" i="30" s="1"/>
  <c r="E368" i="30"/>
  <c r="E363" i="25"/>
  <c r="D363" i="25"/>
  <c r="C364" i="25" s="1"/>
  <c r="A370" i="25"/>
  <c r="B370" i="25" s="1"/>
  <c r="E364" i="39" l="1"/>
  <c r="D365" i="39" s="1"/>
  <c r="F364" i="39"/>
  <c r="C368" i="39"/>
  <c r="A369" i="39"/>
  <c r="B369" i="39" s="1"/>
  <c r="B371" i="30"/>
  <c r="A372" i="30"/>
  <c r="D369" i="30"/>
  <c r="C370" i="30" s="1"/>
  <c r="E369" i="30"/>
  <c r="D364" i="25"/>
  <c r="C365" i="25" s="1"/>
  <c r="E364" i="25"/>
  <c r="A371" i="25"/>
  <c r="B371" i="25" s="1"/>
  <c r="F365" i="39" l="1"/>
  <c r="E365" i="39"/>
  <c r="D366" i="39" s="1"/>
  <c r="C369" i="39"/>
  <c r="A370" i="39"/>
  <c r="B370" i="39" s="1"/>
  <c r="B372" i="30"/>
  <c r="A373" i="30"/>
  <c r="D370" i="30"/>
  <c r="C371" i="30" s="1"/>
  <c r="E370" i="30"/>
  <c r="D365" i="25"/>
  <c r="C366" i="25" s="1"/>
  <c r="E365" i="25"/>
  <c r="A372" i="25"/>
  <c r="B372" i="25" s="1"/>
  <c r="F366" i="39" l="1"/>
  <c r="E366" i="39"/>
  <c r="D367" i="39" s="1"/>
  <c r="C370" i="39"/>
  <c r="A371" i="39"/>
  <c r="B371" i="39" s="1"/>
  <c r="B373" i="30"/>
  <c r="A374" i="30"/>
  <c r="D371" i="30"/>
  <c r="C372" i="30" s="1"/>
  <c r="E371" i="30"/>
  <c r="E366" i="25"/>
  <c r="D366" i="25"/>
  <c r="C367" i="25" s="1"/>
  <c r="A373" i="25"/>
  <c r="B373" i="25" s="1"/>
  <c r="F367" i="39" l="1"/>
  <c r="E367" i="39"/>
  <c r="D368" i="39" s="1"/>
  <c r="C371" i="39"/>
  <c r="A372" i="39"/>
  <c r="B372" i="39" s="1"/>
  <c r="B374" i="30"/>
  <c r="A375" i="30"/>
  <c r="D372" i="30"/>
  <c r="C373" i="30" s="1"/>
  <c r="E372" i="30"/>
  <c r="E367" i="25"/>
  <c r="D367" i="25"/>
  <c r="C368" i="25" s="1"/>
  <c r="A374" i="25"/>
  <c r="B374" i="25" s="1"/>
  <c r="E368" i="39" l="1"/>
  <c r="D369" i="39" s="1"/>
  <c r="F368" i="39"/>
  <c r="C372" i="39"/>
  <c r="A373" i="39"/>
  <c r="B373" i="39" s="1"/>
  <c r="B375" i="30"/>
  <c r="A376" i="30"/>
  <c r="D373" i="30"/>
  <c r="C374" i="30" s="1"/>
  <c r="E373" i="30"/>
  <c r="D368" i="25"/>
  <c r="C369" i="25" s="1"/>
  <c r="E368" i="25"/>
  <c r="A375" i="25"/>
  <c r="B375" i="25" s="1"/>
  <c r="F369" i="39" l="1"/>
  <c r="E369" i="39"/>
  <c r="D370" i="39" s="1"/>
  <c r="C373" i="39"/>
  <c r="A374" i="39"/>
  <c r="B374" i="39" s="1"/>
  <c r="B376" i="30"/>
  <c r="A377" i="30"/>
  <c r="D374" i="30"/>
  <c r="C375" i="30" s="1"/>
  <c r="E374" i="30"/>
  <c r="D369" i="25"/>
  <c r="C370" i="25" s="1"/>
  <c r="E369" i="25"/>
  <c r="A376" i="25"/>
  <c r="B376" i="25" s="1"/>
  <c r="E370" i="39" l="1"/>
  <c r="D371" i="39" s="1"/>
  <c r="F370" i="39"/>
  <c r="C374" i="39"/>
  <c r="A375" i="39"/>
  <c r="B375" i="39" s="1"/>
  <c r="B377" i="30"/>
  <c r="A378" i="30"/>
  <c r="D375" i="30"/>
  <c r="C376" i="30" s="1"/>
  <c r="E375" i="30"/>
  <c r="E370" i="25"/>
  <c r="D370" i="25"/>
  <c r="C371" i="25" s="1"/>
  <c r="A377" i="25"/>
  <c r="B377" i="25" s="1"/>
  <c r="F371" i="39" l="1"/>
  <c r="E371" i="39"/>
  <c r="D372" i="39" s="1"/>
  <c r="C375" i="39"/>
  <c r="A376" i="39"/>
  <c r="B376" i="39" s="1"/>
  <c r="B378" i="30"/>
  <c r="A379" i="30"/>
  <c r="D376" i="30"/>
  <c r="C377" i="30" s="1"/>
  <c r="E376" i="30"/>
  <c r="D371" i="25"/>
  <c r="C372" i="25" s="1"/>
  <c r="E371" i="25"/>
  <c r="A378" i="25"/>
  <c r="B378" i="25" s="1"/>
  <c r="E372" i="39" l="1"/>
  <c r="D373" i="39" s="1"/>
  <c r="F372" i="39"/>
  <c r="C376" i="39"/>
  <c r="A377" i="39"/>
  <c r="B377" i="39" s="1"/>
  <c r="B379" i="30"/>
  <c r="A380" i="30"/>
  <c r="D377" i="30"/>
  <c r="C378" i="30" s="1"/>
  <c r="E377" i="30"/>
  <c r="D372" i="25"/>
  <c r="C373" i="25" s="1"/>
  <c r="E372" i="25"/>
  <c r="A379" i="25"/>
  <c r="B379" i="25" s="1"/>
  <c r="F373" i="39" l="1"/>
  <c r="E373" i="39"/>
  <c r="D374" i="39" s="1"/>
  <c r="C377" i="39"/>
  <c r="A378" i="39"/>
  <c r="B378" i="39" s="1"/>
  <c r="B380" i="30"/>
  <c r="A381" i="30"/>
  <c r="D378" i="30"/>
  <c r="C379" i="30" s="1"/>
  <c r="E378" i="30"/>
  <c r="E373" i="25"/>
  <c r="D373" i="25"/>
  <c r="C374" i="25" s="1"/>
  <c r="A380" i="25"/>
  <c r="B380" i="25" s="1"/>
  <c r="E374" i="39" l="1"/>
  <c r="D375" i="39" s="1"/>
  <c r="F374" i="39"/>
  <c r="C378" i="39"/>
  <c r="A379" i="39"/>
  <c r="B379" i="39" s="1"/>
  <c r="B381" i="30"/>
  <c r="A382" i="30"/>
  <c r="D379" i="30"/>
  <c r="C380" i="30" s="1"/>
  <c r="E379" i="30"/>
  <c r="D374" i="25"/>
  <c r="C375" i="25" s="1"/>
  <c r="E374" i="25"/>
  <c r="A381" i="25"/>
  <c r="B381" i="25" s="1"/>
  <c r="F375" i="39" l="1"/>
  <c r="E375" i="39"/>
  <c r="D376" i="39" s="1"/>
  <c r="C379" i="39"/>
  <c r="A380" i="39"/>
  <c r="B380" i="39" s="1"/>
  <c r="B382" i="30"/>
  <c r="A383" i="30"/>
  <c r="D380" i="30"/>
  <c r="C381" i="30" s="1"/>
  <c r="E380" i="30"/>
  <c r="E375" i="25"/>
  <c r="D375" i="25"/>
  <c r="C376" i="25" s="1"/>
  <c r="A382" i="25"/>
  <c r="B382" i="25" s="1"/>
  <c r="F376" i="39" l="1"/>
  <c r="E376" i="39"/>
  <c r="D377" i="39" s="1"/>
  <c r="C380" i="39"/>
  <c r="A381" i="39"/>
  <c r="B381" i="39" s="1"/>
  <c r="B383" i="30"/>
  <c r="A384" i="30"/>
  <c r="D381" i="30"/>
  <c r="C382" i="30" s="1"/>
  <c r="E381" i="30"/>
  <c r="D376" i="25"/>
  <c r="C377" i="25" s="1"/>
  <c r="E376" i="25"/>
  <c r="A383" i="25"/>
  <c r="B383" i="25" s="1"/>
  <c r="E377" i="39" l="1"/>
  <c r="D378" i="39" s="1"/>
  <c r="F377" i="39"/>
  <c r="C381" i="39"/>
  <c r="A382" i="39"/>
  <c r="B382" i="39" s="1"/>
  <c r="B384" i="30"/>
  <c r="A385" i="30"/>
  <c r="D382" i="30"/>
  <c r="C383" i="30" s="1"/>
  <c r="E382" i="30"/>
  <c r="E377" i="25"/>
  <c r="D377" i="25"/>
  <c r="C378" i="25" s="1"/>
  <c r="A384" i="25"/>
  <c r="B384" i="25" s="1"/>
  <c r="F378" i="39" l="1"/>
  <c r="E378" i="39"/>
  <c r="D379" i="39" s="1"/>
  <c r="C382" i="39"/>
  <c r="A383" i="39"/>
  <c r="B383" i="39" s="1"/>
  <c r="B385" i="30"/>
  <c r="A386" i="30"/>
  <c r="D383" i="30"/>
  <c r="C384" i="30" s="1"/>
  <c r="E383" i="30"/>
  <c r="D378" i="25"/>
  <c r="C379" i="25" s="1"/>
  <c r="E378" i="25"/>
  <c r="A385" i="25"/>
  <c r="B385" i="25" s="1"/>
  <c r="E379" i="39" l="1"/>
  <c r="D380" i="39" s="1"/>
  <c r="F379" i="39"/>
  <c r="C383" i="39"/>
  <c r="A384" i="39"/>
  <c r="B384" i="39" s="1"/>
  <c r="B386" i="30"/>
  <c r="A387" i="30"/>
  <c r="D384" i="30"/>
  <c r="C385" i="30" s="1"/>
  <c r="E384" i="30"/>
  <c r="E379" i="25"/>
  <c r="D379" i="25"/>
  <c r="C380" i="25" s="1"/>
  <c r="A386" i="25"/>
  <c r="B386" i="25" s="1"/>
  <c r="F380" i="39" l="1"/>
  <c r="E380" i="39"/>
  <c r="D381" i="39" s="1"/>
  <c r="C384" i="39"/>
  <c r="A385" i="39"/>
  <c r="B385" i="39" s="1"/>
  <c r="B387" i="30"/>
  <c r="A388" i="30"/>
  <c r="D385" i="30"/>
  <c r="C386" i="30" s="1"/>
  <c r="E385" i="30"/>
  <c r="D380" i="25"/>
  <c r="C381" i="25" s="1"/>
  <c r="E380" i="25"/>
  <c r="A387" i="25"/>
  <c r="B387" i="25" s="1"/>
  <c r="E381" i="39" l="1"/>
  <c r="D382" i="39" s="1"/>
  <c r="F381" i="39"/>
  <c r="C385" i="39"/>
  <c r="A386" i="39"/>
  <c r="B386" i="39" s="1"/>
  <c r="B388" i="30"/>
  <c r="A389" i="30"/>
  <c r="D386" i="30"/>
  <c r="C387" i="30" s="1"/>
  <c r="E386" i="30"/>
  <c r="D381" i="25"/>
  <c r="C382" i="25" s="1"/>
  <c r="E381" i="25"/>
  <c r="A388" i="25"/>
  <c r="B388" i="25" s="1"/>
  <c r="E382" i="39" l="1"/>
  <c r="D383" i="39" s="1"/>
  <c r="F382" i="39"/>
  <c r="C386" i="39"/>
  <c r="A387" i="39"/>
  <c r="B387" i="39" s="1"/>
  <c r="B389" i="30"/>
  <c r="A390" i="30"/>
  <c r="D387" i="30"/>
  <c r="C388" i="30" s="1"/>
  <c r="E387" i="30"/>
  <c r="D382" i="25"/>
  <c r="C383" i="25" s="1"/>
  <c r="E382" i="25"/>
  <c r="A389" i="25"/>
  <c r="B389" i="25" s="1"/>
  <c r="F383" i="39" l="1"/>
  <c r="E383" i="39"/>
  <c r="D384" i="39" s="1"/>
  <c r="C387" i="39"/>
  <c r="A388" i="39"/>
  <c r="B388" i="39" s="1"/>
  <c r="B390" i="30"/>
  <c r="A391" i="30"/>
  <c r="D388" i="30"/>
  <c r="C389" i="30" s="1"/>
  <c r="E388" i="30"/>
  <c r="D383" i="25"/>
  <c r="C384" i="25" s="1"/>
  <c r="E383" i="25"/>
  <c r="A390" i="25"/>
  <c r="B390" i="25" s="1"/>
  <c r="F384" i="39" l="1"/>
  <c r="E384" i="39"/>
  <c r="D385" i="39" s="1"/>
  <c r="C388" i="39"/>
  <c r="A389" i="39"/>
  <c r="B389" i="39" s="1"/>
  <c r="B391" i="30"/>
  <c r="A392" i="30"/>
  <c r="D389" i="30"/>
  <c r="C390" i="30" s="1"/>
  <c r="E389" i="30"/>
  <c r="D384" i="25"/>
  <c r="C385" i="25" s="1"/>
  <c r="E384" i="25"/>
  <c r="A391" i="25"/>
  <c r="B391" i="25" s="1"/>
  <c r="E385" i="39" l="1"/>
  <c r="D386" i="39" s="1"/>
  <c r="F385" i="39"/>
  <c r="C389" i="39"/>
  <c r="A390" i="39"/>
  <c r="B390" i="39" s="1"/>
  <c r="B392" i="30"/>
  <c r="A393" i="30"/>
  <c r="D390" i="30"/>
  <c r="C391" i="30" s="1"/>
  <c r="E390" i="30"/>
  <c r="D385" i="25"/>
  <c r="C386" i="25" s="1"/>
  <c r="E385" i="25"/>
  <c r="A392" i="25"/>
  <c r="B392" i="25" s="1"/>
  <c r="F386" i="39" l="1"/>
  <c r="E386" i="39"/>
  <c r="D387" i="39" s="1"/>
  <c r="C390" i="39"/>
  <c r="A391" i="39"/>
  <c r="B391" i="39" s="1"/>
  <c r="B393" i="30"/>
  <c r="A394" i="30"/>
  <c r="D391" i="30"/>
  <c r="C392" i="30" s="1"/>
  <c r="E391" i="30"/>
  <c r="E386" i="25"/>
  <c r="D386" i="25"/>
  <c r="C387" i="25" s="1"/>
  <c r="A393" i="25"/>
  <c r="B393" i="25" s="1"/>
  <c r="F387" i="39" l="1"/>
  <c r="E387" i="39"/>
  <c r="D388" i="39" s="1"/>
  <c r="C391" i="39"/>
  <c r="A392" i="39"/>
  <c r="B392" i="39" s="1"/>
  <c r="B394" i="30"/>
  <c r="A395" i="30"/>
  <c r="D392" i="30"/>
  <c r="C393" i="30" s="1"/>
  <c r="E392" i="30"/>
  <c r="E387" i="25"/>
  <c r="D387" i="25"/>
  <c r="C388" i="25" s="1"/>
  <c r="A394" i="25"/>
  <c r="B394" i="25" s="1"/>
  <c r="F388" i="39" l="1"/>
  <c r="E388" i="39"/>
  <c r="D389" i="39" s="1"/>
  <c r="C392" i="39"/>
  <c r="A393" i="39"/>
  <c r="B393" i="39" s="1"/>
  <c r="B395" i="30"/>
  <c r="A396" i="30"/>
  <c r="D393" i="30"/>
  <c r="C394" i="30" s="1"/>
  <c r="E393" i="30"/>
  <c r="D388" i="25"/>
  <c r="C389" i="25" s="1"/>
  <c r="E388" i="25"/>
  <c r="A395" i="25"/>
  <c r="B395" i="25" s="1"/>
  <c r="F389" i="39" l="1"/>
  <c r="E389" i="39"/>
  <c r="D390" i="39" s="1"/>
  <c r="C393" i="39"/>
  <c r="A394" i="39"/>
  <c r="B394" i="39" s="1"/>
  <c r="B396" i="30"/>
  <c r="A397" i="30"/>
  <c r="D394" i="30"/>
  <c r="C395" i="30" s="1"/>
  <c r="E394" i="30"/>
  <c r="E389" i="25"/>
  <c r="D389" i="25"/>
  <c r="C390" i="25" s="1"/>
  <c r="A396" i="25"/>
  <c r="B396" i="25" s="1"/>
  <c r="E390" i="39" l="1"/>
  <c r="D391" i="39" s="1"/>
  <c r="F390" i="39"/>
  <c r="C394" i="39"/>
  <c r="A395" i="39"/>
  <c r="B395" i="39" s="1"/>
  <c r="B397" i="30"/>
  <c r="A398" i="30"/>
  <c r="D395" i="30"/>
  <c r="C396" i="30" s="1"/>
  <c r="E395" i="30"/>
  <c r="D390" i="25"/>
  <c r="C391" i="25" s="1"/>
  <c r="E390" i="25"/>
  <c r="A397" i="25"/>
  <c r="B397" i="25" s="1"/>
  <c r="E391" i="39" l="1"/>
  <c r="D392" i="39" s="1"/>
  <c r="F391" i="39"/>
  <c r="C395" i="39"/>
  <c r="A396" i="39"/>
  <c r="B396" i="39" s="1"/>
  <c r="B398" i="30"/>
  <c r="A399" i="30"/>
  <c r="D396" i="30"/>
  <c r="C397" i="30" s="1"/>
  <c r="E396" i="30"/>
  <c r="D391" i="25"/>
  <c r="C392" i="25" s="1"/>
  <c r="E391" i="25"/>
  <c r="A398" i="25"/>
  <c r="B398" i="25" s="1"/>
  <c r="E392" i="39" l="1"/>
  <c r="D393" i="39" s="1"/>
  <c r="F392" i="39"/>
  <c r="C396" i="39"/>
  <c r="A397" i="39"/>
  <c r="B397" i="39" s="1"/>
  <c r="B399" i="30"/>
  <c r="A400" i="30"/>
  <c r="D397" i="30"/>
  <c r="C398" i="30" s="1"/>
  <c r="E397" i="30"/>
  <c r="D392" i="25"/>
  <c r="C393" i="25" s="1"/>
  <c r="E392" i="25"/>
  <c r="A399" i="25"/>
  <c r="B399" i="25" s="1"/>
  <c r="F393" i="39" l="1"/>
  <c r="E393" i="39"/>
  <c r="D394" i="39" s="1"/>
  <c r="C397" i="39"/>
  <c r="A398" i="39"/>
  <c r="B398" i="39" s="1"/>
  <c r="B400" i="30"/>
  <c r="A401" i="30"/>
  <c r="D398" i="30"/>
  <c r="C399" i="30" s="1"/>
  <c r="E398" i="30"/>
  <c r="E393" i="25"/>
  <c r="D393" i="25"/>
  <c r="C394" i="25" s="1"/>
  <c r="A400" i="25"/>
  <c r="B400" i="25" s="1"/>
  <c r="F394" i="39" l="1"/>
  <c r="E394" i="39"/>
  <c r="D395" i="39" s="1"/>
  <c r="C398" i="39"/>
  <c r="A399" i="39"/>
  <c r="B399" i="39" s="1"/>
  <c r="B401" i="30"/>
  <c r="A402" i="30"/>
  <c r="D399" i="30"/>
  <c r="C400" i="30" s="1"/>
  <c r="E399" i="30"/>
  <c r="D394" i="25"/>
  <c r="C395" i="25" s="1"/>
  <c r="E394" i="25"/>
  <c r="A401" i="25"/>
  <c r="B401" i="25" s="1"/>
  <c r="F395" i="39" l="1"/>
  <c r="E395" i="39"/>
  <c r="D396" i="39" s="1"/>
  <c r="C399" i="39"/>
  <c r="A400" i="39"/>
  <c r="B400" i="39" s="1"/>
  <c r="B402" i="30"/>
  <c r="A403" i="30"/>
  <c r="D400" i="30"/>
  <c r="C401" i="30" s="1"/>
  <c r="E400" i="30"/>
  <c r="D395" i="25"/>
  <c r="C396" i="25" s="1"/>
  <c r="E395" i="25"/>
  <c r="A402" i="25"/>
  <c r="B402" i="25" s="1"/>
  <c r="E396" i="39" l="1"/>
  <c r="D397" i="39" s="1"/>
  <c r="F396" i="39"/>
  <c r="C400" i="39"/>
  <c r="A401" i="39"/>
  <c r="B401" i="39" s="1"/>
  <c r="B403" i="30"/>
  <c r="A404" i="30"/>
  <c r="D401" i="30"/>
  <c r="C402" i="30" s="1"/>
  <c r="E401" i="30"/>
  <c r="D396" i="25"/>
  <c r="C397" i="25" s="1"/>
  <c r="E396" i="25"/>
  <c r="A403" i="25"/>
  <c r="B403" i="25" s="1"/>
  <c r="F397" i="39" l="1"/>
  <c r="E397" i="39"/>
  <c r="D398" i="39" s="1"/>
  <c r="C401" i="39"/>
  <c r="A402" i="39"/>
  <c r="B402" i="39" s="1"/>
  <c r="B404" i="30"/>
  <c r="A405" i="30"/>
  <c r="D402" i="30"/>
  <c r="C403" i="30" s="1"/>
  <c r="E402" i="30"/>
  <c r="D397" i="25"/>
  <c r="C398" i="25" s="1"/>
  <c r="E397" i="25"/>
  <c r="A404" i="25"/>
  <c r="B404" i="25" s="1"/>
  <c r="F398" i="39" l="1"/>
  <c r="E398" i="39"/>
  <c r="D399" i="39" s="1"/>
  <c r="C402" i="39"/>
  <c r="A403" i="39"/>
  <c r="B403" i="39" s="1"/>
  <c r="B405" i="30"/>
  <c r="A406" i="30"/>
  <c r="D403" i="30"/>
  <c r="C404" i="30" s="1"/>
  <c r="E403" i="30"/>
  <c r="D398" i="25"/>
  <c r="C399" i="25" s="1"/>
  <c r="E398" i="25"/>
  <c r="A405" i="25"/>
  <c r="B405" i="25" s="1"/>
  <c r="F399" i="39" l="1"/>
  <c r="E399" i="39"/>
  <c r="D400" i="39" s="1"/>
  <c r="C403" i="39"/>
  <c r="A404" i="39"/>
  <c r="B404" i="39" s="1"/>
  <c r="B406" i="30"/>
  <c r="A407" i="30"/>
  <c r="D404" i="30"/>
  <c r="C405" i="30" s="1"/>
  <c r="E404" i="30"/>
  <c r="E399" i="25"/>
  <c r="D399" i="25"/>
  <c r="C400" i="25" s="1"/>
  <c r="A406" i="25"/>
  <c r="B406" i="25" s="1"/>
  <c r="E400" i="39" l="1"/>
  <c r="D401" i="39" s="1"/>
  <c r="F400" i="39"/>
  <c r="C404" i="39"/>
  <c r="A405" i="39"/>
  <c r="B405" i="39" s="1"/>
  <c r="B407" i="30"/>
  <c r="A408" i="30"/>
  <c r="D405" i="30"/>
  <c r="C406" i="30" s="1"/>
  <c r="E405" i="30"/>
  <c r="D400" i="25"/>
  <c r="C401" i="25" s="1"/>
  <c r="E400" i="25"/>
  <c r="A407" i="25"/>
  <c r="B407" i="25" s="1"/>
  <c r="F401" i="39" l="1"/>
  <c r="E401" i="39"/>
  <c r="D402" i="39" s="1"/>
  <c r="C405" i="39"/>
  <c r="A406" i="39"/>
  <c r="B406" i="39" s="1"/>
  <c r="B408" i="30"/>
  <c r="A409" i="30"/>
  <c r="D406" i="30"/>
  <c r="C407" i="30" s="1"/>
  <c r="E406" i="30"/>
  <c r="E401" i="25"/>
  <c r="D401" i="25"/>
  <c r="C402" i="25" s="1"/>
  <c r="A408" i="25"/>
  <c r="B408" i="25" s="1"/>
  <c r="E402" i="39" l="1"/>
  <c r="D403" i="39" s="1"/>
  <c r="F402" i="39"/>
  <c r="C406" i="39"/>
  <c r="A407" i="39"/>
  <c r="B407" i="39" s="1"/>
  <c r="B409" i="30"/>
  <c r="A410" i="30"/>
  <c r="D407" i="30"/>
  <c r="C408" i="30" s="1"/>
  <c r="E407" i="30"/>
  <c r="D402" i="25"/>
  <c r="C403" i="25" s="1"/>
  <c r="E402" i="25"/>
  <c r="A409" i="25"/>
  <c r="B409" i="25" s="1"/>
  <c r="F403" i="39" l="1"/>
  <c r="E403" i="39"/>
  <c r="D404" i="39" s="1"/>
  <c r="C407" i="39"/>
  <c r="A408" i="39"/>
  <c r="B408" i="39" s="1"/>
  <c r="B410" i="30"/>
  <c r="A411" i="30"/>
  <c r="D408" i="30"/>
  <c r="C409" i="30" s="1"/>
  <c r="E408" i="30"/>
  <c r="D403" i="25"/>
  <c r="C404" i="25" s="1"/>
  <c r="E403" i="25"/>
  <c r="A410" i="25"/>
  <c r="B410" i="25" s="1"/>
  <c r="E404" i="39" l="1"/>
  <c r="D405" i="39" s="1"/>
  <c r="F404" i="39"/>
  <c r="C408" i="39"/>
  <c r="A409" i="39"/>
  <c r="B409" i="39" s="1"/>
  <c r="B411" i="30"/>
  <c r="A412" i="30"/>
  <c r="D409" i="30"/>
  <c r="C410" i="30" s="1"/>
  <c r="E409" i="30"/>
  <c r="D404" i="25"/>
  <c r="C405" i="25" s="1"/>
  <c r="E404" i="25"/>
  <c r="A411" i="25"/>
  <c r="B411" i="25" s="1"/>
  <c r="F405" i="39" l="1"/>
  <c r="E405" i="39"/>
  <c r="D406" i="39" s="1"/>
  <c r="C409" i="39"/>
  <c r="A410" i="39"/>
  <c r="B410" i="39" s="1"/>
  <c r="B412" i="30"/>
  <c r="A413" i="30"/>
  <c r="D410" i="30"/>
  <c r="C411" i="30" s="1"/>
  <c r="E410" i="30"/>
  <c r="D405" i="25"/>
  <c r="C406" i="25" s="1"/>
  <c r="E405" i="25"/>
  <c r="A412" i="25"/>
  <c r="B412" i="25" s="1"/>
  <c r="E406" i="39" l="1"/>
  <c r="D407" i="39" s="1"/>
  <c r="F406" i="39"/>
  <c r="C410" i="39"/>
  <c r="A411" i="39"/>
  <c r="B411" i="39" s="1"/>
  <c r="B413" i="30"/>
  <c r="A414" i="30"/>
  <c r="D411" i="30"/>
  <c r="C412" i="30" s="1"/>
  <c r="E411" i="30"/>
  <c r="E406" i="25"/>
  <c r="D406" i="25"/>
  <c r="C407" i="25" s="1"/>
  <c r="A413" i="25"/>
  <c r="B413" i="25" s="1"/>
  <c r="F407" i="39" l="1"/>
  <c r="E407" i="39"/>
  <c r="D408" i="39" s="1"/>
  <c r="C411" i="39"/>
  <c r="A412" i="39"/>
  <c r="B412" i="39" s="1"/>
  <c r="B414" i="30"/>
  <c r="A415" i="30"/>
  <c r="D412" i="30"/>
  <c r="C413" i="30" s="1"/>
  <c r="E412" i="30"/>
  <c r="D407" i="25"/>
  <c r="C408" i="25" s="1"/>
  <c r="E407" i="25"/>
  <c r="A414" i="25"/>
  <c r="B414" i="25" s="1"/>
  <c r="F408" i="39" l="1"/>
  <c r="E408" i="39"/>
  <c r="D409" i="39" s="1"/>
  <c r="C412" i="39"/>
  <c r="A413" i="39"/>
  <c r="B413" i="39" s="1"/>
  <c r="B415" i="30"/>
  <c r="A416" i="30"/>
  <c r="D413" i="30"/>
  <c r="C414" i="30" s="1"/>
  <c r="E413" i="30"/>
  <c r="D408" i="25"/>
  <c r="C409" i="25" s="1"/>
  <c r="E408" i="25"/>
  <c r="A415" i="25"/>
  <c r="B415" i="25" s="1"/>
  <c r="F409" i="39" l="1"/>
  <c r="E409" i="39"/>
  <c r="D410" i="39" s="1"/>
  <c r="C413" i="39"/>
  <c r="A414" i="39"/>
  <c r="B414" i="39" s="1"/>
  <c r="B416" i="30"/>
  <c r="A417" i="30"/>
  <c r="D414" i="30"/>
  <c r="C415" i="30" s="1"/>
  <c r="E414" i="30"/>
  <c r="D409" i="25"/>
  <c r="C410" i="25" s="1"/>
  <c r="E409" i="25"/>
  <c r="A416" i="25"/>
  <c r="B416" i="25" s="1"/>
  <c r="F410" i="39" l="1"/>
  <c r="E410" i="39"/>
  <c r="D411" i="39" s="1"/>
  <c r="C414" i="39"/>
  <c r="A415" i="39"/>
  <c r="B415" i="39" s="1"/>
  <c r="B417" i="30"/>
  <c r="A418" i="30"/>
  <c r="D415" i="30"/>
  <c r="C416" i="30" s="1"/>
  <c r="E415" i="30"/>
  <c r="E410" i="25"/>
  <c r="D410" i="25"/>
  <c r="C411" i="25" s="1"/>
  <c r="A417" i="25"/>
  <c r="B417" i="25" s="1"/>
  <c r="E411" i="39" l="1"/>
  <c r="D412" i="39" s="1"/>
  <c r="F411" i="39"/>
  <c r="C415" i="39"/>
  <c r="A416" i="39"/>
  <c r="B416" i="39" s="1"/>
  <c r="B418" i="30"/>
  <c r="A419" i="30"/>
  <c r="D416" i="30"/>
  <c r="C417" i="30" s="1"/>
  <c r="E416" i="30"/>
  <c r="D411" i="25"/>
  <c r="C412" i="25" s="1"/>
  <c r="E411" i="25"/>
  <c r="A418" i="25"/>
  <c r="B418" i="25" s="1"/>
  <c r="E412" i="39" l="1"/>
  <c r="D413" i="39" s="1"/>
  <c r="F412" i="39"/>
  <c r="C416" i="39"/>
  <c r="A417" i="39"/>
  <c r="B417" i="39" s="1"/>
  <c r="B419" i="30"/>
  <c r="A420" i="30"/>
  <c r="D417" i="30"/>
  <c r="C418" i="30" s="1"/>
  <c r="E417" i="30"/>
  <c r="D412" i="25"/>
  <c r="C413" i="25" s="1"/>
  <c r="E412" i="25"/>
  <c r="A419" i="25"/>
  <c r="B419" i="25" s="1"/>
  <c r="E413" i="39" l="1"/>
  <c r="D414" i="39" s="1"/>
  <c r="F413" i="39"/>
  <c r="C417" i="39"/>
  <c r="A418" i="39"/>
  <c r="B418" i="39" s="1"/>
  <c r="B420" i="30"/>
  <c r="A421" i="30"/>
  <c r="D418" i="30"/>
  <c r="C419" i="30" s="1"/>
  <c r="E418" i="30"/>
  <c r="E413" i="25"/>
  <c r="D413" i="25"/>
  <c r="C414" i="25" s="1"/>
  <c r="A420" i="25"/>
  <c r="B420" i="25" s="1"/>
  <c r="F414" i="39" l="1"/>
  <c r="E414" i="39"/>
  <c r="D415" i="39" s="1"/>
  <c r="C418" i="39"/>
  <c r="A419" i="39"/>
  <c r="B419" i="39" s="1"/>
  <c r="B421" i="30"/>
  <c r="A422" i="30"/>
  <c r="D419" i="30"/>
  <c r="C420" i="30" s="1"/>
  <c r="E419" i="30"/>
  <c r="E414" i="25"/>
  <c r="D414" i="25"/>
  <c r="C415" i="25" s="1"/>
  <c r="A421" i="25"/>
  <c r="B421" i="25" s="1"/>
  <c r="F415" i="39" l="1"/>
  <c r="E415" i="39"/>
  <c r="D416" i="39" s="1"/>
  <c r="C419" i="39"/>
  <c r="A420" i="39"/>
  <c r="B420" i="39" s="1"/>
  <c r="B422" i="30"/>
  <c r="A423" i="30"/>
  <c r="D420" i="30"/>
  <c r="C421" i="30" s="1"/>
  <c r="E420" i="30"/>
  <c r="D415" i="25"/>
  <c r="C416" i="25" s="1"/>
  <c r="E415" i="25"/>
  <c r="A422" i="25"/>
  <c r="B422" i="25" s="1"/>
  <c r="F416" i="39" l="1"/>
  <c r="E416" i="39"/>
  <c r="D417" i="39" s="1"/>
  <c r="C420" i="39"/>
  <c r="A421" i="39"/>
  <c r="B421" i="39" s="1"/>
  <c r="B423" i="30"/>
  <c r="A424" i="30"/>
  <c r="D421" i="30"/>
  <c r="C422" i="30" s="1"/>
  <c r="E421" i="30"/>
  <c r="D416" i="25"/>
  <c r="C417" i="25" s="1"/>
  <c r="E416" i="25"/>
  <c r="A423" i="25"/>
  <c r="B423" i="25" s="1"/>
  <c r="E417" i="39" l="1"/>
  <c r="D418" i="39" s="1"/>
  <c r="F417" i="39"/>
  <c r="C421" i="39"/>
  <c r="A422" i="39"/>
  <c r="B422" i="39" s="1"/>
  <c r="B424" i="30"/>
  <c r="A425" i="30"/>
  <c r="D422" i="30"/>
  <c r="C423" i="30" s="1"/>
  <c r="E422" i="30"/>
  <c r="E417" i="25"/>
  <c r="D417" i="25"/>
  <c r="C418" i="25" s="1"/>
  <c r="A424" i="25"/>
  <c r="B424" i="25" s="1"/>
  <c r="E418" i="39" l="1"/>
  <c r="D419" i="39" s="1"/>
  <c r="F418" i="39"/>
  <c r="C422" i="39"/>
  <c r="A423" i="39"/>
  <c r="B423" i="39" s="1"/>
  <c r="B425" i="30"/>
  <c r="A426" i="30"/>
  <c r="D423" i="30"/>
  <c r="C424" i="30" s="1"/>
  <c r="E423" i="30"/>
  <c r="D418" i="25"/>
  <c r="C419" i="25" s="1"/>
  <c r="E418" i="25"/>
  <c r="A425" i="25"/>
  <c r="B425" i="25" s="1"/>
  <c r="E419" i="39" l="1"/>
  <c r="D420" i="39" s="1"/>
  <c r="F419" i="39"/>
  <c r="C423" i="39"/>
  <c r="A424" i="39"/>
  <c r="B424" i="39" s="1"/>
  <c r="B426" i="30"/>
  <c r="A427" i="30"/>
  <c r="D424" i="30"/>
  <c r="C425" i="30" s="1"/>
  <c r="E424" i="30"/>
  <c r="E419" i="25"/>
  <c r="D419" i="25"/>
  <c r="C420" i="25" s="1"/>
  <c r="A426" i="25"/>
  <c r="B426" i="25" s="1"/>
  <c r="E420" i="39" l="1"/>
  <c r="D421" i="39" s="1"/>
  <c r="F420" i="39"/>
  <c r="C424" i="39"/>
  <c r="A425" i="39"/>
  <c r="B425" i="39" s="1"/>
  <c r="B427" i="30"/>
  <c r="A428" i="30"/>
  <c r="D425" i="30"/>
  <c r="C426" i="30" s="1"/>
  <c r="E425" i="30"/>
  <c r="D420" i="25"/>
  <c r="C421" i="25" s="1"/>
  <c r="E420" i="25"/>
  <c r="A427" i="25"/>
  <c r="B427" i="25" s="1"/>
  <c r="F421" i="39" l="1"/>
  <c r="E421" i="39"/>
  <c r="D422" i="39" s="1"/>
  <c r="C425" i="39"/>
  <c r="A426" i="39"/>
  <c r="B426" i="39" s="1"/>
  <c r="B428" i="30"/>
  <c r="A429" i="30"/>
  <c r="D426" i="30"/>
  <c r="C427" i="30" s="1"/>
  <c r="E426" i="30"/>
  <c r="E421" i="25"/>
  <c r="D421" i="25"/>
  <c r="C422" i="25" s="1"/>
  <c r="A428" i="25"/>
  <c r="B428" i="25" s="1"/>
  <c r="E422" i="39" l="1"/>
  <c r="D423" i="39" s="1"/>
  <c r="F422" i="39"/>
  <c r="C426" i="39"/>
  <c r="A427" i="39"/>
  <c r="B427" i="39" s="1"/>
  <c r="B429" i="30"/>
  <c r="A430" i="30"/>
  <c r="D427" i="30"/>
  <c r="C428" i="30" s="1"/>
  <c r="E427" i="30"/>
  <c r="D422" i="25"/>
  <c r="C423" i="25" s="1"/>
  <c r="E422" i="25"/>
  <c r="A429" i="25"/>
  <c r="B429" i="25" s="1"/>
  <c r="F423" i="39" l="1"/>
  <c r="E423" i="39"/>
  <c r="D424" i="39" s="1"/>
  <c r="C427" i="39"/>
  <c r="A428" i="39"/>
  <c r="B428" i="39" s="1"/>
  <c r="B430" i="30"/>
  <c r="A431" i="30"/>
  <c r="D428" i="30"/>
  <c r="C429" i="30" s="1"/>
  <c r="E428" i="30"/>
  <c r="D423" i="25"/>
  <c r="C424" i="25" s="1"/>
  <c r="E423" i="25"/>
  <c r="A430" i="25"/>
  <c r="B430" i="25" s="1"/>
  <c r="F424" i="39" l="1"/>
  <c r="E424" i="39"/>
  <c r="D425" i="39" s="1"/>
  <c r="C428" i="39"/>
  <c r="A429" i="39"/>
  <c r="B429" i="39" s="1"/>
  <c r="B431" i="30"/>
  <c r="A432" i="30"/>
  <c r="D429" i="30"/>
  <c r="C430" i="30" s="1"/>
  <c r="E429" i="30"/>
  <c r="D424" i="25"/>
  <c r="C425" i="25" s="1"/>
  <c r="E424" i="25"/>
  <c r="A431" i="25"/>
  <c r="B431" i="25" s="1"/>
  <c r="F425" i="39" l="1"/>
  <c r="E425" i="39"/>
  <c r="D426" i="39" s="1"/>
  <c r="C429" i="39"/>
  <c r="A430" i="39"/>
  <c r="B430" i="39" s="1"/>
  <c r="B432" i="30"/>
  <c r="A433" i="30"/>
  <c r="D430" i="30"/>
  <c r="C431" i="30" s="1"/>
  <c r="E430" i="30"/>
  <c r="D425" i="25"/>
  <c r="C426" i="25" s="1"/>
  <c r="E425" i="25"/>
  <c r="A432" i="25"/>
  <c r="B432" i="25" s="1"/>
  <c r="F426" i="39" l="1"/>
  <c r="E426" i="39"/>
  <c r="D427" i="39" s="1"/>
  <c r="C430" i="39"/>
  <c r="A431" i="39"/>
  <c r="B431" i="39" s="1"/>
  <c r="B433" i="30"/>
  <c r="A434" i="30"/>
  <c r="D431" i="30"/>
  <c r="C432" i="30" s="1"/>
  <c r="E431" i="30"/>
  <c r="D426" i="25"/>
  <c r="C427" i="25" s="1"/>
  <c r="E426" i="25"/>
  <c r="A433" i="25"/>
  <c r="B433" i="25" s="1"/>
  <c r="F427" i="39" l="1"/>
  <c r="E427" i="39"/>
  <c r="D428" i="39" s="1"/>
  <c r="C431" i="39"/>
  <c r="A432" i="39"/>
  <c r="B432" i="39" s="1"/>
  <c r="B434" i="30"/>
  <c r="A435" i="30"/>
  <c r="D432" i="30"/>
  <c r="C433" i="30" s="1"/>
  <c r="E432" i="30"/>
  <c r="E427" i="25"/>
  <c r="D427" i="25"/>
  <c r="C428" i="25" s="1"/>
  <c r="A434" i="25"/>
  <c r="B434" i="25" s="1"/>
  <c r="E428" i="39" l="1"/>
  <c r="D429" i="39" s="1"/>
  <c r="F428" i="39"/>
  <c r="C432" i="39"/>
  <c r="A433" i="39"/>
  <c r="B433" i="39" s="1"/>
  <c r="B435" i="30"/>
  <c r="A436" i="30"/>
  <c r="D433" i="30"/>
  <c r="C434" i="30" s="1"/>
  <c r="E433" i="30"/>
  <c r="D428" i="25"/>
  <c r="C429" i="25" s="1"/>
  <c r="E428" i="25"/>
  <c r="A435" i="25"/>
  <c r="B435" i="25" s="1"/>
  <c r="E429" i="39" l="1"/>
  <c r="D430" i="39" s="1"/>
  <c r="F429" i="39"/>
  <c r="C433" i="39"/>
  <c r="A434" i="39"/>
  <c r="B434" i="39" s="1"/>
  <c r="B436" i="30"/>
  <c r="A437" i="30"/>
  <c r="D434" i="30"/>
  <c r="C435" i="30" s="1"/>
  <c r="E434" i="30"/>
  <c r="D429" i="25"/>
  <c r="C430" i="25" s="1"/>
  <c r="E429" i="25"/>
  <c r="A436" i="25"/>
  <c r="B436" i="25" s="1"/>
  <c r="E430" i="39" l="1"/>
  <c r="D431" i="39" s="1"/>
  <c r="F430" i="39"/>
  <c r="C434" i="39"/>
  <c r="A435" i="39"/>
  <c r="B435" i="39" s="1"/>
  <c r="B437" i="30"/>
  <c r="A438" i="30"/>
  <c r="D435" i="30"/>
  <c r="C436" i="30" s="1"/>
  <c r="E435" i="30"/>
  <c r="D430" i="25"/>
  <c r="C431" i="25" s="1"/>
  <c r="E430" i="25"/>
  <c r="A437" i="25"/>
  <c r="B437" i="25" s="1"/>
  <c r="F431" i="39" l="1"/>
  <c r="E431" i="39"/>
  <c r="D432" i="39" s="1"/>
  <c r="C435" i="39"/>
  <c r="A436" i="39"/>
  <c r="B436" i="39" s="1"/>
  <c r="B438" i="30"/>
  <c r="A439" i="30"/>
  <c r="D436" i="30"/>
  <c r="C437" i="30" s="1"/>
  <c r="E436" i="30"/>
  <c r="D431" i="25"/>
  <c r="C432" i="25" s="1"/>
  <c r="E431" i="25"/>
  <c r="A438" i="25"/>
  <c r="B438" i="25" s="1"/>
  <c r="F432" i="39" l="1"/>
  <c r="E432" i="39"/>
  <c r="D433" i="39" s="1"/>
  <c r="C436" i="39"/>
  <c r="A437" i="39"/>
  <c r="B437" i="39" s="1"/>
  <c r="B439" i="30"/>
  <c r="A440" i="30"/>
  <c r="D437" i="30"/>
  <c r="C438" i="30" s="1"/>
  <c r="E437" i="30"/>
  <c r="D432" i="25"/>
  <c r="C433" i="25" s="1"/>
  <c r="E432" i="25"/>
  <c r="A439" i="25"/>
  <c r="B439" i="25" s="1"/>
  <c r="E433" i="39" l="1"/>
  <c r="D434" i="39" s="1"/>
  <c r="F433" i="39"/>
  <c r="C437" i="39"/>
  <c r="A438" i="39"/>
  <c r="B438" i="39" s="1"/>
  <c r="B440" i="30"/>
  <c r="A441" i="30"/>
  <c r="D438" i="30"/>
  <c r="C439" i="30" s="1"/>
  <c r="E438" i="30"/>
  <c r="D433" i="25"/>
  <c r="C434" i="25" s="1"/>
  <c r="E433" i="25"/>
  <c r="A440" i="25"/>
  <c r="B440" i="25" s="1"/>
  <c r="F434" i="39" l="1"/>
  <c r="E434" i="39"/>
  <c r="D435" i="39" s="1"/>
  <c r="C438" i="39"/>
  <c r="A439" i="39"/>
  <c r="B439" i="39" s="1"/>
  <c r="B441" i="30"/>
  <c r="A442" i="30"/>
  <c r="D439" i="30"/>
  <c r="C440" i="30" s="1"/>
  <c r="E439" i="30"/>
  <c r="D434" i="25"/>
  <c r="C435" i="25" s="1"/>
  <c r="E434" i="25"/>
  <c r="A441" i="25"/>
  <c r="B441" i="25" s="1"/>
  <c r="F435" i="39" l="1"/>
  <c r="E435" i="39"/>
  <c r="D436" i="39" s="1"/>
  <c r="C439" i="39"/>
  <c r="A440" i="39"/>
  <c r="B440" i="39" s="1"/>
  <c r="B442" i="30"/>
  <c r="A443" i="30"/>
  <c r="D440" i="30"/>
  <c r="C441" i="30" s="1"/>
  <c r="E440" i="30"/>
  <c r="D435" i="25"/>
  <c r="C436" i="25" s="1"/>
  <c r="E435" i="25"/>
  <c r="A442" i="25"/>
  <c r="B442" i="25" s="1"/>
  <c r="E436" i="39" l="1"/>
  <c r="D437" i="39" s="1"/>
  <c r="F436" i="39"/>
  <c r="C440" i="39"/>
  <c r="A441" i="39"/>
  <c r="B441" i="39" s="1"/>
  <c r="B443" i="30"/>
  <c r="A444" i="30"/>
  <c r="D441" i="30"/>
  <c r="C442" i="30" s="1"/>
  <c r="E441" i="30"/>
  <c r="E436" i="25"/>
  <c r="D436" i="25"/>
  <c r="C437" i="25" s="1"/>
  <c r="A443" i="25"/>
  <c r="B443" i="25" s="1"/>
  <c r="F437" i="39" l="1"/>
  <c r="E437" i="39"/>
  <c r="D438" i="39" s="1"/>
  <c r="C441" i="39"/>
  <c r="A442" i="39"/>
  <c r="B442" i="39" s="1"/>
  <c r="B444" i="30"/>
  <c r="A445" i="30"/>
  <c r="D442" i="30"/>
  <c r="C443" i="30" s="1"/>
  <c r="E442" i="30"/>
  <c r="D437" i="25"/>
  <c r="C438" i="25" s="1"/>
  <c r="E437" i="25"/>
  <c r="A444" i="25"/>
  <c r="B444" i="25" s="1"/>
  <c r="E438" i="39" l="1"/>
  <c r="D439" i="39" s="1"/>
  <c r="F438" i="39"/>
  <c r="C442" i="39"/>
  <c r="A443" i="39"/>
  <c r="B443" i="39" s="1"/>
  <c r="B445" i="30"/>
  <c r="A446" i="30"/>
  <c r="D443" i="30"/>
  <c r="C444" i="30" s="1"/>
  <c r="E443" i="30"/>
  <c r="E438" i="25"/>
  <c r="D438" i="25"/>
  <c r="C439" i="25" s="1"/>
  <c r="A445" i="25"/>
  <c r="B445" i="25" s="1"/>
  <c r="F439" i="39" l="1"/>
  <c r="E439" i="39"/>
  <c r="D440" i="39" s="1"/>
  <c r="C443" i="39"/>
  <c r="A444" i="39"/>
  <c r="B444" i="39" s="1"/>
  <c r="B446" i="30"/>
  <c r="A447" i="30"/>
  <c r="D444" i="30"/>
  <c r="C445" i="30" s="1"/>
  <c r="E444" i="30"/>
  <c r="D439" i="25"/>
  <c r="C440" i="25" s="1"/>
  <c r="E439" i="25"/>
  <c r="A446" i="25"/>
  <c r="B446" i="25" s="1"/>
  <c r="E440" i="39" l="1"/>
  <c r="D441" i="39" s="1"/>
  <c r="F440" i="39"/>
  <c r="C444" i="39"/>
  <c r="A445" i="39"/>
  <c r="B445" i="39" s="1"/>
  <c r="B447" i="30"/>
  <c r="A448" i="30"/>
  <c r="D445" i="30"/>
  <c r="C446" i="30" s="1"/>
  <c r="E445" i="30"/>
  <c r="D440" i="25"/>
  <c r="C441" i="25" s="1"/>
  <c r="E440" i="25"/>
  <c r="A447" i="25"/>
  <c r="B447" i="25" s="1"/>
  <c r="F441" i="39" l="1"/>
  <c r="E441" i="39"/>
  <c r="D442" i="39" s="1"/>
  <c r="C445" i="39"/>
  <c r="A446" i="39"/>
  <c r="B446" i="39" s="1"/>
  <c r="B448" i="30"/>
  <c r="A449" i="30"/>
  <c r="D446" i="30"/>
  <c r="C447" i="30" s="1"/>
  <c r="E446" i="30"/>
  <c r="D441" i="25"/>
  <c r="C442" i="25" s="1"/>
  <c r="E441" i="25"/>
  <c r="A448" i="25"/>
  <c r="B448" i="25" s="1"/>
  <c r="F442" i="39" l="1"/>
  <c r="E442" i="39"/>
  <c r="D443" i="39" s="1"/>
  <c r="C446" i="39"/>
  <c r="A447" i="39"/>
  <c r="B447" i="39" s="1"/>
  <c r="B449" i="30"/>
  <c r="A450" i="30"/>
  <c r="D447" i="30"/>
  <c r="C448" i="30" s="1"/>
  <c r="E447" i="30"/>
  <c r="D442" i="25"/>
  <c r="C443" i="25" s="1"/>
  <c r="E442" i="25"/>
  <c r="A449" i="25"/>
  <c r="B449" i="25" s="1"/>
  <c r="E443" i="39" l="1"/>
  <c r="D444" i="39" s="1"/>
  <c r="F443" i="39"/>
  <c r="C447" i="39"/>
  <c r="A448" i="39"/>
  <c r="B448" i="39" s="1"/>
  <c r="B450" i="30"/>
  <c r="A451" i="30"/>
  <c r="D448" i="30"/>
  <c r="C449" i="30" s="1"/>
  <c r="E448" i="30"/>
  <c r="D443" i="25"/>
  <c r="C444" i="25" s="1"/>
  <c r="E443" i="25"/>
  <c r="A450" i="25"/>
  <c r="B450" i="25" s="1"/>
  <c r="E444" i="39" l="1"/>
  <c r="D445" i="39" s="1"/>
  <c r="F444" i="39"/>
  <c r="C448" i="39"/>
  <c r="A449" i="39"/>
  <c r="B449" i="39" s="1"/>
  <c r="B451" i="30"/>
  <c r="A452" i="30"/>
  <c r="D449" i="30"/>
  <c r="C450" i="30" s="1"/>
  <c r="E449" i="30"/>
  <c r="D444" i="25"/>
  <c r="C445" i="25" s="1"/>
  <c r="E444" i="25"/>
  <c r="A451" i="25"/>
  <c r="B451" i="25" s="1"/>
  <c r="F445" i="39" l="1"/>
  <c r="E445" i="39"/>
  <c r="D446" i="39" s="1"/>
  <c r="C449" i="39"/>
  <c r="A450" i="39"/>
  <c r="B450" i="39" s="1"/>
  <c r="B452" i="30"/>
  <c r="A453" i="30"/>
  <c r="D450" i="30"/>
  <c r="C451" i="30" s="1"/>
  <c r="E450" i="30"/>
  <c r="D445" i="25"/>
  <c r="C446" i="25" s="1"/>
  <c r="E445" i="25"/>
  <c r="A452" i="25"/>
  <c r="B452" i="25" s="1"/>
  <c r="F446" i="39" l="1"/>
  <c r="E446" i="39"/>
  <c r="D447" i="39" s="1"/>
  <c r="C450" i="39"/>
  <c r="A451" i="39"/>
  <c r="B451" i="39" s="1"/>
  <c r="B453" i="30"/>
  <c r="A454" i="30"/>
  <c r="D451" i="30"/>
  <c r="C452" i="30" s="1"/>
  <c r="E451" i="30"/>
  <c r="E446" i="25"/>
  <c r="D446" i="25"/>
  <c r="C447" i="25" s="1"/>
  <c r="A453" i="25"/>
  <c r="B453" i="25" s="1"/>
  <c r="F447" i="39" l="1"/>
  <c r="E447" i="39"/>
  <c r="D448" i="39" s="1"/>
  <c r="C451" i="39"/>
  <c r="A452" i="39"/>
  <c r="B452" i="39" s="1"/>
  <c r="B454" i="30"/>
  <c r="A455" i="30"/>
  <c r="D452" i="30"/>
  <c r="C453" i="30" s="1"/>
  <c r="E452" i="30"/>
  <c r="E447" i="25"/>
  <c r="D447" i="25"/>
  <c r="C448" i="25" s="1"/>
  <c r="A454" i="25"/>
  <c r="B454" i="25" s="1"/>
  <c r="F448" i="39" l="1"/>
  <c r="E448" i="39"/>
  <c r="D449" i="39" s="1"/>
  <c r="C452" i="39"/>
  <c r="A453" i="39"/>
  <c r="B453" i="39" s="1"/>
  <c r="B455" i="30"/>
  <c r="A456" i="30"/>
  <c r="D453" i="30"/>
  <c r="C454" i="30" s="1"/>
  <c r="E453" i="30"/>
  <c r="E448" i="25"/>
  <c r="D448" i="25"/>
  <c r="C449" i="25" s="1"/>
  <c r="A455" i="25"/>
  <c r="B455" i="25" s="1"/>
  <c r="F449" i="39" l="1"/>
  <c r="E449" i="39"/>
  <c r="D450" i="39" s="1"/>
  <c r="C453" i="39"/>
  <c r="A454" i="39"/>
  <c r="B454" i="39" s="1"/>
  <c r="B456" i="30"/>
  <c r="A457" i="30"/>
  <c r="D454" i="30"/>
  <c r="C455" i="30" s="1"/>
  <c r="E454" i="30"/>
  <c r="D449" i="25"/>
  <c r="C450" i="25" s="1"/>
  <c r="E449" i="25"/>
  <c r="A456" i="25"/>
  <c r="B456" i="25" s="1"/>
  <c r="E450" i="39" l="1"/>
  <c r="D451" i="39" s="1"/>
  <c r="F450" i="39"/>
  <c r="C454" i="39"/>
  <c r="A455" i="39"/>
  <c r="B455" i="39" s="1"/>
  <c r="B457" i="30"/>
  <c r="A458" i="30"/>
  <c r="D455" i="30"/>
  <c r="C456" i="30" s="1"/>
  <c r="E455" i="30"/>
  <c r="E450" i="25"/>
  <c r="D450" i="25"/>
  <c r="C451" i="25" s="1"/>
  <c r="A457" i="25"/>
  <c r="B457" i="25" s="1"/>
  <c r="F451" i="39" l="1"/>
  <c r="E451" i="39"/>
  <c r="D452" i="39" s="1"/>
  <c r="C455" i="39"/>
  <c r="A456" i="39"/>
  <c r="B456" i="39" s="1"/>
  <c r="B458" i="30"/>
  <c r="A459" i="30"/>
  <c r="D456" i="30"/>
  <c r="C457" i="30" s="1"/>
  <c r="E456" i="30"/>
  <c r="E451" i="25"/>
  <c r="D451" i="25"/>
  <c r="C452" i="25" s="1"/>
  <c r="A458" i="25"/>
  <c r="B458" i="25" s="1"/>
  <c r="E452" i="39" l="1"/>
  <c r="D453" i="39" s="1"/>
  <c r="F452" i="39"/>
  <c r="C456" i="39"/>
  <c r="A457" i="39"/>
  <c r="B457" i="39" s="1"/>
  <c r="B459" i="30"/>
  <c r="A460" i="30"/>
  <c r="D457" i="30"/>
  <c r="C458" i="30" s="1"/>
  <c r="E457" i="30"/>
  <c r="E452" i="25"/>
  <c r="D452" i="25"/>
  <c r="C453" i="25" s="1"/>
  <c r="A459" i="25"/>
  <c r="B459" i="25" s="1"/>
  <c r="E453" i="39" l="1"/>
  <c r="D454" i="39" s="1"/>
  <c r="F453" i="39"/>
  <c r="C457" i="39"/>
  <c r="A458" i="39"/>
  <c r="B458" i="39" s="1"/>
  <c r="B460" i="30"/>
  <c r="A461" i="30"/>
  <c r="D458" i="30"/>
  <c r="C459" i="30" s="1"/>
  <c r="E458" i="30"/>
  <c r="D453" i="25"/>
  <c r="C454" i="25" s="1"/>
  <c r="E453" i="25"/>
  <c r="A460" i="25"/>
  <c r="B460" i="25" s="1"/>
  <c r="F454" i="39" l="1"/>
  <c r="E454" i="39"/>
  <c r="D455" i="39" s="1"/>
  <c r="C458" i="39"/>
  <c r="A459" i="39"/>
  <c r="B459" i="39" s="1"/>
  <c r="B461" i="30"/>
  <c r="A462" i="30"/>
  <c r="D459" i="30"/>
  <c r="C460" i="30" s="1"/>
  <c r="E459" i="30"/>
  <c r="D454" i="25"/>
  <c r="C455" i="25" s="1"/>
  <c r="E454" i="25"/>
  <c r="A461" i="25"/>
  <c r="B461" i="25" s="1"/>
  <c r="F455" i="39" l="1"/>
  <c r="E455" i="39"/>
  <c r="D456" i="39" s="1"/>
  <c r="C459" i="39"/>
  <c r="A460" i="39"/>
  <c r="B460" i="39" s="1"/>
  <c r="B462" i="30"/>
  <c r="A463" i="30"/>
  <c r="D460" i="30"/>
  <c r="C461" i="30" s="1"/>
  <c r="E460" i="30"/>
  <c r="E455" i="25"/>
  <c r="D455" i="25"/>
  <c r="C456" i="25" s="1"/>
  <c r="A462" i="25"/>
  <c r="B462" i="25" s="1"/>
  <c r="F456" i="39" l="1"/>
  <c r="E456" i="39"/>
  <c r="D457" i="39" s="1"/>
  <c r="C460" i="39"/>
  <c r="A461" i="39"/>
  <c r="B461" i="39" s="1"/>
  <c r="B463" i="30"/>
  <c r="A464" i="30"/>
  <c r="D461" i="30"/>
  <c r="C462" i="30" s="1"/>
  <c r="E461" i="30"/>
  <c r="D456" i="25"/>
  <c r="C457" i="25" s="1"/>
  <c r="E456" i="25"/>
  <c r="A463" i="25"/>
  <c r="B463" i="25" s="1"/>
  <c r="F457" i="39" l="1"/>
  <c r="E457" i="39"/>
  <c r="D458" i="39" s="1"/>
  <c r="C461" i="39"/>
  <c r="A462" i="39"/>
  <c r="B462" i="39" s="1"/>
  <c r="B464" i="30"/>
  <c r="A465" i="30"/>
  <c r="D462" i="30"/>
  <c r="C463" i="30" s="1"/>
  <c r="E462" i="30"/>
  <c r="E457" i="25"/>
  <c r="D457" i="25"/>
  <c r="C458" i="25" s="1"/>
  <c r="A464" i="25"/>
  <c r="B464" i="25" s="1"/>
  <c r="F458" i="39" l="1"/>
  <c r="E458" i="39"/>
  <c r="D459" i="39" s="1"/>
  <c r="C462" i="39"/>
  <c r="A463" i="39"/>
  <c r="B463" i="39" s="1"/>
  <c r="B465" i="30"/>
  <c r="A466" i="30"/>
  <c r="D463" i="30"/>
  <c r="C464" i="30" s="1"/>
  <c r="E463" i="30"/>
  <c r="E458" i="25"/>
  <c r="D458" i="25"/>
  <c r="C459" i="25" s="1"/>
  <c r="A465" i="25"/>
  <c r="B465" i="25" s="1"/>
  <c r="F459" i="39" l="1"/>
  <c r="E459" i="39"/>
  <c r="D460" i="39" s="1"/>
  <c r="C463" i="39"/>
  <c r="A464" i="39"/>
  <c r="B464" i="39" s="1"/>
  <c r="B466" i="30"/>
  <c r="A467" i="30"/>
  <c r="D464" i="30"/>
  <c r="C465" i="30" s="1"/>
  <c r="E464" i="30"/>
  <c r="D459" i="25"/>
  <c r="C460" i="25" s="1"/>
  <c r="E459" i="25"/>
  <c r="A466" i="25"/>
  <c r="B466" i="25" s="1"/>
  <c r="F460" i="39" l="1"/>
  <c r="E460" i="39"/>
  <c r="D461" i="39" s="1"/>
  <c r="C464" i="39"/>
  <c r="A465" i="39"/>
  <c r="B465" i="39" s="1"/>
  <c r="B467" i="30"/>
  <c r="A468" i="30"/>
  <c r="D465" i="30"/>
  <c r="C466" i="30" s="1"/>
  <c r="E465" i="30"/>
  <c r="D460" i="25"/>
  <c r="C461" i="25" s="1"/>
  <c r="E460" i="25"/>
  <c r="A467" i="25"/>
  <c r="B467" i="25" s="1"/>
  <c r="F461" i="39" l="1"/>
  <c r="E461" i="39"/>
  <c r="D462" i="39" s="1"/>
  <c r="C465" i="39"/>
  <c r="A466" i="39"/>
  <c r="B466" i="39" s="1"/>
  <c r="B468" i="30"/>
  <c r="A469" i="30"/>
  <c r="D466" i="30"/>
  <c r="C467" i="30" s="1"/>
  <c r="E466" i="30"/>
  <c r="D461" i="25"/>
  <c r="C462" i="25" s="1"/>
  <c r="E461" i="25"/>
  <c r="A468" i="25"/>
  <c r="B468" i="25" s="1"/>
  <c r="F462" i="39" l="1"/>
  <c r="E462" i="39"/>
  <c r="D463" i="39" s="1"/>
  <c r="C466" i="39"/>
  <c r="A467" i="39"/>
  <c r="B467" i="39" s="1"/>
  <c r="B469" i="30"/>
  <c r="A470" i="30"/>
  <c r="D467" i="30"/>
  <c r="C468" i="30" s="1"/>
  <c r="E467" i="30"/>
  <c r="E462" i="25"/>
  <c r="D462" i="25"/>
  <c r="C463" i="25" s="1"/>
  <c r="A469" i="25"/>
  <c r="B469" i="25" s="1"/>
  <c r="F463" i="39" l="1"/>
  <c r="E463" i="39"/>
  <c r="D464" i="39" s="1"/>
  <c r="C467" i="39"/>
  <c r="A468" i="39"/>
  <c r="B468" i="39" s="1"/>
  <c r="B470" i="30"/>
  <c r="A471" i="30"/>
  <c r="D468" i="30"/>
  <c r="C469" i="30" s="1"/>
  <c r="E468" i="30"/>
  <c r="D463" i="25"/>
  <c r="C464" i="25" s="1"/>
  <c r="E463" i="25"/>
  <c r="A470" i="25"/>
  <c r="B470" i="25" s="1"/>
  <c r="F464" i="39" l="1"/>
  <c r="E464" i="39"/>
  <c r="D465" i="39" s="1"/>
  <c r="C468" i="39"/>
  <c r="A469" i="39"/>
  <c r="B469" i="39" s="1"/>
  <c r="B471" i="30"/>
  <c r="A472" i="30"/>
  <c r="D469" i="30"/>
  <c r="C470" i="30" s="1"/>
  <c r="E469" i="30"/>
  <c r="E464" i="25"/>
  <c r="D464" i="25"/>
  <c r="C465" i="25" s="1"/>
  <c r="A471" i="25"/>
  <c r="B471" i="25" s="1"/>
  <c r="E465" i="39" l="1"/>
  <c r="D466" i="39" s="1"/>
  <c r="F465" i="39"/>
  <c r="C469" i="39"/>
  <c r="A470" i="39"/>
  <c r="B470" i="39" s="1"/>
  <c r="B472" i="30"/>
  <c r="A473" i="30"/>
  <c r="D470" i="30"/>
  <c r="C471" i="30" s="1"/>
  <c r="E470" i="30"/>
  <c r="D465" i="25"/>
  <c r="C466" i="25" s="1"/>
  <c r="E465" i="25"/>
  <c r="A472" i="25"/>
  <c r="B472" i="25" s="1"/>
  <c r="F466" i="39" l="1"/>
  <c r="E466" i="39"/>
  <c r="D467" i="39" s="1"/>
  <c r="C470" i="39"/>
  <c r="A471" i="39"/>
  <c r="B471" i="39" s="1"/>
  <c r="B473" i="30"/>
  <c r="A474" i="30"/>
  <c r="D471" i="30"/>
  <c r="C472" i="30" s="1"/>
  <c r="E471" i="30"/>
  <c r="D466" i="25"/>
  <c r="C467" i="25" s="1"/>
  <c r="E466" i="25"/>
  <c r="A473" i="25"/>
  <c r="B473" i="25" s="1"/>
  <c r="F467" i="39" l="1"/>
  <c r="E467" i="39"/>
  <c r="D468" i="39" s="1"/>
  <c r="C471" i="39"/>
  <c r="A472" i="39"/>
  <c r="B472" i="39" s="1"/>
  <c r="B474" i="30"/>
  <c r="A475" i="30"/>
  <c r="D472" i="30"/>
  <c r="C473" i="30" s="1"/>
  <c r="E472" i="30"/>
  <c r="D467" i="25"/>
  <c r="C468" i="25" s="1"/>
  <c r="E467" i="25"/>
  <c r="A474" i="25"/>
  <c r="B474" i="25" s="1"/>
  <c r="F468" i="39" l="1"/>
  <c r="E468" i="39"/>
  <c r="D469" i="39" s="1"/>
  <c r="C472" i="39"/>
  <c r="A473" i="39"/>
  <c r="B473" i="39" s="1"/>
  <c r="B475" i="30"/>
  <c r="A476" i="30"/>
  <c r="D473" i="30"/>
  <c r="C474" i="30" s="1"/>
  <c r="E473" i="30"/>
  <c r="D468" i="25"/>
  <c r="C469" i="25" s="1"/>
  <c r="E468" i="25"/>
  <c r="A475" i="25"/>
  <c r="B475" i="25" s="1"/>
  <c r="F469" i="39" l="1"/>
  <c r="E469" i="39"/>
  <c r="D470" i="39" s="1"/>
  <c r="C473" i="39"/>
  <c r="A474" i="39"/>
  <c r="B474" i="39" s="1"/>
  <c r="B476" i="30"/>
  <c r="A477" i="30"/>
  <c r="D474" i="30"/>
  <c r="C475" i="30" s="1"/>
  <c r="E474" i="30"/>
  <c r="E469" i="25"/>
  <c r="D469" i="25"/>
  <c r="C470" i="25" s="1"/>
  <c r="A476" i="25"/>
  <c r="B476" i="25" s="1"/>
  <c r="F470" i="39" l="1"/>
  <c r="E470" i="39"/>
  <c r="D471" i="39" s="1"/>
  <c r="C474" i="39"/>
  <c r="A475" i="39"/>
  <c r="B475" i="39" s="1"/>
  <c r="B477" i="30"/>
  <c r="A478" i="30"/>
  <c r="D475" i="30"/>
  <c r="C476" i="30" s="1"/>
  <c r="E475" i="30"/>
  <c r="D470" i="25"/>
  <c r="C471" i="25" s="1"/>
  <c r="E470" i="25"/>
  <c r="A477" i="25"/>
  <c r="B477" i="25" s="1"/>
  <c r="F471" i="39" l="1"/>
  <c r="E471" i="39"/>
  <c r="D472" i="39" s="1"/>
  <c r="C475" i="39"/>
  <c r="A476" i="39"/>
  <c r="B476" i="39" s="1"/>
  <c r="B478" i="30"/>
  <c r="A479" i="30"/>
  <c r="D476" i="30"/>
  <c r="C477" i="30" s="1"/>
  <c r="E476" i="30"/>
  <c r="D471" i="25"/>
  <c r="C472" i="25" s="1"/>
  <c r="E471" i="25"/>
  <c r="A478" i="25"/>
  <c r="B478" i="25" s="1"/>
  <c r="F472" i="39" l="1"/>
  <c r="E472" i="39"/>
  <c r="D473" i="39" s="1"/>
  <c r="C476" i="39"/>
  <c r="A477" i="39"/>
  <c r="B477" i="39" s="1"/>
  <c r="B479" i="30"/>
  <c r="A480" i="30"/>
  <c r="D477" i="30"/>
  <c r="C478" i="30" s="1"/>
  <c r="E477" i="30"/>
  <c r="D472" i="25"/>
  <c r="C473" i="25" s="1"/>
  <c r="E472" i="25"/>
  <c r="A479" i="25"/>
  <c r="B479" i="25" s="1"/>
  <c r="E473" i="39" l="1"/>
  <c r="D474" i="39" s="1"/>
  <c r="F473" i="39"/>
  <c r="C477" i="39"/>
  <c r="A478" i="39"/>
  <c r="B478" i="39" s="1"/>
  <c r="B480" i="30"/>
  <c r="A481" i="30"/>
  <c r="D478" i="30"/>
  <c r="C479" i="30" s="1"/>
  <c r="E478" i="30"/>
  <c r="D473" i="25"/>
  <c r="C474" i="25" s="1"/>
  <c r="E473" i="25"/>
  <c r="A480" i="25"/>
  <c r="B480" i="25" s="1"/>
  <c r="E474" i="39" l="1"/>
  <c r="D475" i="39" s="1"/>
  <c r="F474" i="39"/>
  <c r="C478" i="39"/>
  <c r="A479" i="39"/>
  <c r="B479" i="39" s="1"/>
  <c r="B481" i="30"/>
  <c r="A482" i="30"/>
  <c r="D479" i="30"/>
  <c r="C480" i="30" s="1"/>
  <c r="E479" i="30"/>
  <c r="D474" i="25"/>
  <c r="C475" i="25" s="1"/>
  <c r="E474" i="25"/>
  <c r="A481" i="25"/>
  <c r="B481" i="25" s="1"/>
  <c r="F475" i="39" l="1"/>
  <c r="E475" i="39"/>
  <c r="D476" i="39" s="1"/>
  <c r="C479" i="39"/>
  <c r="A480" i="39"/>
  <c r="B480" i="39" s="1"/>
  <c r="B482" i="30"/>
  <c r="A483" i="30"/>
  <c r="D480" i="30"/>
  <c r="C481" i="30" s="1"/>
  <c r="E480" i="30"/>
  <c r="D475" i="25"/>
  <c r="C476" i="25" s="1"/>
  <c r="E475" i="25"/>
  <c r="A482" i="25"/>
  <c r="B482" i="25" s="1"/>
  <c r="E476" i="39" l="1"/>
  <c r="D477" i="39" s="1"/>
  <c r="F476" i="39"/>
  <c r="C480" i="39"/>
  <c r="A481" i="39"/>
  <c r="B481" i="39" s="1"/>
  <c r="B483" i="30"/>
  <c r="A484" i="30"/>
  <c r="D481" i="30"/>
  <c r="C482" i="30" s="1"/>
  <c r="E481" i="30"/>
  <c r="D476" i="25"/>
  <c r="C477" i="25" s="1"/>
  <c r="E476" i="25"/>
  <c r="A483" i="25"/>
  <c r="B483" i="25" s="1"/>
  <c r="F477" i="39" l="1"/>
  <c r="E477" i="39"/>
  <c r="D478" i="39" s="1"/>
  <c r="C481" i="39"/>
  <c r="A482" i="39"/>
  <c r="B482" i="39" s="1"/>
  <c r="B484" i="30"/>
  <c r="A485" i="30"/>
  <c r="D482" i="30"/>
  <c r="C483" i="30" s="1"/>
  <c r="E482" i="30"/>
  <c r="E477" i="25"/>
  <c r="D477" i="25"/>
  <c r="C478" i="25" s="1"/>
  <c r="A484" i="25"/>
  <c r="B484" i="25" s="1"/>
  <c r="F478" i="39" l="1"/>
  <c r="E478" i="39"/>
  <c r="D479" i="39" s="1"/>
  <c r="C482" i="39"/>
  <c r="A483" i="39"/>
  <c r="B483" i="39" s="1"/>
  <c r="B485" i="30"/>
  <c r="A486" i="30"/>
  <c r="D483" i="30"/>
  <c r="C484" i="30" s="1"/>
  <c r="E483" i="30"/>
  <c r="D478" i="25"/>
  <c r="C479" i="25" s="1"/>
  <c r="E478" i="25"/>
  <c r="A485" i="25"/>
  <c r="B485" i="25" s="1"/>
  <c r="F479" i="39" l="1"/>
  <c r="E479" i="39"/>
  <c r="D480" i="39" s="1"/>
  <c r="C483" i="39"/>
  <c r="A484" i="39"/>
  <c r="B484" i="39" s="1"/>
  <c r="B486" i="30"/>
  <c r="A487" i="30"/>
  <c r="D484" i="30"/>
  <c r="C485" i="30" s="1"/>
  <c r="E484" i="30"/>
  <c r="D479" i="25"/>
  <c r="C480" i="25" s="1"/>
  <c r="E479" i="25"/>
  <c r="A486" i="25"/>
  <c r="B486" i="25" s="1"/>
  <c r="F480" i="39" l="1"/>
  <c r="E480" i="39"/>
  <c r="D481" i="39" s="1"/>
  <c r="C484" i="39"/>
  <c r="A485" i="39"/>
  <c r="B485" i="39" s="1"/>
  <c r="B487" i="30"/>
  <c r="A488" i="30"/>
  <c r="D485" i="30"/>
  <c r="C486" i="30" s="1"/>
  <c r="E485" i="30"/>
  <c r="D480" i="25"/>
  <c r="C481" i="25" s="1"/>
  <c r="E480" i="25"/>
  <c r="A487" i="25"/>
  <c r="B487" i="25" s="1"/>
  <c r="F481" i="39" l="1"/>
  <c r="E481" i="39"/>
  <c r="D482" i="39" s="1"/>
  <c r="C485" i="39"/>
  <c r="A486" i="39"/>
  <c r="B486" i="39" s="1"/>
  <c r="B488" i="30"/>
  <c r="A489" i="30"/>
  <c r="D486" i="30"/>
  <c r="C487" i="30" s="1"/>
  <c r="E486" i="30"/>
  <c r="D481" i="25"/>
  <c r="C482" i="25" s="1"/>
  <c r="E481" i="25"/>
  <c r="A488" i="25"/>
  <c r="B488" i="25" s="1"/>
  <c r="F482" i="39" l="1"/>
  <c r="E482" i="39"/>
  <c r="D483" i="39" s="1"/>
  <c r="C486" i="39"/>
  <c r="A487" i="39"/>
  <c r="B487" i="39" s="1"/>
  <c r="B489" i="30"/>
  <c r="A490" i="30"/>
  <c r="D487" i="30"/>
  <c r="C488" i="30" s="1"/>
  <c r="E487" i="30"/>
  <c r="E482" i="25"/>
  <c r="D482" i="25"/>
  <c r="C483" i="25" s="1"/>
  <c r="A489" i="25"/>
  <c r="B489" i="25" s="1"/>
  <c r="F483" i="39" l="1"/>
  <c r="E483" i="39"/>
  <c r="D484" i="39" s="1"/>
  <c r="C487" i="39"/>
  <c r="A488" i="39"/>
  <c r="B488" i="39" s="1"/>
  <c r="B490" i="30"/>
  <c r="A491" i="30"/>
  <c r="D488" i="30"/>
  <c r="C489" i="30" s="1"/>
  <c r="E488" i="30"/>
  <c r="E483" i="25"/>
  <c r="D483" i="25"/>
  <c r="C484" i="25" s="1"/>
  <c r="A490" i="25"/>
  <c r="B490" i="25" s="1"/>
  <c r="E484" i="39" l="1"/>
  <c r="D485" i="39" s="1"/>
  <c r="F484" i="39"/>
  <c r="C488" i="39"/>
  <c r="A489" i="39"/>
  <c r="B489" i="39" s="1"/>
  <c r="B491" i="30"/>
  <c r="A492" i="30"/>
  <c r="D489" i="30"/>
  <c r="C490" i="30" s="1"/>
  <c r="E489" i="30"/>
  <c r="E484" i="25"/>
  <c r="D484" i="25"/>
  <c r="C485" i="25" s="1"/>
  <c r="A491" i="25"/>
  <c r="B491" i="25" s="1"/>
  <c r="F485" i="39" l="1"/>
  <c r="E485" i="39"/>
  <c r="D486" i="39" s="1"/>
  <c r="C489" i="39"/>
  <c r="A490" i="39"/>
  <c r="B490" i="39" s="1"/>
  <c r="B492" i="30"/>
  <c r="A493" i="30"/>
  <c r="D490" i="30"/>
  <c r="C491" i="30" s="1"/>
  <c r="E490" i="30"/>
  <c r="D485" i="25"/>
  <c r="C486" i="25" s="1"/>
  <c r="E485" i="25"/>
  <c r="A492" i="25"/>
  <c r="B492" i="25" s="1"/>
  <c r="F486" i="39" l="1"/>
  <c r="E486" i="39"/>
  <c r="D487" i="39" s="1"/>
  <c r="C490" i="39"/>
  <c r="A491" i="39"/>
  <c r="B491" i="39" s="1"/>
  <c r="B493" i="30"/>
  <c r="A494" i="30"/>
  <c r="D491" i="30"/>
  <c r="C492" i="30" s="1"/>
  <c r="E491" i="30"/>
  <c r="E486" i="25"/>
  <c r="D486" i="25"/>
  <c r="C487" i="25" s="1"/>
  <c r="A493" i="25"/>
  <c r="B493" i="25" s="1"/>
  <c r="F487" i="39" l="1"/>
  <c r="E487" i="39"/>
  <c r="D488" i="39" s="1"/>
  <c r="C491" i="39"/>
  <c r="A492" i="39"/>
  <c r="B492" i="39" s="1"/>
  <c r="B494" i="30"/>
  <c r="A495" i="30"/>
  <c r="D492" i="30"/>
  <c r="C493" i="30" s="1"/>
  <c r="E492" i="30"/>
  <c r="D487" i="25"/>
  <c r="C488" i="25" s="1"/>
  <c r="E487" i="25"/>
  <c r="A494" i="25"/>
  <c r="B494" i="25" s="1"/>
  <c r="E488" i="39" l="1"/>
  <c r="D489" i="39" s="1"/>
  <c r="F488" i="39"/>
  <c r="C492" i="39"/>
  <c r="A493" i="39"/>
  <c r="B493" i="39" s="1"/>
  <c r="B495" i="30"/>
  <c r="A496" i="30"/>
  <c r="D493" i="30"/>
  <c r="C494" i="30" s="1"/>
  <c r="E493" i="30"/>
  <c r="D488" i="25"/>
  <c r="C489" i="25" s="1"/>
  <c r="E488" i="25"/>
  <c r="A495" i="25"/>
  <c r="B495" i="25" s="1"/>
  <c r="E489" i="39" l="1"/>
  <c r="D490" i="39" s="1"/>
  <c r="F489" i="39"/>
  <c r="C493" i="39"/>
  <c r="A494" i="39"/>
  <c r="B494" i="39" s="1"/>
  <c r="B496" i="30"/>
  <c r="A497" i="30"/>
  <c r="D494" i="30"/>
  <c r="C495" i="30" s="1"/>
  <c r="E494" i="30"/>
  <c r="D489" i="25"/>
  <c r="C490" i="25" s="1"/>
  <c r="E489" i="25"/>
  <c r="A496" i="25"/>
  <c r="B496" i="25" s="1"/>
  <c r="F490" i="39" l="1"/>
  <c r="E490" i="39"/>
  <c r="D491" i="39" s="1"/>
  <c r="C494" i="39"/>
  <c r="A495" i="39"/>
  <c r="B495" i="39" s="1"/>
  <c r="B497" i="30"/>
  <c r="A498" i="30"/>
  <c r="D495" i="30"/>
  <c r="C496" i="30" s="1"/>
  <c r="E495" i="30"/>
  <c r="D490" i="25"/>
  <c r="C491" i="25" s="1"/>
  <c r="E490" i="25"/>
  <c r="A497" i="25"/>
  <c r="B497" i="25" s="1"/>
  <c r="F491" i="39" l="1"/>
  <c r="E491" i="39"/>
  <c r="D492" i="39" s="1"/>
  <c r="C495" i="39"/>
  <c r="A496" i="39"/>
  <c r="B496" i="39" s="1"/>
  <c r="B498" i="30"/>
  <c r="A499" i="30"/>
  <c r="D496" i="30"/>
  <c r="C497" i="30" s="1"/>
  <c r="E496" i="30"/>
  <c r="E491" i="25"/>
  <c r="D491" i="25"/>
  <c r="C492" i="25" s="1"/>
  <c r="A498" i="25"/>
  <c r="B498" i="25" s="1"/>
  <c r="F492" i="39" l="1"/>
  <c r="E492" i="39"/>
  <c r="D493" i="39" s="1"/>
  <c r="C496" i="39"/>
  <c r="A497" i="39"/>
  <c r="B497" i="39" s="1"/>
  <c r="B499" i="30"/>
  <c r="A500" i="30"/>
  <c r="D497" i="30"/>
  <c r="C498" i="30" s="1"/>
  <c r="E497" i="30"/>
  <c r="D492" i="25"/>
  <c r="C493" i="25" s="1"/>
  <c r="E492" i="25"/>
  <c r="A499" i="25"/>
  <c r="B499" i="25" s="1"/>
  <c r="F493" i="39" l="1"/>
  <c r="E493" i="39"/>
  <c r="D494" i="39" s="1"/>
  <c r="C497" i="39"/>
  <c r="A498" i="39"/>
  <c r="B498" i="39" s="1"/>
  <c r="B500" i="30"/>
  <c r="A501" i="30"/>
  <c r="D498" i="30"/>
  <c r="C499" i="30" s="1"/>
  <c r="E498" i="30"/>
  <c r="D493" i="25"/>
  <c r="C494" i="25" s="1"/>
  <c r="E493" i="25"/>
  <c r="A500" i="25"/>
  <c r="B500" i="25" s="1"/>
  <c r="F494" i="39" l="1"/>
  <c r="E494" i="39"/>
  <c r="D495" i="39" s="1"/>
  <c r="C498" i="39"/>
  <c r="A499" i="39"/>
  <c r="B499" i="39" s="1"/>
  <c r="B501" i="30"/>
  <c r="A502" i="30"/>
  <c r="D499" i="30"/>
  <c r="C500" i="30" s="1"/>
  <c r="E499" i="30"/>
  <c r="D494" i="25"/>
  <c r="C495" i="25" s="1"/>
  <c r="E494" i="25"/>
  <c r="A501" i="25"/>
  <c r="B501" i="25" s="1"/>
  <c r="F495" i="39" l="1"/>
  <c r="E495" i="39"/>
  <c r="D496" i="39" s="1"/>
  <c r="C499" i="39"/>
  <c r="A500" i="39"/>
  <c r="B500" i="39" s="1"/>
  <c r="B502" i="30"/>
  <c r="A503" i="30"/>
  <c r="D500" i="30"/>
  <c r="C501" i="30" s="1"/>
  <c r="E500" i="30"/>
  <c r="D495" i="25"/>
  <c r="C496" i="25" s="1"/>
  <c r="E495" i="25"/>
  <c r="A502" i="25"/>
  <c r="B502" i="25" s="1"/>
  <c r="F496" i="39" l="1"/>
  <c r="E496" i="39"/>
  <c r="D497" i="39" s="1"/>
  <c r="C500" i="39"/>
  <c r="A501" i="39"/>
  <c r="B501" i="39" s="1"/>
  <c r="B503" i="30"/>
  <c r="A504" i="30"/>
  <c r="D501" i="30"/>
  <c r="C502" i="30" s="1"/>
  <c r="E501" i="30"/>
  <c r="D496" i="25"/>
  <c r="C497" i="25" s="1"/>
  <c r="E496" i="25"/>
  <c r="A503" i="25"/>
  <c r="B503" i="25" s="1"/>
  <c r="F497" i="39" l="1"/>
  <c r="E497" i="39"/>
  <c r="D498" i="39" s="1"/>
  <c r="C501" i="39"/>
  <c r="A502" i="39"/>
  <c r="B502" i="39" s="1"/>
  <c r="B504" i="30"/>
  <c r="A505" i="30"/>
  <c r="D502" i="30"/>
  <c r="C503" i="30" s="1"/>
  <c r="E502" i="30"/>
  <c r="D497" i="25"/>
  <c r="C498" i="25" s="1"/>
  <c r="E497" i="25"/>
  <c r="A504" i="25"/>
  <c r="B504" i="25" s="1"/>
  <c r="E498" i="39" l="1"/>
  <c r="D499" i="39" s="1"/>
  <c r="F498" i="39"/>
  <c r="C502" i="39"/>
  <c r="A503" i="39"/>
  <c r="B503" i="39" s="1"/>
  <c r="B505" i="30"/>
  <c r="A506" i="30"/>
  <c r="D503" i="30"/>
  <c r="C504" i="30" s="1"/>
  <c r="E503" i="30"/>
  <c r="D498" i="25"/>
  <c r="C499" i="25" s="1"/>
  <c r="E498" i="25"/>
  <c r="A505" i="25"/>
  <c r="B505" i="25" s="1"/>
  <c r="E499" i="39" l="1"/>
  <c r="D500" i="39" s="1"/>
  <c r="F499" i="39"/>
  <c r="C503" i="39"/>
  <c r="A504" i="39"/>
  <c r="B504" i="39" s="1"/>
  <c r="B506" i="30"/>
  <c r="A507" i="30"/>
  <c r="D504" i="30"/>
  <c r="C505" i="30" s="1"/>
  <c r="E504" i="30"/>
  <c r="D499" i="25"/>
  <c r="C500" i="25" s="1"/>
  <c r="E499" i="25"/>
  <c r="A506" i="25"/>
  <c r="B506" i="25" s="1"/>
  <c r="E500" i="39" l="1"/>
  <c r="D501" i="39" s="1"/>
  <c r="F500" i="39"/>
  <c r="C504" i="39"/>
  <c r="A505" i="39"/>
  <c r="B505" i="39" s="1"/>
  <c r="B507" i="30"/>
  <c r="A508" i="30"/>
  <c r="D505" i="30"/>
  <c r="C506" i="30" s="1"/>
  <c r="E505" i="30"/>
  <c r="D500" i="25"/>
  <c r="C501" i="25" s="1"/>
  <c r="E500" i="25"/>
  <c r="A507" i="25"/>
  <c r="B507" i="25" s="1"/>
  <c r="F501" i="39" l="1"/>
  <c r="E501" i="39"/>
  <c r="D502" i="39" s="1"/>
  <c r="C505" i="39"/>
  <c r="A506" i="39"/>
  <c r="B506" i="39" s="1"/>
  <c r="B508" i="30"/>
  <c r="A509" i="30"/>
  <c r="D506" i="30"/>
  <c r="C507" i="30" s="1"/>
  <c r="E506" i="30"/>
  <c r="E501" i="25"/>
  <c r="D501" i="25"/>
  <c r="C502" i="25" s="1"/>
  <c r="A508" i="25"/>
  <c r="B508" i="25" s="1"/>
  <c r="F502" i="39" l="1"/>
  <c r="E502" i="39"/>
  <c r="D503" i="39" s="1"/>
  <c r="C506" i="39"/>
  <c r="A507" i="39"/>
  <c r="B507" i="39" s="1"/>
  <c r="B509" i="30"/>
  <c r="A510" i="30"/>
  <c r="D507" i="30"/>
  <c r="C508" i="30" s="1"/>
  <c r="E507" i="30"/>
  <c r="D502" i="25"/>
  <c r="C503" i="25" s="1"/>
  <c r="E502" i="25"/>
  <c r="A509" i="25"/>
  <c r="B509" i="25" s="1"/>
  <c r="F503" i="39" l="1"/>
  <c r="E503" i="39"/>
  <c r="D504" i="39" s="1"/>
  <c r="C507" i="39"/>
  <c r="A508" i="39"/>
  <c r="B508" i="39" s="1"/>
  <c r="B510" i="30"/>
  <c r="A511" i="30"/>
  <c r="D508" i="30"/>
  <c r="C509" i="30" s="1"/>
  <c r="E508" i="30"/>
  <c r="D503" i="25"/>
  <c r="C504" i="25" s="1"/>
  <c r="E503" i="25"/>
  <c r="A510" i="25"/>
  <c r="B510" i="25" s="1"/>
  <c r="F504" i="39" l="1"/>
  <c r="E504" i="39"/>
  <c r="D505" i="39" s="1"/>
  <c r="C508" i="39"/>
  <c r="A509" i="39"/>
  <c r="B509" i="39" s="1"/>
  <c r="B511" i="30"/>
  <c r="A512" i="30"/>
  <c r="D509" i="30"/>
  <c r="C510" i="30" s="1"/>
  <c r="E509" i="30"/>
  <c r="D504" i="25"/>
  <c r="C505" i="25" s="1"/>
  <c r="E504" i="25"/>
  <c r="A511" i="25"/>
  <c r="B511" i="25" s="1"/>
  <c r="E505" i="39" l="1"/>
  <c r="D506" i="39" s="1"/>
  <c r="F505" i="39"/>
  <c r="C509" i="39"/>
  <c r="A510" i="39"/>
  <c r="B510" i="39" s="1"/>
  <c r="B512" i="30"/>
  <c r="A513" i="30"/>
  <c r="D510" i="30"/>
  <c r="C511" i="30" s="1"/>
  <c r="E510" i="30"/>
  <c r="D505" i="25"/>
  <c r="C506" i="25" s="1"/>
  <c r="E505" i="25"/>
  <c r="A512" i="25"/>
  <c r="B512" i="25" s="1"/>
  <c r="F506" i="39" l="1"/>
  <c r="E506" i="39"/>
  <c r="D507" i="39" s="1"/>
  <c r="C510" i="39"/>
  <c r="A511" i="39"/>
  <c r="B511" i="39" s="1"/>
  <c r="B513" i="30"/>
  <c r="A514" i="30"/>
  <c r="D511" i="30"/>
  <c r="C512" i="30" s="1"/>
  <c r="E511" i="30"/>
  <c r="D506" i="25"/>
  <c r="C507" i="25" s="1"/>
  <c r="E506" i="25"/>
  <c r="A513" i="25"/>
  <c r="B513" i="25" s="1"/>
  <c r="E507" i="39" l="1"/>
  <c r="D508" i="39" s="1"/>
  <c r="F507" i="39"/>
  <c r="C511" i="39"/>
  <c r="A512" i="39"/>
  <c r="B512" i="39" s="1"/>
  <c r="B514" i="30"/>
  <c r="A515" i="30"/>
  <c r="D512" i="30"/>
  <c r="C513" i="30" s="1"/>
  <c r="E512" i="30"/>
  <c r="D507" i="25"/>
  <c r="C508" i="25" s="1"/>
  <c r="E507" i="25"/>
  <c r="A514" i="25"/>
  <c r="B514" i="25" s="1"/>
  <c r="F508" i="39" l="1"/>
  <c r="E508" i="39"/>
  <c r="D509" i="39" s="1"/>
  <c r="C512" i="39"/>
  <c r="A513" i="39"/>
  <c r="B513" i="39" s="1"/>
  <c r="B515" i="30"/>
  <c r="A516" i="30"/>
  <c r="D513" i="30"/>
  <c r="C514" i="30" s="1"/>
  <c r="E513" i="30"/>
  <c r="D508" i="25"/>
  <c r="C509" i="25" s="1"/>
  <c r="E508" i="25"/>
  <c r="A515" i="25"/>
  <c r="B515" i="25" s="1"/>
  <c r="F509" i="39" l="1"/>
  <c r="E509" i="39"/>
  <c r="D510" i="39" s="1"/>
  <c r="C513" i="39"/>
  <c r="A514" i="39"/>
  <c r="B514" i="39" s="1"/>
  <c r="B516" i="30"/>
  <c r="A517" i="30"/>
  <c r="D514" i="30"/>
  <c r="C515" i="30" s="1"/>
  <c r="E514" i="30"/>
  <c r="D509" i="25"/>
  <c r="C510" i="25" s="1"/>
  <c r="E509" i="25"/>
  <c r="A516" i="25"/>
  <c r="B516" i="25" s="1"/>
  <c r="E510" i="39" l="1"/>
  <c r="D511" i="39" s="1"/>
  <c r="F510" i="39"/>
  <c r="C514" i="39"/>
  <c r="A515" i="39"/>
  <c r="B515" i="39" s="1"/>
  <c r="B517" i="30"/>
  <c r="A518" i="30"/>
  <c r="D515" i="30"/>
  <c r="C516" i="30" s="1"/>
  <c r="E515" i="30"/>
  <c r="D510" i="25"/>
  <c r="C511" i="25" s="1"/>
  <c r="E510" i="25"/>
  <c r="A517" i="25"/>
  <c r="B517" i="25" s="1"/>
  <c r="E511" i="39" l="1"/>
  <c r="D512" i="39" s="1"/>
  <c r="F511" i="39"/>
  <c r="C515" i="39"/>
  <c r="A516" i="39"/>
  <c r="B516" i="39" s="1"/>
  <c r="B518" i="30"/>
  <c r="A519" i="30"/>
  <c r="D516" i="30"/>
  <c r="C517" i="30" s="1"/>
  <c r="E516" i="30"/>
  <c r="D511" i="25"/>
  <c r="C512" i="25" s="1"/>
  <c r="E511" i="25"/>
  <c r="A518" i="25"/>
  <c r="B518" i="25" s="1"/>
  <c r="E512" i="39" l="1"/>
  <c r="D513" i="39" s="1"/>
  <c r="F512" i="39"/>
  <c r="C516" i="39"/>
  <c r="A517" i="39"/>
  <c r="B517" i="39" s="1"/>
  <c r="B519" i="30"/>
  <c r="A520" i="30"/>
  <c r="D517" i="30"/>
  <c r="C518" i="30" s="1"/>
  <c r="E517" i="30"/>
  <c r="D512" i="25"/>
  <c r="C513" i="25" s="1"/>
  <c r="E512" i="25"/>
  <c r="A519" i="25"/>
  <c r="B519" i="25" s="1"/>
  <c r="E513" i="39" l="1"/>
  <c r="D514" i="39" s="1"/>
  <c r="F513" i="39"/>
  <c r="C517" i="39"/>
  <c r="A518" i="39"/>
  <c r="B518" i="39" s="1"/>
  <c r="B520" i="30"/>
  <c r="A521" i="30"/>
  <c r="D518" i="30"/>
  <c r="C519" i="30" s="1"/>
  <c r="E518" i="30"/>
  <c r="D513" i="25"/>
  <c r="C514" i="25" s="1"/>
  <c r="E513" i="25"/>
  <c r="A520" i="25"/>
  <c r="B520" i="25" s="1"/>
  <c r="F514" i="39" l="1"/>
  <c r="E514" i="39"/>
  <c r="D515" i="39" s="1"/>
  <c r="C518" i="39"/>
  <c r="A519" i="39"/>
  <c r="B519" i="39" s="1"/>
  <c r="B521" i="30"/>
  <c r="A522" i="30"/>
  <c r="D519" i="30"/>
  <c r="C520" i="30" s="1"/>
  <c r="E519" i="30"/>
  <c r="D514" i="25"/>
  <c r="C515" i="25" s="1"/>
  <c r="E514" i="25"/>
  <c r="A521" i="25"/>
  <c r="B521" i="25" s="1"/>
  <c r="F515" i="39" l="1"/>
  <c r="E515" i="39"/>
  <c r="D516" i="39" s="1"/>
  <c r="C519" i="39"/>
  <c r="A520" i="39"/>
  <c r="B520" i="39" s="1"/>
  <c r="B522" i="30"/>
  <c r="A523" i="30"/>
  <c r="D520" i="30"/>
  <c r="C521" i="30" s="1"/>
  <c r="E520" i="30"/>
  <c r="D515" i="25"/>
  <c r="C516" i="25" s="1"/>
  <c r="E515" i="25"/>
  <c r="A522" i="25"/>
  <c r="B522" i="25" s="1"/>
  <c r="F516" i="39" l="1"/>
  <c r="E516" i="39"/>
  <c r="D517" i="39" s="1"/>
  <c r="C520" i="39"/>
  <c r="A521" i="39"/>
  <c r="B521" i="39" s="1"/>
  <c r="B523" i="30"/>
  <c r="A524" i="30"/>
  <c r="D521" i="30"/>
  <c r="C522" i="30" s="1"/>
  <c r="E521" i="30"/>
  <c r="D516" i="25"/>
  <c r="C517" i="25" s="1"/>
  <c r="E516" i="25"/>
  <c r="A523" i="25"/>
  <c r="B523" i="25" s="1"/>
  <c r="E517" i="39" l="1"/>
  <c r="D518" i="39" s="1"/>
  <c r="F517" i="39"/>
  <c r="C521" i="39"/>
  <c r="A522" i="39"/>
  <c r="B522" i="39" s="1"/>
  <c r="B524" i="30"/>
  <c r="A525" i="30"/>
  <c r="D522" i="30"/>
  <c r="C523" i="30" s="1"/>
  <c r="E522" i="30"/>
  <c r="D517" i="25"/>
  <c r="C518" i="25" s="1"/>
  <c r="E517" i="25"/>
  <c r="A524" i="25"/>
  <c r="B524" i="25" s="1"/>
  <c r="E518" i="39" l="1"/>
  <c r="D519" i="39" s="1"/>
  <c r="F518" i="39"/>
  <c r="C522" i="39"/>
  <c r="A523" i="39"/>
  <c r="B523" i="39" s="1"/>
  <c r="B525" i="30"/>
  <c r="A526" i="30"/>
  <c r="D523" i="30"/>
  <c r="C524" i="30" s="1"/>
  <c r="E523" i="30"/>
  <c r="D518" i="25"/>
  <c r="C519" i="25" s="1"/>
  <c r="E518" i="25"/>
  <c r="A525" i="25"/>
  <c r="B525" i="25" s="1"/>
  <c r="F519" i="39" l="1"/>
  <c r="E519" i="39"/>
  <c r="D520" i="39" s="1"/>
  <c r="C523" i="39"/>
  <c r="A524" i="39"/>
  <c r="B524" i="39" s="1"/>
  <c r="B526" i="30"/>
  <c r="A527" i="30"/>
  <c r="D524" i="30"/>
  <c r="C525" i="30" s="1"/>
  <c r="E524" i="30"/>
  <c r="E519" i="25"/>
  <c r="D519" i="25"/>
  <c r="C520" i="25" s="1"/>
  <c r="A526" i="25"/>
  <c r="B526" i="25" s="1"/>
  <c r="E520" i="39" l="1"/>
  <c r="D521" i="39" s="1"/>
  <c r="F520" i="39"/>
  <c r="C524" i="39"/>
  <c r="A525" i="39"/>
  <c r="B525" i="39" s="1"/>
  <c r="B527" i="30"/>
  <c r="A528" i="30"/>
  <c r="D525" i="30"/>
  <c r="C526" i="30" s="1"/>
  <c r="E525" i="30"/>
  <c r="D520" i="25"/>
  <c r="C521" i="25" s="1"/>
  <c r="E520" i="25"/>
  <c r="A527" i="25"/>
  <c r="B527" i="25" s="1"/>
  <c r="E521" i="39" l="1"/>
  <c r="D522" i="39" s="1"/>
  <c r="F521" i="39"/>
  <c r="C525" i="39"/>
  <c r="A526" i="39"/>
  <c r="B526" i="39" s="1"/>
  <c r="B528" i="30"/>
  <c r="A529" i="30"/>
  <c r="D526" i="30"/>
  <c r="C527" i="30" s="1"/>
  <c r="E526" i="30"/>
  <c r="E521" i="25"/>
  <c r="D521" i="25"/>
  <c r="C522" i="25" s="1"/>
  <c r="A528" i="25"/>
  <c r="B528" i="25" s="1"/>
  <c r="F522" i="39" l="1"/>
  <c r="E522" i="39"/>
  <c r="D523" i="39" s="1"/>
  <c r="C526" i="39"/>
  <c r="A527" i="39"/>
  <c r="B527" i="39" s="1"/>
  <c r="B529" i="30"/>
  <c r="A530" i="30"/>
  <c r="D527" i="30"/>
  <c r="C528" i="30" s="1"/>
  <c r="E527" i="30"/>
  <c r="D522" i="25"/>
  <c r="C523" i="25" s="1"/>
  <c r="E522" i="25"/>
  <c r="A529" i="25"/>
  <c r="B529" i="25" s="1"/>
  <c r="F523" i="39" l="1"/>
  <c r="E523" i="39"/>
  <c r="D524" i="39" s="1"/>
  <c r="C527" i="39"/>
  <c r="A528" i="39"/>
  <c r="B528" i="39" s="1"/>
  <c r="B530" i="30"/>
  <c r="A531" i="30"/>
  <c r="D528" i="30"/>
  <c r="C529" i="30" s="1"/>
  <c r="E528" i="30"/>
  <c r="E523" i="25"/>
  <c r="D523" i="25"/>
  <c r="C524" i="25" s="1"/>
  <c r="A530" i="25"/>
  <c r="B530" i="25" s="1"/>
  <c r="E524" i="39" l="1"/>
  <c r="D525" i="39" s="1"/>
  <c r="F524" i="39"/>
  <c r="C528" i="39"/>
  <c r="A529" i="39"/>
  <c r="B529" i="39" s="1"/>
  <c r="B531" i="30"/>
  <c r="A532" i="30"/>
  <c r="D529" i="30"/>
  <c r="C530" i="30" s="1"/>
  <c r="E529" i="30"/>
  <c r="D524" i="25"/>
  <c r="C525" i="25" s="1"/>
  <c r="E524" i="25"/>
  <c r="A531" i="25"/>
  <c r="B531" i="25" s="1"/>
  <c r="F525" i="39" l="1"/>
  <c r="E525" i="39"/>
  <c r="D526" i="39" s="1"/>
  <c r="C529" i="39"/>
  <c r="A530" i="39"/>
  <c r="B530" i="39" s="1"/>
  <c r="B532" i="30"/>
  <c r="A533" i="30"/>
  <c r="D530" i="30"/>
  <c r="C531" i="30" s="1"/>
  <c r="E530" i="30"/>
  <c r="E525" i="25"/>
  <c r="D525" i="25"/>
  <c r="C526" i="25" s="1"/>
  <c r="A532" i="25"/>
  <c r="B532" i="25" s="1"/>
  <c r="E526" i="39" l="1"/>
  <c r="D527" i="39" s="1"/>
  <c r="F526" i="39"/>
  <c r="C530" i="39"/>
  <c r="A531" i="39"/>
  <c r="B531" i="39" s="1"/>
  <c r="B533" i="30"/>
  <c r="A534" i="30"/>
  <c r="D531" i="30"/>
  <c r="C532" i="30" s="1"/>
  <c r="E531" i="30"/>
  <c r="D526" i="25"/>
  <c r="C527" i="25" s="1"/>
  <c r="E526" i="25"/>
  <c r="A533" i="25"/>
  <c r="B533" i="25" s="1"/>
  <c r="E527" i="39" l="1"/>
  <c r="D528" i="39" s="1"/>
  <c r="F527" i="39"/>
  <c r="C531" i="39"/>
  <c r="A532" i="39"/>
  <c r="B532" i="39" s="1"/>
  <c r="B534" i="30"/>
  <c r="A535" i="30"/>
  <c r="D532" i="30"/>
  <c r="C533" i="30" s="1"/>
  <c r="E532" i="30"/>
  <c r="D527" i="25"/>
  <c r="C528" i="25" s="1"/>
  <c r="E527" i="25"/>
  <c r="A534" i="25"/>
  <c r="B534" i="25" s="1"/>
  <c r="F528" i="39" l="1"/>
  <c r="E528" i="39"/>
  <c r="D529" i="39" s="1"/>
  <c r="C532" i="39"/>
  <c r="A533" i="39"/>
  <c r="B533" i="39" s="1"/>
  <c r="B535" i="30"/>
  <c r="A536" i="30"/>
  <c r="D533" i="30"/>
  <c r="C534" i="30" s="1"/>
  <c r="E533" i="30"/>
  <c r="D528" i="25"/>
  <c r="C529" i="25" s="1"/>
  <c r="E528" i="25"/>
  <c r="A535" i="25"/>
  <c r="B535" i="25" s="1"/>
  <c r="E529" i="39" l="1"/>
  <c r="D530" i="39" s="1"/>
  <c r="F529" i="39"/>
  <c r="C533" i="39"/>
  <c r="A534" i="39"/>
  <c r="B534" i="39" s="1"/>
  <c r="B536" i="30"/>
  <c r="A537" i="30"/>
  <c r="D534" i="30"/>
  <c r="C535" i="30" s="1"/>
  <c r="E534" i="30"/>
  <c r="D529" i="25"/>
  <c r="C530" i="25" s="1"/>
  <c r="E529" i="25"/>
  <c r="A536" i="25"/>
  <c r="B536" i="25" s="1"/>
  <c r="F530" i="39" l="1"/>
  <c r="E530" i="39"/>
  <c r="D531" i="39" s="1"/>
  <c r="C534" i="39"/>
  <c r="A535" i="39"/>
  <c r="B535" i="39" s="1"/>
  <c r="B537" i="30"/>
  <c r="A538" i="30"/>
  <c r="D535" i="30"/>
  <c r="C536" i="30" s="1"/>
  <c r="E535" i="30"/>
  <c r="D530" i="25"/>
  <c r="C531" i="25" s="1"/>
  <c r="E530" i="25"/>
  <c r="A537" i="25"/>
  <c r="B537" i="25" s="1"/>
  <c r="F531" i="39" l="1"/>
  <c r="E531" i="39"/>
  <c r="D532" i="39" s="1"/>
  <c r="C535" i="39"/>
  <c r="A536" i="39"/>
  <c r="B536" i="39" s="1"/>
  <c r="B538" i="30"/>
  <c r="A539" i="30"/>
  <c r="D536" i="30"/>
  <c r="C537" i="30" s="1"/>
  <c r="E536" i="30"/>
  <c r="D531" i="25"/>
  <c r="C532" i="25" s="1"/>
  <c r="E531" i="25"/>
  <c r="A538" i="25"/>
  <c r="B538" i="25" s="1"/>
  <c r="F532" i="39" l="1"/>
  <c r="E532" i="39"/>
  <c r="D533" i="39" s="1"/>
  <c r="C536" i="39"/>
  <c r="A537" i="39"/>
  <c r="B537" i="39" s="1"/>
  <c r="B539" i="30"/>
  <c r="A540" i="30"/>
  <c r="D537" i="30"/>
  <c r="C538" i="30" s="1"/>
  <c r="E537" i="30"/>
  <c r="D532" i="25"/>
  <c r="C533" i="25" s="1"/>
  <c r="E532" i="25"/>
  <c r="A539" i="25"/>
  <c r="B539" i="25" s="1"/>
  <c r="E533" i="39" l="1"/>
  <c r="D534" i="39" s="1"/>
  <c r="F533" i="39"/>
  <c r="C537" i="39"/>
  <c r="A538" i="39"/>
  <c r="B538" i="39" s="1"/>
  <c r="B540" i="30"/>
  <c r="A541" i="30"/>
  <c r="D538" i="30"/>
  <c r="C539" i="30" s="1"/>
  <c r="E538" i="30"/>
  <c r="E533" i="25"/>
  <c r="D533" i="25"/>
  <c r="C534" i="25" s="1"/>
  <c r="A540" i="25"/>
  <c r="B540" i="25" s="1"/>
  <c r="E534" i="39" l="1"/>
  <c r="D535" i="39" s="1"/>
  <c r="F534" i="39"/>
  <c r="C538" i="39"/>
  <c r="A539" i="39"/>
  <c r="B539" i="39" s="1"/>
  <c r="B541" i="30"/>
  <c r="A542" i="30"/>
  <c r="D539" i="30"/>
  <c r="C540" i="30" s="1"/>
  <c r="E539" i="30"/>
  <c r="D534" i="25"/>
  <c r="C535" i="25" s="1"/>
  <c r="E534" i="25"/>
  <c r="A541" i="25"/>
  <c r="B541" i="25" s="1"/>
  <c r="E535" i="39" l="1"/>
  <c r="D536" i="39" s="1"/>
  <c r="F535" i="39"/>
  <c r="C539" i="39"/>
  <c r="A540" i="39"/>
  <c r="B540" i="39" s="1"/>
  <c r="B542" i="30"/>
  <c r="A543" i="30"/>
  <c r="D540" i="30"/>
  <c r="C541" i="30" s="1"/>
  <c r="E540" i="30"/>
  <c r="E535" i="25"/>
  <c r="D535" i="25"/>
  <c r="C536" i="25" s="1"/>
  <c r="A542" i="25"/>
  <c r="B542" i="25" s="1"/>
  <c r="F536" i="39" l="1"/>
  <c r="E536" i="39"/>
  <c r="D537" i="39" s="1"/>
  <c r="C540" i="39"/>
  <c r="A541" i="39"/>
  <c r="B541" i="39" s="1"/>
  <c r="B543" i="30"/>
  <c r="A544" i="30"/>
  <c r="D541" i="30"/>
  <c r="C542" i="30" s="1"/>
  <c r="E541" i="30"/>
  <c r="D536" i="25"/>
  <c r="C537" i="25" s="1"/>
  <c r="E536" i="25"/>
  <c r="A543" i="25"/>
  <c r="B543" i="25" s="1"/>
  <c r="F537" i="39" l="1"/>
  <c r="E537" i="39"/>
  <c r="D538" i="39" s="1"/>
  <c r="C541" i="39"/>
  <c r="A542" i="39"/>
  <c r="B542" i="39" s="1"/>
  <c r="B544" i="30"/>
  <c r="A545" i="30"/>
  <c r="D542" i="30"/>
  <c r="C543" i="30" s="1"/>
  <c r="E542" i="30"/>
  <c r="D537" i="25"/>
  <c r="C538" i="25" s="1"/>
  <c r="E537" i="25"/>
  <c r="A544" i="25"/>
  <c r="B544" i="25" s="1"/>
  <c r="E538" i="39" l="1"/>
  <c r="D539" i="39" s="1"/>
  <c r="F538" i="39"/>
  <c r="C542" i="39"/>
  <c r="A543" i="39"/>
  <c r="B543" i="39" s="1"/>
  <c r="B545" i="30"/>
  <c r="A546" i="30"/>
  <c r="D543" i="30"/>
  <c r="C544" i="30" s="1"/>
  <c r="E543" i="30"/>
  <c r="D538" i="25"/>
  <c r="C539" i="25" s="1"/>
  <c r="E538" i="25"/>
  <c r="A545" i="25"/>
  <c r="B545" i="25" s="1"/>
  <c r="E539" i="39" l="1"/>
  <c r="D540" i="39" s="1"/>
  <c r="F539" i="39"/>
  <c r="C543" i="39"/>
  <c r="A544" i="39"/>
  <c r="B544" i="39" s="1"/>
  <c r="B546" i="30"/>
  <c r="A547" i="30"/>
  <c r="D544" i="30"/>
  <c r="C545" i="30" s="1"/>
  <c r="E544" i="30"/>
  <c r="E539" i="25"/>
  <c r="D539" i="25"/>
  <c r="C540" i="25" s="1"/>
  <c r="A546" i="25"/>
  <c r="B546" i="25" s="1"/>
  <c r="F540" i="39" l="1"/>
  <c r="E540" i="39"/>
  <c r="D541" i="39" s="1"/>
  <c r="C544" i="39"/>
  <c r="A545" i="39"/>
  <c r="B545" i="39" s="1"/>
  <c r="B547" i="30"/>
  <c r="A548" i="30"/>
  <c r="D545" i="30"/>
  <c r="C546" i="30" s="1"/>
  <c r="E545" i="30"/>
  <c r="D540" i="25"/>
  <c r="C541" i="25" s="1"/>
  <c r="E540" i="25"/>
  <c r="A547" i="25"/>
  <c r="B547" i="25" s="1"/>
  <c r="E541" i="39" l="1"/>
  <c r="D542" i="39" s="1"/>
  <c r="F541" i="39"/>
  <c r="C545" i="39"/>
  <c r="A546" i="39"/>
  <c r="B546" i="39" s="1"/>
  <c r="B548" i="30"/>
  <c r="A549" i="30"/>
  <c r="D546" i="30"/>
  <c r="C547" i="30" s="1"/>
  <c r="E546" i="30"/>
  <c r="E541" i="25"/>
  <c r="D541" i="25"/>
  <c r="C542" i="25" s="1"/>
  <c r="A548" i="25"/>
  <c r="B548" i="25" s="1"/>
  <c r="F542" i="39" l="1"/>
  <c r="E542" i="39"/>
  <c r="D543" i="39" s="1"/>
  <c r="C546" i="39"/>
  <c r="A547" i="39"/>
  <c r="B547" i="39" s="1"/>
  <c r="B549" i="30"/>
  <c r="A550" i="30"/>
  <c r="D547" i="30"/>
  <c r="C548" i="30" s="1"/>
  <c r="E547" i="30"/>
  <c r="D542" i="25"/>
  <c r="C543" i="25" s="1"/>
  <c r="E542" i="25"/>
  <c r="A549" i="25"/>
  <c r="B549" i="25" s="1"/>
  <c r="F543" i="39" l="1"/>
  <c r="E543" i="39"/>
  <c r="D544" i="39" s="1"/>
  <c r="C547" i="39"/>
  <c r="A548" i="39"/>
  <c r="B548" i="39" s="1"/>
  <c r="B550" i="30"/>
  <c r="A551" i="30"/>
  <c r="D548" i="30"/>
  <c r="C549" i="30" s="1"/>
  <c r="E548" i="30"/>
  <c r="D543" i="25"/>
  <c r="C544" i="25" s="1"/>
  <c r="E543" i="25"/>
  <c r="A550" i="25"/>
  <c r="B550" i="25" s="1"/>
  <c r="E544" i="39" l="1"/>
  <c r="D545" i="39" s="1"/>
  <c r="F544" i="39"/>
  <c r="C548" i="39"/>
  <c r="A549" i="39"/>
  <c r="B549" i="39" s="1"/>
  <c r="B551" i="30"/>
  <c r="A552" i="30"/>
  <c r="D549" i="30"/>
  <c r="C550" i="30" s="1"/>
  <c r="E549" i="30"/>
  <c r="D544" i="25"/>
  <c r="C545" i="25" s="1"/>
  <c r="E544" i="25"/>
  <c r="A551" i="25"/>
  <c r="B551" i="25" s="1"/>
  <c r="E545" i="39" l="1"/>
  <c r="D546" i="39" s="1"/>
  <c r="F545" i="39"/>
  <c r="C549" i="39"/>
  <c r="A550" i="39"/>
  <c r="B550" i="39" s="1"/>
  <c r="B552" i="30"/>
  <c r="A553" i="30"/>
  <c r="D550" i="30"/>
  <c r="C551" i="30" s="1"/>
  <c r="E550" i="30"/>
  <c r="E545" i="25"/>
  <c r="D545" i="25"/>
  <c r="C546" i="25" s="1"/>
  <c r="A552" i="25"/>
  <c r="B552" i="25" s="1"/>
  <c r="F546" i="39" l="1"/>
  <c r="E546" i="39"/>
  <c r="D547" i="39" s="1"/>
  <c r="C550" i="39"/>
  <c r="A551" i="39"/>
  <c r="B551" i="39" s="1"/>
  <c r="B553" i="30"/>
  <c r="A554" i="30"/>
  <c r="D551" i="30"/>
  <c r="C552" i="30" s="1"/>
  <c r="E551" i="30"/>
  <c r="D546" i="25"/>
  <c r="C547" i="25" s="1"/>
  <c r="E546" i="25"/>
  <c r="A553" i="25"/>
  <c r="B553" i="25" s="1"/>
  <c r="F547" i="39" l="1"/>
  <c r="E547" i="39"/>
  <c r="D548" i="39" s="1"/>
  <c r="C551" i="39"/>
  <c r="A552" i="39"/>
  <c r="B552" i="39" s="1"/>
  <c r="B554" i="30"/>
  <c r="A555" i="30"/>
  <c r="D552" i="30"/>
  <c r="C553" i="30" s="1"/>
  <c r="E552" i="30"/>
  <c r="D547" i="25"/>
  <c r="C548" i="25" s="1"/>
  <c r="E547" i="25"/>
  <c r="A554" i="25"/>
  <c r="B554" i="25" s="1"/>
  <c r="E548" i="39" l="1"/>
  <c r="D549" i="39" s="1"/>
  <c r="F548" i="39"/>
  <c r="C552" i="39"/>
  <c r="A553" i="39"/>
  <c r="B553" i="39" s="1"/>
  <c r="B555" i="30"/>
  <c r="A556" i="30"/>
  <c r="D553" i="30"/>
  <c r="C554" i="30" s="1"/>
  <c r="E553" i="30"/>
  <c r="D548" i="25"/>
  <c r="C549" i="25" s="1"/>
  <c r="E548" i="25"/>
  <c r="A555" i="25"/>
  <c r="B555" i="25" s="1"/>
  <c r="F549" i="39" l="1"/>
  <c r="E549" i="39"/>
  <c r="D550" i="39" s="1"/>
  <c r="C553" i="39"/>
  <c r="A554" i="39"/>
  <c r="B554" i="39" s="1"/>
  <c r="B556" i="30"/>
  <c r="A557" i="30"/>
  <c r="D554" i="30"/>
  <c r="C555" i="30" s="1"/>
  <c r="E554" i="30"/>
  <c r="E549" i="25"/>
  <c r="D549" i="25"/>
  <c r="C550" i="25" s="1"/>
  <c r="A556" i="25"/>
  <c r="B556" i="25" s="1"/>
  <c r="F550" i="39" l="1"/>
  <c r="E550" i="39"/>
  <c r="D551" i="39" s="1"/>
  <c r="C554" i="39"/>
  <c r="A555" i="39"/>
  <c r="B555" i="39" s="1"/>
  <c r="B557" i="30"/>
  <c r="A558" i="30"/>
  <c r="D555" i="30"/>
  <c r="C556" i="30" s="1"/>
  <c r="E555" i="30"/>
  <c r="D550" i="25"/>
  <c r="C551" i="25" s="1"/>
  <c r="E550" i="25"/>
  <c r="A557" i="25"/>
  <c r="B557" i="25" s="1"/>
  <c r="E551" i="39" l="1"/>
  <c r="D552" i="39" s="1"/>
  <c r="F551" i="39"/>
  <c r="C555" i="39"/>
  <c r="A556" i="39"/>
  <c r="B556" i="39" s="1"/>
  <c r="B558" i="30"/>
  <c r="A559" i="30"/>
  <c r="D556" i="30"/>
  <c r="C557" i="30" s="1"/>
  <c r="E556" i="30"/>
  <c r="E551" i="25"/>
  <c r="D551" i="25"/>
  <c r="C552" i="25" s="1"/>
  <c r="A558" i="25"/>
  <c r="B558" i="25" s="1"/>
  <c r="F552" i="39" l="1"/>
  <c r="E552" i="39"/>
  <c r="D553" i="39" s="1"/>
  <c r="C556" i="39"/>
  <c r="A557" i="39"/>
  <c r="B557" i="39" s="1"/>
  <c r="B559" i="30"/>
  <c r="A560" i="30"/>
  <c r="D557" i="30"/>
  <c r="C558" i="30" s="1"/>
  <c r="E557" i="30"/>
  <c r="D552" i="25"/>
  <c r="C553" i="25" s="1"/>
  <c r="E552" i="25"/>
  <c r="A559" i="25"/>
  <c r="B559" i="25" s="1"/>
  <c r="F553" i="39" l="1"/>
  <c r="E553" i="39"/>
  <c r="D554" i="39" s="1"/>
  <c r="C557" i="39"/>
  <c r="A558" i="39"/>
  <c r="B558" i="39" s="1"/>
  <c r="B560" i="30"/>
  <c r="A561" i="30"/>
  <c r="D558" i="30"/>
  <c r="C559" i="30" s="1"/>
  <c r="E558" i="30"/>
  <c r="D553" i="25"/>
  <c r="C554" i="25" s="1"/>
  <c r="E553" i="25"/>
  <c r="A560" i="25"/>
  <c r="B560" i="25" s="1"/>
  <c r="E554" i="39" l="1"/>
  <c r="D555" i="39" s="1"/>
  <c r="F554" i="39"/>
  <c r="C558" i="39"/>
  <c r="A559" i="39"/>
  <c r="B559" i="39" s="1"/>
  <c r="B561" i="30"/>
  <c r="A562" i="30"/>
  <c r="D559" i="30"/>
  <c r="C560" i="30" s="1"/>
  <c r="E559" i="30"/>
  <c r="D554" i="25"/>
  <c r="C555" i="25" s="1"/>
  <c r="E554" i="25"/>
  <c r="A561" i="25"/>
  <c r="B561" i="25" s="1"/>
  <c r="F555" i="39" l="1"/>
  <c r="E555" i="39"/>
  <c r="D556" i="39" s="1"/>
  <c r="C559" i="39"/>
  <c r="A560" i="39"/>
  <c r="B560" i="39" s="1"/>
  <c r="B562" i="30"/>
  <c r="A563" i="30"/>
  <c r="D560" i="30"/>
  <c r="C561" i="30" s="1"/>
  <c r="E560" i="30"/>
  <c r="E555" i="25"/>
  <c r="D555" i="25"/>
  <c r="C556" i="25" s="1"/>
  <c r="A562" i="25"/>
  <c r="B562" i="25" s="1"/>
  <c r="F556" i="39" l="1"/>
  <c r="E556" i="39"/>
  <c r="D557" i="39" s="1"/>
  <c r="C560" i="39"/>
  <c r="A561" i="39"/>
  <c r="B561" i="39" s="1"/>
  <c r="B563" i="30"/>
  <c r="A564" i="30"/>
  <c r="D561" i="30"/>
  <c r="C562" i="30" s="1"/>
  <c r="E561" i="30"/>
  <c r="D556" i="25"/>
  <c r="C557" i="25" s="1"/>
  <c r="E556" i="25"/>
  <c r="A563" i="25"/>
  <c r="B563" i="25" s="1"/>
  <c r="F557" i="39" l="1"/>
  <c r="E557" i="39"/>
  <c r="D558" i="39" s="1"/>
  <c r="C561" i="39"/>
  <c r="A562" i="39"/>
  <c r="B562" i="39" s="1"/>
  <c r="B564" i="30"/>
  <c r="A565" i="30"/>
  <c r="D562" i="30"/>
  <c r="C563" i="30" s="1"/>
  <c r="E562" i="30"/>
  <c r="D557" i="25"/>
  <c r="C558" i="25" s="1"/>
  <c r="E557" i="25"/>
  <c r="A564" i="25"/>
  <c r="B564" i="25" s="1"/>
  <c r="E558" i="39" l="1"/>
  <c r="D559" i="39" s="1"/>
  <c r="F558" i="39"/>
  <c r="C562" i="39"/>
  <c r="A563" i="39"/>
  <c r="B563" i="39" s="1"/>
  <c r="B565" i="30"/>
  <c r="A566" i="30"/>
  <c r="D563" i="30"/>
  <c r="C564" i="30" s="1"/>
  <c r="E563" i="30"/>
  <c r="D558" i="25"/>
  <c r="C559" i="25" s="1"/>
  <c r="E558" i="25"/>
  <c r="A565" i="25"/>
  <c r="B565" i="25" s="1"/>
  <c r="F559" i="39" l="1"/>
  <c r="E559" i="39"/>
  <c r="D560" i="39" s="1"/>
  <c r="C563" i="39"/>
  <c r="A564" i="39"/>
  <c r="B564" i="39" s="1"/>
  <c r="B566" i="30"/>
  <c r="A567" i="30"/>
  <c r="D564" i="30"/>
  <c r="C565" i="30" s="1"/>
  <c r="E564" i="30"/>
  <c r="D559" i="25"/>
  <c r="C560" i="25" s="1"/>
  <c r="E559" i="25"/>
  <c r="A566" i="25"/>
  <c r="B566" i="25" s="1"/>
  <c r="E560" i="39" l="1"/>
  <c r="D561" i="39" s="1"/>
  <c r="F560" i="39"/>
  <c r="C564" i="39"/>
  <c r="A565" i="39"/>
  <c r="B565" i="39" s="1"/>
  <c r="B567" i="30"/>
  <c r="A568" i="30"/>
  <c r="D565" i="30"/>
  <c r="C566" i="30" s="1"/>
  <c r="E565" i="30"/>
  <c r="E560" i="25"/>
  <c r="D560" i="25"/>
  <c r="C561" i="25" s="1"/>
  <c r="A567" i="25"/>
  <c r="B567" i="25" s="1"/>
  <c r="F561" i="39" l="1"/>
  <c r="E561" i="39"/>
  <c r="D562" i="39" s="1"/>
  <c r="C565" i="39"/>
  <c r="A566" i="39"/>
  <c r="B566" i="39" s="1"/>
  <c r="B568" i="30"/>
  <c r="A569" i="30"/>
  <c r="D566" i="30"/>
  <c r="C567" i="30" s="1"/>
  <c r="E566" i="30"/>
  <c r="D561" i="25"/>
  <c r="C562" i="25" s="1"/>
  <c r="E561" i="25"/>
  <c r="A568" i="25"/>
  <c r="B568" i="25" s="1"/>
  <c r="E562" i="39" l="1"/>
  <c r="D563" i="39" s="1"/>
  <c r="F562" i="39"/>
  <c r="C566" i="39"/>
  <c r="A567" i="39"/>
  <c r="B567" i="39" s="1"/>
  <c r="B569" i="30"/>
  <c r="A570" i="30"/>
  <c r="D567" i="30"/>
  <c r="C568" i="30" s="1"/>
  <c r="E567" i="30"/>
  <c r="E562" i="25"/>
  <c r="D562" i="25"/>
  <c r="C563" i="25" s="1"/>
  <c r="A569" i="25"/>
  <c r="B569" i="25" s="1"/>
  <c r="F563" i="39" l="1"/>
  <c r="E563" i="39"/>
  <c r="D564" i="39" s="1"/>
  <c r="C567" i="39"/>
  <c r="A568" i="39"/>
  <c r="B568" i="39" s="1"/>
  <c r="B570" i="30"/>
  <c r="A571" i="30"/>
  <c r="D568" i="30"/>
  <c r="C569" i="30" s="1"/>
  <c r="E568" i="30"/>
  <c r="E563" i="25"/>
  <c r="D563" i="25"/>
  <c r="C564" i="25" s="1"/>
  <c r="A570" i="25"/>
  <c r="B570" i="25" s="1"/>
  <c r="F564" i="39" l="1"/>
  <c r="E564" i="39"/>
  <c r="D565" i="39" s="1"/>
  <c r="C568" i="39"/>
  <c r="A569" i="39"/>
  <c r="B569" i="39" s="1"/>
  <c r="B571" i="30"/>
  <c r="A572" i="30"/>
  <c r="D569" i="30"/>
  <c r="C570" i="30" s="1"/>
  <c r="E569" i="30"/>
  <c r="E564" i="25"/>
  <c r="D564" i="25"/>
  <c r="C565" i="25" s="1"/>
  <c r="A571" i="25"/>
  <c r="B571" i="25" s="1"/>
  <c r="F565" i="39" l="1"/>
  <c r="E565" i="39"/>
  <c r="D566" i="39" s="1"/>
  <c r="C569" i="39"/>
  <c r="A570" i="39"/>
  <c r="B570" i="39" s="1"/>
  <c r="B572" i="30"/>
  <c r="A573" i="30"/>
  <c r="D570" i="30"/>
  <c r="C571" i="30" s="1"/>
  <c r="E570" i="30"/>
  <c r="E565" i="25"/>
  <c r="D565" i="25"/>
  <c r="C566" i="25" s="1"/>
  <c r="A572" i="25"/>
  <c r="B572" i="25" s="1"/>
  <c r="F566" i="39" l="1"/>
  <c r="E566" i="39"/>
  <c r="D567" i="39" s="1"/>
  <c r="C570" i="39"/>
  <c r="A571" i="39"/>
  <c r="B571" i="39" s="1"/>
  <c r="B573" i="30"/>
  <c r="A574" i="30"/>
  <c r="D571" i="30"/>
  <c r="C572" i="30" s="1"/>
  <c r="E571" i="30"/>
  <c r="E566" i="25"/>
  <c r="D566" i="25"/>
  <c r="C567" i="25" s="1"/>
  <c r="A573" i="25"/>
  <c r="B573" i="25" s="1"/>
  <c r="F567" i="39" l="1"/>
  <c r="E567" i="39"/>
  <c r="D568" i="39" s="1"/>
  <c r="C571" i="39"/>
  <c r="A572" i="39"/>
  <c r="B572" i="39" s="1"/>
  <c r="B574" i="30"/>
  <c r="A575" i="30"/>
  <c r="D572" i="30"/>
  <c r="C573" i="30" s="1"/>
  <c r="E572" i="30"/>
  <c r="E567" i="25"/>
  <c r="D567" i="25"/>
  <c r="C568" i="25" s="1"/>
  <c r="A574" i="25"/>
  <c r="B574" i="25" s="1"/>
  <c r="F568" i="39" l="1"/>
  <c r="E568" i="39"/>
  <c r="D569" i="39" s="1"/>
  <c r="C572" i="39"/>
  <c r="A573" i="39"/>
  <c r="B573" i="39" s="1"/>
  <c r="B575" i="30"/>
  <c r="A576" i="30"/>
  <c r="D573" i="30"/>
  <c r="C574" i="30" s="1"/>
  <c r="E573" i="30"/>
  <c r="D568" i="25"/>
  <c r="C569" i="25" s="1"/>
  <c r="E568" i="25"/>
  <c r="A575" i="25"/>
  <c r="B575" i="25" s="1"/>
  <c r="F569" i="39" l="1"/>
  <c r="E569" i="39"/>
  <c r="D570" i="39" s="1"/>
  <c r="C573" i="39"/>
  <c r="A574" i="39"/>
  <c r="B574" i="39" s="1"/>
  <c r="B576" i="30"/>
  <c r="A577" i="30"/>
  <c r="D574" i="30"/>
  <c r="C575" i="30" s="1"/>
  <c r="E574" i="30"/>
  <c r="D569" i="25"/>
  <c r="C570" i="25" s="1"/>
  <c r="E569" i="25"/>
  <c r="A576" i="25"/>
  <c r="B576" i="25" s="1"/>
  <c r="F570" i="39" l="1"/>
  <c r="E570" i="39"/>
  <c r="D571" i="39" s="1"/>
  <c r="C574" i="39"/>
  <c r="A575" i="39"/>
  <c r="B575" i="39" s="1"/>
  <c r="B577" i="30"/>
  <c r="A578" i="30"/>
  <c r="D575" i="30"/>
  <c r="C576" i="30" s="1"/>
  <c r="E575" i="30"/>
  <c r="D570" i="25"/>
  <c r="C571" i="25" s="1"/>
  <c r="E570" i="25"/>
  <c r="A577" i="25"/>
  <c r="B577" i="25" s="1"/>
  <c r="F571" i="39" l="1"/>
  <c r="E571" i="39"/>
  <c r="D572" i="39" s="1"/>
  <c r="C575" i="39"/>
  <c r="A576" i="39"/>
  <c r="B576" i="39" s="1"/>
  <c r="B578" i="30"/>
  <c r="A579" i="30"/>
  <c r="D576" i="30"/>
  <c r="C577" i="30" s="1"/>
  <c r="E576" i="30"/>
  <c r="E571" i="25"/>
  <c r="D571" i="25"/>
  <c r="C572" i="25" s="1"/>
  <c r="A578" i="25"/>
  <c r="B578" i="25" s="1"/>
  <c r="F572" i="39" l="1"/>
  <c r="E572" i="39"/>
  <c r="D573" i="39" s="1"/>
  <c r="C576" i="39"/>
  <c r="A577" i="39"/>
  <c r="B577" i="39" s="1"/>
  <c r="B579" i="30"/>
  <c r="A580" i="30"/>
  <c r="D577" i="30"/>
  <c r="C578" i="30" s="1"/>
  <c r="E577" i="30"/>
  <c r="E572" i="25"/>
  <c r="D572" i="25"/>
  <c r="C573" i="25" s="1"/>
  <c r="A579" i="25"/>
  <c r="B579" i="25" s="1"/>
  <c r="E573" i="39" l="1"/>
  <c r="D574" i="39" s="1"/>
  <c r="F573" i="39"/>
  <c r="C577" i="39"/>
  <c r="A578" i="39"/>
  <c r="B578" i="39" s="1"/>
  <c r="B580" i="30"/>
  <c r="A581" i="30"/>
  <c r="D578" i="30"/>
  <c r="C579" i="30" s="1"/>
  <c r="E578" i="30"/>
  <c r="E573" i="25"/>
  <c r="D573" i="25"/>
  <c r="C574" i="25" s="1"/>
  <c r="A580" i="25"/>
  <c r="B580" i="25" s="1"/>
  <c r="F574" i="39" l="1"/>
  <c r="E574" i="39"/>
  <c r="D575" i="39" s="1"/>
  <c r="C578" i="39"/>
  <c r="A579" i="39"/>
  <c r="B579" i="39" s="1"/>
  <c r="B581" i="30"/>
  <c r="A582" i="30"/>
  <c r="D579" i="30"/>
  <c r="C580" i="30" s="1"/>
  <c r="E579" i="30"/>
  <c r="D574" i="25"/>
  <c r="C575" i="25" s="1"/>
  <c r="E574" i="25"/>
  <c r="A581" i="25"/>
  <c r="B581" i="25" s="1"/>
  <c r="E575" i="39" l="1"/>
  <c r="D576" i="39" s="1"/>
  <c r="F575" i="39"/>
  <c r="C579" i="39"/>
  <c r="A580" i="39"/>
  <c r="B580" i="39" s="1"/>
  <c r="B582" i="30"/>
  <c r="A583" i="30"/>
  <c r="D580" i="30"/>
  <c r="C581" i="30" s="1"/>
  <c r="E580" i="30"/>
  <c r="E575" i="25"/>
  <c r="D575" i="25"/>
  <c r="C576" i="25" s="1"/>
  <c r="A582" i="25"/>
  <c r="B582" i="25" s="1"/>
  <c r="F576" i="39" l="1"/>
  <c r="E576" i="39"/>
  <c r="D577" i="39" s="1"/>
  <c r="C580" i="39"/>
  <c r="A581" i="39"/>
  <c r="B581" i="39" s="1"/>
  <c r="B583" i="30"/>
  <c r="A584" i="30"/>
  <c r="D581" i="30"/>
  <c r="C582" i="30" s="1"/>
  <c r="E581" i="30"/>
  <c r="D576" i="25"/>
  <c r="C577" i="25" s="1"/>
  <c r="E576" i="25"/>
  <c r="A583" i="25"/>
  <c r="B583" i="25" s="1"/>
  <c r="F577" i="39" l="1"/>
  <c r="E577" i="39"/>
  <c r="D578" i="39" s="1"/>
  <c r="C581" i="39"/>
  <c r="A582" i="39"/>
  <c r="B582" i="39" s="1"/>
  <c r="B584" i="30"/>
  <c r="A585" i="30"/>
  <c r="D582" i="30"/>
  <c r="C583" i="30" s="1"/>
  <c r="E582" i="30"/>
  <c r="D577" i="25"/>
  <c r="C578" i="25" s="1"/>
  <c r="E577" i="25"/>
  <c r="A584" i="25"/>
  <c r="B584" i="25" s="1"/>
  <c r="F578" i="39" l="1"/>
  <c r="E578" i="39"/>
  <c r="D579" i="39" s="1"/>
  <c r="C582" i="39"/>
  <c r="A583" i="39"/>
  <c r="B583" i="39" s="1"/>
  <c r="B585" i="30"/>
  <c r="A586" i="30"/>
  <c r="D583" i="30"/>
  <c r="C584" i="30" s="1"/>
  <c r="E583" i="30"/>
  <c r="D578" i="25"/>
  <c r="C579" i="25" s="1"/>
  <c r="E578" i="25"/>
  <c r="A585" i="25"/>
  <c r="B585" i="25" s="1"/>
  <c r="F579" i="39" l="1"/>
  <c r="E579" i="39"/>
  <c r="D580" i="39" s="1"/>
  <c r="C583" i="39"/>
  <c r="A584" i="39"/>
  <c r="B584" i="39" s="1"/>
  <c r="B586" i="30"/>
  <c r="A587" i="30"/>
  <c r="D584" i="30"/>
  <c r="C585" i="30" s="1"/>
  <c r="E584" i="30"/>
  <c r="D579" i="25"/>
  <c r="C580" i="25" s="1"/>
  <c r="E579" i="25"/>
  <c r="A586" i="25"/>
  <c r="B586" i="25" s="1"/>
  <c r="F580" i="39" l="1"/>
  <c r="E580" i="39"/>
  <c r="D581" i="39" s="1"/>
  <c r="C584" i="39"/>
  <c r="A585" i="39"/>
  <c r="B585" i="39" s="1"/>
  <c r="B587" i="30"/>
  <c r="A588" i="30"/>
  <c r="D585" i="30"/>
  <c r="C586" i="30" s="1"/>
  <c r="E585" i="30"/>
  <c r="E580" i="25"/>
  <c r="D580" i="25"/>
  <c r="C581" i="25" s="1"/>
  <c r="A587" i="25"/>
  <c r="B587" i="25" s="1"/>
  <c r="E581" i="39" l="1"/>
  <c r="D582" i="39" s="1"/>
  <c r="F581" i="39"/>
  <c r="C585" i="39"/>
  <c r="A586" i="39"/>
  <c r="B586" i="39" s="1"/>
  <c r="B588" i="30"/>
  <c r="A589" i="30"/>
  <c r="D586" i="30"/>
  <c r="C587" i="30" s="1"/>
  <c r="E586" i="30"/>
  <c r="D581" i="25"/>
  <c r="C582" i="25" s="1"/>
  <c r="E581" i="25"/>
  <c r="A588" i="25"/>
  <c r="B588" i="25" s="1"/>
  <c r="F582" i="39" l="1"/>
  <c r="E582" i="39"/>
  <c r="D583" i="39" s="1"/>
  <c r="C586" i="39"/>
  <c r="A587" i="39"/>
  <c r="B587" i="39" s="1"/>
  <c r="B589" i="30"/>
  <c r="A590" i="30"/>
  <c r="D587" i="30"/>
  <c r="C588" i="30" s="1"/>
  <c r="E587" i="30"/>
  <c r="D582" i="25"/>
  <c r="C583" i="25" s="1"/>
  <c r="E582" i="25"/>
  <c r="A589" i="25"/>
  <c r="B589" i="25" s="1"/>
  <c r="E583" i="39" l="1"/>
  <c r="D584" i="39" s="1"/>
  <c r="F583" i="39"/>
  <c r="C587" i="39"/>
  <c r="A588" i="39"/>
  <c r="B588" i="39" s="1"/>
  <c r="B590" i="30"/>
  <c r="A591" i="30"/>
  <c r="D588" i="30"/>
  <c r="C589" i="30" s="1"/>
  <c r="E588" i="30"/>
  <c r="D583" i="25"/>
  <c r="C584" i="25" s="1"/>
  <c r="E583" i="25"/>
  <c r="A590" i="25"/>
  <c r="B590" i="25" s="1"/>
  <c r="E584" i="39" l="1"/>
  <c r="D585" i="39" s="1"/>
  <c r="F584" i="39"/>
  <c r="C588" i="39"/>
  <c r="A589" i="39"/>
  <c r="B589" i="39" s="1"/>
  <c r="B591" i="30"/>
  <c r="A592" i="30"/>
  <c r="D589" i="30"/>
  <c r="C590" i="30" s="1"/>
  <c r="E589" i="30"/>
  <c r="D584" i="25"/>
  <c r="C585" i="25" s="1"/>
  <c r="E584" i="25"/>
  <c r="A591" i="25"/>
  <c r="B591" i="25" s="1"/>
  <c r="E585" i="39" l="1"/>
  <c r="D586" i="39" s="1"/>
  <c r="F585" i="39"/>
  <c r="C589" i="39"/>
  <c r="A590" i="39"/>
  <c r="B590" i="39" s="1"/>
  <c r="B592" i="30"/>
  <c r="A593" i="30"/>
  <c r="D590" i="30"/>
  <c r="C591" i="30" s="1"/>
  <c r="E590" i="30"/>
  <c r="E585" i="25"/>
  <c r="D585" i="25"/>
  <c r="C586" i="25" s="1"/>
  <c r="A592" i="25"/>
  <c r="B592" i="25" s="1"/>
  <c r="E586" i="39" l="1"/>
  <c r="D587" i="39" s="1"/>
  <c r="F586" i="39"/>
  <c r="C590" i="39"/>
  <c r="A591" i="39"/>
  <c r="B591" i="39" s="1"/>
  <c r="B593" i="30"/>
  <c r="A594" i="30"/>
  <c r="D591" i="30"/>
  <c r="C592" i="30" s="1"/>
  <c r="E591" i="30"/>
  <c r="D586" i="25"/>
  <c r="C587" i="25" s="1"/>
  <c r="E586" i="25"/>
  <c r="A593" i="25"/>
  <c r="B593" i="25" s="1"/>
  <c r="E587" i="39" l="1"/>
  <c r="D588" i="39" s="1"/>
  <c r="F587" i="39"/>
  <c r="C591" i="39"/>
  <c r="A592" i="39"/>
  <c r="B592" i="39" s="1"/>
  <c r="B594" i="30"/>
  <c r="A595" i="30"/>
  <c r="D592" i="30"/>
  <c r="C593" i="30" s="1"/>
  <c r="E592" i="30"/>
  <c r="E587" i="25"/>
  <c r="D587" i="25"/>
  <c r="C588" i="25" s="1"/>
  <c r="A594" i="25"/>
  <c r="B594" i="25" s="1"/>
  <c r="F588" i="39" l="1"/>
  <c r="E588" i="39"/>
  <c r="D589" i="39" s="1"/>
  <c r="C592" i="39"/>
  <c r="A593" i="39"/>
  <c r="B593" i="39" s="1"/>
  <c r="B595" i="30"/>
  <c r="A596" i="30"/>
  <c r="D593" i="30"/>
  <c r="C594" i="30" s="1"/>
  <c r="E593" i="30"/>
  <c r="D588" i="25"/>
  <c r="C589" i="25" s="1"/>
  <c r="E588" i="25"/>
  <c r="A595" i="25"/>
  <c r="B595" i="25" s="1"/>
  <c r="E589" i="39" l="1"/>
  <c r="D590" i="39" s="1"/>
  <c r="F589" i="39"/>
  <c r="C593" i="39"/>
  <c r="A594" i="39"/>
  <c r="B594" i="39" s="1"/>
  <c r="B596" i="30"/>
  <c r="A597" i="30"/>
  <c r="D594" i="30"/>
  <c r="C595" i="30" s="1"/>
  <c r="E594" i="30"/>
  <c r="E589" i="25"/>
  <c r="D589" i="25"/>
  <c r="C590" i="25" s="1"/>
  <c r="A596" i="25"/>
  <c r="B596" i="25" s="1"/>
  <c r="E590" i="39" l="1"/>
  <c r="D591" i="39" s="1"/>
  <c r="F590" i="39"/>
  <c r="C594" i="39"/>
  <c r="A595" i="39"/>
  <c r="B595" i="39" s="1"/>
  <c r="B597" i="30"/>
  <c r="A598" i="30"/>
  <c r="D595" i="30"/>
  <c r="C596" i="30" s="1"/>
  <c r="E595" i="30"/>
  <c r="E590" i="25"/>
  <c r="D590" i="25"/>
  <c r="C591" i="25" s="1"/>
  <c r="A597" i="25"/>
  <c r="B597" i="25" s="1"/>
  <c r="F591" i="39" l="1"/>
  <c r="E591" i="39"/>
  <c r="D592" i="39" s="1"/>
  <c r="C595" i="39"/>
  <c r="A596" i="39"/>
  <c r="B596" i="39" s="1"/>
  <c r="B598" i="30"/>
  <c r="A599" i="30"/>
  <c r="D596" i="30"/>
  <c r="C597" i="30" s="1"/>
  <c r="E596" i="30"/>
  <c r="E591" i="25"/>
  <c r="D591" i="25"/>
  <c r="C592" i="25" s="1"/>
  <c r="A598" i="25"/>
  <c r="B598" i="25" s="1"/>
  <c r="F592" i="39" l="1"/>
  <c r="E592" i="39"/>
  <c r="D593" i="39" s="1"/>
  <c r="C596" i="39"/>
  <c r="A597" i="39"/>
  <c r="B597" i="39" s="1"/>
  <c r="B599" i="30"/>
  <c r="A600" i="30"/>
  <c r="D597" i="30"/>
  <c r="C598" i="30" s="1"/>
  <c r="E597" i="30"/>
  <c r="D592" i="25"/>
  <c r="C593" i="25" s="1"/>
  <c r="E592" i="25"/>
  <c r="A599" i="25"/>
  <c r="B599" i="25" s="1"/>
  <c r="E593" i="39" l="1"/>
  <c r="D594" i="39" s="1"/>
  <c r="F593" i="39"/>
  <c r="C597" i="39"/>
  <c r="A598" i="39"/>
  <c r="B598" i="39" s="1"/>
  <c r="B600" i="30"/>
  <c r="A601" i="30"/>
  <c r="D598" i="30"/>
  <c r="C599" i="30" s="1"/>
  <c r="E598" i="30"/>
  <c r="E593" i="25"/>
  <c r="D593" i="25"/>
  <c r="C594" i="25" s="1"/>
  <c r="A600" i="25"/>
  <c r="B600" i="25" s="1"/>
  <c r="F594" i="39" l="1"/>
  <c r="E594" i="39"/>
  <c r="D595" i="39" s="1"/>
  <c r="C598" i="39"/>
  <c r="A599" i="39"/>
  <c r="B599" i="39" s="1"/>
  <c r="B601" i="30"/>
  <c r="A602" i="30"/>
  <c r="D599" i="30"/>
  <c r="C600" i="30" s="1"/>
  <c r="E599" i="30"/>
  <c r="E594" i="25"/>
  <c r="D594" i="25"/>
  <c r="C595" i="25" s="1"/>
  <c r="A601" i="25"/>
  <c r="B601" i="25" s="1"/>
  <c r="E595" i="39" l="1"/>
  <c r="D596" i="39" s="1"/>
  <c r="F595" i="39"/>
  <c r="C599" i="39"/>
  <c r="A600" i="39"/>
  <c r="B600" i="39" s="1"/>
  <c r="B602" i="30"/>
  <c r="A603" i="30"/>
  <c r="D600" i="30"/>
  <c r="C601" i="30" s="1"/>
  <c r="E600" i="30"/>
  <c r="D595" i="25"/>
  <c r="C596" i="25" s="1"/>
  <c r="E595" i="25"/>
  <c r="A602" i="25"/>
  <c r="B602" i="25" s="1"/>
  <c r="F596" i="39" l="1"/>
  <c r="E596" i="39"/>
  <c r="D597" i="39" s="1"/>
  <c r="C600" i="39"/>
  <c r="A601" i="39"/>
  <c r="B601" i="39" s="1"/>
  <c r="B603" i="30"/>
  <c r="A604" i="30"/>
  <c r="D601" i="30"/>
  <c r="C602" i="30" s="1"/>
  <c r="E601" i="30"/>
  <c r="D596" i="25"/>
  <c r="C597" i="25" s="1"/>
  <c r="E596" i="25"/>
  <c r="A603" i="25"/>
  <c r="B603" i="25" s="1"/>
  <c r="F597" i="39" l="1"/>
  <c r="E597" i="39"/>
  <c r="D598" i="39" s="1"/>
  <c r="C601" i="39"/>
  <c r="A602" i="39"/>
  <c r="B602" i="39" s="1"/>
  <c r="B604" i="30"/>
  <c r="A605" i="30"/>
  <c r="D602" i="30"/>
  <c r="C603" i="30" s="1"/>
  <c r="E602" i="30"/>
  <c r="E597" i="25"/>
  <c r="D597" i="25"/>
  <c r="C598" i="25" s="1"/>
  <c r="A604" i="25"/>
  <c r="B604" i="25" s="1"/>
  <c r="E598" i="39" l="1"/>
  <c r="D599" i="39" s="1"/>
  <c r="F598" i="39"/>
  <c r="C602" i="39"/>
  <c r="A603" i="39"/>
  <c r="B603" i="39" s="1"/>
  <c r="B605" i="30"/>
  <c r="A606" i="30"/>
  <c r="D603" i="30"/>
  <c r="C604" i="30" s="1"/>
  <c r="E603" i="30"/>
  <c r="E598" i="25"/>
  <c r="D598" i="25"/>
  <c r="C599" i="25" s="1"/>
  <c r="A605" i="25"/>
  <c r="B605" i="25" s="1"/>
  <c r="E599" i="39" l="1"/>
  <c r="D600" i="39" s="1"/>
  <c r="F599" i="39"/>
  <c r="C603" i="39"/>
  <c r="A604" i="39"/>
  <c r="B604" i="39" s="1"/>
  <c r="B606" i="30"/>
  <c r="A607" i="30"/>
  <c r="D604" i="30"/>
  <c r="C605" i="30" s="1"/>
  <c r="E604" i="30"/>
  <c r="D599" i="25"/>
  <c r="C600" i="25" s="1"/>
  <c r="E599" i="25"/>
  <c r="A606" i="25"/>
  <c r="B606" i="25" s="1"/>
  <c r="E600" i="39" l="1"/>
  <c r="D601" i="39" s="1"/>
  <c r="F600" i="39"/>
  <c r="C604" i="39"/>
  <c r="A605" i="39"/>
  <c r="B605" i="39" s="1"/>
  <c r="B607" i="30"/>
  <c r="A608" i="30"/>
  <c r="D605" i="30"/>
  <c r="C606" i="30" s="1"/>
  <c r="E605" i="30"/>
  <c r="E600" i="25"/>
  <c r="D600" i="25"/>
  <c r="C601" i="25" s="1"/>
  <c r="A607" i="25"/>
  <c r="B607" i="25" s="1"/>
  <c r="F601" i="39" l="1"/>
  <c r="E601" i="39"/>
  <c r="D602" i="39" s="1"/>
  <c r="C605" i="39"/>
  <c r="A606" i="39"/>
  <c r="B606" i="39" s="1"/>
  <c r="B608" i="30"/>
  <c r="A609" i="30"/>
  <c r="D606" i="30"/>
  <c r="C607" i="30" s="1"/>
  <c r="E606" i="30"/>
  <c r="E601" i="25"/>
  <c r="D601" i="25"/>
  <c r="C602" i="25" s="1"/>
  <c r="A608" i="25"/>
  <c r="B608" i="25" s="1"/>
  <c r="E602" i="39" l="1"/>
  <c r="D603" i="39" s="1"/>
  <c r="F602" i="39"/>
  <c r="C606" i="39"/>
  <c r="A607" i="39"/>
  <c r="B607" i="39" s="1"/>
  <c r="B609" i="30"/>
  <c r="A610" i="30"/>
  <c r="D607" i="30"/>
  <c r="C608" i="30" s="1"/>
  <c r="E607" i="30"/>
  <c r="D602" i="25"/>
  <c r="C603" i="25" s="1"/>
  <c r="E602" i="25"/>
  <c r="A609" i="25"/>
  <c r="B609" i="25" s="1"/>
  <c r="E603" i="39" l="1"/>
  <c r="D604" i="39" s="1"/>
  <c r="F603" i="39"/>
  <c r="C607" i="39"/>
  <c r="A608" i="39"/>
  <c r="B608" i="39" s="1"/>
  <c r="B610" i="30"/>
  <c r="A611" i="30"/>
  <c r="D608" i="30"/>
  <c r="C609" i="30" s="1"/>
  <c r="E608" i="30"/>
  <c r="D603" i="25"/>
  <c r="C604" i="25" s="1"/>
  <c r="E603" i="25"/>
  <c r="A610" i="25"/>
  <c r="B610" i="25" s="1"/>
  <c r="F604" i="39" l="1"/>
  <c r="E604" i="39"/>
  <c r="D605" i="39" s="1"/>
  <c r="C608" i="39"/>
  <c r="A609" i="39"/>
  <c r="B609" i="39" s="1"/>
  <c r="B611" i="30"/>
  <c r="A612" i="30"/>
  <c r="D609" i="30"/>
  <c r="C610" i="30" s="1"/>
  <c r="E609" i="30"/>
  <c r="E604" i="25"/>
  <c r="D604" i="25"/>
  <c r="C605" i="25" s="1"/>
  <c r="A611" i="25"/>
  <c r="B611" i="25" s="1"/>
  <c r="F605" i="39" l="1"/>
  <c r="E605" i="39"/>
  <c r="D606" i="39" s="1"/>
  <c r="C609" i="39"/>
  <c r="A610" i="39"/>
  <c r="B610" i="39" s="1"/>
  <c r="B612" i="30"/>
  <c r="A613" i="30"/>
  <c r="D610" i="30"/>
  <c r="C611" i="30" s="1"/>
  <c r="E610" i="30"/>
  <c r="D605" i="25"/>
  <c r="C606" i="25" s="1"/>
  <c r="E605" i="25"/>
  <c r="A612" i="25"/>
  <c r="B612" i="25" s="1"/>
  <c r="E606" i="39" l="1"/>
  <c r="D607" i="39" s="1"/>
  <c r="F606" i="39"/>
  <c r="C610" i="39"/>
  <c r="A611" i="39"/>
  <c r="B611" i="39" s="1"/>
  <c r="B613" i="30"/>
  <c r="A614" i="30"/>
  <c r="D611" i="30"/>
  <c r="C612" i="30" s="1"/>
  <c r="E611" i="30"/>
  <c r="D606" i="25"/>
  <c r="C607" i="25" s="1"/>
  <c r="E606" i="25"/>
  <c r="A613" i="25"/>
  <c r="B613" i="25" s="1"/>
  <c r="F607" i="39" l="1"/>
  <c r="E607" i="39"/>
  <c r="D608" i="39" s="1"/>
  <c r="C611" i="39"/>
  <c r="A612" i="39"/>
  <c r="B612" i="39" s="1"/>
  <c r="B614" i="30"/>
  <c r="A615" i="30"/>
  <c r="D612" i="30"/>
  <c r="C613" i="30" s="1"/>
  <c r="E612" i="30"/>
  <c r="D607" i="25"/>
  <c r="C608" i="25" s="1"/>
  <c r="E607" i="25"/>
  <c r="A614" i="25"/>
  <c r="B614" i="25" s="1"/>
  <c r="F608" i="39" l="1"/>
  <c r="E608" i="39"/>
  <c r="D609" i="39" s="1"/>
  <c r="C612" i="39"/>
  <c r="A613" i="39"/>
  <c r="B613" i="39" s="1"/>
  <c r="B615" i="30"/>
  <c r="A616" i="30"/>
  <c r="D613" i="30"/>
  <c r="C614" i="30" s="1"/>
  <c r="E613" i="30"/>
  <c r="E608" i="25"/>
  <c r="D608" i="25"/>
  <c r="C609" i="25" s="1"/>
  <c r="A615" i="25"/>
  <c r="B615" i="25" s="1"/>
  <c r="F609" i="39" l="1"/>
  <c r="E609" i="39"/>
  <c r="D610" i="39" s="1"/>
  <c r="C613" i="39"/>
  <c r="A614" i="39"/>
  <c r="B614" i="39" s="1"/>
  <c r="B616" i="30"/>
  <c r="A617" i="30"/>
  <c r="D614" i="30"/>
  <c r="C615" i="30" s="1"/>
  <c r="E614" i="30"/>
  <c r="D609" i="25"/>
  <c r="C610" i="25" s="1"/>
  <c r="E609" i="25"/>
  <c r="A616" i="25"/>
  <c r="B616" i="25" s="1"/>
  <c r="F610" i="39" l="1"/>
  <c r="E610" i="39"/>
  <c r="D611" i="39" s="1"/>
  <c r="C614" i="39"/>
  <c r="A615" i="39"/>
  <c r="B615" i="39" s="1"/>
  <c r="B617" i="30"/>
  <c r="A618" i="30"/>
  <c r="D615" i="30"/>
  <c r="C616" i="30" s="1"/>
  <c r="E615" i="30"/>
  <c r="D610" i="25"/>
  <c r="C611" i="25" s="1"/>
  <c r="E610" i="25"/>
  <c r="A617" i="25"/>
  <c r="B617" i="25" s="1"/>
  <c r="E611" i="39" l="1"/>
  <c r="D612" i="39" s="1"/>
  <c r="F611" i="39"/>
  <c r="C615" i="39"/>
  <c r="A616" i="39"/>
  <c r="B616" i="39" s="1"/>
  <c r="B618" i="30"/>
  <c r="A619" i="30"/>
  <c r="D616" i="30"/>
  <c r="C617" i="30" s="1"/>
  <c r="E616" i="30"/>
  <c r="D611" i="25"/>
  <c r="C612" i="25" s="1"/>
  <c r="E611" i="25"/>
  <c r="A618" i="25"/>
  <c r="B618" i="25" s="1"/>
  <c r="E612" i="39" l="1"/>
  <c r="D613" i="39" s="1"/>
  <c r="F612" i="39"/>
  <c r="C616" i="39"/>
  <c r="A617" i="39"/>
  <c r="B617" i="39" s="1"/>
  <c r="B619" i="30"/>
  <c r="A620" i="30"/>
  <c r="D617" i="30"/>
  <c r="C618" i="30" s="1"/>
  <c r="E617" i="30"/>
  <c r="E612" i="25"/>
  <c r="D612" i="25"/>
  <c r="C613" i="25" s="1"/>
  <c r="A619" i="25"/>
  <c r="B619" i="25" s="1"/>
  <c r="E613" i="39" l="1"/>
  <c r="D614" i="39" s="1"/>
  <c r="F613" i="39"/>
  <c r="C617" i="39"/>
  <c r="A618" i="39"/>
  <c r="B618" i="39" s="1"/>
  <c r="B620" i="30"/>
  <c r="A621" i="30"/>
  <c r="D618" i="30"/>
  <c r="C619" i="30" s="1"/>
  <c r="E618" i="30"/>
  <c r="E613" i="25"/>
  <c r="D613" i="25"/>
  <c r="C614" i="25" s="1"/>
  <c r="A620" i="25"/>
  <c r="B620" i="25" s="1"/>
  <c r="F614" i="39" l="1"/>
  <c r="E614" i="39"/>
  <c r="D615" i="39" s="1"/>
  <c r="C618" i="39"/>
  <c r="A619" i="39"/>
  <c r="B619" i="39" s="1"/>
  <c r="B621" i="30"/>
  <c r="A622" i="30"/>
  <c r="D619" i="30"/>
  <c r="C620" i="30" s="1"/>
  <c r="E619" i="30"/>
  <c r="D614" i="25"/>
  <c r="C615" i="25" s="1"/>
  <c r="E614" i="25"/>
  <c r="A621" i="25"/>
  <c r="B621" i="25" s="1"/>
  <c r="F615" i="39" l="1"/>
  <c r="E615" i="39"/>
  <c r="D616" i="39" s="1"/>
  <c r="C619" i="39"/>
  <c r="A620" i="39"/>
  <c r="B620" i="39" s="1"/>
  <c r="B622" i="30"/>
  <c r="A623" i="30"/>
  <c r="D620" i="30"/>
  <c r="C621" i="30" s="1"/>
  <c r="E620" i="30"/>
  <c r="E615" i="25"/>
  <c r="D615" i="25"/>
  <c r="C616" i="25" s="1"/>
  <c r="A622" i="25"/>
  <c r="B622" i="25" s="1"/>
  <c r="F616" i="39" l="1"/>
  <c r="E616" i="39"/>
  <c r="D617" i="39" s="1"/>
  <c r="C620" i="39"/>
  <c r="A621" i="39"/>
  <c r="B621" i="39" s="1"/>
  <c r="B623" i="30"/>
  <c r="A624" i="30"/>
  <c r="D621" i="30"/>
  <c r="C622" i="30" s="1"/>
  <c r="E621" i="30"/>
  <c r="D616" i="25"/>
  <c r="C617" i="25" s="1"/>
  <c r="E616" i="25"/>
  <c r="A623" i="25"/>
  <c r="B623" i="25" s="1"/>
  <c r="F617" i="39" l="1"/>
  <c r="E617" i="39"/>
  <c r="D618" i="39" s="1"/>
  <c r="C621" i="39"/>
  <c r="A622" i="39"/>
  <c r="B622" i="39" s="1"/>
  <c r="B624" i="30"/>
  <c r="A625" i="30"/>
  <c r="D622" i="30"/>
  <c r="C623" i="30" s="1"/>
  <c r="E622" i="30"/>
  <c r="D617" i="25"/>
  <c r="C618" i="25" s="1"/>
  <c r="E617" i="25"/>
  <c r="A624" i="25"/>
  <c r="B624" i="25" s="1"/>
  <c r="F618" i="39" l="1"/>
  <c r="E618" i="39"/>
  <c r="D619" i="39" s="1"/>
  <c r="C622" i="39"/>
  <c r="A623" i="39"/>
  <c r="B623" i="39" s="1"/>
  <c r="B625" i="30"/>
  <c r="A626" i="30"/>
  <c r="D623" i="30"/>
  <c r="C624" i="30" s="1"/>
  <c r="E623" i="30"/>
  <c r="D618" i="25"/>
  <c r="C619" i="25" s="1"/>
  <c r="E618" i="25"/>
  <c r="A625" i="25"/>
  <c r="B625" i="25" s="1"/>
  <c r="E619" i="39" l="1"/>
  <c r="D620" i="39" s="1"/>
  <c r="F619" i="39"/>
  <c r="C623" i="39"/>
  <c r="A624" i="39"/>
  <c r="B624" i="39" s="1"/>
  <c r="B626" i="30"/>
  <c r="A627" i="30"/>
  <c r="D624" i="30"/>
  <c r="C625" i="30" s="1"/>
  <c r="E624" i="30"/>
  <c r="D619" i="25"/>
  <c r="C620" i="25" s="1"/>
  <c r="E619" i="25"/>
  <c r="A626" i="25"/>
  <c r="B626" i="25" s="1"/>
  <c r="F620" i="39" l="1"/>
  <c r="E620" i="39"/>
  <c r="D621" i="39" s="1"/>
  <c r="C624" i="39"/>
  <c r="A625" i="39"/>
  <c r="B625" i="39" s="1"/>
  <c r="B627" i="30"/>
  <c r="A628" i="30"/>
  <c r="D625" i="30"/>
  <c r="C626" i="30" s="1"/>
  <c r="E625" i="30"/>
  <c r="D620" i="25"/>
  <c r="C621" i="25" s="1"/>
  <c r="E620" i="25"/>
  <c r="A627" i="25"/>
  <c r="B627" i="25" s="1"/>
  <c r="F621" i="39" l="1"/>
  <c r="E621" i="39"/>
  <c r="D622" i="39" s="1"/>
  <c r="C625" i="39"/>
  <c r="A626" i="39"/>
  <c r="B626" i="39" s="1"/>
  <c r="B628" i="30"/>
  <c r="A629" i="30"/>
  <c r="D626" i="30"/>
  <c r="C627" i="30" s="1"/>
  <c r="E626" i="30"/>
  <c r="D621" i="25"/>
  <c r="C622" i="25" s="1"/>
  <c r="E621" i="25"/>
  <c r="A628" i="25"/>
  <c r="B628" i="25" s="1"/>
  <c r="F622" i="39" l="1"/>
  <c r="E622" i="39"/>
  <c r="D623" i="39" s="1"/>
  <c r="C626" i="39"/>
  <c r="A627" i="39"/>
  <c r="B627" i="39" s="1"/>
  <c r="B629" i="30"/>
  <c r="A630" i="30"/>
  <c r="D627" i="30"/>
  <c r="C628" i="30" s="1"/>
  <c r="E627" i="30"/>
  <c r="D622" i="25"/>
  <c r="C623" i="25" s="1"/>
  <c r="E622" i="25"/>
  <c r="A629" i="25"/>
  <c r="B629" i="25" s="1"/>
  <c r="F623" i="39" l="1"/>
  <c r="E623" i="39"/>
  <c r="D624" i="39" s="1"/>
  <c r="C627" i="39"/>
  <c r="A628" i="39"/>
  <c r="B628" i="39" s="1"/>
  <c r="B630" i="30"/>
  <c r="A631" i="30"/>
  <c r="D628" i="30"/>
  <c r="C629" i="30" s="1"/>
  <c r="E628" i="30"/>
  <c r="D623" i="25"/>
  <c r="C624" i="25" s="1"/>
  <c r="E623" i="25"/>
  <c r="A630" i="25"/>
  <c r="B630" i="25" s="1"/>
  <c r="E624" i="39" l="1"/>
  <c r="D625" i="39" s="1"/>
  <c r="F624" i="39"/>
  <c r="C628" i="39"/>
  <c r="A629" i="39"/>
  <c r="B629" i="39" s="1"/>
  <c r="B631" i="30"/>
  <c r="A632" i="30"/>
  <c r="D629" i="30"/>
  <c r="C630" i="30" s="1"/>
  <c r="E629" i="30"/>
  <c r="D624" i="25"/>
  <c r="C625" i="25" s="1"/>
  <c r="E624" i="25"/>
  <c r="A631" i="25"/>
  <c r="B631" i="25" s="1"/>
  <c r="F625" i="39" l="1"/>
  <c r="E625" i="39"/>
  <c r="D626" i="39" s="1"/>
  <c r="C629" i="39"/>
  <c r="A630" i="39"/>
  <c r="B630" i="39" s="1"/>
  <c r="B632" i="30"/>
  <c r="A633" i="30"/>
  <c r="D630" i="30"/>
  <c r="C631" i="30" s="1"/>
  <c r="E630" i="30"/>
  <c r="D625" i="25"/>
  <c r="C626" i="25" s="1"/>
  <c r="E625" i="25"/>
  <c r="A632" i="25"/>
  <c r="B632" i="25" s="1"/>
  <c r="E626" i="39" l="1"/>
  <c r="D627" i="39" s="1"/>
  <c r="F626" i="39"/>
  <c r="C630" i="39"/>
  <c r="A631" i="39"/>
  <c r="B631" i="39" s="1"/>
  <c r="B633" i="30"/>
  <c r="A634" i="30"/>
  <c r="D631" i="30"/>
  <c r="C632" i="30" s="1"/>
  <c r="E631" i="30"/>
  <c r="D626" i="25"/>
  <c r="C627" i="25" s="1"/>
  <c r="E626" i="25"/>
  <c r="A633" i="25"/>
  <c r="B633" i="25" s="1"/>
  <c r="F627" i="39" l="1"/>
  <c r="E627" i="39"/>
  <c r="D628" i="39" s="1"/>
  <c r="C631" i="39"/>
  <c r="A632" i="39"/>
  <c r="B632" i="39" s="1"/>
  <c r="B634" i="30"/>
  <c r="A635" i="30"/>
  <c r="D632" i="30"/>
  <c r="C633" i="30" s="1"/>
  <c r="E632" i="30"/>
  <c r="E627" i="25"/>
  <c r="D627" i="25"/>
  <c r="C628" i="25" s="1"/>
  <c r="A634" i="25"/>
  <c r="B634" i="25" s="1"/>
  <c r="E628" i="39" l="1"/>
  <c r="D629" i="39" s="1"/>
  <c r="F628" i="39"/>
  <c r="C632" i="39"/>
  <c r="A633" i="39"/>
  <c r="B633" i="39" s="1"/>
  <c r="B635" i="30"/>
  <c r="A636" i="30"/>
  <c r="D633" i="30"/>
  <c r="C634" i="30" s="1"/>
  <c r="E633" i="30"/>
  <c r="D628" i="25"/>
  <c r="C629" i="25" s="1"/>
  <c r="E628" i="25"/>
  <c r="A635" i="25"/>
  <c r="B635" i="25" s="1"/>
  <c r="F629" i="39" l="1"/>
  <c r="E629" i="39"/>
  <c r="D630" i="39" s="1"/>
  <c r="C633" i="39"/>
  <c r="A634" i="39"/>
  <c r="B634" i="39" s="1"/>
  <c r="B636" i="30"/>
  <c r="A637" i="30"/>
  <c r="D634" i="30"/>
  <c r="C635" i="30" s="1"/>
  <c r="E634" i="30"/>
  <c r="D629" i="25"/>
  <c r="C630" i="25" s="1"/>
  <c r="E629" i="25"/>
  <c r="A636" i="25"/>
  <c r="B636" i="25" s="1"/>
  <c r="E630" i="39" l="1"/>
  <c r="D631" i="39" s="1"/>
  <c r="F630" i="39"/>
  <c r="C634" i="39"/>
  <c r="A635" i="39"/>
  <c r="B635" i="39" s="1"/>
  <c r="B637" i="30"/>
  <c r="A638" i="30"/>
  <c r="D635" i="30"/>
  <c r="C636" i="30" s="1"/>
  <c r="E635" i="30"/>
  <c r="D630" i="25"/>
  <c r="C631" i="25" s="1"/>
  <c r="E630" i="25"/>
  <c r="A637" i="25"/>
  <c r="B637" i="25" s="1"/>
  <c r="E631" i="39" l="1"/>
  <c r="D632" i="39" s="1"/>
  <c r="F631" i="39"/>
  <c r="C635" i="39"/>
  <c r="A636" i="39"/>
  <c r="B636" i="39" s="1"/>
  <c r="B638" i="30"/>
  <c r="A639" i="30"/>
  <c r="D636" i="30"/>
  <c r="C637" i="30" s="1"/>
  <c r="E636" i="30"/>
  <c r="E631" i="25"/>
  <c r="D631" i="25"/>
  <c r="C632" i="25" s="1"/>
  <c r="A638" i="25"/>
  <c r="B638" i="25" s="1"/>
  <c r="F632" i="39" l="1"/>
  <c r="E632" i="39"/>
  <c r="D633" i="39" s="1"/>
  <c r="C636" i="39"/>
  <c r="A637" i="39"/>
  <c r="B637" i="39" s="1"/>
  <c r="B639" i="30"/>
  <c r="A640" i="30"/>
  <c r="D637" i="30"/>
  <c r="C638" i="30" s="1"/>
  <c r="E637" i="30"/>
  <c r="E632" i="25"/>
  <c r="D632" i="25"/>
  <c r="C633" i="25" s="1"/>
  <c r="A639" i="25"/>
  <c r="B639" i="25" s="1"/>
  <c r="E633" i="39" l="1"/>
  <c r="D634" i="39" s="1"/>
  <c r="F633" i="39"/>
  <c r="C637" i="39"/>
  <c r="A638" i="39"/>
  <c r="B638" i="39" s="1"/>
  <c r="B640" i="30"/>
  <c r="A641" i="30"/>
  <c r="D638" i="30"/>
  <c r="C639" i="30" s="1"/>
  <c r="E638" i="30"/>
  <c r="E633" i="25"/>
  <c r="D633" i="25"/>
  <c r="C634" i="25" s="1"/>
  <c r="A640" i="25"/>
  <c r="B640" i="25" s="1"/>
  <c r="E634" i="39" l="1"/>
  <c r="D635" i="39" s="1"/>
  <c r="F634" i="39"/>
  <c r="C638" i="39"/>
  <c r="A639" i="39"/>
  <c r="B639" i="39" s="1"/>
  <c r="B641" i="30"/>
  <c r="A642" i="30"/>
  <c r="D639" i="30"/>
  <c r="C640" i="30" s="1"/>
  <c r="E639" i="30"/>
  <c r="E634" i="25"/>
  <c r="D634" i="25"/>
  <c r="C635" i="25" s="1"/>
  <c r="A641" i="25"/>
  <c r="B641" i="25" s="1"/>
  <c r="E635" i="39" l="1"/>
  <c r="D636" i="39" s="1"/>
  <c r="F635" i="39"/>
  <c r="C639" i="39"/>
  <c r="A640" i="39"/>
  <c r="B640" i="39" s="1"/>
  <c r="B642" i="30"/>
  <c r="A643" i="30"/>
  <c r="D640" i="30"/>
  <c r="C641" i="30" s="1"/>
  <c r="E640" i="30"/>
  <c r="D635" i="25"/>
  <c r="C636" i="25" s="1"/>
  <c r="E635" i="25"/>
  <c r="A642" i="25"/>
  <c r="B642" i="25" s="1"/>
  <c r="E636" i="39" l="1"/>
  <c r="D637" i="39" s="1"/>
  <c r="F636" i="39"/>
  <c r="C640" i="39"/>
  <c r="A641" i="39"/>
  <c r="B641" i="39" s="1"/>
  <c r="B643" i="30"/>
  <c r="A644" i="30"/>
  <c r="D641" i="30"/>
  <c r="C642" i="30" s="1"/>
  <c r="E641" i="30"/>
  <c r="E636" i="25"/>
  <c r="D636" i="25"/>
  <c r="C637" i="25" s="1"/>
  <c r="A643" i="25"/>
  <c r="B643" i="25" s="1"/>
  <c r="E637" i="39" l="1"/>
  <c r="D638" i="39" s="1"/>
  <c r="F637" i="39"/>
  <c r="C641" i="39"/>
  <c r="A642" i="39"/>
  <c r="B642" i="39" s="1"/>
  <c r="B644" i="30"/>
  <c r="A645" i="30"/>
  <c r="D642" i="30"/>
  <c r="C643" i="30" s="1"/>
  <c r="E642" i="30"/>
  <c r="D637" i="25"/>
  <c r="C638" i="25" s="1"/>
  <c r="E637" i="25"/>
  <c r="A644" i="25"/>
  <c r="B644" i="25" s="1"/>
  <c r="E638" i="39" l="1"/>
  <c r="D639" i="39" s="1"/>
  <c r="F638" i="39"/>
  <c r="C642" i="39"/>
  <c r="A643" i="39"/>
  <c r="B643" i="39" s="1"/>
  <c r="B645" i="30"/>
  <c r="A646" i="30"/>
  <c r="D643" i="30"/>
  <c r="C644" i="30" s="1"/>
  <c r="E643" i="30"/>
  <c r="D638" i="25"/>
  <c r="C639" i="25" s="1"/>
  <c r="E638" i="25"/>
  <c r="A645" i="25"/>
  <c r="B645" i="25" s="1"/>
  <c r="F639" i="39" l="1"/>
  <c r="E639" i="39"/>
  <c r="D640" i="39" s="1"/>
  <c r="C643" i="39"/>
  <c r="A644" i="39"/>
  <c r="B644" i="39" s="1"/>
  <c r="B646" i="30"/>
  <c r="A647" i="30"/>
  <c r="D644" i="30"/>
  <c r="C645" i="30" s="1"/>
  <c r="E644" i="30"/>
  <c r="D639" i="25"/>
  <c r="C640" i="25" s="1"/>
  <c r="E639" i="25"/>
  <c r="A646" i="25"/>
  <c r="B646" i="25" s="1"/>
  <c r="F640" i="39" l="1"/>
  <c r="E640" i="39"/>
  <c r="D641" i="39" s="1"/>
  <c r="C644" i="39"/>
  <c r="A645" i="39"/>
  <c r="B645" i="39" s="1"/>
  <c r="B647" i="30"/>
  <c r="A648" i="30"/>
  <c r="D645" i="30"/>
  <c r="C646" i="30" s="1"/>
  <c r="E645" i="30"/>
  <c r="E640" i="25"/>
  <c r="D640" i="25"/>
  <c r="C641" i="25" s="1"/>
  <c r="A647" i="25"/>
  <c r="B647" i="25" s="1"/>
  <c r="F641" i="39" l="1"/>
  <c r="E641" i="39"/>
  <c r="D642" i="39" s="1"/>
  <c r="C645" i="39"/>
  <c r="A646" i="39"/>
  <c r="B646" i="39" s="1"/>
  <c r="B648" i="30"/>
  <c r="A649" i="30"/>
  <c r="D646" i="30"/>
  <c r="C647" i="30" s="1"/>
  <c r="E646" i="30"/>
  <c r="D641" i="25"/>
  <c r="C642" i="25" s="1"/>
  <c r="E641" i="25"/>
  <c r="A648" i="25"/>
  <c r="B648" i="25" s="1"/>
  <c r="F642" i="39" l="1"/>
  <c r="E642" i="39"/>
  <c r="D643" i="39" s="1"/>
  <c r="C646" i="39"/>
  <c r="A647" i="39"/>
  <c r="B647" i="39" s="1"/>
  <c r="B649" i="30"/>
  <c r="A650" i="30"/>
  <c r="D647" i="30"/>
  <c r="C648" i="30" s="1"/>
  <c r="E647" i="30"/>
  <c r="D642" i="25"/>
  <c r="C643" i="25" s="1"/>
  <c r="E642" i="25"/>
  <c r="A649" i="25"/>
  <c r="B649" i="25" s="1"/>
  <c r="F643" i="39" l="1"/>
  <c r="E643" i="39"/>
  <c r="D644" i="39" s="1"/>
  <c r="C647" i="39"/>
  <c r="A648" i="39"/>
  <c r="B648" i="39" s="1"/>
  <c r="B650" i="30"/>
  <c r="A651" i="30"/>
  <c r="D648" i="30"/>
  <c r="C649" i="30" s="1"/>
  <c r="E648" i="30"/>
  <c r="E643" i="25"/>
  <c r="D643" i="25"/>
  <c r="C644" i="25" s="1"/>
  <c r="A650" i="25"/>
  <c r="B650" i="25" s="1"/>
  <c r="E644" i="39" l="1"/>
  <c r="D645" i="39" s="1"/>
  <c r="F644" i="39"/>
  <c r="C648" i="39"/>
  <c r="A649" i="39"/>
  <c r="B649" i="39" s="1"/>
  <c r="B651" i="30"/>
  <c r="A652" i="30"/>
  <c r="D649" i="30"/>
  <c r="C650" i="30" s="1"/>
  <c r="E649" i="30"/>
  <c r="D644" i="25"/>
  <c r="C645" i="25" s="1"/>
  <c r="E644" i="25"/>
  <c r="A651" i="25"/>
  <c r="B651" i="25" s="1"/>
  <c r="E645" i="39" l="1"/>
  <c r="D646" i="39" s="1"/>
  <c r="F645" i="39"/>
  <c r="C649" i="39"/>
  <c r="A650" i="39"/>
  <c r="B650" i="39" s="1"/>
  <c r="B652" i="30"/>
  <c r="A653" i="30"/>
  <c r="D650" i="30"/>
  <c r="C651" i="30" s="1"/>
  <c r="E650" i="30"/>
  <c r="E645" i="25"/>
  <c r="D645" i="25"/>
  <c r="C646" i="25" s="1"/>
  <c r="A652" i="25"/>
  <c r="B652" i="25" s="1"/>
  <c r="F646" i="39" l="1"/>
  <c r="E646" i="39"/>
  <c r="D647" i="39" s="1"/>
  <c r="C650" i="39"/>
  <c r="A651" i="39"/>
  <c r="B651" i="39" s="1"/>
  <c r="B653" i="30"/>
  <c r="A654" i="30"/>
  <c r="D651" i="30"/>
  <c r="C652" i="30" s="1"/>
  <c r="E651" i="30"/>
  <c r="D646" i="25"/>
  <c r="C647" i="25" s="1"/>
  <c r="E646" i="25"/>
  <c r="A653" i="25"/>
  <c r="B653" i="25" s="1"/>
  <c r="E647" i="39" l="1"/>
  <c r="D648" i="39" s="1"/>
  <c r="F647" i="39"/>
  <c r="C651" i="39"/>
  <c r="A652" i="39"/>
  <c r="B652" i="39" s="1"/>
  <c r="B654" i="30"/>
  <c r="A655" i="30"/>
  <c r="D652" i="30"/>
  <c r="C653" i="30" s="1"/>
  <c r="E652" i="30"/>
  <c r="E647" i="25"/>
  <c r="D647" i="25"/>
  <c r="C648" i="25" s="1"/>
  <c r="A654" i="25"/>
  <c r="B654" i="25" s="1"/>
  <c r="E648" i="39" l="1"/>
  <c r="D649" i="39" s="1"/>
  <c r="F648" i="39"/>
  <c r="C652" i="39"/>
  <c r="A653" i="39"/>
  <c r="B653" i="39" s="1"/>
  <c r="B655" i="30"/>
  <c r="A656" i="30"/>
  <c r="D653" i="30"/>
  <c r="C654" i="30" s="1"/>
  <c r="E653" i="30"/>
  <c r="D648" i="25"/>
  <c r="C649" i="25" s="1"/>
  <c r="E648" i="25"/>
  <c r="A655" i="25"/>
  <c r="B655" i="25" s="1"/>
  <c r="F649" i="39" l="1"/>
  <c r="E649" i="39"/>
  <c r="D650" i="39" s="1"/>
  <c r="C653" i="39"/>
  <c r="A654" i="39"/>
  <c r="B654" i="39" s="1"/>
  <c r="B656" i="30"/>
  <c r="A657" i="30"/>
  <c r="D654" i="30"/>
  <c r="C655" i="30" s="1"/>
  <c r="E654" i="30"/>
  <c r="D649" i="25"/>
  <c r="C650" i="25" s="1"/>
  <c r="E649" i="25"/>
  <c r="A656" i="25"/>
  <c r="B656" i="25" s="1"/>
  <c r="F650" i="39" l="1"/>
  <c r="E650" i="39"/>
  <c r="D651" i="39" s="1"/>
  <c r="C654" i="39"/>
  <c r="A655" i="39"/>
  <c r="B655" i="39" s="1"/>
  <c r="B657" i="30"/>
  <c r="A658" i="30"/>
  <c r="D655" i="30"/>
  <c r="C656" i="30" s="1"/>
  <c r="E655" i="30"/>
  <c r="E650" i="25"/>
  <c r="D650" i="25"/>
  <c r="C651" i="25" s="1"/>
  <c r="A657" i="25"/>
  <c r="B657" i="25" s="1"/>
  <c r="F651" i="39" l="1"/>
  <c r="E651" i="39"/>
  <c r="D652" i="39" s="1"/>
  <c r="C655" i="39"/>
  <c r="A656" i="39"/>
  <c r="B656" i="39" s="1"/>
  <c r="B658" i="30"/>
  <c r="A659" i="30"/>
  <c r="D656" i="30"/>
  <c r="C657" i="30" s="1"/>
  <c r="E656" i="30"/>
  <c r="E651" i="25"/>
  <c r="D651" i="25"/>
  <c r="C652" i="25" s="1"/>
  <c r="A658" i="25"/>
  <c r="B658" i="25" s="1"/>
  <c r="F652" i="39" l="1"/>
  <c r="E652" i="39"/>
  <c r="D653" i="39" s="1"/>
  <c r="C656" i="39"/>
  <c r="A657" i="39"/>
  <c r="B657" i="39" s="1"/>
  <c r="B659" i="30"/>
  <c r="A660" i="30"/>
  <c r="D657" i="30"/>
  <c r="C658" i="30" s="1"/>
  <c r="E657" i="30"/>
  <c r="D652" i="25"/>
  <c r="C653" i="25" s="1"/>
  <c r="E652" i="25"/>
  <c r="A659" i="25"/>
  <c r="B659" i="25" s="1"/>
  <c r="E653" i="39" l="1"/>
  <c r="D654" i="39" s="1"/>
  <c r="F653" i="39"/>
  <c r="C657" i="39"/>
  <c r="A658" i="39"/>
  <c r="B658" i="39" s="1"/>
  <c r="B660" i="30"/>
  <c r="A661" i="30"/>
  <c r="D658" i="30"/>
  <c r="C659" i="30" s="1"/>
  <c r="E658" i="30"/>
  <c r="E653" i="25"/>
  <c r="D653" i="25"/>
  <c r="C654" i="25" s="1"/>
  <c r="A660" i="25"/>
  <c r="B660" i="25" s="1"/>
  <c r="E654" i="39" l="1"/>
  <c r="D655" i="39" s="1"/>
  <c r="F654" i="39"/>
  <c r="C658" i="39"/>
  <c r="A659" i="39"/>
  <c r="B659" i="39" s="1"/>
  <c r="B661" i="30"/>
  <c r="A662" i="30"/>
  <c r="D659" i="30"/>
  <c r="C660" i="30" s="1"/>
  <c r="E659" i="30"/>
  <c r="D654" i="25"/>
  <c r="C655" i="25" s="1"/>
  <c r="E654" i="25"/>
  <c r="A661" i="25"/>
  <c r="B661" i="25" s="1"/>
  <c r="F655" i="39" l="1"/>
  <c r="E655" i="39"/>
  <c r="D656" i="39" s="1"/>
  <c r="C659" i="39"/>
  <c r="A660" i="39"/>
  <c r="B660" i="39" s="1"/>
  <c r="B662" i="30"/>
  <c r="A663" i="30"/>
  <c r="D660" i="30"/>
  <c r="C661" i="30" s="1"/>
  <c r="E660" i="30"/>
  <c r="E655" i="25"/>
  <c r="D655" i="25"/>
  <c r="C656" i="25" s="1"/>
  <c r="A662" i="25"/>
  <c r="B662" i="25" s="1"/>
  <c r="E656" i="39" l="1"/>
  <c r="D657" i="39" s="1"/>
  <c r="F656" i="39"/>
  <c r="C660" i="39"/>
  <c r="A661" i="39"/>
  <c r="B661" i="39" s="1"/>
  <c r="B663" i="30"/>
  <c r="A664" i="30"/>
  <c r="D661" i="30"/>
  <c r="C662" i="30" s="1"/>
  <c r="E661" i="30"/>
  <c r="E656" i="25"/>
  <c r="D656" i="25"/>
  <c r="C657" i="25" s="1"/>
  <c r="A663" i="25"/>
  <c r="B663" i="25" s="1"/>
  <c r="F657" i="39" l="1"/>
  <c r="E657" i="39"/>
  <c r="D658" i="39" s="1"/>
  <c r="C661" i="39"/>
  <c r="A662" i="39"/>
  <c r="B662" i="39" s="1"/>
  <c r="B664" i="30"/>
  <c r="A665" i="30"/>
  <c r="D662" i="30"/>
  <c r="C663" i="30" s="1"/>
  <c r="E662" i="30"/>
  <c r="D657" i="25"/>
  <c r="C658" i="25" s="1"/>
  <c r="E657" i="25"/>
  <c r="A664" i="25"/>
  <c r="B664" i="25" s="1"/>
  <c r="F658" i="39" l="1"/>
  <c r="E658" i="39"/>
  <c r="D659" i="39" s="1"/>
  <c r="C662" i="39"/>
  <c r="A663" i="39"/>
  <c r="B663" i="39" s="1"/>
  <c r="B665" i="30"/>
  <c r="A666" i="30"/>
  <c r="D663" i="30"/>
  <c r="C664" i="30" s="1"/>
  <c r="E663" i="30"/>
  <c r="D658" i="25"/>
  <c r="C659" i="25" s="1"/>
  <c r="E658" i="25"/>
  <c r="A665" i="25"/>
  <c r="B665" i="25" s="1"/>
  <c r="E659" i="39" l="1"/>
  <c r="D660" i="39" s="1"/>
  <c r="F659" i="39"/>
  <c r="C663" i="39"/>
  <c r="A664" i="39"/>
  <c r="B664" i="39" s="1"/>
  <c r="B666" i="30"/>
  <c r="A667" i="30"/>
  <c r="D664" i="30"/>
  <c r="C665" i="30" s="1"/>
  <c r="E664" i="30"/>
  <c r="D659" i="25"/>
  <c r="C660" i="25" s="1"/>
  <c r="E659" i="25"/>
  <c r="A666" i="25"/>
  <c r="B666" i="25" s="1"/>
  <c r="E660" i="39" l="1"/>
  <c r="D661" i="39" s="1"/>
  <c r="F660" i="39"/>
  <c r="C664" i="39"/>
  <c r="A665" i="39"/>
  <c r="B665" i="39" s="1"/>
  <c r="B667" i="30"/>
  <c r="A668" i="30"/>
  <c r="D665" i="30"/>
  <c r="C666" i="30" s="1"/>
  <c r="E665" i="30"/>
  <c r="D660" i="25"/>
  <c r="C661" i="25" s="1"/>
  <c r="E660" i="25"/>
  <c r="A667" i="25"/>
  <c r="B667" i="25" s="1"/>
  <c r="E661" i="39" l="1"/>
  <c r="D662" i="39" s="1"/>
  <c r="F661" i="39"/>
  <c r="C665" i="39"/>
  <c r="A666" i="39"/>
  <c r="B666" i="39" s="1"/>
  <c r="B668" i="30"/>
  <c r="A669" i="30"/>
  <c r="D666" i="30"/>
  <c r="C667" i="30" s="1"/>
  <c r="E666" i="30"/>
  <c r="E661" i="25"/>
  <c r="D661" i="25"/>
  <c r="C662" i="25" s="1"/>
  <c r="A668" i="25"/>
  <c r="B668" i="25" s="1"/>
  <c r="F662" i="39" l="1"/>
  <c r="E662" i="39"/>
  <c r="D663" i="39" s="1"/>
  <c r="C666" i="39"/>
  <c r="A667" i="39"/>
  <c r="B667" i="39" s="1"/>
  <c r="B669" i="30"/>
  <c r="A670" i="30"/>
  <c r="D667" i="30"/>
  <c r="C668" i="30" s="1"/>
  <c r="E667" i="30"/>
  <c r="D662" i="25"/>
  <c r="C663" i="25" s="1"/>
  <c r="E662" i="25"/>
  <c r="A669" i="25"/>
  <c r="B669" i="25" s="1"/>
  <c r="E663" i="39" l="1"/>
  <c r="D664" i="39" s="1"/>
  <c r="F663" i="39"/>
  <c r="C667" i="39"/>
  <c r="A668" i="39"/>
  <c r="B668" i="39" s="1"/>
  <c r="B670" i="30"/>
  <c r="A671" i="30"/>
  <c r="D668" i="30"/>
  <c r="C669" i="30" s="1"/>
  <c r="E668" i="30"/>
  <c r="D663" i="25"/>
  <c r="C664" i="25" s="1"/>
  <c r="E663" i="25"/>
  <c r="A670" i="25"/>
  <c r="B670" i="25" s="1"/>
  <c r="F664" i="39" l="1"/>
  <c r="E664" i="39"/>
  <c r="D665" i="39" s="1"/>
  <c r="C668" i="39"/>
  <c r="A669" i="39"/>
  <c r="B669" i="39" s="1"/>
  <c r="B671" i="30"/>
  <c r="A672" i="30"/>
  <c r="D669" i="30"/>
  <c r="C670" i="30" s="1"/>
  <c r="E669" i="30"/>
  <c r="D664" i="25"/>
  <c r="C665" i="25" s="1"/>
  <c r="E664" i="25"/>
  <c r="A671" i="25"/>
  <c r="B671" i="25" s="1"/>
  <c r="F665" i="39" l="1"/>
  <c r="E665" i="39"/>
  <c r="D666" i="39" s="1"/>
  <c r="C669" i="39"/>
  <c r="A670" i="39"/>
  <c r="B670" i="39" s="1"/>
  <c r="B672" i="30"/>
  <c r="A673" i="30"/>
  <c r="D670" i="30"/>
  <c r="C671" i="30" s="1"/>
  <c r="E670" i="30"/>
  <c r="D665" i="25"/>
  <c r="C666" i="25" s="1"/>
  <c r="E665" i="25"/>
  <c r="A672" i="25"/>
  <c r="B672" i="25" s="1"/>
  <c r="F666" i="39" l="1"/>
  <c r="E666" i="39"/>
  <c r="D667" i="39" s="1"/>
  <c r="C670" i="39"/>
  <c r="A671" i="39"/>
  <c r="B671" i="39" s="1"/>
  <c r="B673" i="30"/>
  <c r="A674" i="30"/>
  <c r="D671" i="30"/>
  <c r="C672" i="30" s="1"/>
  <c r="E671" i="30"/>
  <c r="E666" i="25"/>
  <c r="D666" i="25"/>
  <c r="C667" i="25" s="1"/>
  <c r="A673" i="25"/>
  <c r="B673" i="25" s="1"/>
  <c r="F667" i="39" l="1"/>
  <c r="E667" i="39"/>
  <c r="D668" i="39" s="1"/>
  <c r="C671" i="39"/>
  <c r="A672" i="39"/>
  <c r="B672" i="39" s="1"/>
  <c r="B674" i="30"/>
  <c r="A675" i="30"/>
  <c r="D672" i="30"/>
  <c r="C673" i="30" s="1"/>
  <c r="E672" i="30"/>
  <c r="D667" i="25"/>
  <c r="C668" i="25" s="1"/>
  <c r="E667" i="25"/>
  <c r="A674" i="25"/>
  <c r="B674" i="25" s="1"/>
  <c r="F668" i="39" l="1"/>
  <c r="E668" i="39"/>
  <c r="D669" i="39" s="1"/>
  <c r="C672" i="39"/>
  <c r="A673" i="39"/>
  <c r="B673" i="39" s="1"/>
  <c r="B675" i="30"/>
  <c r="A676" i="30"/>
  <c r="D673" i="30"/>
  <c r="C674" i="30" s="1"/>
  <c r="E673" i="30"/>
  <c r="D668" i="25"/>
  <c r="C669" i="25" s="1"/>
  <c r="E668" i="25"/>
  <c r="A675" i="25"/>
  <c r="B675" i="25" s="1"/>
  <c r="F669" i="39" l="1"/>
  <c r="E669" i="39"/>
  <c r="D670" i="39" s="1"/>
  <c r="C673" i="39"/>
  <c r="A674" i="39"/>
  <c r="B674" i="39" s="1"/>
  <c r="B676" i="30"/>
  <c r="A677" i="30"/>
  <c r="D674" i="30"/>
  <c r="C675" i="30" s="1"/>
  <c r="E674" i="30"/>
  <c r="D669" i="25"/>
  <c r="C670" i="25" s="1"/>
  <c r="E669" i="25"/>
  <c r="A676" i="25"/>
  <c r="B676" i="25" s="1"/>
  <c r="E670" i="39" l="1"/>
  <c r="D671" i="39" s="1"/>
  <c r="F670" i="39"/>
  <c r="C674" i="39"/>
  <c r="A675" i="39"/>
  <c r="B675" i="39" s="1"/>
  <c r="B677" i="30"/>
  <c r="A678" i="30"/>
  <c r="D675" i="30"/>
  <c r="C676" i="30" s="1"/>
  <c r="E675" i="30"/>
  <c r="D670" i="25"/>
  <c r="C671" i="25" s="1"/>
  <c r="E670" i="25"/>
  <c r="A677" i="25"/>
  <c r="B677" i="25" s="1"/>
  <c r="F671" i="39" l="1"/>
  <c r="E671" i="39"/>
  <c r="D672" i="39" s="1"/>
  <c r="C675" i="39"/>
  <c r="A676" i="39"/>
  <c r="B676" i="39" s="1"/>
  <c r="B678" i="30"/>
  <c r="A679" i="30"/>
  <c r="D676" i="30"/>
  <c r="C677" i="30" s="1"/>
  <c r="E676" i="30"/>
  <c r="E671" i="25"/>
  <c r="D671" i="25"/>
  <c r="C672" i="25" s="1"/>
  <c r="A678" i="25"/>
  <c r="B678" i="25" s="1"/>
  <c r="F672" i="39" l="1"/>
  <c r="E672" i="39"/>
  <c r="D673" i="39" s="1"/>
  <c r="C676" i="39"/>
  <c r="A677" i="39"/>
  <c r="B677" i="39" s="1"/>
  <c r="B679" i="30"/>
  <c r="A680" i="30"/>
  <c r="D677" i="30"/>
  <c r="C678" i="30" s="1"/>
  <c r="E677" i="30"/>
  <c r="D672" i="25"/>
  <c r="C673" i="25" s="1"/>
  <c r="E672" i="25"/>
  <c r="A679" i="25"/>
  <c r="B679" i="25" s="1"/>
  <c r="E673" i="39" l="1"/>
  <c r="D674" i="39" s="1"/>
  <c r="F673" i="39"/>
  <c r="C677" i="39"/>
  <c r="A678" i="39"/>
  <c r="B678" i="39" s="1"/>
  <c r="B680" i="30"/>
  <c r="A681" i="30"/>
  <c r="D678" i="30"/>
  <c r="C679" i="30" s="1"/>
  <c r="E678" i="30"/>
  <c r="D673" i="25"/>
  <c r="C674" i="25" s="1"/>
  <c r="E673" i="25"/>
  <c r="A680" i="25"/>
  <c r="B680" i="25" s="1"/>
  <c r="E674" i="39" l="1"/>
  <c r="D675" i="39" s="1"/>
  <c r="F674" i="39"/>
  <c r="C678" i="39"/>
  <c r="A679" i="39"/>
  <c r="B679" i="39" s="1"/>
  <c r="B681" i="30"/>
  <c r="A682" i="30"/>
  <c r="D679" i="30"/>
  <c r="C680" i="30" s="1"/>
  <c r="E679" i="30"/>
  <c r="E674" i="25"/>
  <c r="D674" i="25"/>
  <c r="C675" i="25" s="1"/>
  <c r="A681" i="25"/>
  <c r="B681" i="25" s="1"/>
  <c r="F675" i="39" l="1"/>
  <c r="E675" i="39"/>
  <c r="D676" i="39" s="1"/>
  <c r="C679" i="39"/>
  <c r="A680" i="39"/>
  <c r="B680" i="39" s="1"/>
  <c r="B682" i="30"/>
  <c r="A683" i="30"/>
  <c r="D680" i="30"/>
  <c r="C681" i="30" s="1"/>
  <c r="E680" i="30"/>
  <c r="D675" i="25"/>
  <c r="C676" i="25" s="1"/>
  <c r="E675" i="25"/>
  <c r="A682" i="25"/>
  <c r="B682" i="25" s="1"/>
  <c r="F676" i="39" l="1"/>
  <c r="E676" i="39"/>
  <c r="D677" i="39" s="1"/>
  <c r="C680" i="39"/>
  <c r="A681" i="39"/>
  <c r="B681" i="39" s="1"/>
  <c r="B683" i="30"/>
  <c r="A684" i="30"/>
  <c r="D681" i="30"/>
  <c r="C682" i="30" s="1"/>
  <c r="E681" i="30"/>
  <c r="D676" i="25"/>
  <c r="C677" i="25" s="1"/>
  <c r="E676" i="25"/>
  <c r="A683" i="25"/>
  <c r="B683" i="25" s="1"/>
  <c r="F677" i="39" l="1"/>
  <c r="E677" i="39"/>
  <c r="D678" i="39" s="1"/>
  <c r="C681" i="39"/>
  <c r="A682" i="39"/>
  <c r="B682" i="39" s="1"/>
  <c r="B684" i="30"/>
  <c r="A685" i="30"/>
  <c r="D682" i="30"/>
  <c r="C683" i="30" s="1"/>
  <c r="E682" i="30"/>
  <c r="D677" i="25"/>
  <c r="C678" i="25" s="1"/>
  <c r="E677" i="25"/>
  <c r="A684" i="25"/>
  <c r="B684" i="25" s="1"/>
  <c r="E678" i="39" l="1"/>
  <c r="D679" i="39" s="1"/>
  <c r="F678" i="39"/>
  <c r="C682" i="39"/>
  <c r="A683" i="39"/>
  <c r="B683" i="39" s="1"/>
  <c r="B685" i="30"/>
  <c r="A686" i="30"/>
  <c r="D683" i="30"/>
  <c r="C684" i="30" s="1"/>
  <c r="E683" i="30"/>
  <c r="E678" i="25"/>
  <c r="D678" i="25"/>
  <c r="C679" i="25" s="1"/>
  <c r="A685" i="25"/>
  <c r="B685" i="25" s="1"/>
  <c r="F679" i="39" l="1"/>
  <c r="E679" i="39"/>
  <c r="D680" i="39" s="1"/>
  <c r="C683" i="39"/>
  <c r="A684" i="39"/>
  <c r="B684" i="39" s="1"/>
  <c r="B686" i="30"/>
  <c r="A687" i="30"/>
  <c r="D684" i="30"/>
  <c r="C685" i="30" s="1"/>
  <c r="E684" i="30"/>
  <c r="D679" i="25"/>
  <c r="C680" i="25" s="1"/>
  <c r="E679" i="25"/>
  <c r="A686" i="25"/>
  <c r="B686" i="25" s="1"/>
  <c r="F680" i="39" l="1"/>
  <c r="E680" i="39"/>
  <c r="D681" i="39" s="1"/>
  <c r="C684" i="39"/>
  <c r="A685" i="39"/>
  <c r="B685" i="39" s="1"/>
  <c r="B687" i="30"/>
  <c r="A688" i="30"/>
  <c r="D685" i="30"/>
  <c r="C686" i="30" s="1"/>
  <c r="E685" i="30"/>
  <c r="E680" i="25"/>
  <c r="D680" i="25"/>
  <c r="C681" i="25" s="1"/>
  <c r="A687" i="25"/>
  <c r="B687" i="25" s="1"/>
  <c r="E681" i="39" l="1"/>
  <c r="D682" i="39" s="1"/>
  <c r="F681" i="39"/>
  <c r="C685" i="39"/>
  <c r="A686" i="39"/>
  <c r="B686" i="39" s="1"/>
  <c r="B688" i="30"/>
  <c r="A689" i="30"/>
  <c r="D686" i="30"/>
  <c r="C687" i="30" s="1"/>
  <c r="E686" i="30"/>
  <c r="E681" i="25"/>
  <c r="D681" i="25"/>
  <c r="C682" i="25" s="1"/>
  <c r="A688" i="25"/>
  <c r="B688" i="25" s="1"/>
  <c r="F682" i="39" l="1"/>
  <c r="E682" i="39"/>
  <c r="D683" i="39" s="1"/>
  <c r="C686" i="39"/>
  <c r="A687" i="39"/>
  <c r="B687" i="39" s="1"/>
  <c r="B689" i="30"/>
  <c r="A690" i="30"/>
  <c r="D687" i="30"/>
  <c r="C688" i="30" s="1"/>
  <c r="E687" i="30"/>
  <c r="E682" i="25"/>
  <c r="D682" i="25"/>
  <c r="C683" i="25" s="1"/>
  <c r="A689" i="25"/>
  <c r="B689" i="25" s="1"/>
  <c r="E683" i="39" l="1"/>
  <c r="D684" i="39" s="1"/>
  <c r="F683" i="39"/>
  <c r="C687" i="39"/>
  <c r="A688" i="39"/>
  <c r="B688" i="39" s="1"/>
  <c r="B690" i="30"/>
  <c r="A691" i="30"/>
  <c r="D688" i="30"/>
  <c r="C689" i="30" s="1"/>
  <c r="E688" i="30"/>
  <c r="E683" i="25"/>
  <c r="D683" i="25"/>
  <c r="C684" i="25" s="1"/>
  <c r="A690" i="25"/>
  <c r="B690" i="25" s="1"/>
  <c r="E684" i="39" l="1"/>
  <c r="D685" i="39" s="1"/>
  <c r="F684" i="39"/>
  <c r="C688" i="39"/>
  <c r="A689" i="39"/>
  <c r="B689" i="39" s="1"/>
  <c r="B691" i="30"/>
  <c r="A692" i="30"/>
  <c r="D689" i="30"/>
  <c r="C690" i="30" s="1"/>
  <c r="E689" i="30"/>
  <c r="E684" i="25"/>
  <c r="D684" i="25"/>
  <c r="C685" i="25" s="1"/>
  <c r="A691" i="25"/>
  <c r="B691" i="25" s="1"/>
  <c r="F685" i="39" l="1"/>
  <c r="E685" i="39"/>
  <c r="D686" i="39" s="1"/>
  <c r="C689" i="39"/>
  <c r="A690" i="39"/>
  <c r="B690" i="39" s="1"/>
  <c r="B692" i="30"/>
  <c r="A693" i="30"/>
  <c r="D690" i="30"/>
  <c r="C691" i="30" s="1"/>
  <c r="E690" i="30"/>
  <c r="E685" i="25"/>
  <c r="D685" i="25"/>
  <c r="C686" i="25" s="1"/>
  <c r="A692" i="25"/>
  <c r="B692" i="25" s="1"/>
  <c r="F686" i="39" l="1"/>
  <c r="E686" i="39"/>
  <c r="D687" i="39" s="1"/>
  <c r="C690" i="39"/>
  <c r="A691" i="39"/>
  <c r="B691" i="39" s="1"/>
  <c r="B693" i="30"/>
  <c r="A694" i="30"/>
  <c r="D691" i="30"/>
  <c r="C692" i="30" s="1"/>
  <c r="E691" i="30"/>
  <c r="E686" i="25"/>
  <c r="D686" i="25"/>
  <c r="C687" i="25" s="1"/>
  <c r="A693" i="25"/>
  <c r="B693" i="25" s="1"/>
  <c r="E687" i="39" l="1"/>
  <c r="D688" i="39" s="1"/>
  <c r="F687" i="39"/>
  <c r="C691" i="39"/>
  <c r="A692" i="39"/>
  <c r="B692" i="39" s="1"/>
  <c r="B694" i="30"/>
  <c r="A695" i="30"/>
  <c r="D692" i="30"/>
  <c r="C693" i="30" s="1"/>
  <c r="E692" i="30"/>
  <c r="D687" i="25"/>
  <c r="C688" i="25" s="1"/>
  <c r="E687" i="25"/>
  <c r="A694" i="25"/>
  <c r="B694" i="25" s="1"/>
  <c r="E688" i="39" l="1"/>
  <c r="D689" i="39" s="1"/>
  <c r="F688" i="39"/>
  <c r="C692" i="39"/>
  <c r="A693" i="39"/>
  <c r="B693" i="39" s="1"/>
  <c r="B695" i="30"/>
  <c r="A696" i="30"/>
  <c r="D693" i="30"/>
  <c r="C694" i="30" s="1"/>
  <c r="E693" i="30"/>
  <c r="E688" i="25"/>
  <c r="D688" i="25"/>
  <c r="C689" i="25" s="1"/>
  <c r="A695" i="25"/>
  <c r="B695" i="25" s="1"/>
  <c r="E689" i="39" l="1"/>
  <c r="D690" i="39" s="1"/>
  <c r="F689" i="39"/>
  <c r="C693" i="39"/>
  <c r="A694" i="39"/>
  <c r="B694" i="39" s="1"/>
  <c r="B696" i="30"/>
  <c r="A697" i="30"/>
  <c r="D694" i="30"/>
  <c r="C695" i="30" s="1"/>
  <c r="E694" i="30"/>
  <c r="E689" i="25"/>
  <c r="D689" i="25"/>
  <c r="C690" i="25" s="1"/>
  <c r="A696" i="25"/>
  <c r="B696" i="25" s="1"/>
  <c r="F690" i="39" l="1"/>
  <c r="E690" i="39"/>
  <c r="D691" i="39" s="1"/>
  <c r="C694" i="39"/>
  <c r="A695" i="39"/>
  <c r="B695" i="39" s="1"/>
  <c r="B697" i="30"/>
  <c r="A698" i="30"/>
  <c r="D695" i="30"/>
  <c r="C696" i="30" s="1"/>
  <c r="E695" i="30"/>
  <c r="D690" i="25"/>
  <c r="C691" i="25" s="1"/>
  <c r="E690" i="25"/>
  <c r="A697" i="25"/>
  <c r="B697" i="25" s="1"/>
  <c r="F691" i="39" l="1"/>
  <c r="E691" i="39"/>
  <c r="D692" i="39" s="1"/>
  <c r="C695" i="39"/>
  <c r="A696" i="39"/>
  <c r="B696" i="39" s="1"/>
  <c r="B698" i="30"/>
  <c r="A699" i="30"/>
  <c r="D696" i="30"/>
  <c r="C697" i="30" s="1"/>
  <c r="E696" i="30"/>
  <c r="E691" i="25"/>
  <c r="D691" i="25"/>
  <c r="C692" i="25" s="1"/>
  <c r="A698" i="25"/>
  <c r="B698" i="25" s="1"/>
  <c r="E692" i="39" l="1"/>
  <c r="D693" i="39" s="1"/>
  <c r="F692" i="39"/>
  <c r="C696" i="39"/>
  <c r="A697" i="39"/>
  <c r="B697" i="39" s="1"/>
  <c r="B699" i="30"/>
  <c r="A700" i="30"/>
  <c r="D697" i="30"/>
  <c r="C698" i="30" s="1"/>
  <c r="E697" i="30"/>
  <c r="D692" i="25"/>
  <c r="C693" i="25" s="1"/>
  <c r="E692" i="25"/>
  <c r="A699" i="25"/>
  <c r="B699" i="25" s="1"/>
  <c r="F693" i="39" l="1"/>
  <c r="E693" i="39"/>
  <c r="D694" i="39" s="1"/>
  <c r="C697" i="39"/>
  <c r="A698" i="39"/>
  <c r="B698" i="39" s="1"/>
  <c r="B700" i="30"/>
  <c r="A701" i="30"/>
  <c r="D698" i="30"/>
  <c r="C699" i="30" s="1"/>
  <c r="E698" i="30"/>
  <c r="D693" i="25"/>
  <c r="C694" i="25" s="1"/>
  <c r="E693" i="25"/>
  <c r="A700" i="25"/>
  <c r="B700" i="25" s="1"/>
  <c r="F694" i="39" l="1"/>
  <c r="E694" i="39"/>
  <c r="D695" i="39" s="1"/>
  <c r="C698" i="39"/>
  <c r="A699" i="39"/>
  <c r="B699" i="39" s="1"/>
  <c r="B701" i="30"/>
  <c r="A702" i="30"/>
  <c r="D699" i="30"/>
  <c r="C700" i="30" s="1"/>
  <c r="E699" i="30"/>
  <c r="D694" i="25"/>
  <c r="C695" i="25" s="1"/>
  <c r="E694" i="25"/>
  <c r="A701" i="25"/>
  <c r="B701" i="25" s="1"/>
  <c r="E695" i="39" l="1"/>
  <c r="D696" i="39" s="1"/>
  <c r="F695" i="39"/>
  <c r="C699" i="39"/>
  <c r="A700" i="39"/>
  <c r="B700" i="39" s="1"/>
  <c r="B702" i="30"/>
  <c r="A703" i="30"/>
  <c r="D700" i="30"/>
  <c r="C701" i="30" s="1"/>
  <c r="E700" i="30"/>
  <c r="D695" i="25"/>
  <c r="C696" i="25" s="1"/>
  <c r="E695" i="25"/>
  <c r="A702" i="25"/>
  <c r="B702" i="25" s="1"/>
  <c r="E696" i="39" l="1"/>
  <c r="D697" i="39" s="1"/>
  <c r="F696" i="39"/>
  <c r="C700" i="39"/>
  <c r="A701" i="39"/>
  <c r="B701" i="39" s="1"/>
  <c r="B703" i="30"/>
  <c r="A704" i="30"/>
  <c r="D701" i="30"/>
  <c r="C702" i="30" s="1"/>
  <c r="E701" i="30"/>
  <c r="E696" i="25"/>
  <c r="D696" i="25"/>
  <c r="C697" i="25" s="1"/>
  <c r="A703" i="25"/>
  <c r="B703" i="25" s="1"/>
  <c r="F697" i="39" l="1"/>
  <c r="E697" i="39"/>
  <c r="D698" i="39" s="1"/>
  <c r="C701" i="39"/>
  <c r="A702" i="39"/>
  <c r="B702" i="39" s="1"/>
  <c r="B704" i="30"/>
  <c r="A705" i="30"/>
  <c r="D702" i="30"/>
  <c r="C703" i="30" s="1"/>
  <c r="E702" i="30"/>
  <c r="E697" i="25"/>
  <c r="D697" i="25"/>
  <c r="C698" i="25" s="1"/>
  <c r="A704" i="25"/>
  <c r="B704" i="25" s="1"/>
  <c r="F698" i="39" l="1"/>
  <c r="E698" i="39"/>
  <c r="D699" i="39" s="1"/>
  <c r="C702" i="39"/>
  <c r="A703" i="39"/>
  <c r="B703" i="39" s="1"/>
  <c r="B705" i="30"/>
  <c r="A706" i="30"/>
  <c r="D703" i="30"/>
  <c r="C704" i="30" s="1"/>
  <c r="E703" i="30"/>
  <c r="E698" i="25"/>
  <c r="D698" i="25"/>
  <c r="C699" i="25" s="1"/>
  <c r="A705" i="25"/>
  <c r="B705" i="25" s="1"/>
  <c r="F699" i="39" l="1"/>
  <c r="E699" i="39"/>
  <c r="D700" i="39" s="1"/>
  <c r="C703" i="39"/>
  <c r="A704" i="39"/>
  <c r="B704" i="39" s="1"/>
  <c r="B706" i="30"/>
  <c r="A707" i="30"/>
  <c r="D704" i="30"/>
  <c r="C705" i="30" s="1"/>
  <c r="E704" i="30"/>
  <c r="D699" i="25"/>
  <c r="C700" i="25" s="1"/>
  <c r="E699" i="25"/>
  <c r="A706" i="25"/>
  <c r="B706" i="25" s="1"/>
  <c r="F700" i="39" l="1"/>
  <c r="E700" i="39"/>
  <c r="D701" i="39" s="1"/>
  <c r="C704" i="39"/>
  <c r="A705" i="39"/>
  <c r="B705" i="39" s="1"/>
  <c r="B707" i="30"/>
  <c r="A708" i="30"/>
  <c r="D705" i="30"/>
  <c r="C706" i="30" s="1"/>
  <c r="E705" i="30"/>
  <c r="E700" i="25"/>
  <c r="D700" i="25"/>
  <c r="C701" i="25" s="1"/>
  <c r="A707" i="25"/>
  <c r="B707" i="25" s="1"/>
  <c r="F701" i="39" l="1"/>
  <c r="E701" i="39"/>
  <c r="D702" i="39" s="1"/>
  <c r="C705" i="39"/>
  <c r="A706" i="39"/>
  <c r="B706" i="39" s="1"/>
  <c r="B708" i="30"/>
  <c r="A709" i="30"/>
  <c r="D706" i="30"/>
  <c r="C707" i="30" s="1"/>
  <c r="E706" i="30"/>
  <c r="E701" i="25"/>
  <c r="D701" i="25"/>
  <c r="C702" i="25" s="1"/>
  <c r="A708" i="25"/>
  <c r="B708" i="25" s="1"/>
  <c r="F702" i="39" l="1"/>
  <c r="E702" i="39"/>
  <c r="D703" i="39" s="1"/>
  <c r="C706" i="39"/>
  <c r="A707" i="39"/>
  <c r="B707" i="39" s="1"/>
  <c r="B709" i="30"/>
  <c r="A710" i="30"/>
  <c r="D707" i="30"/>
  <c r="C708" i="30" s="1"/>
  <c r="E707" i="30"/>
  <c r="E702" i="25"/>
  <c r="D702" i="25"/>
  <c r="C703" i="25" s="1"/>
  <c r="A709" i="25"/>
  <c r="B709" i="25" s="1"/>
  <c r="F703" i="39" l="1"/>
  <c r="E703" i="39"/>
  <c r="D704" i="39" s="1"/>
  <c r="C707" i="39"/>
  <c r="A708" i="39"/>
  <c r="B708" i="39" s="1"/>
  <c r="B710" i="30"/>
  <c r="A711" i="30"/>
  <c r="D708" i="30"/>
  <c r="C709" i="30" s="1"/>
  <c r="E708" i="30"/>
  <c r="D703" i="25"/>
  <c r="C704" i="25" s="1"/>
  <c r="E703" i="25"/>
  <c r="A710" i="25"/>
  <c r="B710" i="25" s="1"/>
  <c r="F704" i="39" l="1"/>
  <c r="E704" i="39"/>
  <c r="D705" i="39" s="1"/>
  <c r="C708" i="39"/>
  <c r="A709" i="39"/>
  <c r="B709" i="39" s="1"/>
  <c r="B711" i="30"/>
  <c r="A712" i="30"/>
  <c r="D709" i="30"/>
  <c r="C710" i="30" s="1"/>
  <c r="E709" i="30"/>
  <c r="E704" i="25"/>
  <c r="D704" i="25"/>
  <c r="C705" i="25" s="1"/>
  <c r="A711" i="25"/>
  <c r="B711" i="25" s="1"/>
  <c r="F705" i="39" l="1"/>
  <c r="E705" i="39"/>
  <c r="D706" i="39" s="1"/>
  <c r="C709" i="39"/>
  <c r="A710" i="39"/>
  <c r="B710" i="39" s="1"/>
  <c r="B712" i="30"/>
  <c r="A713" i="30"/>
  <c r="D710" i="30"/>
  <c r="C711" i="30" s="1"/>
  <c r="E710" i="30"/>
  <c r="E705" i="25"/>
  <c r="D705" i="25"/>
  <c r="C706" i="25" s="1"/>
  <c r="A712" i="25"/>
  <c r="B712" i="25" s="1"/>
  <c r="F706" i="39" l="1"/>
  <c r="E706" i="39"/>
  <c r="D707" i="39" s="1"/>
  <c r="C710" i="39"/>
  <c r="A711" i="39"/>
  <c r="B711" i="39" s="1"/>
  <c r="B713" i="30"/>
  <c r="A714" i="30"/>
  <c r="D711" i="30"/>
  <c r="C712" i="30" s="1"/>
  <c r="E711" i="30"/>
  <c r="D706" i="25"/>
  <c r="C707" i="25" s="1"/>
  <c r="E706" i="25"/>
  <c r="A713" i="25"/>
  <c r="B713" i="25" s="1"/>
  <c r="F707" i="39" l="1"/>
  <c r="E707" i="39"/>
  <c r="D708" i="39" s="1"/>
  <c r="C711" i="39"/>
  <c r="A712" i="39"/>
  <c r="B712" i="39" s="1"/>
  <c r="B714" i="30"/>
  <c r="A715" i="30"/>
  <c r="D712" i="30"/>
  <c r="C713" i="30" s="1"/>
  <c r="E712" i="30"/>
  <c r="E707" i="25"/>
  <c r="D707" i="25"/>
  <c r="C708" i="25" s="1"/>
  <c r="A714" i="25"/>
  <c r="B714" i="25" s="1"/>
  <c r="F708" i="39" l="1"/>
  <c r="E708" i="39"/>
  <c r="D709" i="39" s="1"/>
  <c r="C712" i="39"/>
  <c r="A713" i="39"/>
  <c r="B713" i="39" s="1"/>
  <c r="B715" i="30"/>
  <c r="A716" i="30"/>
  <c r="D713" i="30"/>
  <c r="C714" i="30" s="1"/>
  <c r="E713" i="30"/>
  <c r="D708" i="25"/>
  <c r="C709" i="25" s="1"/>
  <c r="E708" i="25"/>
  <c r="A715" i="25"/>
  <c r="B715" i="25" s="1"/>
  <c r="F709" i="39" l="1"/>
  <c r="E709" i="39"/>
  <c r="D710" i="39" s="1"/>
  <c r="C713" i="39"/>
  <c r="A714" i="39"/>
  <c r="B714" i="39" s="1"/>
  <c r="B716" i="30"/>
  <c r="A717" i="30"/>
  <c r="D714" i="30"/>
  <c r="C715" i="30" s="1"/>
  <c r="E714" i="30"/>
  <c r="E709" i="25"/>
  <c r="D709" i="25"/>
  <c r="C710" i="25" s="1"/>
  <c r="A716" i="25"/>
  <c r="B716" i="25" s="1"/>
  <c r="F710" i="39" l="1"/>
  <c r="E710" i="39"/>
  <c r="D711" i="39" s="1"/>
  <c r="C714" i="39"/>
  <c r="A715" i="39"/>
  <c r="B715" i="39" s="1"/>
  <c r="B717" i="30"/>
  <c r="A718" i="30"/>
  <c r="D715" i="30"/>
  <c r="C716" i="30" s="1"/>
  <c r="E715" i="30"/>
  <c r="D710" i="25"/>
  <c r="C711" i="25" s="1"/>
  <c r="E710" i="25"/>
  <c r="A717" i="25"/>
  <c r="B717" i="25" s="1"/>
  <c r="F711" i="39" l="1"/>
  <c r="E711" i="39"/>
  <c r="D712" i="39" s="1"/>
  <c r="C715" i="39"/>
  <c r="A716" i="39"/>
  <c r="B716" i="39" s="1"/>
  <c r="B718" i="30"/>
  <c r="A719" i="30"/>
  <c r="D716" i="30"/>
  <c r="C717" i="30" s="1"/>
  <c r="E716" i="30"/>
  <c r="D711" i="25"/>
  <c r="C712" i="25" s="1"/>
  <c r="E711" i="25"/>
  <c r="A718" i="25"/>
  <c r="B718" i="25" s="1"/>
  <c r="F712" i="39" l="1"/>
  <c r="E712" i="39"/>
  <c r="D713" i="39" s="1"/>
  <c r="C716" i="39"/>
  <c r="A717" i="39"/>
  <c r="B717" i="39" s="1"/>
  <c r="B719" i="30"/>
  <c r="A720" i="30"/>
  <c r="D717" i="30"/>
  <c r="C718" i="30" s="1"/>
  <c r="E717" i="30"/>
  <c r="D712" i="25"/>
  <c r="C713" i="25" s="1"/>
  <c r="E712" i="25"/>
  <c r="A719" i="25"/>
  <c r="B719" i="25" s="1"/>
  <c r="F713" i="39" l="1"/>
  <c r="E713" i="39"/>
  <c r="D714" i="39" s="1"/>
  <c r="C717" i="39"/>
  <c r="A718" i="39"/>
  <c r="B718" i="39" s="1"/>
  <c r="B720" i="30"/>
  <c r="A721" i="30"/>
  <c r="D718" i="30"/>
  <c r="C719" i="30" s="1"/>
  <c r="E718" i="30"/>
  <c r="D713" i="25"/>
  <c r="C714" i="25" s="1"/>
  <c r="E713" i="25"/>
  <c r="A720" i="25"/>
  <c r="B720" i="25" s="1"/>
  <c r="F714" i="39" l="1"/>
  <c r="E714" i="39"/>
  <c r="D715" i="39" s="1"/>
  <c r="C718" i="39"/>
  <c r="A719" i="39"/>
  <c r="B719" i="39" s="1"/>
  <c r="B721" i="30"/>
  <c r="A722" i="30"/>
  <c r="D719" i="30"/>
  <c r="C720" i="30" s="1"/>
  <c r="E719" i="30"/>
  <c r="E714" i="25"/>
  <c r="D714" i="25"/>
  <c r="C715" i="25" s="1"/>
  <c r="A721" i="25"/>
  <c r="B721" i="25" s="1"/>
  <c r="E715" i="39" l="1"/>
  <c r="D716" i="39" s="1"/>
  <c r="F715" i="39"/>
  <c r="C719" i="39"/>
  <c r="A720" i="39"/>
  <c r="B720" i="39" s="1"/>
  <c r="B722" i="30"/>
  <c r="A723" i="30"/>
  <c r="D720" i="30"/>
  <c r="C721" i="30" s="1"/>
  <c r="E720" i="30"/>
  <c r="D715" i="25"/>
  <c r="C716" i="25" s="1"/>
  <c r="E715" i="25"/>
  <c r="A722" i="25"/>
  <c r="B722" i="25" s="1"/>
  <c r="E716" i="39" l="1"/>
  <c r="D717" i="39" s="1"/>
  <c r="F716" i="39"/>
  <c r="C720" i="39"/>
  <c r="A721" i="39"/>
  <c r="B721" i="39" s="1"/>
  <c r="B723" i="30"/>
  <c r="A724" i="30"/>
  <c r="D721" i="30"/>
  <c r="C722" i="30" s="1"/>
  <c r="E721" i="30"/>
  <c r="D716" i="25"/>
  <c r="C717" i="25" s="1"/>
  <c r="E716" i="25"/>
  <c r="A723" i="25"/>
  <c r="B723" i="25" s="1"/>
  <c r="F717" i="39" l="1"/>
  <c r="E717" i="39"/>
  <c r="D718" i="39" s="1"/>
  <c r="C721" i="39"/>
  <c r="A722" i="39"/>
  <c r="B722" i="39" s="1"/>
  <c r="B724" i="30"/>
  <c r="A725" i="30"/>
  <c r="D722" i="30"/>
  <c r="C723" i="30" s="1"/>
  <c r="E722" i="30"/>
  <c r="D717" i="25"/>
  <c r="C718" i="25" s="1"/>
  <c r="E717" i="25"/>
  <c r="A724" i="25"/>
  <c r="B724" i="25" s="1"/>
  <c r="F718" i="39" l="1"/>
  <c r="E718" i="39"/>
  <c r="D719" i="39" s="1"/>
  <c r="C722" i="39"/>
  <c r="A723" i="39"/>
  <c r="B723" i="39" s="1"/>
  <c r="B725" i="30"/>
  <c r="A726" i="30"/>
  <c r="D723" i="30"/>
  <c r="C724" i="30" s="1"/>
  <c r="E723" i="30"/>
  <c r="E718" i="25"/>
  <c r="D718" i="25"/>
  <c r="C719" i="25" s="1"/>
  <c r="A725" i="25"/>
  <c r="B725" i="25" s="1"/>
  <c r="E719" i="39" l="1"/>
  <c r="D720" i="39" s="1"/>
  <c r="F719" i="39"/>
  <c r="C723" i="39"/>
  <c r="A724" i="39"/>
  <c r="B724" i="39" s="1"/>
  <c r="B726" i="30"/>
  <c r="A727" i="30"/>
  <c r="D724" i="30"/>
  <c r="C725" i="30" s="1"/>
  <c r="E724" i="30"/>
  <c r="E719" i="25"/>
  <c r="D719" i="25"/>
  <c r="C720" i="25" s="1"/>
  <c r="A726" i="25"/>
  <c r="B726" i="25" s="1"/>
  <c r="E720" i="39" l="1"/>
  <c r="D721" i="39" s="1"/>
  <c r="F720" i="39"/>
  <c r="C724" i="39"/>
  <c r="A725" i="39"/>
  <c r="B725" i="39" s="1"/>
  <c r="B727" i="30"/>
  <c r="A728" i="30"/>
  <c r="D725" i="30"/>
  <c r="C726" i="30" s="1"/>
  <c r="E725" i="30"/>
  <c r="E720" i="25"/>
  <c r="D720" i="25"/>
  <c r="C721" i="25" s="1"/>
  <c r="A727" i="25"/>
  <c r="B727" i="25" s="1"/>
  <c r="E721" i="39" l="1"/>
  <c r="D722" i="39" s="1"/>
  <c r="F721" i="39"/>
  <c r="C725" i="39"/>
  <c r="A726" i="39"/>
  <c r="B726" i="39" s="1"/>
  <c r="B728" i="30"/>
  <c r="A729" i="30"/>
  <c r="D726" i="30"/>
  <c r="C727" i="30" s="1"/>
  <c r="E726" i="30"/>
  <c r="E721" i="25"/>
  <c r="D721" i="25"/>
  <c r="C722" i="25" s="1"/>
  <c r="A728" i="25"/>
  <c r="B728" i="25" s="1"/>
  <c r="F722" i="39" l="1"/>
  <c r="E722" i="39"/>
  <c r="D723" i="39" s="1"/>
  <c r="C726" i="39"/>
  <c r="A727" i="39"/>
  <c r="B727" i="39" s="1"/>
  <c r="B729" i="30"/>
  <c r="A730" i="30"/>
  <c r="D727" i="30"/>
  <c r="C728" i="30" s="1"/>
  <c r="E727" i="30"/>
  <c r="D722" i="25"/>
  <c r="C723" i="25" s="1"/>
  <c r="E722" i="25"/>
  <c r="A729" i="25"/>
  <c r="B729" i="25" s="1"/>
  <c r="F723" i="39" l="1"/>
  <c r="E723" i="39"/>
  <c r="D724" i="39" s="1"/>
  <c r="C727" i="39"/>
  <c r="A728" i="39"/>
  <c r="B728" i="39" s="1"/>
  <c r="B730" i="30"/>
  <c r="A731" i="30"/>
  <c r="D728" i="30"/>
  <c r="C729" i="30" s="1"/>
  <c r="E728" i="30"/>
  <c r="E723" i="25"/>
  <c r="D723" i="25"/>
  <c r="C724" i="25" s="1"/>
  <c r="A730" i="25"/>
  <c r="B730" i="25" s="1"/>
  <c r="E724" i="39" l="1"/>
  <c r="D725" i="39" s="1"/>
  <c r="F724" i="39"/>
  <c r="C728" i="39"/>
  <c r="A729" i="39"/>
  <c r="B729" i="39" s="1"/>
  <c r="B731" i="30"/>
  <c r="A732" i="30"/>
  <c r="D729" i="30"/>
  <c r="C730" i="30" s="1"/>
  <c r="E729" i="30"/>
  <c r="E724" i="25"/>
  <c r="D724" i="25"/>
  <c r="C725" i="25" s="1"/>
  <c r="A731" i="25"/>
  <c r="B731" i="25" s="1"/>
  <c r="E725" i="39" l="1"/>
  <c r="D726" i="39" s="1"/>
  <c r="F725" i="39"/>
  <c r="C729" i="39"/>
  <c r="A730" i="39"/>
  <c r="B730" i="39" s="1"/>
  <c r="B732" i="30"/>
  <c r="A733" i="30"/>
  <c r="D730" i="30"/>
  <c r="C731" i="30" s="1"/>
  <c r="E730" i="30"/>
  <c r="E725" i="25"/>
  <c r="D725" i="25"/>
  <c r="C726" i="25" s="1"/>
  <c r="A732" i="25"/>
  <c r="B732" i="25" s="1"/>
  <c r="F726" i="39" l="1"/>
  <c r="E726" i="39"/>
  <c r="D727" i="39" s="1"/>
  <c r="C730" i="39"/>
  <c r="A731" i="39"/>
  <c r="B731" i="39" s="1"/>
  <c r="B733" i="30"/>
  <c r="A734" i="30"/>
  <c r="D731" i="30"/>
  <c r="C732" i="30" s="1"/>
  <c r="E731" i="30"/>
  <c r="D726" i="25"/>
  <c r="C727" i="25" s="1"/>
  <c r="E726" i="25"/>
  <c r="A733" i="25"/>
  <c r="B733" i="25" s="1"/>
  <c r="F727" i="39" l="1"/>
  <c r="E727" i="39"/>
  <c r="D728" i="39" s="1"/>
  <c r="C731" i="39"/>
  <c r="A732" i="39"/>
  <c r="B732" i="39" s="1"/>
  <c r="B734" i="30"/>
  <c r="A735" i="30"/>
  <c r="D732" i="30"/>
  <c r="C733" i="30" s="1"/>
  <c r="E732" i="30"/>
  <c r="D727" i="25"/>
  <c r="C728" i="25" s="1"/>
  <c r="E727" i="25"/>
  <c r="A734" i="25"/>
  <c r="B734" i="25" s="1"/>
  <c r="F728" i="39" l="1"/>
  <c r="E728" i="39"/>
  <c r="D729" i="39" s="1"/>
  <c r="C732" i="39"/>
  <c r="A733" i="39"/>
  <c r="B733" i="39" s="1"/>
  <c r="B735" i="30"/>
  <c r="A736" i="30"/>
  <c r="D733" i="30"/>
  <c r="C734" i="30" s="1"/>
  <c r="E733" i="30"/>
  <c r="D728" i="25"/>
  <c r="C729" i="25" s="1"/>
  <c r="E728" i="25"/>
  <c r="A735" i="25"/>
  <c r="B735" i="25" s="1"/>
  <c r="E729" i="39" l="1"/>
  <c r="D730" i="39" s="1"/>
  <c r="F729" i="39"/>
  <c r="C733" i="39"/>
  <c r="A734" i="39"/>
  <c r="B734" i="39" s="1"/>
  <c r="B736" i="30"/>
  <c r="A737" i="30"/>
  <c r="D734" i="30"/>
  <c r="C735" i="30" s="1"/>
  <c r="E734" i="30"/>
  <c r="E729" i="25"/>
  <c r="D729" i="25"/>
  <c r="C730" i="25" s="1"/>
  <c r="A736" i="25"/>
  <c r="B736" i="25" s="1"/>
  <c r="F730" i="39" l="1"/>
  <c r="E730" i="39"/>
  <c r="D731" i="39" s="1"/>
  <c r="C734" i="39"/>
  <c r="A735" i="39"/>
  <c r="B735" i="39" s="1"/>
  <c r="B737" i="30"/>
  <c r="A738" i="30"/>
  <c r="D735" i="30"/>
  <c r="C736" i="30" s="1"/>
  <c r="E735" i="30"/>
  <c r="E730" i="25"/>
  <c r="D730" i="25"/>
  <c r="C731" i="25" s="1"/>
  <c r="A737" i="25"/>
  <c r="B737" i="25" s="1"/>
  <c r="F731" i="39" l="1"/>
  <c r="E731" i="39"/>
  <c r="D732" i="39" s="1"/>
  <c r="C735" i="39"/>
  <c r="A736" i="39"/>
  <c r="B736" i="39" s="1"/>
  <c r="B738" i="30"/>
  <c r="A739" i="30"/>
  <c r="D736" i="30"/>
  <c r="C737" i="30" s="1"/>
  <c r="E736" i="30"/>
  <c r="D731" i="25"/>
  <c r="C732" i="25" s="1"/>
  <c r="E731" i="25"/>
  <c r="A738" i="25"/>
  <c r="B738" i="25" s="1"/>
  <c r="E732" i="39" l="1"/>
  <c r="D733" i="39" s="1"/>
  <c r="F732" i="39"/>
  <c r="C736" i="39"/>
  <c r="A737" i="39"/>
  <c r="B737" i="39" s="1"/>
  <c r="B739" i="30"/>
  <c r="A740" i="30"/>
  <c r="D737" i="30"/>
  <c r="C738" i="30" s="1"/>
  <c r="E737" i="30"/>
  <c r="D732" i="25"/>
  <c r="C733" i="25" s="1"/>
  <c r="E732" i="25"/>
  <c r="A739" i="25"/>
  <c r="B739" i="25" s="1"/>
  <c r="F733" i="39" l="1"/>
  <c r="E733" i="39"/>
  <c r="D734" i="39" s="1"/>
  <c r="C737" i="39"/>
  <c r="A738" i="39"/>
  <c r="B738" i="39" s="1"/>
  <c r="B740" i="30"/>
  <c r="A741" i="30"/>
  <c r="D738" i="30"/>
  <c r="C739" i="30" s="1"/>
  <c r="E738" i="30"/>
  <c r="D733" i="25"/>
  <c r="C734" i="25" s="1"/>
  <c r="E733" i="25"/>
  <c r="A740" i="25"/>
  <c r="B740" i="25" s="1"/>
  <c r="F734" i="39" l="1"/>
  <c r="E734" i="39"/>
  <c r="D735" i="39" s="1"/>
  <c r="C738" i="39"/>
  <c r="A739" i="39"/>
  <c r="B739" i="39" s="1"/>
  <c r="B741" i="30"/>
  <c r="A742" i="30"/>
  <c r="D739" i="30"/>
  <c r="C740" i="30" s="1"/>
  <c r="E739" i="30"/>
  <c r="D734" i="25"/>
  <c r="C735" i="25" s="1"/>
  <c r="E734" i="25"/>
  <c r="A741" i="25"/>
  <c r="B741" i="25" s="1"/>
  <c r="E735" i="39" l="1"/>
  <c r="D736" i="39" s="1"/>
  <c r="F735" i="39"/>
  <c r="C739" i="39"/>
  <c r="A740" i="39"/>
  <c r="B740" i="39" s="1"/>
  <c r="B742" i="30"/>
  <c r="A743" i="30"/>
  <c r="D740" i="30"/>
  <c r="C741" i="30" s="1"/>
  <c r="E740" i="30"/>
  <c r="D735" i="25"/>
  <c r="C736" i="25" s="1"/>
  <c r="E735" i="25"/>
  <c r="A742" i="25"/>
  <c r="B742" i="25" s="1"/>
  <c r="F736" i="39" l="1"/>
  <c r="E736" i="39"/>
  <c r="D737" i="39" s="1"/>
  <c r="C740" i="39"/>
  <c r="A741" i="39"/>
  <c r="B741" i="39" s="1"/>
  <c r="B743" i="30"/>
  <c r="A744" i="30"/>
  <c r="D741" i="30"/>
  <c r="C742" i="30" s="1"/>
  <c r="E741" i="30"/>
  <c r="D736" i="25"/>
  <c r="C737" i="25" s="1"/>
  <c r="E736" i="25"/>
  <c r="A743" i="25"/>
  <c r="B743" i="25" s="1"/>
  <c r="F737" i="39" l="1"/>
  <c r="E737" i="39"/>
  <c r="D738" i="39" s="1"/>
  <c r="C741" i="39"/>
  <c r="A742" i="39"/>
  <c r="B742" i="39" s="1"/>
  <c r="B744" i="30"/>
  <c r="A745" i="30"/>
  <c r="D742" i="30"/>
  <c r="C743" i="30" s="1"/>
  <c r="E742" i="30"/>
  <c r="D737" i="25"/>
  <c r="C738" i="25" s="1"/>
  <c r="E737" i="25"/>
  <c r="A744" i="25"/>
  <c r="B744" i="25" s="1"/>
  <c r="F738" i="39" l="1"/>
  <c r="E738" i="39"/>
  <c r="D739" i="39" s="1"/>
  <c r="C742" i="39"/>
  <c r="A743" i="39"/>
  <c r="B743" i="39" s="1"/>
  <c r="B745" i="30"/>
  <c r="A746" i="30"/>
  <c r="D743" i="30"/>
  <c r="C744" i="30" s="1"/>
  <c r="E743" i="30"/>
  <c r="D738" i="25"/>
  <c r="C739" i="25" s="1"/>
  <c r="E738" i="25"/>
  <c r="A745" i="25"/>
  <c r="B745" i="25" s="1"/>
  <c r="E739" i="39" l="1"/>
  <c r="D740" i="39" s="1"/>
  <c r="F739" i="39"/>
  <c r="C743" i="39"/>
  <c r="A744" i="39"/>
  <c r="B744" i="39" s="1"/>
  <c r="B746" i="30"/>
  <c r="A747" i="30"/>
  <c r="D744" i="30"/>
  <c r="C745" i="30" s="1"/>
  <c r="E744" i="30"/>
  <c r="D739" i="25"/>
  <c r="C740" i="25" s="1"/>
  <c r="E739" i="25"/>
  <c r="A746" i="25"/>
  <c r="B746" i="25" s="1"/>
  <c r="E740" i="39" l="1"/>
  <c r="D741" i="39" s="1"/>
  <c r="F740" i="39"/>
  <c r="C744" i="39"/>
  <c r="A745" i="39"/>
  <c r="B745" i="39" s="1"/>
  <c r="B747" i="30"/>
  <c r="A748" i="30"/>
  <c r="D745" i="30"/>
  <c r="C746" i="30" s="1"/>
  <c r="E745" i="30"/>
  <c r="D740" i="25"/>
  <c r="C741" i="25" s="1"/>
  <c r="E740" i="25"/>
  <c r="A747" i="25"/>
  <c r="B747" i="25" s="1"/>
  <c r="E741" i="39" l="1"/>
  <c r="D742" i="39" s="1"/>
  <c r="F741" i="39"/>
  <c r="C745" i="39"/>
  <c r="A746" i="39"/>
  <c r="B746" i="39" s="1"/>
  <c r="B748" i="30"/>
  <c r="A749" i="30"/>
  <c r="D746" i="30"/>
  <c r="C747" i="30" s="1"/>
  <c r="E746" i="30"/>
  <c r="E741" i="25"/>
  <c r="D741" i="25"/>
  <c r="C742" i="25" s="1"/>
  <c r="A748" i="25"/>
  <c r="B748" i="25" s="1"/>
  <c r="F742" i="39" l="1"/>
  <c r="E742" i="39"/>
  <c r="D743" i="39" s="1"/>
  <c r="C746" i="39"/>
  <c r="A747" i="39"/>
  <c r="B747" i="39" s="1"/>
  <c r="B749" i="30"/>
  <c r="A750" i="30"/>
  <c r="D747" i="30"/>
  <c r="C748" i="30" s="1"/>
  <c r="E747" i="30"/>
  <c r="D742" i="25"/>
  <c r="C743" i="25" s="1"/>
  <c r="E742" i="25"/>
  <c r="A749" i="25"/>
  <c r="B749" i="25" s="1"/>
  <c r="F743" i="39" l="1"/>
  <c r="E743" i="39"/>
  <c r="D744" i="39" s="1"/>
  <c r="C747" i="39"/>
  <c r="A748" i="39"/>
  <c r="B748" i="39" s="1"/>
  <c r="B750" i="30"/>
  <c r="A751" i="30"/>
  <c r="D748" i="30"/>
  <c r="C749" i="30" s="1"/>
  <c r="E748" i="30"/>
  <c r="E743" i="25"/>
  <c r="D743" i="25"/>
  <c r="C744" i="25" s="1"/>
  <c r="A750" i="25"/>
  <c r="B750" i="25" s="1"/>
  <c r="F744" i="39" l="1"/>
  <c r="E744" i="39"/>
  <c r="D745" i="39" s="1"/>
  <c r="C748" i="39"/>
  <c r="A749" i="39"/>
  <c r="B749" i="39" s="1"/>
  <c r="B751" i="30"/>
  <c r="A752" i="30"/>
  <c r="D749" i="30"/>
  <c r="C750" i="30" s="1"/>
  <c r="E749" i="30"/>
  <c r="D744" i="25"/>
  <c r="C745" i="25" s="1"/>
  <c r="E744" i="25"/>
  <c r="A751" i="25"/>
  <c r="B751" i="25" s="1"/>
  <c r="E745" i="39" l="1"/>
  <c r="D746" i="39" s="1"/>
  <c r="F745" i="39"/>
  <c r="C749" i="39"/>
  <c r="A750" i="39"/>
  <c r="B750" i="39" s="1"/>
  <c r="B752" i="30"/>
  <c r="A753" i="30"/>
  <c r="D750" i="30"/>
  <c r="C751" i="30" s="1"/>
  <c r="E750" i="30"/>
  <c r="E745" i="25"/>
  <c r="D745" i="25"/>
  <c r="C746" i="25" s="1"/>
  <c r="A752" i="25"/>
  <c r="B752" i="25" s="1"/>
  <c r="E746" i="39" l="1"/>
  <c r="D747" i="39" s="1"/>
  <c r="F746" i="39"/>
  <c r="C750" i="39"/>
  <c r="A751" i="39"/>
  <c r="B751" i="39" s="1"/>
  <c r="B753" i="30"/>
  <c r="A754" i="30"/>
  <c r="D751" i="30"/>
  <c r="C752" i="30" s="1"/>
  <c r="E751" i="30"/>
  <c r="D746" i="25"/>
  <c r="C747" i="25" s="1"/>
  <c r="E746" i="25"/>
  <c r="A753" i="25"/>
  <c r="B753" i="25" s="1"/>
  <c r="E747" i="39" l="1"/>
  <c r="D748" i="39" s="1"/>
  <c r="F747" i="39"/>
  <c r="C751" i="39"/>
  <c r="A752" i="39"/>
  <c r="B752" i="39" s="1"/>
  <c r="B754" i="30"/>
  <c r="A755" i="30"/>
  <c r="D752" i="30"/>
  <c r="C753" i="30" s="1"/>
  <c r="E752" i="30"/>
  <c r="D747" i="25"/>
  <c r="C748" i="25" s="1"/>
  <c r="E747" i="25"/>
  <c r="A754" i="25"/>
  <c r="B754" i="25" s="1"/>
  <c r="E748" i="39" l="1"/>
  <c r="D749" i="39" s="1"/>
  <c r="F748" i="39"/>
  <c r="C752" i="39"/>
  <c r="A753" i="39"/>
  <c r="B753" i="39" s="1"/>
  <c r="B755" i="30"/>
  <c r="A756" i="30"/>
  <c r="D753" i="30"/>
  <c r="C754" i="30" s="1"/>
  <c r="E753" i="30"/>
  <c r="E748" i="25"/>
  <c r="D748" i="25"/>
  <c r="C749" i="25" s="1"/>
  <c r="A755" i="25"/>
  <c r="B755" i="25" s="1"/>
  <c r="F749" i="39" l="1"/>
  <c r="E749" i="39"/>
  <c r="D750" i="39" s="1"/>
  <c r="C753" i="39"/>
  <c r="A754" i="39"/>
  <c r="B754" i="39" s="1"/>
  <c r="B756" i="30"/>
  <c r="A757" i="30"/>
  <c r="D754" i="30"/>
  <c r="C755" i="30" s="1"/>
  <c r="E754" i="30"/>
  <c r="D749" i="25"/>
  <c r="C750" i="25" s="1"/>
  <c r="E749" i="25"/>
  <c r="A756" i="25"/>
  <c r="B756" i="25" s="1"/>
  <c r="F750" i="39" l="1"/>
  <c r="E750" i="39"/>
  <c r="D751" i="39" s="1"/>
  <c r="C754" i="39"/>
  <c r="A755" i="39"/>
  <c r="B755" i="39" s="1"/>
  <c r="B757" i="30"/>
  <c r="A758" i="30"/>
  <c r="D755" i="30"/>
  <c r="C756" i="30" s="1"/>
  <c r="E755" i="30"/>
  <c r="D750" i="25"/>
  <c r="C751" i="25" s="1"/>
  <c r="E750" i="25"/>
  <c r="A757" i="25"/>
  <c r="B757" i="25" s="1"/>
  <c r="F751" i="39" l="1"/>
  <c r="E751" i="39"/>
  <c r="D752" i="39" s="1"/>
  <c r="C755" i="39"/>
  <c r="A756" i="39"/>
  <c r="B756" i="39" s="1"/>
  <c r="B758" i="30"/>
  <c r="A759" i="30"/>
  <c r="D756" i="30"/>
  <c r="C757" i="30" s="1"/>
  <c r="E756" i="30"/>
  <c r="D751" i="25"/>
  <c r="C752" i="25" s="1"/>
  <c r="E751" i="25"/>
  <c r="A758" i="25"/>
  <c r="B758" i="25" s="1"/>
  <c r="E752" i="39" l="1"/>
  <c r="D753" i="39" s="1"/>
  <c r="F752" i="39"/>
  <c r="C756" i="39"/>
  <c r="A757" i="39"/>
  <c r="B757" i="39" s="1"/>
  <c r="B759" i="30"/>
  <c r="A760" i="30"/>
  <c r="D757" i="30"/>
  <c r="C758" i="30" s="1"/>
  <c r="E757" i="30"/>
  <c r="E752" i="25"/>
  <c r="D752" i="25"/>
  <c r="C753" i="25" s="1"/>
  <c r="A759" i="25"/>
  <c r="B759" i="25" s="1"/>
  <c r="E753" i="39" l="1"/>
  <c r="D754" i="39" s="1"/>
  <c r="F753" i="39"/>
  <c r="C757" i="39"/>
  <c r="A758" i="39"/>
  <c r="B758" i="39" s="1"/>
  <c r="B760" i="30"/>
  <c r="A761" i="30"/>
  <c r="D758" i="30"/>
  <c r="C759" i="30" s="1"/>
  <c r="E758" i="30"/>
  <c r="D753" i="25"/>
  <c r="C754" i="25" s="1"/>
  <c r="E753" i="25"/>
  <c r="A760" i="25"/>
  <c r="B760" i="25" s="1"/>
  <c r="E754" i="39" l="1"/>
  <c r="D755" i="39" s="1"/>
  <c r="F754" i="39"/>
  <c r="C758" i="39"/>
  <c r="A759" i="39"/>
  <c r="B759" i="39" s="1"/>
  <c r="B761" i="30"/>
  <c r="A762" i="30"/>
  <c r="D759" i="30"/>
  <c r="C760" i="30" s="1"/>
  <c r="E759" i="30"/>
  <c r="D754" i="25"/>
  <c r="C755" i="25" s="1"/>
  <c r="E754" i="25"/>
  <c r="A761" i="25"/>
  <c r="B761" i="25" s="1"/>
  <c r="E755" i="39" l="1"/>
  <c r="D756" i="39" s="1"/>
  <c r="F755" i="39"/>
  <c r="C759" i="39"/>
  <c r="A760" i="39"/>
  <c r="B760" i="39" s="1"/>
  <c r="B762" i="30"/>
  <c r="A763" i="30"/>
  <c r="D760" i="30"/>
  <c r="C761" i="30" s="1"/>
  <c r="E760" i="30"/>
  <c r="D755" i="25"/>
  <c r="C756" i="25" s="1"/>
  <c r="E755" i="25"/>
  <c r="A762" i="25"/>
  <c r="B762" i="25" s="1"/>
  <c r="F756" i="39" l="1"/>
  <c r="E756" i="39"/>
  <c r="D757" i="39" s="1"/>
  <c r="C760" i="39"/>
  <c r="A761" i="39"/>
  <c r="B761" i="39" s="1"/>
  <c r="B763" i="30"/>
  <c r="A764" i="30"/>
  <c r="D761" i="30"/>
  <c r="C762" i="30" s="1"/>
  <c r="E761" i="30"/>
  <c r="E756" i="25"/>
  <c r="D756" i="25"/>
  <c r="C757" i="25" s="1"/>
  <c r="A763" i="25"/>
  <c r="B763" i="25" s="1"/>
  <c r="E757" i="39" l="1"/>
  <c r="D758" i="39" s="1"/>
  <c r="F757" i="39"/>
  <c r="C761" i="39"/>
  <c r="A762" i="39"/>
  <c r="B762" i="39" s="1"/>
  <c r="B764" i="30"/>
  <c r="A765" i="30"/>
  <c r="D762" i="30"/>
  <c r="C763" i="30" s="1"/>
  <c r="E762" i="30"/>
  <c r="D757" i="25"/>
  <c r="C758" i="25" s="1"/>
  <c r="E757" i="25"/>
  <c r="A764" i="25"/>
  <c r="B764" i="25" s="1"/>
  <c r="E758" i="39" l="1"/>
  <c r="D759" i="39" s="1"/>
  <c r="F758" i="39"/>
  <c r="C762" i="39"/>
  <c r="A763" i="39"/>
  <c r="B763" i="39" s="1"/>
  <c r="B765" i="30"/>
  <c r="A766" i="30"/>
  <c r="D763" i="30"/>
  <c r="C764" i="30" s="1"/>
  <c r="E763" i="30"/>
  <c r="E758" i="25"/>
  <c r="D758" i="25"/>
  <c r="C759" i="25" s="1"/>
  <c r="A765" i="25"/>
  <c r="B765" i="25" s="1"/>
  <c r="F759" i="39" l="1"/>
  <c r="E759" i="39"/>
  <c r="D760" i="39" s="1"/>
  <c r="C763" i="39"/>
  <c r="A764" i="39"/>
  <c r="B764" i="39" s="1"/>
  <c r="B766" i="30"/>
  <c r="A767" i="30"/>
  <c r="D764" i="30"/>
  <c r="C765" i="30" s="1"/>
  <c r="E764" i="30"/>
  <c r="D759" i="25"/>
  <c r="C760" i="25" s="1"/>
  <c r="E759" i="25"/>
  <c r="A766" i="25"/>
  <c r="B766" i="25" s="1"/>
  <c r="F760" i="39" l="1"/>
  <c r="E760" i="39"/>
  <c r="D761" i="39" s="1"/>
  <c r="C764" i="39"/>
  <c r="A765" i="39"/>
  <c r="B765" i="39" s="1"/>
  <c r="B767" i="30"/>
  <c r="A768" i="30"/>
  <c r="D765" i="30"/>
  <c r="C766" i="30" s="1"/>
  <c r="E765" i="30"/>
  <c r="D760" i="25"/>
  <c r="C761" i="25" s="1"/>
  <c r="E760" i="25"/>
  <c r="A767" i="25"/>
  <c r="B767" i="25" s="1"/>
  <c r="F761" i="39" l="1"/>
  <c r="E761" i="39"/>
  <c r="D762" i="39" s="1"/>
  <c r="C765" i="39"/>
  <c r="A766" i="39"/>
  <c r="B766" i="39" s="1"/>
  <c r="B768" i="30"/>
  <c r="A769" i="30"/>
  <c r="D766" i="30"/>
  <c r="C767" i="30" s="1"/>
  <c r="E766" i="30"/>
  <c r="D761" i="25"/>
  <c r="C762" i="25" s="1"/>
  <c r="E761" i="25"/>
  <c r="A768" i="25"/>
  <c r="B768" i="25" s="1"/>
  <c r="F762" i="39" l="1"/>
  <c r="E762" i="39"/>
  <c r="D763" i="39" s="1"/>
  <c r="C766" i="39"/>
  <c r="A767" i="39"/>
  <c r="B767" i="39" s="1"/>
  <c r="B769" i="30"/>
  <c r="A770" i="30"/>
  <c r="D767" i="30"/>
  <c r="C768" i="30" s="1"/>
  <c r="E767" i="30"/>
  <c r="D762" i="25"/>
  <c r="C763" i="25" s="1"/>
  <c r="E762" i="25"/>
  <c r="A769" i="25"/>
  <c r="B769" i="25" s="1"/>
  <c r="E763" i="39" l="1"/>
  <c r="D764" i="39" s="1"/>
  <c r="F763" i="39"/>
  <c r="C767" i="39"/>
  <c r="A768" i="39"/>
  <c r="B768" i="39" s="1"/>
  <c r="B770" i="30"/>
  <c r="A771" i="30"/>
  <c r="D768" i="30"/>
  <c r="C769" i="30" s="1"/>
  <c r="E768" i="30"/>
  <c r="D763" i="25"/>
  <c r="C764" i="25" s="1"/>
  <c r="E763" i="25"/>
  <c r="A770" i="25"/>
  <c r="B770" i="25" s="1"/>
  <c r="F764" i="39" l="1"/>
  <c r="E764" i="39"/>
  <c r="D765" i="39" s="1"/>
  <c r="C768" i="39"/>
  <c r="A769" i="39"/>
  <c r="B769" i="39" s="1"/>
  <c r="B771" i="30"/>
  <c r="A772" i="30"/>
  <c r="D769" i="30"/>
  <c r="C770" i="30" s="1"/>
  <c r="E769" i="30"/>
  <c r="E764" i="25"/>
  <c r="D764" i="25"/>
  <c r="C765" i="25" s="1"/>
  <c r="A771" i="25"/>
  <c r="B771" i="25" s="1"/>
  <c r="F765" i="39" l="1"/>
  <c r="E765" i="39"/>
  <c r="D766" i="39" s="1"/>
  <c r="C769" i="39"/>
  <c r="A770" i="39"/>
  <c r="B770" i="39" s="1"/>
  <c r="B772" i="30"/>
  <c r="A773" i="30"/>
  <c r="D770" i="30"/>
  <c r="C771" i="30" s="1"/>
  <c r="E770" i="30"/>
  <c r="D765" i="25"/>
  <c r="C766" i="25" s="1"/>
  <c r="E765" i="25"/>
  <c r="A772" i="25"/>
  <c r="B772" i="25" s="1"/>
  <c r="E766" i="39" l="1"/>
  <c r="D767" i="39" s="1"/>
  <c r="F766" i="39"/>
  <c r="C770" i="39"/>
  <c r="A771" i="39"/>
  <c r="B771" i="39" s="1"/>
  <c r="B773" i="30"/>
  <c r="A774" i="30"/>
  <c r="D771" i="30"/>
  <c r="C772" i="30" s="1"/>
  <c r="E771" i="30"/>
  <c r="D766" i="25"/>
  <c r="C767" i="25" s="1"/>
  <c r="E766" i="25"/>
  <c r="A773" i="25"/>
  <c r="B773" i="25" s="1"/>
  <c r="F767" i="39" l="1"/>
  <c r="E767" i="39"/>
  <c r="D768" i="39" s="1"/>
  <c r="C771" i="39"/>
  <c r="A772" i="39"/>
  <c r="B772" i="39" s="1"/>
  <c r="B774" i="30"/>
  <c r="A775" i="30"/>
  <c r="D772" i="30"/>
  <c r="C773" i="30" s="1"/>
  <c r="E772" i="30"/>
  <c r="E767" i="25"/>
  <c r="D767" i="25"/>
  <c r="C768" i="25" s="1"/>
  <c r="A774" i="25"/>
  <c r="B774" i="25" s="1"/>
  <c r="E768" i="39" l="1"/>
  <c r="D769" i="39" s="1"/>
  <c r="F768" i="39"/>
  <c r="C772" i="39"/>
  <c r="A773" i="39"/>
  <c r="B773" i="39" s="1"/>
  <c r="B775" i="30"/>
  <c r="A776" i="30"/>
  <c r="D773" i="30"/>
  <c r="C774" i="30" s="1"/>
  <c r="E773" i="30"/>
  <c r="E768" i="25"/>
  <c r="D768" i="25"/>
  <c r="C769" i="25" s="1"/>
  <c r="A775" i="25"/>
  <c r="B775" i="25" s="1"/>
  <c r="F769" i="39" l="1"/>
  <c r="E769" i="39"/>
  <c r="D770" i="39" s="1"/>
  <c r="C773" i="39"/>
  <c r="A774" i="39"/>
  <c r="B774" i="39" s="1"/>
  <c r="B776" i="30"/>
  <c r="A777" i="30"/>
  <c r="D774" i="30"/>
  <c r="C775" i="30" s="1"/>
  <c r="E774" i="30"/>
  <c r="D769" i="25"/>
  <c r="C770" i="25" s="1"/>
  <c r="E769" i="25"/>
  <c r="A776" i="25"/>
  <c r="B776" i="25" s="1"/>
  <c r="E770" i="39" l="1"/>
  <c r="D771" i="39" s="1"/>
  <c r="F770" i="39"/>
  <c r="C774" i="39"/>
  <c r="A775" i="39"/>
  <c r="B775" i="39" s="1"/>
  <c r="B777" i="30"/>
  <c r="A778" i="30"/>
  <c r="D775" i="30"/>
  <c r="C776" i="30" s="1"/>
  <c r="E775" i="30"/>
  <c r="E770" i="25"/>
  <c r="D770" i="25"/>
  <c r="C771" i="25" s="1"/>
  <c r="A777" i="25"/>
  <c r="B777" i="25" s="1"/>
  <c r="F771" i="39" l="1"/>
  <c r="E771" i="39"/>
  <c r="D772" i="39" s="1"/>
  <c r="C775" i="39"/>
  <c r="A776" i="39"/>
  <c r="B776" i="39" s="1"/>
  <c r="B778" i="30"/>
  <c r="A779" i="30"/>
  <c r="D776" i="30"/>
  <c r="C777" i="30" s="1"/>
  <c r="E776" i="30"/>
  <c r="E771" i="25"/>
  <c r="D771" i="25"/>
  <c r="C772" i="25" s="1"/>
  <c r="A778" i="25"/>
  <c r="B778" i="25" s="1"/>
  <c r="F772" i="39" l="1"/>
  <c r="E772" i="39"/>
  <c r="D773" i="39" s="1"/>
  <c r="C776" i="39"/>
  <c r="A777" i="39"/>
  <c r="B777" i="39" s="1"/>
  <c r="B779" i="30"/>
  <c r="A780" i="30"/>
  <c r="D777" i="30"/>
  <c r="C778" i="30" s="1"/>
  <c r="E777" i="30"/>
  <c r="D772" i="25"/>
  <c r="C773" i="25" s="1"/>
  <c r="E772" i="25"/>
  <c r="A779" i="25"/>
  <c r="B779" i="25" s="1"/>
  <c r="F773" i="39" l="1"/>
  <c r="E773" i="39"/>
  <c r="D774" i="39" s="1"/>
  <c r="C777" i="39"/>
  <c r="A778" i="39"/>
  <c r="B778" i="39" s="1"/>
  <c r="B780" i="30"/>
  <c r="A781" i="30"/>
  <c r="D778" i="30"/>
  <c r="C779" i="30" s="1"/>
  <c r="E778" i="30"/>
  <c r="D773" i="25"/>
  <c r="C774" i="25" s="1"/>
  <c r="E773" i="25"/>
  <c r="A780" i="25"/>
  <c r="B780" i="25" s="1"/>
  <c r="F774" i="39" l="1"/>
  <c r="E774" i="39"/>
  <c r="D775" i="39" s="1"/>
  <c r="C778" i="39"/>
  <c r="A779" i="39"/>
  <c r="B779" i="39" s="1"/>
  <c r="B781" i="30"/>
  <c r="A782" i="30"/>
  <c r="D779" i="30"/>
  <c r="C780" i="30" s="1"/>
  <c r="E779" i="30"/>
  <c r="D774" i="25"/>
  <c r="C775" i="25" s="1"/>
  <c r="E774" i="25"/>
  <c r="A781" i="25"/>
  <c r="B781" i="25" s="1"/>
  <c r="F775" i="39" l="1"/>
  <c r="E775" i="39"/>
  <c r="D776" i="39" s="1"/>
  <c r="C779" i="39"/>
  <c r="A780" i="39"/>
  <c r="B780" i="39" s="1"/>
  <c r="B782" i="30"/>
  <c r="A783" i="30"/>
  <c r="D780" i="30"/>
  <c r="C781" i="30" s="1"/>
  <c r="E780" i="30"/>
  <c r="D775" i="25"/>
  <c r="C776" i="25" s="1"/>
  <c r="E775" i="25"/>
  <c r="A782" i="25"/>
  <c r="B782" i="25" s="1"/>
  <c r="E776" i="39" l="1"/>
  <c r="D777" i="39" s="1"/>
  <c r="F776" i="39"/>
  <c r="C780" i="39"/>
  <c r="A781" i="39"/>
  <c r="B781" i="39" s="1"/>
  <c r="B783" i="30"/>
  <c r="A784" i="30"/>
  <c r="D781" i="30"/>
  <c r="C782" i="30" s="1"/>
  <c r="E781" i="30"/>
  <c r="D776" i="25"/>
  <c r="C777" i="25" s="1"/>
  <c r="E776" i="25"/>
  <c r="A783" i="25"/>
  <c r="B783" i="25" s="1"/>
  <c r="E777" i="39" l="1"/>
  <c r="D778" i="39" s="1"/>
  <c r="F777" i="39"/>
  <c r="C781" i="39"/>
  <c r="A782" i="39"/>
  <c r="B782" i="39" s="1"/>
  <c r="B784" i="30"/>
  <c r="A785" i="30"/>
  <c r="D782" i="30"/>
  <c r="C783" i="30" s="1"/>
  <c r="E782" i="30"/>
  <c r="E777" i="25"/>
  <c r="D777" i="25"/>
  <c r="C778" i="25" s="1"/>
  <c r="A784" i="25"/>
  <c r="B784" i="25" s="1"/>
  <c r="F778" i="39" l="1"/>
  <c r="E778" i="39"/>
  <c r="D779" i="39" s="1"/>
  <c r="C782" i="39"/>
  <c r="A783" i="39"/>
  <c r="B783" i="39" s="1"/>
  <c r="B785" i="30"/>
  <c r="A786" i="30"/>
  <c r="D783" i="30"/>
  <c r="C784" i="30" s="1"/>
  <c r="E783" i="30"/>
  <c r="D778" i="25"/>
  <c r="C779" i="25" s="1"/>
  <c r="E778" i="25"/>
  <c r="A785" i="25"/>
  <c r="B785" i="25" s="1"/>
  <c r="F779" i="39" l="1"/>
  <c r="E779" i="39"/>
  <c r="D780" i="39" s="1"/>
  <c r="C783" i="39"/>
  <c r="A784" i="39"/>
  <c r="B784" i="39" s="1"/>
  <c r="B786" i="30"/>
  <c r="A787" i="30"/>
  <c r="D784" i="30"/>
  <c r="C785" i="30" s="1"/>
  <c r="E784" i="30"/>
  <c r="D779" i="25"/>
  <c r="C780" i="25" s="1"/>
  <c r="E779" i="25"/>
  <c r="A786" i="25"/>
  <c r="B786" i="25" s="1"/>
  <c r="E780" i="39" l="1"/>
  <c r="D781" i="39" s="1"/>
  <c r="F780" i="39"/>
  <c r="C784" i="39"/>
  <c r="A785" i="39"/>
  <c r="B785" i="39" s="1"/>
  <c r="B787" i="30"/>
  <c r="A788" i="30"/>
  <c r="D785" i="30"/>
  <c r="C786" i="30" s="1"/>
  <c r="E785" i="30"/>
  <c r="D780" i="25"/>
  <c r="C781" i="25" s="1"/>
  <c r="E780" i="25"/>
  <c r="A787" i="25"/>
  <c r="B787" i="25" s="1"/>
  <c r="F781" i="39" l="1"/>
  <c r="E781" i="39"/>
  <c r="D782" i="39" s="1"/>
  <c r="C785" i="39"/>
  <c r="A786" i="39"/>
  <c r="B786" i="39" s="1"/>
  <c r="B788" i="30"/>
  <c r="A789" i="30"/>
  <c r="D786" i="30"/>
  <c r="C787" i="30" s="1"/>
  <c r="E786" i="30"/>
  <c r="E781" i="25"/>
  <c r="D781" i="25"/>
  <c r="C782" i="25" s="1"/>
  <c r="A788" i="25"/>
  <c r="B788" i="25" s="1"/>
  <c r="E782" i="39" l="1"/>
  <c r="D783" i="39" s="1"/>
  <c r="F782" i="39"/>
  <c r="C786" i="39"/>
  <c r="A787" i="39"/>
  <c r="B787" i="39" s="1"/>
  <c r="B789" i="30"/>
  <c r="A790" i="30"/>
  <c r="D787" i="30"/>
  <c r="C788" i="30" s="1"/>
  <c r="E787" i="30"/>
  <c r="E782" i="25"/>
  <c r="D782" i="25"/>
  <c r="C783" i="25" s="1"/>
  <c r="A789" i="25"/>
  <c r="B789" i="25" s="1"/>
  <c r="E783" i="39" l="1"/>
  <c r="D784" i="39" s="1"/>
  <c r="F783" i="39"/>
  <c r="C787" i="39"/>
  <c r="A788" i="39"/>
  <c r="B788" i="39" s="1"/>
  <c r="B790" i="30"/>
  <c r="A791" i="30"/>
  <c r="D788" i="30"/>
  <c r="C789" i="30" s="1"/>
  <c r="E788" i="30"/>
  <c r="D783" i="25"/>
  <c r="C784" i="25" s="1"/>
  <c r="E783" i="25"/>
  <c r="A790" i="25"/>
  <c r="B790" i="25" s="1"/>
  <c r="E784" i="39" l="1"/>
  <c r="D785" i="39" s="1"/>
  <c r="F784" i="39"/>
  <c r="C788" i="39"/>
  <c r="A789" i="39"/>
  <c r="B789" i="39" s="1"/>
  <c r="B791" i="30"/>
  <c r="A792" i="30"/>
  <c r="D789" i="30"/>
  <c r="C790" i="30" s="1"/>
  <c r="E789" i="30"/>
  <c r="D784" i="25"/>
  <c r="C785" i="25" s="1"/>
  <c r="E784" i="25"/>
  <c r="A791" i="25"/>
  <c r="B791" i="25" s="1"/>
  <c r="F785" i="39" l="1"/>
  <c r="E785" i="39"/>
  <c r="D786" i="39" s="1"/>
  <c r="C789" i="39"/>
  <c r="A790" i="39"/>
  <c r="B790" i="39" s="1"/>
  <c r="B792" i="30"/>
  <c r="A793" i="30"/>
  <c r="D790" i="30"/>
  <c r="C791" i="30" s="1"/>
  <c r="E790" i="30"/>
  <c r="D785" i="25"/>
  <c r="C786" i="25" s="1"/>
  <c r="E785" i="25"/>
  <c r="A792" i="25"/>
  <c r="B792" i="25" s="1"/>
  <c r="F786" i="39" l="1"/>
  <c r="E786" i="39"/>
  <c r="D787" i="39" s="1"/>
  <c r="C790" i="39"/>
  <c r="A791" i="39"/>
  <c r="B791" i="39" s="1"/>
  <c r="B793" i="30"/>
  <c r="A794" i="30"/>
  <c r="D791" i="30"/>
  <c r="C792" i="30" s="1"/>
  <c r="E791" i="30"/>
  <c r="D786" i="25"/>
  <c r="C787" i="25" s="1"/>
  <c r="E786" i="25"/>
  <c r="A793" i="25"/>
  <c r="B793" i="25" s="1"/>
  <c r="E787" i="39" l="1"/>
  <c r="D788" i="39" s="1"/>
  <c r="F787" i="39"/>
  <c r="C791" i="39"/>
  <c r="A792" i="39"/>
  <c r="B792" i="39" s="1"/>
  <c r="B794" i="30"/>
  <c r="A795" i="30"/>
  <c r="D792" i="30"/>
  <c r="C793" i="30" s="1"/>
  <c r="E792" i="30"/>
  <c r="D787" i="25"/>
  <c r="C788" i="25" s="1"/>
  <c r="E787" i="25"/>
  <c r="A794" i="25"/>
  <c r="B794" i="25" s="1"/>
  <c r="F788" i="39" l="1"/>
  <c r="E788" i="39"/>
  <c r="D789" i="39" s="1"/>
  <c r="C792" i="39"/>
  <c r="A793" i="39"/>
  <c r="B793" i="39" s="1"/>
  <c r="B795" i="30"/>
  <c r="A796" i="30"/>
  <c r="D793" i="30"/>
  <c r="C794" i="30" s="1"/>
  <c r="E793" i="30"/>
  <c r="E788" i="25"/>
  <c r="D788" i="25"/>
  <c r="C789" i="25" s="1"/>
  <c r="A795" i="25"/>
  <c r="B795" i="25" s="1"/>
  <c r="F789" i="39" l="1"/>
  <c r="E789" i="39"/>
  <c r="D790" i="39" s="1"/>
  <c r="C793" i="39"/>
  <c r="A794" i="39"/>
  <c r="B794" i="39" s="1"/>
  <c r="B796" i="30"/>
  <c r="A797" i="30"/>
  <c r="D794" i="30"/>
  <c r="C795" i="30" s="1"/>
  <c r="E794" i="30"/>
  <c r="D789" i="25"/>
  <c r="C790" i="25" s="1"/>
  <c r="E789" i="25"/>
  <c r="A796" i="25"/>
  <c r="B796" i="25" s="1"/>
  <c r="E790" i="39" l="1"/>
  <c r="D791" i="39" s="1"/>
  <c r="F790" i="39"/>
  <c r="C794" i="39"/>
  <c r="A795" i="39"/>
  <c r="B795" i="39" s="1"/>
  <c r="B797" i="30"/>
  <c r="A798" i="30"/>
  <c r="D795" i="30"/>
  <c r="C796" i="30" s="1"/>
  <c r="E795" i="30"/>
  <c r="E790" i="25"/>
  <c r="D790" i="25"/>
  <c r="C791" i="25" s="1"/>
  <c r="A797" i="25"/>
  <c r="B797" i="25" s="1"/>
  <c r="E791" i="39" l="1"/>
  <c r="D792" i="39" s="1"/>
  <c r="F791" i="39"/>
  <c r="C795" i="39"/>
  <c r="A796" i="39"/>
  <c r="B796" i="39" s="1"/>
  <c r="B798" i="30"/>
  <c r="A799" i="30"/>
  <c r="D796" i="30"/>
  <c r="C797" i="30" s="1"/>
  <c r="E796" i="30"/>
  <c r="E791" i="25"/>
  <c r="D791" i="25"/>
  <c r="C792" i="25" s="1"/>
  <c r="A798" i="25"/>
  <c r="B798" i="25" s="1"/>
  <c r="F792" i="39" l="1"/>
  <c r="E792" i="39"/>
  <c r="D793" i="39" s="1"/>
  <c r="C796" i="39"/>
  <c r="A797" i="39"/>
  <c r="B797" i="39" s="1"/>
  <c r="B799" i="30"/>
  <c r="A800" i="30"/>
  <c r="D797" i="30"/>
  <c r="C798" i="30" s="1"/>
  <c r="E797" i="30"/>
  <c r="D792" i="25"/>
  <c r="C793" i="25" s="1"/>
  <c r="E792" i="25"/>
  <c r="A799" i="25"/>
  <c r="B799" i="25" s="1"/>
  <c r="F793" i="39" l="1"/>
  <c r="E793" i="39"/>
  <c r="D794" i="39" s="1"/>
  <c r="C797" i="39"/>
  <c r="A798" i="39"/>
  <c r="B798" i="39" s="1"/>
  <c r="B800" i="30"/>
  <c r="A801" i="30"/>
  <c r="D798" i="30"/>
  <c r="C799" i="30" s="1"/>
  <c r="E798" i="30"/>
  <c r="D793" i="25"/>
  <c r="C794" i="25" s="1"/>
  <c r="E793" i="25"/>
  <c r="A800" i="25"/>
  <c r="B800" i="25" s="1"/>
  <c r="F794" i="39" l="1"/>
  <c r="E794" i="39"/>
  <c r="D795" i="39" s="1"/>
  <c r="C798" i="39"/>
  <c r="A799" i="39"/>
  <c r="B799" i="39" s="1"/>
  <c r="B801" i="30"/>
  <c r="A802" i="30"/>
  <c r="D799" i="30"/>
  <c r="C800" i="30" s="1"/>
  <c r="E799" i="30"/>
  <c r="D794" i="25"/>
  <c r="C795" i="25" s="1"/>
  <c r="E794" i="25"/>
  <c r="A801" i="25"/>
  <c r="B801" i="25" s="1"/>
  <c r="F795" i="39" l="1"/>
  <c r="E795" i="39"/>
  <c r="D796" i="39" s="1"/>
  <c r="C799" i="39"/>
  <c r="A800" i="39"/>
  <c r="B800" i="39" s="1"/>
  <c r="B802" i="30"/>
  <c r="A803" i="30"/>
  <c r="D800" i="30"/>
  <c r="C801" i="30" s="1"/>
  <c r="E800" i="30"/>
  <c r="D795" i="25"/>
  <c r="C796" i="25" s="1"/>
  <c r="E795" i="25"/>
  <c r="A802" i="25"/>
  <c r="B802" i="25" s="1"/>
  <c r="F796" i="39" l="1"/>
  <c r="E796" i="39"/>
  <c r="D797" i="39" s="1"/>
  <c r="C800" i="39"/>
  <c r="A801" i="39"/>
  <c r="B801" i="39" s="1"/>
  <c r="B803" i="30"/>
  <c r="A804" i="30"/>
  <c r="D801" i="30"/>
  <c r="C802" i="30" s="1"/>
  <c r="E801" i="30"/>
  <c r="D796" i="25"/>
  <c r="C797" i="25" s="1"/>
  <c r="E796" i="25"/>
  <c r="A803" i="25"/>
  <c r="B803" i="25" s="1"/>
  <c r="E797" i="39" l="1"/>
  <c r="D798" i="39" s="1"/>
  <c r="F797" i="39"/>
  <c r="C801" i="39"/>
  <c r="A802" i="39"/>
  <c r="B802" i="39" s="1"/>
  <c r="B804" i="30"/>
  <c r="A805" i="30"/>
  <c r="D802" i="30"/>
  <c r="C803" i="30" s="1"/>
  <c r="E802" i="30"/>
  <c r="E797" i="25"/>
  <c r="D797" i="25"/>
  <c r="C798" i="25" s="1"/>
  <c r="A804" i="25"/>
  <c r="B804" i="25" s="1"/>
  <c r="E798" i="39" l="1"/>
  <c r="D799" i="39" s="1"/>
  <c r="F798" i="39"/>
  <c r="C802" i="39"/>
  <c r="A803" i="39"/>
  <c r="B803" i="39" s="1"/>
  <c r="B805" i="30"/>
  <c r="A806" i="30"/>
  <c r="D803" i="30"/>
  <c r="C804" i="30" s="1"/>
  <c r="E803" i="30"/>
  <c r="D798" i="25"/>
  <c r="C799" i="25" s="1"/>
  <c r="E798" i="25"/>
  <c r="A805" i="25"/>
  <c r="B805" i="25" s="1"/>
  <c r="F799" i="39" l="1"/>
  <c r="E799" i="39"/>
  <c r="D800" i="39" s="1"/>
  <c r="C803" i="39"/>
  <c r="A804" i="39"/>
  <c r="B804" i="39" s="1"/>
  <c r="B806" i="30"/>
  <c r="A807" i="30"/>
  <c r="D804" i="30"/>
  <c r="C805" i="30" s="1"/>
  <c r="E804" i="30"/>
  <c r="D799" i="25"/>
  <c r="C800" i="25" s="1"/>
  <c r="E799" i="25"/>
  <c r="A806" i="25"/>
  <c r="B806" i="25" s="1"/>
  <c r="F800" i="39" l="1"/>
  <c r="E800" i="39"/>
  <c r="D801" i="39" s="1"/>
  <c r="C804" i="39"/>
  <c r="A805" i="39"/>
  <c r="B805" i="39" s="1"/>
  <c r="B807" i="30"/>
  <c r="A808" i="30"/>
  <c r="D805" i="30"/>
  <c r="C806" i="30" s="1"/>
  <c r="E805" i="30"/>
  <c r="D800" i="25"/>
  <c r="C801" i="25" s="1"/>
  <c r="E800" i="25"/>
  <c r="A807" i="25"/>
  <c r="B807" i="25" s="1"/>
  <c r="F801" i="39" l="1"/>
  <c r="E801" i="39"/>
  <c r="D802" i="39" s="1"/>
  <c r="C805" i="39"/>
  <c r="A806" i="39"/>
  <c r="B806" i="39" s="1"/>
  <c r="B808" i="30"/>
  <c r="A809" i="30"/>
  <c r="D806" i="30"/>
  <c r="C807" i="30" s="1"/>
  <c r="E806" i="30"/>
  <c r="D801" i="25"/>
  <c r="C802" i="25" s="1"/>
  <c r="E801" i="25"/>
  <c r="A808" i="25"/>
  <c r="B808" i="25" s="1"/>
  <c r="F802" i="39" l="1"/>
  <c r="E802" i="39"/>
  <c r="D803" i="39" s="1"/>
  <c r="C806" i="39"/>
  <c r="A807" i="39"/>
  <c r="B807" i="39" s="1"/>
  <c r="B809" i="30"/>
  <c r="A810" i="30"/>
  <c r="D807" i="30"/>
  <c r="C808" i="30" s="1"/>
  <c r="E807" i="30"/>
  <c r="D802" i="25"/>
  <c r="C803" i="25" s="1"/>
  <c r="E802" i="25"/>
  <c r="A809" i="25"/>
  <c r="B809" i="25" s="1"/>
  <c r="E803" i="39" l="1"/>
  <c r="D804" i="39" s="1"/>
  <c r="F803" i="39"/>
  <c r="C807" i="39"/>
  <c r="A808" i="39"/>
  <c r="B808" i="39" s="1"/>
  <c r="B810" i="30"/>
  <c r="A811" i="30"/>
  <c r="D808" i="30"/>
  <c r="C809" i="30" s="1"/>
  <c r="E808" i="30"/>
  <c r="D803" i="25"/>
  <c r="C804" i="25" s="1"/>
  <c r="E803" i="25"/>
  <c r="A810" i="25"/>
  <c r="B810" i="25" s="1"/>
  <c r="F804" i="39" l="1"/>
  <c r="E804" i="39"/>
  <c r="D805" i="39" s="1"/>
  <c r="C808" i="39"/>
  <c r="A809" i="39"/>
  <c r="B809" i="39" s="1"/>
  <c r="B811" i="30"/>
  <c r="A812" i="30"/>
  <c r="D809" i="30"/>
  <c r="C810" i="30" s="1"/>
  <c r="E809" i="30"/>
  <c r="D804" i="25"/>
  <c r="C805" i="25" s="1"/>
  <c r="E804" i="25"/>
  <c r="A811" i="25"/>
  <c r="B811" i="25" s="1"/>
  <c r="F805" i="39" l="1"/>
  <c r="E805" i="39"/>
  <c r="D806" i="39" s="1"/>
  <c r="C809" i="39"/>
  <c r="A810" i="39"/>
  <c r="B810" i="39" s="1"/>
  <c r="B812" i="30"/>
  <c r="A813" i="30"/>
  <c r="D810" i="30"/>
  <c r="C811" i="30" s="1"/>
  <c r="E810" i="30"/>
  <c r="E805" i="25"/>
  <c r="D805" i="25"/>
  <c r="C806" i="25" s="1"/>
  <c r="A812" i="25"/>
  <c r="B812" i="25" s="1"/>
  <c r="F806" i="39" l="1"/>
  <c r="E806" i="39"/>
  <c r="D807" i="39" s="1"/>
  <c r="C810" i="39"/>
  <c r="A811" i="39"/>
  <c r="B811" i="39" s="1"/>
  <c r="B813" i="30"/>
  <c r="A814" i="30"/>
  <c r="D811" i="30"/>
  <c r="C812" i="30" s="1"/>
  <c r="E811" i="30"/>
  <c r="D806" i="25"/>
  <c r="C807" i="25" s="1"/>
  <c r="E806" i="25"/>
  <c r="A813" i="25"/>
  <c r="B813" i="25" s="1"/>
  <c r="F807" i="39" l="1"/>
  <c r="E807" i="39"/>
  <c r="D808" i="39" s="1"/>
  <c r="C811" i="39"/>
  <c r="A812" i="39"/>
  <c r="B812" i="39" s="1"/>
  <c r="B814" i="30"/>
  <c r="A815" i="30"/>
  <c r="D812" i="30"/>
  <c r="C813" i="30" s="1"/>
  <c r="E812" i="30"/>
  <c r="D807" i="25"/>
  <c r="C808" i="25" s="1"/>
  <c r="E807" i="25"/>
  <c r="A814" i="25"/>
  <c r="B814" i="25" s="1"/>
  <c r="E808" i="39" l="1"/>
  <c r="D809" i="39" s="1"/>
  <c r="F808" i="39"/>
  <c r="C812" i="39"/>
  <c r="A813" i="39"/>
  <c r="B813" i="39" s="1"/>
  <c r="B815" i="30"/>
  <c r="A816" i="30"/>
  <c r="D813" i="30"/>
  <c r="C814" i="30" s="1"/>
  <c r="E813" i="30"/>
  <c r="E808" i="25"/>
  <c r="D808" i="25"/>
  <c r="C809" i="25" s="1"/>
  <c r="A815" i="25"/>
  <c r="B815" i="25" s="1"/>
  <c r="E809" i="39" l="1"/>
  <c r="D810" i="39" s="1"/>
  <c r="F809" i="39"/>
  <c r="C813" i="39"/>
  <c r="A814" i="39"/>
  <c r="B814" i="39" s="1"/>
  <c r="B816" i="30"/>
  <c r="A817" i="30"/>
  <c r="D814" i="30"/>
  <c r="C815" i="30" s="1"/>
  <c r="E814" i="30"/>
  <c r="E809" i="25"/>
  <c r="D809" i="25"/>
  <c r="C810" i="25" s="1"/>
  <c r="A816" i="25"/>
  <c r="B816" i="25" s="1"/>
  <c r="F810" i="39" l="1"/>
  <c r="E810" i="39"/>
  <c r="D811" i="39" s="1"/>
  <c r="C814" i="39"/>
  <c r="A815" i="39"/>
  <c r="B815" i="39" s="1"/>
  <c r="B817" i="30"/>
  <c r="A818" i="30"/>
  <c r="D815" i="30"/>
  <c r="C816" i="30" s="1"/>
  <c r="E815" i="30"/>
  <c r="E810" i="25"/>
  <c r="D810" i="25"/>
  <c r="C811" i="25" s="1"/>
  <c r="A817" i="25"/>
  <c r="B817" i="25" s="1"/>
  <c r="E811" i="39" l="1"/>
  <c r="D812" i="39" s="1"/>
  <c r="F811" i="39"/>
  <c r="C815" i="39"/>
  <c r="A816" i="39"/>
  <c r="B816" i="39" s="1"/>
  <c r="B818" i="30"/>
  <c r="A819" i="30"/>
  <c r="D816" i="30"/>
  <c r="C817" i="30" s="1"/>
  <c r="E816" i="30"/>
  <c r="D811" i="25"/>
  <c r="C812" i="25" s="1"/>
  <c r="E811" i="25"/>
  <c r="A818" i="25"/>
  <c r="B818" i="25" s="1"/>
  <c r="E812" i="39" l="1"/>
  <c r="D813" i="39" s="1"/>
  <c r="F812" i="39"/>
  <c r="C816" i="39"/>
  <c r="A817" i="39"/>
  <c r="B817" i="39" s="1"/>
  <c r="B819" i="30"/>
  <c r="A820" i="30"/>
  <c r="D817" i="30"/>
  <c r="C818" i="30" s="1"/>
  <c r="E817" i="30"/>
  <c r="E812" i="25"/>
  <c r="D812" i="25"/>
  <c r="C813" i="25" s="1"/>
  <c r="A819" i="25"/>
  <c r="B819" i="25" s="1"/>
  <c r="E813" i="39" l="1"/>
  <c r="D814" i="39" s="1"/>
  <c r="F813" i="39"/>
  <c r="C817" i="39"/>
  <c r="A818" i="39"/>
  <c r="B818" i="39" s="1"/>
  <c r="B820" i="30"/>
  <c r="A821" i="30"/>
  <c r="D818" i="30"/>
  <c r="C819" i="30" s="1"/>
  <c r="E818" i="30"/>
  <c r="D813" i="25"/>
  <c r="C814" i="25" s="1"/>
  <c r="E813" i="25"/>
  <c r="A820" i="25"/>
  <c r="B820" i="25" s="1"/>
  <c r="E814" i="39" l="1"/>
  <c r="D815" i="39" s="1"/>
  <c r="F814" i="39"/>
  <c r="C818" i="39"/>
  <c r="A819" i="39"/>
  <c r="B819" i="39" s="1"/>
  <c r="B821" i="30"/>
  <c r="A822" i="30"/>
  <c r="D819" i="30"/>
  <c r="C820" i="30" s="1"/>
  <c r="E819" i="30"/>
  <c r="D814" i="25"/>
  <c r="C815" i="25" s="1"/>
  <c r="E814" i="25"/>
  <c r="A821" i="25"/>
  <c r="B821" i="25" s="1"/>
  <c r="E815" i="39" l="1"/>
  <c r="D816" i="39" s="1"/>
  <c r="F815" i="39"/>
  <c r="C819" i="39"/>
  <c r="A820" i="39"/>
  <c r="B820" i="39" s="1"/>
  <c r="B822" i="30"/>
  <c r="A823" i="30"/>
  <c r="D820" i="30"/>
  <c r="C821" i="30" s="1"/>
  <c r="E820" i="30"/>
  <c r="D815" i="25"/>
  <c r="C816" i="25" s="1"/>
  <c r="E815" i="25"/>
  <c r="A822" i="25"/>
  <c r="B822" i="25" s="1"/>
  <c r="E816" i="39" l="1"/>
  <c r="D817" i="39" s="1"/>
  <c r="F816" i="39"/>
  <c r="C820" i="39"/>
  <c r="A821" i="39"/>
  <c r="B821" i="39" s="1"/>
  <c r="B823" i="30"/>
  <c r="A824" i="30"/>
  <c r="D821" i="30"/>
  <c r="C822" i="30" s="1"/>
  <c r="E821" i="30"/>
  <c r="D816" i="25"/>
  <c r="C817" i="25" s="1"/>
  <c r="E816" i="25"/>
  <c r="A823" i="25"/>
  <c r="B823" i="25" s="1"/>
  <c r="E817" i="39" l="1"/>
  <c r="D818" i="39" s="1"/>
  <c r="F817" i="39"/>
  <c r="C821" i="39"/>
  <c r="A822" i="39"/>
  <c r="B822" i="39" s="1"/>
  <c r="B824" i="30"/>
  <c r="A825" i="30"/>
  <c r="D822" i="30"/>
  <c r="C823" i="30" s="1"/>
  <c r="E822" i="30"/>
  <c r="D817" i="25"/>
  <c r="C818" i="25" s="1"/>
  <c r="E817" i="25"/>
  <c r="A824" i="25"/>
  <c r="B824" i="25" s="1"/>
  <c r="E818" i="39" l="1"/>
  <c r="D819" i="39" s="1"/>
  <c r="F818" i="39"/>
  <c r="C822" i="39"/>
  <c r="A823" i="39"/>
  <c r="B823" i="39" s="1"/>
  <c r="B825" i="30"/>
  <c r="A826" i="30"/>
  <c r="D823" i="30"/>
  <c r="C824" i="30" s="1"/>
  <c r="E823" i="30"/>
  <c r="D818" i="25"/>
  <c r="C819" i="25" s="1"/>
  <c r="E818" i="25"/>
  <c r="A825" i="25"/>
  <c r="B825" i="25" s="1"/>
  <c r="E819" i="39" l="1"/>
  <c r="D820" i="39" s="1"/>
  <c r="F819" i="39"/>
  <c r="C823" i="39"/>
  <c r="A824" i="39"/>
  <c r="B824" i="39" s="1"/>
  <c r="B826" i="30"/>
  <c r="A827" i="30"/>
  <c r="D824" i="30"/>
  <c r="C825" i="30" s="1"/>
  <c r="E824" i="30"/>
  <c r="D819" i="25"/>
  <c r="C820" i="25" s="1"/>
  <c r="E819" i="25"/>
  <c r="A826" i="25"/>
  <c r="B826" i="25" s="1"/>
  <c r="E820" i="39" l="1"/>
  <c r="D821" i="39" s="1"/>
  <c r="F820" i="39"/>
  <c r="C824" i="39"/>
  <c r="A825" i="39"/>
  <c r="B825" i="39" s="1"/>
  <c r="B827" i="30"/>
  <c r="A828" i="30"/>
  <c r="D825" i="30"/>
  <c r="C826" i="30" s="1"/>
  <c r="E825" i="30"/>
  <c r="D820" i="25"/>
  <c r="C821" i="25" s="1"/>
  <c r="E820" i="25"/>
  <c r="A827" i="25"/>
  <c r="B827" i="25" s="1"/>
  <c r="E821" i="39" l="1"/>
  <c r="D822" i="39" s="1"/>
  <c r="F821" i="39"/>
  <c r="C825" i="39"/>
  <c r="A826" i="39"/>
  <c r="B826" i="39" s="1"/>
  <c r="B828" i="30"/>
  <c r="A829" i="30"/>
  <c r="D826" i="30"/>
  <c r="C827" i="30" s="1"/>
  <c r="E826" i="30"/>
  <c r="D821" i="25"/>
  <c r="C822" i="25" s="1"/>
  <c r="E821" i="25"/>
  <c r="A828" i="25"/>
  <c r="B828" i="25" s="1"/>
  <c r="F822" i="39" l="1"/>
  <c r="E822" i="39"/>
  <c r="D823" i="39" s="1"/>
  <c r="C826" i="39"/>
  <c r="A827" i="39"/>
  <c r="B827" i="39" s="1"/>
  <c r="B829" i="30"/>
  <c r="A830" i="30"/>
  <c r="D827" i="30"/>
  <c r="C828" i="30" s="1"/>
  <c r="E827" i="30"/>
  <c r="D822" i="25"/>
  <c r="C823" i="25" s="1"/>
  <c r="E822" i="25"/>
  <c r="A829" i="25"/>
  <c r="B829" i="25" s="1"/>
  <c r="F823" i="39" l="1"/>
  <c r="E823" i="39"/>
  <c r="D824" i="39" s="1"/>
  <c r="C827" i="39"/>
  <c r="A828" i="39"/>
  <c r="B828" i="39" s="1"/>
  <c r="B830" i="30"/>
  <c r="A831" i="30"/>
  <c r="D828" i="30"/>
  <c r="C829" i="30" s="1"/>
  <c r="E828" i="30"/>
  <c r="D823" i="25"/>
  <c r="C824" i="25" s="1"/>
  <c r="E823" i="25"/>
  <c r="A830" i="25"/>
  <c r="B830" i="25" s="1"/>
  <c r="E824" i="39" l="1"/>
  <c r="D825" i="39" s="1"/>
  <c r="F824" i="39"/>
  <c r="C828" i="39"/>
  <c r="A829" i="39"/>
  <c r="B829" i="39" s="1"/>
  <c r="B831" i="30"/>
  <c r="A832" i="30"/>
  <c r="D829" i="30"/>
  <c r="C830" i="30" s="1"/>
  <c r="E829" i="30"/>
  <c r="E824" i="25"/>
  <c r="D824" i="25"/>
  <c r="C825" i="25" s="1"/>
  <c r="A831" i="25"/>
  <c r="B831" i="25" s="1"/>
  <c r="E825" i="39" l="1"/>
  <c r="D826" i="39" s="1"/>
  <c r="F825" i="39"/>
  <c r="C829" i="39"/>
  <c r="A830" i="39"/>
  <c r="B830" i="39" s="1"/>
  <c r="B832" i="30"/>
  <c r="A833" i="30"/>
  <c r="D830" i="30"/>
  <c r="C831" i="30" s="1"/>
  <c r="E830" i="30"/>
  <c r="D825" i="25"/>
  <c r="C826" i="25" s="1"/>
  <c r="E825" i="25"/>
  <c r="A832" i="25"/>
  <c r="B832" i="25" s="1"/>
  <c r="F826" i="39" l="1"/>
  <c r="E826" i="39"/>
  <c r="D827" i="39" s="1"/>
  <c r="C830" i="39"/>
  <c r="A831" i="39"/>
  <c r="B831" i="39" s="1"/>
  <c r="B833" i="30"/>
  <c r="A834" i="30"/>
  <c r="D831" i="30"/>
  <c r="C832" i="30" s="1"/>
  <c r="E831" i="30"/>
  <c r="D826" i="25"/>
  <c r="C827" i="25" s="1"/>
  <c r="E826" i="25"/>
  <c r="A833" i="25"/>
  <c r="B833" i="25" s="1"/>
  <c r="E827" i="39" l="1"/>
  <c r="D828" i="39" s="1"/>
  <c r="F827" i="39"/>
  <c r="C831" i="39"/>
  <c r="A832" i="39"/>
  <c r="B832" i="39" s="1"/>
  <c r="B834" i="30"/>
  <c r="A835" i="30"/>
  <c r="D832" i="30"/>
  <c r="C833" i="30" s="1"/>
  <c r="E832" i="30"/>
  <c r="D827" i="25"/>
  <c r="C828" i="25" s="1"/>
  <c r="E827" i="25"/>
  <c r="A834" i="25"/>
  <c r="B834" i="25" s="1"/>
  <c r="E828" i="39" l="1"/>
  <c r="D829" i="39" s="1"/>
  <c r="F828" i="39"/>
  <c r="C832" i="39"/>
  <c r="A833" i="39"/>
  <c r="B833" i="39" s="1"/>
  <c r="B835" i="30"/>
  <c r="A836" i="30"/>
  <c r="D833" i="30"/>
  <c r="C834" i="30" s="1"/>
  <c r="E833" i="30"/>
  <c r="D828" i="25"/>
  <c r="C829" i="25" s="1"/>
  <c r="E828" i="25"/>
  <c r="A835" i="25"/>
  <c r="B835" i="25" s="1"/>
  <c r="F829" i="39" l="1"/>
  <c r="E829" i="39"/>
  <c r="D830" i="39" s="1"/>
  <c r="C833" i="39"/>
  <c r="A834" i="39"/>
  <c r="B834" i="39" s="1"/>
  <c r="B836" i="30"/>
  <c r="A837" i="30"/>
  <c r="D834" i="30"/>
  <c r="C835" i="30" s="1"/>
  <c r="E834" i="30"/>
  <c r="D829" i="25"/>
  <c r="C830" i="25" s="1"/>
  <c r="E829" i="25"/>
  <c r="A836" i="25"/>
  <c r="B836" i="25" s="1"/>
  <c r="F830" i="39" l="1"/>
  <c r="E830" i="39"/>
  <c r="D831" i="39" s="1"/>
  <c r="C834" i="39"/>
  <c r="A835" i="39"/>
  <c r="B835" i="39" s="1"/>
  <c r="B837" i="30"/>
  <c r="A838" i="30"/>
  <c r="D835" i="30"/>
  <c r="C836" i="30" s="1"/>
  <c r="E835" i="30"/>
  <c r="D830" i="25"/>
  <c r="C831" i="25" s="1"/>
  <c r="E830" i="25"/>
  <c r="A837" i="25"/>
  <c r="B837" i="25" s="1"/>
  <c r="E831" i="39" l="1"/>
  <c r="D832" i="39" s="1"/>
  <c r="F831" i="39"/>
  <c r="C835" i="39"/>
  <c r="A836" i="39"/>
  <c r="B836" i="39" s="1"/>
  <c r="B838" i="30"/>
  <c r="A839" i="30"/>
  <c r="D836" i="30"/>
  <c r="C837" i="30" s="1"/>
  <c r="E836" i="30"/>
  <c r="D831" i="25"/>
  <c r="C832" i="25" s="1"/>
  <c r="E831" i="25"/>
  <c r="A838" i="25"/>
  <c r="B838" i="25" s="1"/>
  <c r="E832" i="39" l="1"/>
  <c r="D833" i="39" s="1"/>
  <c r="F832" i="39"/>
  <c r="C836" i="39"/>
  <c r="A837" i="39"/>
  <c r="B837" i="39" s="1"/>
  <c r="B839" i="30"/>
  <c r="A840" i="30"/>
  <c r="D837" i="30"/>
  <c r="C838" i="30" s="1"/>
  <c r="E837" i="30"/>
  <c r="D832" i="25"/>
  <c r="C833" i="25" s="1"/>
  <c r="E832" i="25"/>
  <c r="A839" i="25"/>
  <c r="B839" i="25" s="1"/>
  <c r="F833" i="39" l="1"/>
  <c r="E833" i="39"/>
  <c r="D834" i="39" s="1"/>
  <c r="C837" i="39"/>
  <c r="A838" i="39"/>
  <c r="B838" i="39" s="1"/>
  <c r="B840" i="30"/>
  <c r="A841" i="30"/>
  <c r="D838" i="30"/>
  <c r="C839" i="30" s="1"/>
  <c r="E838" i="30"/>
  <c r="D833" i="25"/>
  <c r="C834" i="25" s="1"/>
  <c r="E833" i="25"/>
  <c r="A840" i="25"/>
  <c r="B840" i="25" s="1"/>
  <c r="E834" i="39" l="1"/>
  <c r="D835" i="39" s="1"/>
  <c r="F834" i="39"/>
  <c r="C838" i="39"/>
  <c r="A839" i="39"/>
  <c r="B839" i="39" s="1"/>
  <c r="B841" i="30"/>
  <c r="A842" i="30"/>
  <c r="D839" i="30"/>
  <c r="C840" i="30" s="1"/>
  <c r="E839" i="30"/>
  <c r="E834" i="25"/>
  <c r="D834" i="25"/>
  <c r="C835" i="25" s="1"/>
  <c r="A841" i="25"/>
  <c r="B841" i="25" s="1"/>
  <c r="F835" i="39" l="1"/>
  <c r="E835" i="39"/>
  <c r="D836" i="39" s="1"/>
  <c r="C839" i="39"/>
  <c r="A840" i="39"/>
  <c r="B840" i="39" s="1"/>
  <c r="B842" i="30"/>
  <c r="A843" i="30"/>
  <c r="D840" i="30"/>
  <c r="C841" i="30" s="1"/>
  <c r="E840" i="30"/>
  <c r="E835" i="25"/>
  <c r="D835" i="25"/>
  <c r="C836" i="25" s="1"/>
  <c r="A842" i="25"/>
  <c r="B842" i="25" s="1"/>
  <c r="E836" i="39" l="1"/>
  <c r="D837" i="39" s="1"/>
  <c r="F836" i="39"/>
  <c r="C840" i="39"/>
  <c r="A841" i="39"/>
  <c r="B841" i="39" s="1"/>
  <c r="B843" i="30"/>
  <c r="A844" i="30"/>
  <c r="D841" i="30"/>
  <c r="C842" i="30" s="1"/>
  <c r="E841" i="30"/>
  <c r="E836" i="25"/>
  <c r="D836" i="25"/>
  <c r="C837" i="25" s="1"/>
  <c r="A843" i="25"/>
  <c r="B843" i="25" s="1"/>
  <c r="F837" i="39" l="1"/>
  <c r="E837" i="39"/>
  <c r="D838" i="39" s="1"/>
  <c r="C841" i="39"/>
  <c r="A842" i="39"/>
  <c r="B842" i="39" s="1"/>
  <c r="B844" i="30"/>
  <c r="A845" i="30"/>
  <c r="D842" i="30"/>
  <c r="C843" i="30" s="1"/>
  <c r="E842" i="30"/>
  <c r="E837" i="25"/>
  <c r="D837" i="25"/>
  <c r="C838" i="25" s="1"/>
  <c r="A844" i="25"/>
  <c r="B844" i="25" s="1"/>
  <c r="F838" i="39" l="1"/>
  <c r="E838" i="39"/>
  <c r="D839" i="39" s="1"/>
  <c r="C842" i="39"/>
  <c r="A843" i="39"/>
  <c r="B843" i="39" s="1"/>
  <c r="B845" i="30"/>
  <c r="A846" i="30"/>
  <c r="D843" i="30"/>
  <c r="C844" i="30" s="1"/>
  <c r="E843" i="30"/>
  <c r="D838" i="25"/>
  <c r="C839" i="25" s="1"/>
  <c r="E838" i="25"/>
  <c r="A845" i="25"/>
  <c r="B845" i="25" s="1"/>
  <c r="F839" i="39" l="1"/>
  <c r="E839" i="39"/>
  <c r="D840" i="39" s="1"/>
  <c r="C843" i="39"/>
  <c r="A844" i="39"/>
  <c r="B844" i="39" s="1"/>
  <c r="B846" i="30"/>
  <c r="A847" i="30"/>
  <c r="D844" i="30"/>
  <c r="C845" i="30" s="1"/>
  <c r="E844" i="30"/>
  <c r="D839" i="25"/>
  <c r="C840" i="25" s="1"/>
  <c r="E839" i="25"/>
  <c r="A846" i="25"/>
  <c r="B846" i="25" s="1"/>
  <c r="E840" i="39" l="1"/>
  <c r="D841" i="39" s="1"/>
  <c r="F840" i="39"/>
  <c r="C844" i="39"/>
  <c r="A845" i="39"/>
  <c r="B845" i="39" s="1"/>
  <c r="B847" i="30"/>
  <c r="A848" i="30"/>
  <c r="D845" i="30"/>
  <c r="C846" i="30" s="1"/>
  <c r="E845" i="30"/>
  <c r="D840" i="25"/>
  <c r="C841" i="25" s="1"/>
  <c r="E840" i="25"/>
  <c r="A847" i="25"/>
  <c r="B847" i="25" s="1"/>
  <c r="F841" i="39" l="1"/>
  <c r="E841" i="39"/>
  <c r="D842" i="39" s="1"/>
  <c r="C845" i="39"/>
  <c r="A846" i="39"/>
  <c r="B846" i="39" s="1"/>
  <c r="B848" i="30"/>
  <c r="A849" i="30"/>
  <c r="D846" i="30"/>
  <c r="C847" i="30" s="1"/>
  <c r="E846" i="30"/>
  <c r="D841" i="25"/>
  <c r="C842" i="25" s="1"/>
  <c r="E841" i="25"/>
  <c r="A848" i="25"/>
  <c r="B848" i="25" s="1"/>
  <c r="F842" i="39" l="1"/>
  <c r="E842" i="39"/>
  <c r="D843" i="39" s="1"/>
  <c r="C846" i="39"/>
  <c r="A847" i="39"/>
  <c r="B847" i="39" s="1"/>
  <c r="B849" i="30"/>
  <c r="A850" i="30"/>
  <c r="D847" i="30"/>
  <c r="C848" i="30" s="1"/>
  <c r="E847" i="30"/>
  <c r="D842" i="25"/>
  <c r="C843" i="25" s="1"/>
  <c r="E842" i="25"/>
  <c r="A849" i="25"/>
  <c r="B849" i="25" s="1"/>
  <c r="E843" i="39" l="1"/>
  <c r="D844" i="39" s="1"/>
  <c r="F843" i="39"/>
  <c r="C847" i="39"/>
  <c r="A848" i="39"/>
  <c r="B848" i="39" s="1"/>
  <c r="B850" i="30"/>
  <c r="A851" i="30"/>
  <c r="D848" i="30"/>
  <c r="C849" i="30" s="1"/>
  <c r="E848" i="30"/>
  <c r="D843" i="25"/>
  <c r="C844" i="25" s="1"/>
  <c r="E843" i="25"/>
  <c r="A850" i="25"/>
  <c r="B850" i="25" s="1"/>
  <c r="E844" i="39" l="1"/>
  <c r="D845" i="39" s="1"/>
  <c r="F844" i="39"/>
  <c r="C848" i="39"/>
  <c r="A849" i="39"/>
  <c r="B849" i="39" s="1"/>
  <c r="B851" i="30"/>
  <c r="A852" i="30"/>
  <c r="D849" i="30"/>
  <c r="C850" i="30" s="1"/>
  <c r="E849" i="30"/>
  <c r="E844" i="25"/>
  <c r="D844" i="25"/>
  <c r="C845" i="25" s="1"/>
  <c r="A851" i="25"/>
  <c r="B851" i="25" s="1"/>
  <c r="E845" i="39" l="1"/>
  <c r="D846" i="39" s="1"/>
  <c r="F845" i="39"/>
  <c r="C849" i="39"/>
  <c r="A850" i="39"/>
  <c r="B850" i="39" s="1"/>
  <c r="B852" i="30"/>
  <c r="A853" i="30"/>
  <c r="D850" i="30"/>
  <c r="C851" i="30" s="1"/>
  <c r="E850" i="30"/>
  <c r="D845" i="25"/>
  <c r="C846" i="25" s="1"/>
  <c r="E845" i="25"/>
  <c r="A852" i="25"/>
  <c r="B852" i="25" s="1"/>
  <c r="E846" i="39" l="1"/>
  <c r="D847" i="39" s="1"/>
  <c r="F846" i="39"/>
  <c r="C850" i="39"/>
  <c r="A851" i="39"/>
  <c r="B851" i="39" s="1"/>
  <c r="B853" i="30"/>
  <c r="A854" i="30"/>
  <c r="D851" i="30"/>
  <c r="C852" i="30" s="1"/>
  <c r="E851" i="30"/>
  <c r="E846" i="25"/>
  <c r="D846" i="25"/>
  <c r="C847" i="25" s="1"/>
  <c r="A853" i="25"/>
  <c r="B853" i="25" s="1"/>
  <c r="E847" i="39" l="1"/>
  <c r="D848" i="39" s="1"/>
  <c r="F847" i="39"/>
  <c r="C851" i="39"/>
  <c r="A852" i="39"/>
  <c r="B852" i="39" s="1"/>
  <c r="B854" i="30"/>
  <c r="A855" i="30"/>
  <c r="D852" i="30"/>
  <c r="C853" i="30" s="1"/>
  <c r="E852" i="30"/>
  <c r="E847" i="25"/>
  <c r="D847" i="25"/>
  <c r="C848" i="25" s="1"/>
  <c r="A854" i="25"/>
  <c r="B854" i="25" s="1"/>
  <c r="E848" i="39" l="1"/>
  <c r="D849" i="39" s="1"/>
  <c r="F848" i="39"/>
  <c r="C852" i="39"/>
  <c r="A853" i="39"/>
  <c r="B853" i="39" s="1"/>
  <c r="B855" i="30"/>
  <c r="A856" i="30"/>
  <c r="D853" i="30"/>
  <c r="C854" i="30" s="1"/>
  <c r="E853" i="30"/>
  <c r="D848" i="25"/>
  <c r="C849" i="25" s="1"/>
  <c r="E848" i="25"/>
  <c r="A855" i="25"/>
  <c r="B855" i="25" s="1"/>
  <c r="F849" i="39" l="1"/>
  <c r="E849" i="39"/>
  <c r="D850" i="39" s="1"/>
  <c r="C853" i="39"/>
  <c r="A854" i="39"/>
  <c r="B854" i="39" s="1"/>
  <c r="B856" i="30"/>
  <c r="A857" i="30"/>
  <c r="D854" i="30"/>
  <c r="C855" i="30" s="1"/>
  <c r="E854" i="30"/>
  <c r="D849" i="25"/>
  <c r="C850" i="25" s="1"/>
  <c r="E849" i="25"/>
  <c r="A856" i="25"/>
  <c r="B856" i="25" s="1"/>
  <c r="E850" i="39" l="1"/>
  <c r="D851" i="39" s="1"/>
  <c r="F850" i="39"/>
  <c r="C854" i="39"/>
  <c r="A855" i="39"/>
  <c r="B855" i="39" s="1"/>
  <c r="B857" i="30"/>
  <c r="A858" i="30"/>
  <c r="D855" i="30"/>
  <c r="C856" i="30" s="1"/>
  <c r="E855" i="30"/>
  <c r="D850" i="25"/>
  <c r="C851" i="25" s="1"/>
  <c r="E850" i="25"/>
  <c r="A857" i="25"/>
  <c r="B857" i="25" s="1"/>
  <c r="F851" i="39" l="1"/>
  <c r="E851" i="39"/>
  <c r="D852" i="39" s="1"/>
  <c r="C855" i="39"/>
  <c r="A856" i="39"/>
  <c r="B856" i="39" s="1"/>
  <c r="B858" i="30"/>
  <c r="A859" i="30"/>
  <c r="D856" i="30"/>
  <c r="C857" i="30" s="1"/>
  <c r="E856" i="30"/>
  <c r="D851" i="25"/>
  <c r="C852" i="25" s="1"/>
  <c r="E851" i="25"/>
  <c r="A858" i="25"/>
  <c r="B858" i="25" s="1"/>
  <c r="F852" i="39" l="1"/>
  <c r="E852" i="39"/>
  <c r="D853" i="39" s="1"/>
  <c r="C856" i="39"/>
  <c r="A857" i="39"/>
  <c r="B857" i="39" s="1"/>
  <c r="B859" i="30"/>
  <c r="A860" i="30"/>
  <c r="D857" i="30"/>
  <c r="C858" i="30" s="1"/>
  <c r="E857" i="30"/>
  <c r="D852" i="25"/>
  <c r="C853" i="25" s="1"/>
  <c r="E852" i="25"/>
  <c r="A859" i="25"/>
  <c r="B859" i="25" s="1"/>
  <c r="F853" i="39" l="1"/>
  <c r="E853" i="39"/>
  <c r="D854" i="39" s="1"/>
  <c r="C857" i="39"/>
  <c r="A858" i="39"/>
  <c r="B858" i="39" s="1"/>
  <c r="B860" i="30"/>
  <c r="A861" i="30"/>
  <c r="D858" i="30"/>
  <c r="C859" i="30" s="1"/>
  <c r="E858" i="30"/>
  <c r="D853" i="25"/>
  <c r="C854" i="25" s="1"/>
  <c r="E853" i="25"/>
  <c r="A860" i="25"/>
  <c r="B860" i="25" s="1"/>
  <c r="F854" i="39" l="1"/>
  <c r="E854" i="39"/>
  <c r="D855" i="39" s="1"/>
  <c r="C858" i="39"/>
  <c r="A859" i="39"/>
  <c r="B859" i="39" s="1"/>
  <c r="B861" i="30"/>
  <c r="A862" i="30"/>
  <c r="D859" i="30"/>
  <c r="C860" i="30" s="1"/>
  <c r="E859" i="30"/>
  <c r="D854" i="25"/>
  <c r="C855" i="25" s="1"/>
  <c r="E854" i="25"/>
  <c r="A861" i="25"/>
  <c r="B861" i="25" s="1"/>
  <c r="F855" i="39" l="1"/>
  <c r="E855" i="39"/>
  <c r="D856" i="39" s="1"/>
  <c r="C859" i="39"/>
  <c r="A860" i="39"/>
  <c r="B860" i="39" s="1"/>
  <c r="B862" i="30"/>
  <c r="A863" i="30"/>
  <c r="D860" i="30"/>
  <c r="C861" i="30" s="1"/>
  <c r="E860" i="30"/>
  <c r="D855" i="25"/>
  <c r="C856" i="25" s="1"/>
  <c r="E855" i="25"/>
  <c r="A862" i="25"/>
  <c r="B862" i="25" s="1"/>
  <c r="F856" i="39" l="1"/>
  <c r="E856" i="39"/>
  <c r="D857" i="39" s="1"/>
  <c r="C860" i="39"/>
  <c r="A861" i="39"/>
  <c r="B861" i="39" s="1"/>
  <c r="B863" i="30"/>
  <c r="A864" i="30"/>
  <c r="D861" i="30"/>
  <c r="C862" i="30" s="1"/>
  <c r="E861" i="30"/>
  <c r="D856" i="25"/>
  <c r="C857" i="25" s="1"/>
  <c r="E856" i="25"/>
  <c r="A863" i="25"/>
  <c r="B863" i="25" s="1"/>
  <c r="F857" i="39" l="1"/>
  <c r="E857" i="39"/>
  <c r="D858" i="39" s="1"/>
  <c r="C861" i="39"/>
  <c r="A862" i="39"/>
  <c r="B862" i="39" s="1"/>
  <c r="B864" i="30"/>
  <c r="A865" i="30"/>
  <c r="D862" i="30"/>
  <c r="C863" i="30" s="1"/>
  <c r="E862" i="30"/>
  <c r="D857" i="25"/>
  <c r="C858" i="25" s="1"/>
  <c r="E857" i="25"/>
  <c r="A864" i="25"/>
  <c r="B864" i="25" s="1"/>
  <c r="E858" i="39" l="1"/>
  <c r="D859" i="39" s="1"/>
  <c r="F858" i="39"/>
  <c r="C862" i="39"/>
  <c r="A863" i="39"/>
  <c r="B863" i="39" s="1"/>
  <c r="B865" i="30"/>
  <c r="A866" i="30"/>
  <c r="D863" i="30"/>
  <c r="C864" i="30" s="1"/>
  <c r="E863" i="30"/>
  <c r="D858" i="25"/>
  <c r="C859" i="25" s="1"/>
  <c r="E858" i="25"/>
  <c r="A865" i="25"/>
  <c r="B865" i="25" s="1"/>
  <c r="E859" i="39" l="1"/>
  <c r="D860" i="39" s="1"/>
  <c r="F859" i="39"/>
  <c r="C863" i="39"/>
  <c r="A864" i="39"/>
  <c r="B864" i="39" s="1"/>
  <c r="B866" i="30"/>
  <c r="A867" i="30"/>
  <c r="D864" i="30"/>
  <c r="C865" i="30" s="1"/>
  <c r="E864" i="30"/>
  <c r="D859" i="25"/>
  <c r="C860" i="25" s="1"/>
  <c r="E859" i="25"/>
  <c r="A866" i="25"/>
  <c r="B866" i="25" s="1"/>
  <c r="E860" i="39" l="1"/>
  <c r="D861" i="39" s="1"/>
  <c r="F860" i="39"/>
  <c r="C864" i="39"/>
  <c r="A865" i="39"/>
  <c r="B865" i="39" s="1"/>
  <c r="B867" i="30"/>
  <c r="A868" i="30"/>
  <c r="D865" i="30"/>
  <c r="C866" i="30" s="1"/>
  <c r="E865" i="30"/>
  <c r="D860" i="25"/>
  <c r="C861" i="25" s="1"/>
  <c r="E860" i="25"/>
  <c r="A867" i="25"/>
  <c r="B867" i="25" s="1"/>
  <c r="E861" i="39" l="1"/>
  <c r="D862" i="39" s="1"/>
  <c r="F861" i="39"/>
  <c r="C865" i="39"/>
  <c r="A866" i="39"/>
  <c r="B866" i="39" s="1"/>
  <c r="B868" i="30"/>
  <c r="A869" i="30"/>
  <c r="D866" i="30"/>
  <c r="C867" i="30" s="1"/>
  <c r="E866" i="30"/>
  <c r="E861" i="25"/>
  <c r="D861" i="25"/>
  <c r="C862" i="25" s="1"/>
  <c r="A868" i="25"/>
  <c r="B868" i="25" s="1"/>
  <c r="E862" i="39" l="1"/>
  <c r="D863" i="39" s="1"/>
  <c r="F862" i="39"/>
  <c r="C866" i="39"/>
  <c r="A867" i="39"/>
  <c r="B867" i="39" s="1"/>
  <c r="B869" i="30"/>
  <c r="A870" i="30"/>
  <c r="D867" i="30"/>
  <c r="C868" i="30" s="1"/>
  <c r="E867" i="30"/>
  <c r="D862" i="25"/>
  <c r="C863" i="25" s="1"/>
  <c r="E862" i="25"/>
  <c r="A869" i="25"/>
  <c r="B869" i="25" s="1"/>
  <c r="E863" i="39" l="1"/>
  <c r="D864" i="39" s="1"/>
  <c r="F863" i="39"/>
  <c r="C867" i="39"/>
  <c r="A868" i="39"/>
  <c r="B868" i="39" s="1"/>
  <c r="B870" i="30"/>
  <c r="A871" i="30"/>
  <c r="D868" i="30"/>
  <c r="C869" i="30" s="1"/>
  <c r="E868" i="30"/>
  <c r="D863" i="25"/>
  <c r="C864" i="25" s="1"/>
  <c r="E863" i="25"/>
  <c r="A870" i="25"/>
  <c r="B870" i="25" s="1"/>
  <c r="F864" i="39" l="1"/>
  <c r="E864" i="39"/>
  <c r="D865" i="39" s="1"/>
  <c r="C868" i="39"/>
  <c r="A869" i="39"/>
  <c r="B869" i="39" s="1"/>
  <c r="B871" i="30"/>
  <c r="A872" i="30"/>
  <c r="D869" i="30"/>
  <c r="C870" i="30" s="1"/>
  <c r="E869" i="30"/>
  <c r="E864" i="25"/>
  <c r="D864" i="25"/>
  <c r="C865" i="25" s="1"/>
  <c r="A871" i="25"/>
  <c r="B871" i="25" s="1"/>
  <c r="F865" i="39" l="1"/>
  <c r="E865" i="39"/>
  <c r="D866" i="39" s="1"/>
  <c r="C869" i="39"/>
  <c r="A870" i="39"/>
  <c r="B870" i="39" s="1"/>
  <c r="B872" i="30"/>
  <c r="A873" i="30"/>
  <c r="D870" i="30"/>
  <c r="C871" i="30" s="1"/>
  <c r="E870" i="30"/>
  <c r="D865" i="25"/>
  <c r="C866" i="25" s="1"/>
  <c r="E865" i="25"/>
  <c r="A872" i="25"/>
  <c r="B872" i="25" s="1"/>
  <c r="E866" i="39" l="1"/>
  <c r="D867" i="39" s="1"/>
  <c r="F866" i="39"/>
  <c r="C870" i="39"/>
  <c r="A871" i="39"/>
  <c r="B871" i="39" s="1"/>
  <c r="B873" i="30"/>
  <c r="A874" i="30"/>
  <c r="D871" i="30"/>
  <c r="C872" i="30" s="1"/>
  <c r="E871" i="30"/>
  <c r="D866" i="25"/>
  <c r="C867" i="25" s="1"/>
  <c r="E866" i="25"/>
  <c r="A873" i="25"/>
  <c r="B873" i="25" s="1"/>
  <c r="E867" i="39" l="1"/>
  <c r="D868" i="39" s="1"/>
  <c r="F867" i="39"/>
  <c r="C871" i="39"/>
  <c r="A872" i="39"/>
  <c r="B872" i="39" s="1"/>
  <c r="B874" i="30"/>
  <c r="A875" i="30"/>
  <c r="D872" i="30"/>
  <c r="C873" i="30" s="1"/>
  <c r="E872" i="30"/>
  <c r="E867" i="25"/>
  <c r="D867" i="25"/>
  <c r="C868" i="25" s="1"/>
  <c r="A874" i="25"/>
  <c r="B874" i="25" s="1"/>
  <c r="E868" i="39" l="1"/>
  <c r="D869" i="39" s="1"/>
  <c r="F868" i="39"/>
  <c r="C872" i="39"/>
  <c r="A873" i="39"/>
  <c r="B873" i="39" s="1"/>
  <c r="B875" i="30"/>
  <c r="A876" i="30"/>
  <c r="D873" i="30"/>
  <c r="C874" i="30" s="1"/>
  <c r="E873" i="30"/>
  <c r="E868" i="25"/>
  <c r="D868" i="25"/>
  <c r="C869" i="25" s="1"/>
  <c r="A875" i="25"/>
  <c r="B875" i="25" s="1"/>
  <c r="F869" i="39" l="1"/>
  <c r="E869" i="39"/>
  <c r="D870" i="39" s="1"/>
  <c r="C873" i="39"/>
  <c r="A874" i="39"/>
  <c r="B874" i="39" s="1"/>
  <c r="B876" i="30"/>
  <c r="A877" i="30"/>
  <c r="D874" i="30"/>
  <c r="C875" i="30" s="1"/>
  <c r="E874" i="30"/>
  <c r="E869" i="25"/>
  <c r="D869" i="25"/>
  <c r="C870" i="25" s="1"/>
  <c r="A876" i="25"/>
  <c r="B876" i="25" s="1"/>
  <c r="F870" i="39" l="1"/>
  <c r="E870" i="39"/>
  <c r="D871" i="39" s="1"/>
  <c r="C874" i="39"/>
  <c r="A875" i="39"/>
  <c r="B875" i="39" s="1"/>
  <c r="B877" i="30"/>
  <c r="A878" i="30"/>
  <c r="D875" i="30"/>
  <c r="C876" i="30" s="1"/>
  <c r="E875" i="30"/>
  <c r="E870" i="25"/>
  <c r="D870" i="25"/>
  <c r="C871" i="25" s="1"/>
  <c r="A877" i="25"/>
  <c r="B877" i="25" s="1"/>
  <c r="E871" i="39" l="1"/>
  <c r="D872" i="39" s="1"/>
  <c r="F871" i="39"/>
  <c r="C875" i="39"/>
  <c r="A876" i="39"/>
  <c r="B876" i="39" s="1"/>
  <c r="B878" i="30"/>
  <c r="A879" i="30"/>
  <c r="D876" i="30"/>
  <c r="C877" i="30" s="1"/>
  <c r="E876" i="30"/>
  <c r="E871" i="25"/>
  <c r="D871" i="25"/>
  <c r="C872" i="25" s="1"/>
  <c r="A878" i="25"/>
  <c r="B878" i="25" s="1"/>
  <c r="F872" i="39" l="1"/>
  <c r="E872" i="39"/>
  <c r="D873" i="39" s="1"/>
  <c r="C876" i="39"/>
  <c r="A877" i="39"/>
  <c r="B877" i="39" s="1"/>
  <c r="B879" i="30"/>
  <c r="A880" i="30"/>
  <c r="D877" i="30"/>
  <c r="C878" i="30" s="1"/>
  <c r="E877" i="30"/>
  <c r="E872" i="25"/>
  <c r="D872" i="25"/>
  <c r="C873" i="25" s="1"/>
  <c r="A879" i="25"/>
  <c r="B879" i="25" s="1"/>
  <c r="E873" i="39" l="1"/>
  <c r="D874" i="39" s="1"/>
  <c r="F873" i="39"/>
  <c r="C877" i="39"/>
  <c r="A878" i="39"/>
  <c r="B878" i="39" s="1"/>
  <c r="B880" i="30"/>
  <c r="A881" i="30"/>
  <c r="D878" i="30"/>
  <c r="C879" i="30" s="1"/>
  <c r="E878" i="30"/>
  <c r="E873" i="25"/>
  <c r="D873" i="25"/>
  <c r="C874" i="25" s="1"/>
  <c r="A880" i="25"/>
  <c r="B880" i="25" s="1"/>
  <c r="E874" i="39" l="1"/>
  <c r="D875" i="39" s="1"/>
  <c r="F874" i="39"/>
  <c r="C878" i="39"/>
  <c r="A879" i="39"/>
  <c r="B879" i="39" s="1"/>
  <c r="B881" i="30"/>
  <c r="A882" i="30"/>
  <c r="D879" i="30"/>
  <c r="C880" i="30" s="1"/>
  <c r="E879" i="30"/>
  <c r="D874" i="25"/>
  <c r="C875" i="25" s="1"/>
  <c r="E874" i="25"/>
  <c r="A881" i="25"/>
  <c r="B881" i="25" s="1"/>
  <c r="E875" i="39" l="1"/>
  <c r="D876" i="39" s="1"/>
  <c r="F875" i="39"/>
  <c r="C879" i="39"/>
  <c r="A880" i="39"/>
  <c r="B880" i="39" s="1"/>
  <c r="B882" i="30"/>
  <c r="A883" i="30"/>
  <c r="D880" i="30"/>
  <c r="C881" i="30" s="1"/>
  <c r="E880" i="30"/>
  <c r="D875" i="25"/>
  <c r="C876" i="25" s="1"/>
  <c r="E875" i="25"/>
  <c r="A882" i="25"/>
  <c r="B882" i="25" s="1"/>
  <c r="F876" i="39" l="1"/>
  <c r="E876" i="39"/>
  <c r="D877" i="39" s="1"/>
  <c r="C880" i="39"/>
  <c r="A881" i="39"/>
  <c r="B881" i="39" s="1"/>
  <c r="B883" i="30"/>
  <c r="A884" i="30"/>
  <c r="D881" i="30"/>
  <c r="C882" i="30" s="1"/>
  <c r="E881" i="30"/>
  <c r="D876" i="25"/>
  <c r="C877" i="25" s="1"/>
  <c r="E876" i="25"/>
  <c r="A883" i="25"/>
  <c r="B883" i="25" s="1"/>
  <c r="F877" i="39" l="1"/>
  <c r="E877" i="39"/>
  <c r="D878" i="39" s="1"/>
  <c r="C881" i="39"/>
  <c r="A882" i="39"/>
  <c r="B882" i="39" s="1"/>
  <c r="B884" i="30"/>
  <c r="A885" i="30"/>
  <c r="D882" i="30"/>
  <c r="C883" i="30" s="1"/>
  <c r="E882" i="30"/>
  <c r="E877" i="25"/>
  <c r="D877" i="25"/>
  <c r="C878" i="25" s="1"/>
  <c r="A884" i="25"/>
  <c r="B884" i="25" s="1"/>
  <c r="E878" i="39" l="1"/>
  <c r="D879" i="39" s="1"/>
  <c r="F878" i="39"/>
  <c r="C882" i="39"/>
  <c r="A883" i="39"/>
  <c r="B883" i="39" s="1"/>
  <c r="B885" i="30"/>
  <c r="A886" i="30"/>
  <c r="D883" i="30"/>
  <c r="C884" i="30" s="1"/>
  <c r="E883" i="30"/>
  <c r="D878" i="25"/>
  <c r="C879" i="25" s="1"/>
  <c r="E878" i="25"/>
  <c r="A885" i="25"/>
  <c r="B885" i="25" s="1"/>
  <c r="F879" i="39" l="1"/>
  <c r="E879" i="39"/>
  <c r="D880" i="39" s="1"/>
  <c r="C883" i="39"/>
  <c r="A884" i="39"/>
  <c r="B884" i="39" s="1"/>
  <c r="B886" i="30"/>
  <c r="A887" i="30"/>
  <c r="D884" i="30"/>
  <c r="C885" i="30" s="1"/>
  <c r="E884" i="30"/>
  <c r="D879" i="25"/>
  <c r="C880" i="25" s="1"/>
  <c r="E879" i="25"/>
  <c r="A886" i="25"/>
  <c r="B886" i="25" s="1"/>
  <c r="E880" i="39" l="1"/>
  <c r="D881" i="39" s="1"/>
  <c r="F880" i="39"/>
  <c r="C884" i="39"/>
  <c r="A885" i="39"/>
  <c r="B885" i="39" s="1"/>
  <c r="B887" i="30"/>
  <c r="A888" i="30"/>
  <c r="D885" i="30"/>
  <c r="C886" i="30" s="1"/>
  <c r="E885" i="30"/>
  <c r="D880" i="25"/>
  <c r="C881" i="25" s="1"/>
  <c r="E880" i="25"/>
  <c r="A887" i="25"/>
  <c r="B887" i="25" s="1"/>
  <c r="E881" i="39" l="1"/>
  <c r="D882" i="39" s="1"/>
  <c r="F881" i="39"/>
  <c r="C885" i="39"/>
  <c r="A886" i="39"/>
  <c r="B886" i="39" s="1"/>
  <c r="B888" i="30"/>
  <c r="A889" i="30"/>
  <c r="D886" i="30"/>
  <c r="C887" i="30" s="1"/>
  <c r="E886" i="30"/>
  <c r="D881" i="25"/>
  <c r="C882" i="25" s="1"/>
  <c r="E881" i="25"/>
  <c r="A888" i="25"/>
  <c r="B888" i="25" s="1"/>
  <c r="E882" i="39" l="1"/>
  <c r="D883" i="39" s="1"/>
  <c r="F882" i="39"/>
  <c r="C886" i="39"/>
  <c r="A887" i="39"/>
  <c r="B887" i="39" s="1"/>
  <c r="B889" i="30"/>
  <c r="A890" i="30"/>
  <c r="D887" i="30"/>
  <c r="C888" i="30" s="1"/>
  <c r="E887" i="30"/>
  <c r="D882" i="25"/>
  <c r="C883" i="25" s="1"/>
  <c r="E882" i="25"/>
  <c r="A889" i="25"/>
  <c r="B889" i="25" s="1"/>
  <c r="F883" i="39" l="1"/>
  <c r="E883" i="39"/>
  <c r="D884" i="39" s="1"/>
  <c r="C887" i="39"/>
  <c r="A888" i="39"/>
  <c r="B888" i="39" s="1"/>
  <c r="B890" i="30"/>
  <c r="A891" i="30"/>
  <c r="D888" i="30"/>
  <c r="C889" i="30" s="1"/>
  <c r="E888" i="30"/>
  <c r="D883" i="25"/>
  <c r="C884" i="25" s="1"/>
  <c r="E883" i="25"/>
  <c r="A890" i="25"/>
  <c r="B890" i="25" s="1"/>
  <c r="F884" i="39" l="1"/>
  <c r="E884" i="39"/>
  <c r="D885" i="39" s="1"/>
  <c r="C888" i="39"/>
  <c r="A889" i="39"/>
  <c r="B889" i="39" s="1"/>
  <c r="B891" i="30"/>
  <c r="A892" i="30"/>
  <c r="D889" i="30"/>
  <c r="C890" i="30" s="1"/>
  <c r="E889" i="30"/>
  <c r="D884" i="25"/>
  <c r="C885" i="25" s="1"/>
  <c r="E884" i="25"/>
  <c r="A891" i="25"/>
  <c r="B891" i="25" s="1"/>
  <c r="F885" i="39" l="1"/>
  <c r="E885" i="39"/>
  <c r="D886" i="39" s="1"/>
  <c r="C889" i="39"/>
  <c r="A890" i="39"/>
  <c r="B890" i="39" s="1"/>
  <c r="B892" i="30"/>
  <c r="A893" i="30"/>
  <c r="D890" i="30"/>
  <c r="C891" i="30" s="1"/>
  <c r="E890" i="30"/>
  <c r="D885" i="25"/>
  <c r="C886" i="25" s="1"/>
  <c r="E885" i="25"/>
  <c r="A892" i="25"/>
  <c r="B892" i="25" s="1"/>
  <c r="E886" i="39" l="1"/>
  <c r="D887" i="39" s="1"/>
  <c r="F886" i="39"/>
  <c r="C890" i="39"/>
  <c r="A891" i="39"/>
  <c r="B891" i="39" s="1"/>
  <c r="B893" i="30"/>
  <c r="A894" i="30"/>
  <c r="D891" i="30"/>
  <c r="C892" i="30" s="1"/>
  <c r="E891" i="30"/>
  <c r="E886" i="25"/>
  <c r="D886" i="25"/>
  <c r="C887" i="25" s="1"/>
  <c r="A893" i="25"/>
  <c r="B893" i="25" s="1"/>
  <c r="F887" i="39" l="1"/>
  <c r="E887" i="39"/>
  <c r="D888" i="39" s="1"/>
  <c r="C891" i="39"/>
  <c r="A892" i="39"/>
  <c r="B892" i="39" s="1"/>
  <c r="B894" i="30"/>
  <c r="A895" i="30"/>
  <c r="D892" i="30"/>
  <c r="C893" i="30" s="1"/>
  <c r="E892" i="30"/>
  <c r="D887" i="25"/>
  <c r="C888" i="25" s="1"/>
  <c r="E887" i="25"/>
  <c r="A894" i="25"/>
  <c r="B894" i="25" s="1"/>
  <c r="E888" i="39" l="1"/>
  <c r="D889" i="39" s="1"/>
  <c r="F888" i="39"/>
  <c r="C892" i="39"/>
  <c r="A893" i="39"/>
  <c r="B893" i="39" s="1"/>
  <c r="B895" i="30"/>
  <c r="A896" i="30"/>
  <c r="D893" i="30"/>
  <c r="C894" i="30" s="1"/>
  <c r="E893" i="30"/>
  <c r="D888" i="25"/>
  <c r="C889" i="25" s="1"/>
  <c r="E888" i="25"/>
  <c r="A895" i="25"/>
  <c r="B895" i="25" s="1"/>
  <c r="F889" i="39" l="1"/>
  <c r="E889" i="39"/>
  <c r="D890" i="39" s="1"/>
  <c r="C893" i="39"/>
  <c r="A894" i="39"/>
  <c r="B894" i="39" s="1"/>
  <c r="B896" i="30"/>
  <c r="A897" i="30"/>
  <c r="D894" i="30"/>
  <c r="C895" i="30" s="1"/>
  <c r="E894" i="30"/>
  <c r="E889" i="25"/>
  <c r="D889" i="25"/>
  <c r="C890" i="25" s="1"/>
  <c r="A896" i="25"/>
  <c r="B896" i="25" s="1"/>
  <c r="E890" i="39" l="1"/>
  <c r="D891" i="39" s="1"/>
  <c r="F890" i="39"/>
  <c r="C894" i="39"/>
  <c r="A895" i="39"/>
  <c r="B895" i="39" s="1"/>
  <c r="B897" i="30"/>
  <c r="A898" i="30"/>
  <c r="D895" i="30"/>
  <c r="C896" i="30" s="1"/>
  <c r="E895" i="30"/>
  <c r="E890" i="25"/>
  <c r="D890" i="25"/>
  <c r="C891" i="25" s="1"/>
  <c r="A897" i="25"/>
  <c r="B897" i="25" s="1"/>
  <c r="E891" i="39" l="1"/>
  <c r="D892" i="39" s="1"/>
  <c r="F891" i="39"/>
  <c r="C895" i="39"/>
  <c r="A896" i="39"/>
  <c r="B896" i="39" s="1"/>
  <c r="B898" i="30"/>
  <c r="A899" i="30"/>
  <c r="D896" i="30"/>
  <c r="C897" i="30" s="1"/>
  <c r="E896" i="30"/>
  <c r="E891" i="25"/>
  <c r="D891" i="25"/>
  <c r="C892" i="25" s="1"/>
  <c r="A898" i="25"/>
  <c r="B898" i="25" s="1"/>
  <c r="F892" i="39" l="1"/>
  <c r="E892" i="39"/>
  <c r="D893" i="39" s="1"/>
  <c r="C896" i="39"/>
  <c r="A897" i="39"/>
  <c r="B897" i="39" s="1"/>
  <c r="B899" i="30"/>
  <c r="A900" i="30"/>
  <c r="D897" i="30"/>
  <c r="C898" i="30" s="1"/>
  <c r="E897" i="30"/>
  <c r="E892" i="25"/>
  <c r="D892" i="25"/>
  <c r="C893" i="25" s="1"/>
  <c r="A899" i="25"/>
  <c r="B899" i="25" s="1"/>
  <c r="E893" i="39" l="1"/>
  <c r="D894" i="39" s="1"/>
  <c r="F893" i="39"/>
  <c r="C897" i="39"/>
  <c r="A898" i="39"/>
  <c r="B898" i="39" s="1"/>
  <c r="B900" i="30"/>
  <c r="A901" i="30"/>
  <c r="D898" i="30"/>
  <c r="C899" i="30" s="1"/>
  <c r="E898" i="30"/>
  <c r="D893" i="25"/>
  <c r="C894" i="25" s="1"/>
  <c r="E893" i="25"/>
  <c r="A900" i="25"/>
  <c r="B900" i="25" s="1"/>
  <c r="E894" i="39" l="1"/>
  <c r="D895" i="39" s="1"/>
  <c r="F894" i="39"/>
  <c r="C898" i="39"/>
  <c r="A899" i="39"/>
  <c r="B899" i="39" s="1"/>
  <c r="B901" i="30"/>
  <c r="A902" i="30"/>
  <c r="D899" i="30"/>
  <c r="C900" i="30" s="1"/>
  <c r="E899" i="30"/>
  <c r="D894" i="25"/>
  <c r="C895" i="25" s="1"/>
  <c r="E894" i="25"/>
  <c r="A901" i="25"/>
  <c r="B901" i="25" s="1"/>
  <c r="E895" i="39" l="1"/>
  <c r="D896" i="39" s="1"/>
  <c r="F895" i="39"/>
  <c r="C899" i="39"/>
  <c r="A900" i="39"/>
  <c r="B900" i="39" s="1"/>
  <c r="B902" i="30"/>
  <c r="A903" i="30"/>
  <c r="D900" i="30"/>
  <c r="C901" i="30" s="1"/>
  <c r="E900" i="30"/>
  <c r="D895" i="25"/>
  <c r="C896" i="25" s="1"/>
  <c r="E895" i="25"/>
  <c r="A902" i="25"/>
  <c r="B902" i="25" s="1"/>
  <c r="F896" i="39" l="1"/>
  <c r="E896" i="39"/>
  <c r="D897" i="39" s="1"/>
  <c r="C900" i="39"/>
  <c r="A901" i="39"/>
  <c r="B901" i="39" s="1"/>
  <c r="B903" i="30"/>
  <c r="A904" i="30"/>
  <c r="D901" i="30"/>
  <c r="C902" i="30" s="1"/>
  <c r="E901" i="30"/>
  <c r="E896" i="25"/>
  <c r="D896" i="25"/>
  <c r="C897" i="25" s="1"/>
  <c r="A903" i="25"/>
  <c r="B903" i="25" s="1"/>
  <c r="E897" i="39" l="1"/>
  <c r="D898" i="39" s="1"/>
  <c r="F897" i="39"/>
  <c r="C901" i="39"/>
  <c r="A902" i="39"/>
  <c r="B902" i="39" s="1"/>
  <c r="B904" i="30"/>
  <c r="A905" i="30"/>
  <c r="D902" i="30"/>
  <c r="C903" i="30" s="1"/>
  <c r="E902" i="30"/>
  <c r="E897" i="25"/>
  <c r="D897" i="25"/>
  <c r="C898" i="25" s="1"/>
  <c r="A904" i="25"/>
  <c r="B904" i="25" s="1"/>
  <c r="F898" i="39" l="1"/>
  <c r="E898" i="39"/>
  <c r="D899" i="39" s="1"/>
  <c r="C902" i="39"/>
  <c r="A903" i="39"/>
  <c r="B903" i="39" s="1"/>
  <c r="B905" i="30"/>
  <c r="A906" i="30"/>
  <c r="D903" i="30"/>
  <c r="C904" i="30" s="1"/>
  <c r="E903" i="30"/>
  <c r="D898" i="25"/>
  <c r="C899" i="25" s="1"/>
  <c r="E898" i="25"/>
  <c r="A905" i="25"/>
  <c r="B905" i="25" s="1"/>
  <c r="F899" i="39" l="1"/>
  <c r="E899" i="39"/>
  <c r="D900" i="39" s="1"/>
  <c r="C903" i="39"/>
  <c r="A904" i="39"/>
  <c r="B904" i="39" s="1"/>
  <c r="B906" i="30"/>
  <c r="A907" i="30"/>
  <c r="D904" i="30"/>
  <c r="C905" i="30" s="1"/>
  <c r="E904" i="30"/>
  <c r="D899" i="25"/>
  <c r="C900" i="25" s="1"/>
  <c r="E899" i="25"/>
  <c r="A906" i="25"/>
  <c r="B906" i="25" s="1"/>
  <c r="F900" i="39" l="1"/>
  <c r="E900" i="39"/>
  <c r="D901" i="39" s="1"/>
  <c r="C904" i="39"/>
  <c r="A905" i="39"/>
  <c r="B905" i="39" s="1"/>
  <c r="B907" i="30"/>
  <c r="A908" i="30"/>
  <c r="D905" i="30"/>
  <c r="C906" i="30" s="1"/>
  <c r="E905" i="30"/>
  <c r="D900" i="25"/>
  <c r="C901" i="25" s="1"/>
  <c r="E900" i="25"/>
  <c r="A907" i="25"/>
  <c r="B907" i="25" s="1"/>
  <c r="F901" i="39" l="1"/>
  <c r="E901" i="39"/>
  <c r="D902" i="39" s="1"/>
  <c r="C905" i="39"/>
  <c r="A906" i="39"/>
  <c r="B906" i="39" s="1"/>
  <c r="B908" i="30"/>
  <c r="A909" i="30"/>
  <c r="D906" i="30"/>
  <c r="C907" i="30" s="1"/>
  <c r="E906" i="30"/>
  <c r="D901" i="25"/>
  <c r="C902" i="25" s="1"/>
  <c r="E901" i="25"/>
  <c r="A908" i="25"/>
  <c r="B908" i="25" s="1"/>
  <c r="E902" i="39" l="1"/>
  <c r="D903" i="39" s="1"/>
  <c r="F902" i="39"/>
  <c r="C906" i="39"/>
  <c r="A907" i="39"/>
  <c r="B907" i="39" s="1"/>
  <c r="B909" i="30"/>
  <c r="A910" i="30"/>
  <c r="D907" i="30"/>
  <c r="C908" i="30" s="1"/>
  <c r="E907" i="30"/>
  <c r="D902" i="25"/>
  <c r="C903" i="25" s="1"/>
  <c r="E902" i="25"/>
  <c r="A909" i="25"/>
  <c r="B909" i="25" s="1"/>
  <c r="E903" i="39" l="1"/>
  <c r="D904" i="39" s="1"/>
  <c r="F903" i="39"/>
  <c r="C907" i="39"/>
  <c r="A908" i="39"/>
  <c r="B908" i="39" s="1"/>
  <c r="B910" i="30"/>
  <c r="A911" i="30"/>
  <c r="D908" i="30"/>
  <c r="C909" i="30" s="1"/>
  <c r="E908" i="30"/>
  <c r="D903" i="25"/>
  <c r="C904" i="25" s="1"/>
  <c r="E903" i="25"/>
  <c r="A910" i="25"/>
  <c r="B910" i="25" s="1"/>
  <c r="E904" i="39" l="1"/>
  <c r="D905" i="39" s="1"/>
  <c r="F904" i="39"/>
  <c r="C908" i="39"/>
  <c r="A909" i="39"/>
  <c r="B909" i="39" s="1"/>
  <c r="B911" i="30"/>
  <c r="A912" i="30"/>
  <c r="D909" i="30"/>
  <c r="C910" i="30" s="1"/>
  <c r="E909" i="30"/>
  <c r="D904" i="25"/>
  <c r="C905" i="25" s="1"/>
  <c r="E904" i="25"/>
  <c r="A911" i="25"/>
  <c r="B911" i="25" s="1"/>
  <c r="E905" i="39" l="1"/>
  <c r="D906" i="39" s="1"/>
  <c r="F905" i="39"/>
  <c r="C909" i="39"/>
  <c r="A910" i="39"/>
  <c r="B910" i="39" s="1"/>
  <c r="B912" i="30"/>
  <c r="A913" i="30"/>
  <c r="D910" i="30"/>
  <c r="C911" i="30" s="1"/>
  <c r="E910" i="30"/>
  <c r="D905" i="25"/>
  <c r="C906" i="25" s="1"/>
  <c r="E905" i="25"/>
  <c r="A912" i="25"/>
  <c r="B912" i="25" s="1"/>
  <c r="E906" i="39" l="1"/>
  <c r="D907" i="39" s="1"/>
  <c r="F906" i="39"/>
  <c r="C910" i="39"/>
  <c r="A911" i="39"/>
  <c r="B911" i="39" s="1"/>
  <c r="B913" i="30"/>
  <c r="A914" i="30"/>
  <c r="D911" i="30"/>
  <c r="C912" i="30" s="1"/>
  <c r="E911" i="30"/>
  <c r="D906" i="25"/>
  <c r="C907" i="25" s="1"/>
  <c r="E906" i="25"/>
  <c r="A913" i="25"/>
  <c r="B913" i="25" s="1"/>
  <c r="F907" i="39" l="1"/>
  <c r="E907" i="39"/>
  <c r="D908" i="39" s="1"/>
  <c r="C911" i="39"/>
  <c r="A912" i="39"/>
  <c r="B912" i="39" s="1"/>
  <c r="B914" i="30"/>
  <c r="A915" i="30"/>
  <c r="D912" i="30"/>
  <c r="C913" i="30" s="1"/>
  <c r="E912" i="30"/>
  <c r="D907" i="25"/>
  <c r="C908" i="25" s="1"/>
  <c r="E907" i="25"/>
  <c r="A914" i="25"/>
  <c r="B914" i="25" s="1"/>
  <c r="E908" i="39" l="1"/>
  <c r="D909" i="39" s="1"/>
  <c r="F908" i="39"/>
  <c r="C912" i="39"/>
  <c r="A913" i="39"/>
  <c r="B913" i="39" s="1"/>
  <c r="B915" i="30"/>
  <c r="A916" i="30"/>
  <c r="D913" i="30"/>
  <c r="C914" i="30" s="1"/>
  <c r="E913" i="30"/>
  <c r="E908" i="25"/>
  <c r="D908" i="25"/>
  <c r="C909" i="25" s="1"/>
  <c r="A915" i="25"/>
  <c r="B915" i="25" s="1"/>
  <c r="F909" i="39" l="1"/>
  <c r="E909" i="39"/>
  <c r="D910" i="39" s="1"/>
  <c r="C913" i="39"/>
  <c r="A914" i="39"/>
  <c r="B914" i="39" s="1"/>
  <c r="B916" i="30"/>
  <c r="A917" i="30"/>
  <c r="D914" i="30"/>
  <c r="C915" i="30" s="1"/>
  <c r="E914" i="30"/>
  <c r="E909" i="25"/>
  <c r="D909" i="25"/>
  <c r="C910" i="25" s="1"/>
  <c r="A916" i="25"/>
  <c r="B916" i="25" s="1"/>
  <c r="E910" i="39" l="1"/>
  <c r="D911" i="39" s="1"/>
  <c r="F910" i="39"/>
  <c r="C914" i="39"/>
  <c r="A915" i="39"/>
  <c r="B915" i="39" s="1"/>
  <c r="B917" i="30"/>
  <c r="A918" i="30"/>
  <c r="D915" i="30"/>
  <c r="C916" i="30" s="1"/>
  <c r="E915" i="30"/>
  <c r="D910" i="25"/>
  <c r="C911" i="25" s="1"/>
  <c r="E910" i="25"/>
  <c r="A917" i="25"/>
  <c r="B917" i="25" s="1"/>
  <c r="F911" i="39" l="1"/>
  <c r="E911" i="39"/>
  <c r="D912" i="39" s="1"/>
  <c r="C915" i="39"/>
  <c r="A916" i="39"/>
  <c r="B916" i="39" s="1"/>
  <c r="B918" i="30"/>
  <c r="A919" i="30"/>
  <c r="D916" i="30"/>
  <c r="C917" i="30" s="1"/>
  <c r="E916" i="30"/>
  <c r="D911" i="25"/>
  <c r="C912" i="25" s="1"/>
  <c r="E911" i="25"/>
  <c r="A918" i="25"/>
  <c r="B918" i="25" s="1"/>
  <c r="F912" i="39" l="1"/>
  <c r="E912" i="39"/>
  <c r="D913" i="39" s="1"/>
  <c r="C916" i="39"/>
  <c r="A917" i="39"/>
  <c r="B917" i="39" s="1"/>
  <c r="B919" i="30"/>
  <c r="A920" i="30"/>
  <c r="D917" i="30"/>
  <c r="C918" i="30" s="1"/>
  <c r="E917" i="30"/>
  <c r="D912" i="25"/>
  <c r="C913" i="25" s="1"/>
  <c r="E912" i="25"/>
  <c r="A919" i="25"/>
  <c r="B919" i="25" s="1"/>
  <c r="F913" i="39" l="1"/>
  <c r="E913" i="39"/>
  <c r="D914" i="39" s="1"/>
  <c r="C917" i="39"/>
  <c r="A918" i="39"/>
  <c r="B918" i="39" s="1"/>
  <c r="B920" i="30"/>
  <c r="A921" i="30"/>
  <c r="D918" i="30"/>
  <c r="C919" i="30" s="1"/>
  <c r="E918" i="30"/>
  <c r="D913" i="25"/>
  <c r="C914" i="25" s="1"/>
  <c r="E913" i="25"/>
  <c r="A920" i="25"/>
  <c r="B920" i="25" s="1"/>
  <c r="F914" i="39" l="1"/>
  <c r="E914" i="39"/>
  <c r="D915" i="39" s="1"/>
  <c r="C918" i="39"/>
  <c r="A919" i="39"/>
  <c r="B919" i="39" s="1"/>
  <c r="B921" i="30"/>
  <c r="A922" i="30"/>
  <c r="D919" i="30"/>
  <c r="C920" i="30" s="1"/>
  <c r="E919" i="30"/>
  <c r="D914" i="25"/>
  <c r="C915" i="25" s="1"/>
  <c r="E914" i="25"/>
  <c r="A921" i="25"/>
  <c r="B921" i="25" s="1"/>
  <c r="E915" i="39" l="1"/>
  <c r="D916" i="39" s="1"/>
  <c r="F915" i="39"/>
  <c r="C919" i="39"/>
  <c r="A920" i="39"/>
  <c r="B920" i="39" s="1"/>
  <c r="B922" i="30"/>
  <c r="A923" i="30"/>
  <c r="D920" i="30"/>
  <c r="C921" i="30" s="1"/>
  <c r="E920" i="30"/>
  <c r="D915" i="25"/>
  <c r="C916" i="25" s="1"/>
  <c r="E915" i="25"/>
  <c r="A922" i="25"/>
  <c r="B922" i="25" s="1"/>
  <c r="F916" i="39" l="1"/>
  <c r="E916" i="39"/>
  <c r="D917" i="39" s="1"/>
  <c r="C920" i="39"/>
  <c r="A921" i="39"/>
  <c r="B921" i="39" s="1"/>
  <c r="B923" i="30"/>
  <c r="A924" i="30"/>
  <c r="D921" i="30"/>
  <c r="C922" i="30" s="1"/>
  <c r="E921" i="30"/>
  <c r="D916" i="25"/>
  <c r="C917" i="25" s="1"/>
  <c r="E916" i="25"/>
  <c r="A923" i="25"/>
  <c r="B923" i="25" s="1"/>
  <c r="F917" i="39" l="1"/>
  <c r="E917" i="39"/>
  <c r="D918" i="39" s="1"/>
  <c r="C921" i="39"/>
  <c r="A922" i="39"/>
  <c r="B922" i="39" s="1"/>
  <c r="B924" i="30"/>
  <c r="A925" i="30"/>
  <c r="D922" i="30"/>
  <c r="C923" i="30" s="1"/>
  <c r="E922" i="30"/>
  <c r="D917" i="25"/>
  <c r="C918" i="25" s="1"/>
  <c r="E917" i="25"/>
  <c r="A924" i="25"/>
  <c r="B924" i="25" s="1"/>
  <c r="E918" i="39" l="1"/>
  <c r="D919" i="39" s="1"/>
  <c r="F918" i="39"/>
  <c r="C922" i="39"/>
  <c r="A923" i="39"/>
  <c r="B923" i="39" s="1"/>
  <c r="B925" i="30"/>
  <c r="A926" i="30"/>
  <c r="D923" i="30"/>
  <c r="C924" i="30" s="1"/>
  <c r="E923" i="30"/>
  <c r="D918" i="25"/>
  <c r="C919" i="25" s="1"/>
  <c r="E918" i="25"/>
  <c r="A925" i="25"/>
  <c r="B925" i="25" s="1"/>
  <c r="F919" i="39" l="1"/>
  <c r="E919" i="39"/>
  <c r="D920" i="39" s="1"/>
  <c r="C923" i="39"/>
  <c r="A924" i="39"/>
  <c r="B924" i="39" s="1"/>
  <c r="B926" i="30"/>
  <c r="A927" i="30"/>
  <c r="D924" i="30"/>
  <c r="C925" i="30" s="1"/>
  <c r="E924" i="30"/>
  <c r="D919" i="25"/>
  <c r="C920" i="25" s="1"/>
  <c r="E919" i="25"/>
  <c r="A926" i="25"/>
  <c r="B926" i="25" s="1"/>
  <c r="E920" i="39" l="1"/>
  <c r="D921" i="39" s="1"/>
  <c r="F920" i="39"/>
  <c r="C924" i="39"/>
  <c r="A925" i="39"/>
  <c r="B925" i="39" s="1"/>
  <c r="B927" i="30"/>
  <c r="A928" i="30"/>
  <c r="D925" i="30"/>
  <c r="C926" i="30" s="1"/>
  <c r="E925" i="30"/>
  <c r="D920" i="25"/>
  <c r="C921" i="25" s="1"/>
  <c r="E920" i="25"/>
  <c r="A927" i="25"/>
  <c r="B927" i="25" s="1"/>
  <c r="E921" i="39" l="1"/>
  <c r="D922" i="39" s="1"/>
  <c r="F921" i="39"/>
  <c r="C925" i="39"/>
  <c r="A926" i="39"/>
  <c r="B926" i="39" s="1"/>
  <c r="B928" i="30"/>
  <c r="A929" i="30"/>
  <c r="D926" i="30"/>
  <c r="C927" i="30" s="1"/>
  <c r="E926" i="30"/>
  <c r="D921" i="25"/>
  <c r="C922" i="25" s="1"/>
  <c r="E921" i="25"/>
  <c r="A928" i="25"/>
  <c r="B928" i="25" s="1"/>
  <c r="F922" i="39" l="1"/>
  <c r="E922" i="39"/>
  <c r="D923" i="39" s="1"/>
  <c r="C926" i="39"/>
  <c r="A927" i="39"/>
  <c r="B927" i="39" s="1"/>
  <c r="B929" i="30"/>
  <c r="A930" i="30"/>
  <c r="D927" i="30"/>
  <c r="C928" i="30" s="1"/>
  <c r="E927" i="30"/>
  <c r="D922" i="25"/>
  <c r="C923" i="25" s="1"/>
  <c r="E922" i="25"/>
  <c r="A929" i="25"/>
  <c r="B929" i="25" s="1"/>
  <c r="F923" i="39" l="1"/>
  <c r="E923" i="39"/>
  <c r="D924" i="39" s="1"/>
  <c r="C927" i="39"/>
  <c r="A928" i="39"/>
  <c r="B928" i="39" s="1"/>
  <c r="B930" i="30"/>
  <c r="A931" i="30"/>
  <c r="D928" i="30"/>
  <c r="C929" i="30" s="1"/>
  <c r="E928" i="30"/>
  <c r="D923" i="25"/>
  <c r="C924" i="25" s="1"/>
  <c r="E923" i="25"/>
  <c r="A930" i="25"/>
  <c r="B930" i="25" s="1"/>
  <c r="E924" i="39" l="1"/>
  <c r="D925" i="39" s="1"/>
  <c r="F924" i="39"/>
  <c r="C928" i="39"/>
  <c r="A929" i="39"/>
  <c r="B929" i="39" s="1"/>
  <c r="B931" i="30"/>
  <c r="A932" i="30"/>
  <c r="D929" i="30"/>
  <c r="C930" i="30" s="1"/>
  <c r="E929" i="30"/>
  <c r="D924" i="25"/>
  <c r="C925" i="25" s="1"/>
  <c r="E924" i="25"/>
  <c r="A931" i="25"/>
  <c r="B931" i="25" s="1"/>
  <c r="E925" i="39" l="1"/>
  <c r="D926" i="39" s="1"/>
  <c r="F925" i="39"/>
  <c r="C929" i="39"/>
  <c r="A930" i="39"/>
  <c r="B930" i="39" s="1"/>
  <c r="B932" i="30"/>
  <c r="A933" i="30"/>
  <c r="D930" i="30"/>
  <c r="C931" i="30" s="1"/>
  <c r="E930" i="30"/>
  <c r="E925" i="25"/>
  <c r="D925" i="25"/>
  <c r="C926" i="25" s="1"/>
  <c r="A932" i="25"/>
  <c r="B932" i="25" s="1"/>
  <c r="F926" i="39" l="1"/>
  <c r="E926" i="39"/>
  <c r="D927" i="39" s="1"/>
  <c r="C930" i="39"/>
  <c r="A931" i="39"/>
  <c r="B931" i="39" s="1"/>
  <c r="B933" i="30"/>
  <c r="A934" i="30"/>
  <c r="D931" i="30"/>
  <c r="C932" i="30" s="1"/>
  <c r="E931" i="30"/>
  <c r="E926" i="25"/>
  <c r="D926" i="25"/>
  <c r="C927" i="25" s="1"/>
  <c r="A933" i="25"/>
  <c r="B933" i="25" s="1"/>
  <c r="F927" i="39" l="1"/>
  <c r="E927" i="39"/>
  <c r="D928" i="39" s="1"/>
  <c r="C931" i="39"/>
  <c r="A932" i="39"/>
  <c r="B932" i="39" s="1"/>
  <c r="B934" i="30"/>
  <c r="A935" i="30"/>
  <c r="D932" i="30"/>
  <c r="C933" i="30" s="1"/>
  <c r="E932" i="30"/>
  <c r="E927" i="25"/>
  <c r="D927" i="25"/>
  <c r="C928" i="25" s="1"/>
  <c r="A934" i="25"/>
  <c r="B934" i="25" s="1"/>
  <c r="E928" i="39" l="1"/>
  <c r="D929" i="39" s="1"/>
  <c r="F928" i="39"/>
  <c r="C932" i="39"/>
  <c r="A933" i="39"/>
  <c r="B933" i="39" s="1"/>
  <c r="B935" i="30"/>
  <c r="A936" i="30"/>
  <c r="D933" i="30"/>
  <c r="C934" i="30" s="1"/>
  <c r="E933" i="30"/>
  <c r="D928" i="25"/>
  <c r="C929" i="25" s="1"/>
  <c r="E928" i="25"/>
  <c r="A935" i="25"/>
  <c r="B935" i="25" s="1"/>
  <c r="F929" i="39" l="1"/>
  <c r="E929" i="39"/>
  <c r="D930" i="39" s="1"/>
  <c r="C933" i="39"/>
  <c r="A934" i="39"/>
  <c r="B934" i="39" s="1"/>
  <c r="B936" i="30"/>
  <c r="A937" i="30"/>
  <c r="D934" i="30"/>
  <c r="C935" i="30" s="1"/>
  <c r="E934" i="30"/>
  <c r="D929" i="25"/>
  <c r="C930" i="25" s="1"/>
  <c r="E929" i="25"/>
  <c r="A936" i="25"/>
  <c r="B936" i="25" s="1"/>
  <c r="F930" i="39" l="1"/>
  <c r="E930" i="39"/>
  <c r="D931" i="39" s="1"/>
  <c r="C934" i="39"/>
  <c r="A935" i="39"/>
  <c r="B935" i="39" s="1"/>
  <c r="B937" i="30"/>
  <c r="A938" i="30"/>
  <c r="D935" i="30"/>
  <c r="C936" i="30" s="1"/>
  <c r="E935" i="30"/>
  <c r="D930" i="25"/>
  <c r="C931" i="25" s="1"/>
  <c r="E930" i="25"/>
  <c r="A937" i="25"/>
  <c r="B937" i="25" s="1"/>
  <c r="F931" i="39" l="1"/>
  <c r="E931" i="39"/>
  <c r="D932" i="39" s="1"/>
  <c r="C935" i="39"/>
  <c r="A936" i="39"/>
  <c r="B936" i="39" s="1"/>
  <c r="B938" i="30"/>
  <c r="A939" i="30"/>
  <c r="D936" i="30"/>
  <c r="C937" i="30" s="1"/>
  <c r="E936" i="30"/>
  <c r="D931" i="25"/>
  <c r="C932" i="25" s="1"/>
  <c r="E931" i="25"/>
  <c r="A938" i="25"/>
  <c r="B938" i="25" s="1"/>
  <c r="E932" i="39" l="1"/>
  <c r="D933" i="39" s="1"/>
  <c r="F932" i="39"/>
  <c r="C936" i="39"/>
  <c r="A937" i="39"/>
  <c r="B937" i="39" s="1"/>
  <c r="B939" i="30"/>
  <c r="A940" i="30"/>
  <c r="D937" i="30"/>
  <c r="C938" i="30" s="1"/>
  <c r="E937" i="30"/>
  <c r="D932" i="25"/>
  <c r="C933" i="25" s="1"/>
  <c r="E932" i="25"/>
  <c r="A939" i="25"/>
  <c r="B939" i="25" s="1"/>
  <c r="F933" i="39" l="1"/>
  <c r="E933" i="39"/>
  <c r="D934" i="39" s="1"/>
  <c r="C937" i="39"/>
  <c r="A938" i="39"/>
  <c r="B938" i="39" s="1"/>
  <c r="B940" i="30"/>
  <c r="A941" i="30"/>
  <c r="D938" i="30"/>
  <c r="C939" i="30" s="1"/>
  <c r="E938" i="30"/>
  <c r="D933" i="25"/>
  <c r="C934" i="25" s="1"/>
  <c r="E933" i="25"/>
  <c r="A940" i="25"/>
  <c r="B940" i="25" s="1"/>
  <c r="E934" i="39" l="1"/>
  <c r="D935" i="39" s="1"/>
  <c r="F934" i="39"/>
  <c r="C938" i="39"/>
  <c r="A939" i="39"/>
  <c r="B939" i="39" s="1"/>
  <c r="B941" i="30"/>
  <c r="A942" i="30"/>
  <c r="D939" i="30"/>
  <c r="C940" i="30" s="1"/>
  <c r="E939" i="30"/>
  <c r="D934" i="25"/>
  <c r="C935" i="25" s="1"/>
  <c r="E934" i="25"/>
  <c r="A941" i="25"/>
  <c r="B941" i="25" s="1"/>
  <c r="E935" i="39" l="1"/>
  <c r="D936" i="39" s="1"/>
  <c r="F935" i="39"/>
  <c r="C939" i="39"/>
  <c r="A940" i="39"/>
  <c r="B940" i="39" s="1"/>
  <c r="B942" i="30"/>
  <c r="A943" i="30"/>
  <c r="D940" i="30"/>
  <c r="C941" i="30" s="1"/>
  <c r="E940" i="30"/>
  <c r="D935" i="25"/>
  <c r="C936" i="25" s="1"/>
  <c r="E935" i="25"/>
  <c r="A942" i="25"/>
  <c r="B942" i="25" s="1"/>
  <c r="E936" i="39" l="1"/>
  <c r="D937" i="39" s="1"/>
  <c r="F936" i="39"/>
  <c r="C940" i="39"/>
  <c r="A941" i="39"/>
  <c r="B941" i="39" s="1"/>
  <c r="B943" i="30"/>
  <c r="A944" i="30"/>
  <c r="D941" i="30"/>
  <c r="C942" i="30" s="1"/>
  <c r="E941" i="30"/>
  <c r="D936" i="25"/>
  <c r="C937" i="25" s="1"/>
  <c r="E936" i="25"/>
  <c r="A943" i="25"/>
  <c r="B943" i="25" s="1"/>
  <c r="E937" i="39" l="1"/>
  <c r="D938" i="39" s="1"/>
  <c r="F937" i="39"/>
  <c r="C941" i="39"/>
  <c r="A942" i="39"/>
  <c r="B942" i="39" s="1"/>
  <c r="B944" i="30"/>
  <c r="A945" i="30"/>
  <c r="D942" i="30"/>
  <c r="C943" i="30" s="1"/>
  <c r="E942" i="30"/>
  <c r="D937" i="25"/>
  <c r="C938" i="25" s="1"/>
  <c r="E937" i="25"/>
  <c r="A944" i="25"/>
  <c r="B944" i="25" s="1"/>
  <c r="E938" i="39" l="1"/>
  <c r="D939" i="39" s="1"/>
  <c r="F938" i="39"/>
  <c r="C942" i="39"/>
  <c r="A943" i="39"/>
  <c r="B943" i="39" s="1"/>
  <c r="B945" i="30"/>
  <c r="A946" i="30"/>
  <c r="D943" i="30"/>
  <c r="C944" i="30" s="1"/>
  <c r="E943" i="30"/>
  <c r="D938" i="25"/>
  <c r="C939" i="25" s="1"/>
  <c r="E938" i="25"/>
  <c r="A945" i="25"/>
  <c r="B945" i="25" s="1"/>
  <c r="F939" i="39" l="1"/>
  <c r="E939" i="39"/>
  <c r="D940" i="39" s="1"/>
  <c r="C943" i="39"/>
  <c r="A944" i="39"/>
  <c r="B944" i="39" s="1"/>
  <c r="B946" i="30"/>
  <c r="A947" i="30"/>
  <c r="D944" i="30"/>
  <c r="C945" i="30" s="1"/>
  <c r="E944" i="30"/>
  <c r="D939" i="25"/>
  <c r="C940" i="25" s="1"/>
  <c r="E939" i="25"/>
  <c r="A946" i="25"/>
  <c r="B946" i="25" s="1"/>
  <c r="E940" i="39" l="1"/>
  <c r="D941" i="39" s="1"/>
  <c r="F940" i="39"/>
  <c r="C944" i="39"/>
  <c r="A945" i="39"/>
  <c r="B945" i="39" s="1"/>
  <c r="B947" i="30"/>
  <c r="A948" i="30"/>
  <c r="D945" i="30"/>
  <c r="C946" i="30" s="1"/>
  <c r="E945" i="30"/>
  <c r="D940" i="25"/>
  <c r="C941" i="25" s="1"/>
  <c r="E940" i="25"/>
  <c r="A947" i="25"/>
  <c r="B947" i="25" s="1"/>
  <c r="F941" i="39" l="1"/>
  <c r="E941" i="39"/>
  <c r="D942" i="39" s="1"/>
  <c r="C945" i="39"/>
  <c r="A946" i="39"/>
  <c r="B946" i="39" s="1"/>
  <c r="B948" i="30"/>
  <c r="A949" i="30"/>
  <c r="D946" i="30"/>
  <c r="C947" i="30" s="1"/>
  <c r="E946" i="30"/>
  <c r="D941" i="25"/>
  <c r="C942" i="25" s="1"/>
  <c r="E941" i="25"/>
  <c r="A948" i="25"/>
  <c r="B948" i="25" s="1"/>
  <c r="E942" i="39" l="1"/>
  <c r="D943" i="39" s="1"/>
  <c r="F942" i="39"/>
  <c r="C946" i="39"/>
  <c r="A947" i="39"/>
  <c r="B947" i="39" s="1"/>
  <c r="B949" i="30"/>
  <c r="A950" i="30"/>
  <c r="D947" i="30"/>
  <c r="C948" i="30" s="1"/>
  <c r="E947" i="30"/>
  <c r="D942" i="25"/>
  <c r="C943" i="25" s="1"/>
  <c r="E942" i="25"/>
  <c r="A949" i="25"/>
  <c r="B949" i="25" s="1"/>
  <c r="E943" i="39" l="1"/>
  <c r="D944" i="39" s="1"/>
  <c r="F943" i="39"/>
  <c r="C947" i="39"/>
  <c r="A948" i="39"/>
  <c r="B948" i="39" s="1"/>
  <c r="B950" i="30"/>
  <c r="A951" i="30"/>
  <c r="D948" i="30"/>
  <c r="C949" i="30" s="1"/>
  <c r="E948" i="30"/>
  <c r="D943" i="25"/>
  <c r="C944" i="25" s="1"/>
  <c r="E943" i="25"/>
  <c r="A950" i="25"/>
  <c r="B950" i="25" s="1"/>
  <c r="F944" i="39" l="1"/>
  <c r="E944" i="39"/>
  <c r="D945" i="39" s="1"/>
  <c r="C948" i="39"/>
  <c r="A949" i="39"/>
  <c r="B949" i="39" s="1"/>
  <c r="B951" i="30"/>
  <c r="A952" i="30"/>
  <c r="D949" i="30"/>
  <c r="C950" i="30" s="1"/>
  <c r="E949" i="30"/>
  <c r="D944" i="25"/>
  <c r="C945" i="25" s="1"/>
  <c r="E944" i="25"/>
  <c r="A951" i="25"/>
  <c r="B951" i="25" s="1"/>
  <c r="E945" i="39" l="1"/>
  <c r="D946" i="39" s="1"/>
  <c r="F945" i="39"/>
  <c r="C949" i="39"/>
  <c r="A950" i="39"/>
  <c r="B950" i="39" s="1"/>
  <c r="B952" i="30"/>
  <c r="A953" i="30"/>
  <c r="D950" i="30"/>
  <c r="C951" i="30" s="1"/>
  <c r="E950" i="30"/>
  <c r="D945" i="25"/>
  <c r="C946" i="25" s="1"/>
  <c r="E945" i="25"/>
  <c r="A952" i="25"/>
  <c r="B952" i="25" s="1"/>
  <c r="F946" i="39" l="1"/>
  <c r="E946" i="39"/>
  <c r="D947" i="39" s="1"/>
  <c r="C950" i="39"/>
  <c r="A951" i="39"/>
  <c r="B951" i="39" s="1"/>
  <c r="B953" i="30"/>
  <c r="A954" i="30"/>
  <c r="D951" i="30"/>
  <c r="C952" i="30" s="1"/>
  <c r="E951" i="30"/>
  <c r="D946" i="25"/>
  <c r="C947" i="25" s="1"/>
  <c r="E946" i="25"/>
  <c r="A953" i="25"/>
  <c r="B953" i="25" s="1"/>
  <c r="E947" i="39" l="1"/>
  <c r="D948" i="39" s="1"/>
  <c r="F947" i="39"/>
  <c r="C951" i="39"/>
  <c r="A952" i="39"/>
  <c r="B952" i="39" s="1"/>
  <c r="B954" i="30"/>
  <c r="A955" i="30"/>
  <c r="D952" i="30"/>
  <c r="C953" i="30" s="1"/>
  <c r="E952" i="30"/>
  <c r="D947" i="25"/>
  <c r="C948" i="25" s="1"/>
  <c r="E947" i="25"/>
  <c r="A954" i="25"/>
  <c r="B954" i="25" s="1"/>
  <c r="F948" i="39" l="1"/>
  <c r="E948" i="39"/>
  <c r="D949" i="39" s="1"/>
  <c r="C952" i="39"/>
  <c r="A953" i="39"/>
  <c r="B953" i="39" s="1"/>
  <c r="B955" i="30"/>
  <c r="A956" i="30"/>
  <c r="D953" i="30"/>
  <c r="C954" i="30" s="1"/>
  <c r="E953" i="30"/>
  <c r="D948" i="25"/>
  <c r="C949" i="25" s="1"/>
  <c r="E948" i="25"/>
  <c r="A955" i="25"/>
  <c r="B955" i="25" s="1"/>
  <c r="F949" i="39" l="1"/>
  <c r="E949" i="39"/>
  <c r="D950" i="39" s="1"/>
  <c r="C953" i="39"/>
  <c r="A954" i="39"/>
  <c r="B954" i="39" s="1"/>
  <c r="B956" i="30"/>
  <c r="A957" i="30"/>
  <c r="D954" i="30"/>
  <c r="C955" i="30" s="1"/>
  <c r="E954" i="30"/>
  <c r="D949" i="25"/>
  <c r="C950" i="25" s="1"/>
  <c r="E949" i="25"/>
  <c r="A956" i="25"/>
  <c r="B956" i="25" s="1"/>
  <c r="E950" i="39" l="1"/>
  <c r="D951" i="39" s="1"/>
  <c r="F950" i="39"/>
  <c r="C954" i="39"/>
  <c r="A955" i="39"/>
  <c r="B955" i="39" s="1"/>
  <c r="B957" i="30"/>
  <c r="A958" i="30"/>
  <c r="D955" i="30"/>
  <c r="C956" i="30" s="1"/>
  <c r="E955" i="30"/>
  <c r="D950" i="25"/>
  <c r="C951" i="25" s="1"/>
  <c r="E950" i="25"/>
  <c r="A957" i="25"/>
  <c r="B957" i="25" s="1"/>
  <c r="E951" i="39" l="1"/>
  <c r="D952" i="39" s="1"/>
  <c r="F951" i="39"/>
  <c r="C955" i="39"/>
  <c r="A956" i="39"/>
  <c r="B956" i="39" s="1"/>
  <c r="B958" i="30"/>
  <c r="A959" i="30"/>
  <c r="D956" i="30"/>
  <c r="C957" i="30" s="1"/>
  <c r="E956" i="30"/>
  <c r="D951" i="25"/>
  <c r="C952" i="25" s="1"/>
  <c r="E951" i="25"/>
  <c r="A958" i="25"/>
  <c r="B958" i="25" s="1"/>
  <c r="E952" i="39" l="1"/>
  <c r="D953" i="39" s="1"/>
  <c r="F952" i="39"/>
  <c r="C956" i="39"/>
  <c r="A957" i="39"/>
  <c r="B957" i="39" s="1"/>
  <c r="B959" i="30"/>
  <c r="A960" i="30"/>
  <c r="D957" i="30"/>
  <c r="C958" i="30" s="1"/>
  <c r="E957" i="30"/>
  <c r="D952" i="25"/>
  <c r="C953" i="25" s="1"/>
  <c r="E952" i="25"/>
  <c r="A959" i="25"/>
  <c r="B959" i="25" s="1"/>
  <c r="E953" i="39" l="1"/>
  <c r="D954" i="39" s="1"/>
  <c r="F953" i="39"/>
  <c r="C957" i="39"/>
  <c r="A958" i="39"/>
  <c r="B958" i="39" s="1"/>
  <c r="B960" i="30"/>
  <c r="A961" i="30"/>
  <c r="D958" i="30"/>
  <c r="C959" i="30" s="1"/>
  <c r="E958" i="30"/>
  <c r="D953" i="25"/>
  <c r="C954" i="25" s="1"/>
  <c r="E953" i="25"/>
  <c r="A960" i="25"/>
  <c r="B960" i="25" s="1"/>
  <c r="E954" i="39" l="1"/>
  <c r="D955" i="39" s="1"/>
  <c r="F954" i="39"/>
  <c r="C958" i="39"/>
  <c r="A959" i="39"/>
  <c r="B959" i="39" s="1"/>
  <c r="B961" i="30"/>
  <c r="A962" i="30"/>
  <c r="D959" i="30"/>
  <c r="C960" i="30" s="1"/>
  <c r="E959" i="30"/>
  <c r="D954" i="25"/>
  <c r="C955" i="25" s="1"/>
  <c r="E954" i="25"/>
  <c r="A961" i="25"/>
  <c r="B961" i="25" s="1"/>
  <c r="E955" i="39" l="1"/>
  <c r="D956" i="39" s="1"/>
  <c r="F955" i="39"/>
  <c r="C959" i="39"/>
  <c r="A960" i="39"/>
  <c r="B960" i="39" s="1"/>
  <c r="B962" i="30"/>
  <c r="A963" i="30"/>
  <c r="D960" i="30"/>
  <c r="C961" i="30" s="1"/>
  <c r="E960" i="30"/>
  <c r="D955" i="25"/>
  <c r="C956" i="25" s="1"/>
  <c r="E955" i="25"/>
  <c r="A962" i="25"/>
  <c r="B962" i="25" s="1"/>
  <c r="F956" i="39" l="1"/>
  <c r="E956" i="39"/>
  <c r="D957" i="39" s="1"/>
  <c r="C960" i="39"/>
  <c r="A961" i="39"/>
  <c r="B961" i="39" s="1"/>
  <c r="B963" i="30"/>
  <c r="A964" i="30"/>
  <c r="D961" i="30"/>
  <c r="C962" i="30" s="1"/>
  <c r="E961" i="30"/>
  <c r="D956" i="25"/>
  <c r="C957" i="25" s="1"/>
  <c r="E956" i="25"/>
  <c r="A963" i="25"/>
  <c r="B963" i="25" s="1"/>
  <c r="E957" i="39" l="1"/>
  <c r="D958" i="39" s="1"/>
  <c r="F957" i="39"/>
  <c r="C961" i="39"/>
  <c r="A962" i="39"/>
  <c r="B962" i="39" s="1"/>
  <c r="B964" i="30"/>
  <c r="A965" i="30"/>
  <c r="D962" i="30"/>
  <c r="C963" i="30" s="1"/>
  <c r="E962" i="30"/>
  <c r="D957" i="25"/>
  <c r="C958" i="25" s="1"/>
  <c r="E957" i="25"/>
  <c r="A964" i="25"/>
  <c r="B964" i="25" s="1"/>
  <c r="F958" i="39" l="1"/>
  <c r="E958" i="39"/>
  <c r="D959" i="39" s="1"/>
  <c r="C962" i="39"/>
  <c r="A963" i="39"/>
  <c r="B963" i="39" s="1"/>
  <c r="B965" i="30"/>
  <c r="A966" i="30"/>
  <c r="D963" i="30"/>
  <c r="C964" i="30" s="1"/>
  <c r="E963" i="30"/>
  <c r="D958" i="25"/>
  <c r="C959" i="25" s="1"/>
  <c r="E958" i="25"/>
  <c r="A965" i="25"/>
  <c r="B965" i="25" s="1"/>
  <c r="F959" i="39" l="1"/>
  <c r="E959" i="39"/>
  <c r="D960" i="39" s="1"/>
  <c r="C963" i="39"/>
  <c r="A964" i="39"/>
  <c r="B964" i="39" s="1"/>
  <c r="B966" i="30"/>
  <c r="A967" i="30"/>
  <c r="D964" i="30"/>
  <c r="C965" i="30" s="1"/>
  <c r="E964" i="30"/>
  <c r="D959" i="25"/>
  <c r="C960" i="25" s="1"/>
  <c r="E959" i="25"/>
  <c r="A966" i="25"/>
  <c r="B966" i="25" s="1"/>
  <c r="E960" i="39" l="1"/>
  <c r="D961" i="39" s="1"/>
  <c r="F960" i="39"/>
  <c r="C964" i="39"/>
  <c r="A965" i="39"/>
  <c r="B965" i="39" s="1"/>
  <c r="B967" i="30"/>
  <c r="A968" i="30"/>
  <c r="D965" i="30"/>
  <c r="C966" i="30" s="1"/>
  <c r="E965" i="30"/>
  <c r="E960" i="25"/>
  <c r="D960" i="25"/>
  <c r="C961" i="25" s="1"/>
  <c r="A967" i="25"/>
  <c r="B967" i="25" s="1"/>
  <c r="F961" i="39" l="1"/>
  <c r="E961" i="39"/>
  <c r="D962" i="39" s="1"/>
  <c r="C965" i="39"/>
  <c r="A966" i="39"/>
  <c r="B966" i="39" s="1"/>
  <c r="B968" i="30"/>
  <c r="A969" i="30"/>
  <c r="D966" i="30"/>
  <c r="C967" i="30" s="1"/>
  <c r="E966" i="30"/>
  <c r="E961" i="25"/>
  <c r="D961" i="25"/>
  <c r="C962" i="25" s="1"/>
  <c r="A968" i="25"/>
  <c r="B968" i="25" s="1"/>
  <c r="E962" i="39" l="1"/>
  <c r="D963" i="39" s="1"/>
  <c r="F962" i="39"/>
  <c r="C966" i="39"/>
  <c r="A967" i="39"/>
  <c r="B967" i="39" s="1"/>
  <c r="B969" i="30"/>
  <c r="A970" i="30"/>
  <c r="D967" i="30"/>
  <c r="C968" i="30" s="1"/>
  <c r="E967" i="30"/>
  <c r="D962" i="25"/>
  <c r="C963" i="25" s="1"/>
  <c r="E962" i="25"/>
  <c r="A969" i="25"/>
  <c r="B969" i="25" s="1"/>
  <c r="F963" i="39" l="1"/>
  <c r="E963" i="39"/>
  <c r="D964" i="39" s="1"/>
  <c r="C967" i="39"/>
  <c r="A968" i="39"/>
  <c r="B968" i="39" s="1"/>
  <c r="B970" i="30"/>
  <c r="A971" i="30"/>
  <c r="D968" i="30"/>
  <c r="C969" i="30" s="1"/>
  <c r="E968" i="30"/>
  <c r="D963" i="25"/>
  <c r="C964" i="25" s="1"/>
  <c r="E963" i="25"/>
  <c r="A970" i="25"/>
  <c r="B970" i="25" s="1"/>
  <c r="E964" i="39" l="1"/>
  <c r="D965" i="39" s="1"/>
  <c r="F964" i="39"/>
  <c r="C968" i="39"/>
  <c r="A969" i="39"/>
  <c r="B969" i="39" s="1"/>
  <c r="B971" i="30"/>
  <c r="A972" i="30"/>
  <c r="D969" i="30"/>
  <c r="C970" i="30" s="1"/>
  <c r="E969" i="30"/>
  <c r="D964" i="25"/>
  <c r="C965" i="25" s="1"/>
  <c r="E964" i="25"/>
  <c r="A971" i="25"/>
  <c r="B971" i="25" s="1"/>
  <c r="F965" i="39" l="1"/>
  <c r="E965" i="39"/>
  <c r="D966" i="39" s="1"/>
  <c r="C969" i="39"/>
  <c r="A970" i="39"/>
  <c r="B970" i="39" s="1"/>
  <c r="B972" i="30"/>
  <c r="A973" i="30"/>
  <c r="D970" i="30"/>
  <c r="C971" i="30" s="1"/>
  <c r="E970" i="30"/>
  <c r="D965" i="25"/>
  <c r="C966" i="25" s="1"/>
  <c r="E965" i="25"/>
  <c r="A972" i="25"/>
  <c r="B972" i="25" s="1"/>
  <c r="E966" i="39" l="1"/>
  <c r="D967" i="39" s="1"/>
  <c r="F966" i="39"/>
  <c r="C970" i="39"/>
  <c r="A971" i="39"/>
  <c r="B971" i="39" s="1"/>
  <c r="B973" i="30"/>
  <c r="A974" i="30"/>
  <c r="D971" i="30"/>
  <c r="C972" i="30" s="1"/>
  <c r="E971" i="30"/>
  <c r="D966" i="25"/>
  <c r="C967" i="25" s="1"/>
  <c r="E966" i="25"/>
  <c r="A973" i="25"/>
  <c r="B973" i="25" s="1"/>
  <c r="E967" i="39" l="1"/>
  <c r="D968" i="39" s="1"/>
  <c r="F967" i="39"/>
  <c r="C971" i="39"/>
  <c r="A972" i="39"/>
  <c r="B972" i="39" s="1"/>
  <c r="B974" i="30"/>
  <c r="A975" i="30"/>
  <c r="D972" i="30"/>
  <c r="C973" i="30" s="1"/>
  <c r="E972" i="30"/>
  <c r="D967" i="25"/>
  <c r="C968" i="25" s="1"/>
  <c r="E967" i="25"/>
  <c r="A974" i="25"/>
  <c r="B974" i="25" s="1"/>
  <c r="E968" i="39" l="1"/>
  <c r="D969" i="39" s="1"/>
  <c r="F968" i="39"/>
  <c r="C972" i="39"/>
  <c r="A973" i="39"/>
  <c r="B973" i="39" s="1"/>
  <c r="B975" i="30"/>
  <c r="A976" i="30"/>
  <c r="D973" i="30"/>
  <c r="C974" i="30" s="1"/>
  <c r="E973" i="30"/>
  <c r="D968" i="25"/>
  <c r="C969" i="25" s="1"/>
  <c r="E968" i="25"/>
  <c r="A975" i="25"/>
  <c r="B975" i="25" s="1"/>
  <c r="F969" i="39" l="1"/>
  <c r="E969" i="39"/>
  <c r="D970" i="39" s="1"/>
  <c r="C973" i="39"/>
  <c r="A974" i="39"/>
  <c r="B974" i="39" s="1"/>
  <c r="B976" i="30"/>
  <c r="A977" i="30"/>
  <c r="D974" i="30"/>
  <c r="C975" i="30" s="1"/>
  <c r="E974" i="30"/>
  <c r="D969" i="25"/>
  <c r="C970" i="25" s="1"/>
  <c r="E969" i="25"/>
  <c r="A976" i="25"/>
  <c r="B976" i="25" s="1"/>
  <c r="F970" i="39" l="1"/>
  <c r="E970" i="39"/>
  <c r="D971" i="39" s="1"/>
  <c r="C974" i="39"/>
  <c r="A975" i="39"/>
  <c r="B975" i="39" s="1"/>
  <c r="B977" i="30"/>
  <c r="A978" i="30"/>
  <c r="D975" i="30"/>
  <c r="C976" i="30" s="1"/>
  <c r="E975" i="30"/>
  <c r="D970" i="25"/>
  <c r="C971" i="25" s="1"/>
  <c r="E970" i="25"/>
  <c r="A977" i="25"/>
  <c r="B977" i="25" s="1"/>
  <c r="F971" i="39" l="1"/>
  <c r="E971" i="39"/>
  <c r="D972" i="39" s="1"/>
  <c r="C975" i="39"/>
  <c r="A976" i="39"/>
  <c r="B976" i="39" s="1"/>
  <c r="B978" i="30"/>
  <c r="A979" i="30"/>
  <c r="D976" i="30"/>
  <c r="C977" i="30" s="1"/>
  <c r="E976" i="30"/>
  <c r="D971" i="25"/>
  <c r="C972" i="25" s="1"/>
  <c r="E971" i="25"/>
  <c r="A978" i="25"/>
  <c r="B978" i="25" s="1"/>
  <c r="E972" i="39" l="1"/>
  <c r="D973" i="39" s="1"/>
  <c r="F972" i="39"/>
  <c r="C976" i="39"/>
  <c r="A977" i="39"/>
  <c r="B977" i="39" s="1"/>
  <c r="B979" i="30"/>
  <c r="A980" i="30"/>
  <c r="D977" i="30"/>
  <c r="C978" i="30" s="1"/>
  <c r="E977" i="30"/>
  <c r="E972" i="25"/>
  <c r="D972" i="25"/>
  <c r="C973" i="25" s="1"/>
  <c r="A979" i="25"/>
  <c r="B979" i="25" s="1"/>
  <c r="F973" i="39" l="1"/>
  <c r="E973" i="39"/>
  <c r="D974" i="39" s="1"/>
  <c r="C977" i="39"/>
  <c r="A978" i="39"/>
  <c r="B978" i="39" s="1"/>
  <c r="B980" i="30"/>
  <c r="A981" i="30"/>
  <c r="D978" i="30"/>
  <c r="C979" i="30" s="1"/>
  <c r="E978" i="30"/>
  <c r="E973" i="25"/>
  <c r="D973" i="25"/>
  <c r="C974" i="25" s="1"/>
  <c r="A980" i="25"/>
  <c r="B980" i="25" s="1"/>
  <c r="F974" i="39" l="1"/>
  <c r="E974" i="39"/>
  <c r="D975" i="39" s="1"/>
  <c r="C978" i="39"/>
  <c r="A979" i="39"/>
  <c r="B979" i="39" s="1"/>
  <c r="B981" i="30"/>
  <c r="A982" i="30"/>
  <c r="D979" i="30"/>
  <c r="C980" i="30" s="1"/>
  <c r="E979" i="30"/>
  <c r="D974" i="25"/>
  <c r="C975" i="25" s="1"/>
  <c r="E974" i="25"/>
  <c r="A981" i="25"/>
  <c r="B981" i="25" s="1"/>
  <c r="F975" i="39" l="1"/>
  <c r="E975" i="39"/>
  <c r="D976" i="39" s="1"/>
  <c r="C979" i="39"/>
  <c r="A980" i="39"/>
  <c r="B980" i="39" s="1"/>
  <c r="B982" i="30"/>
  <c r="A983" i="30"/>
  <c r="D980" i="30"/>
  <c r="C981" i="30" s="1"/>
  <c r="E980" i="30"/>
  <c r="D975" i="25"/>
  <c r="C976" i="25" s="1"/>
  <c r="E975" i="25"/>
  <c r="A982" i="25"/>
  <c r="B982" i="25" s="1"/>
  <c r="E976" i="39" l="1"/>
  <c r="D977" i="39" s="1"/>
  <c r="F976" i="39"/>
  <c r="C980" i="39"/>
  <c r="A981" i="39"/>
  <c r="B981" i="39" s="1"/>
  <c r="B983" i="30"/>
  <c r="A984" i="30"/>
  <c r="D981" i="30"/>
  <c r="C982" i="30" s="1"/>
  <c r="E981" i="30"/>
  <c r="D976" i="25"/>
  <c r="C977" i="25" s="1"/>
  <c r="E976" i="25"/>
  <c r="A983" i="25"/>
  <c r="B983" i="25" s="1"/>
  <c r="F977" i="39" l="1"/>
  <c r="E977" i="39"/>
  <c r="D978" i="39" s="1"/>
  <c r="C981" i="39"/>
  <c r="A982" i="39"/>
  <c r="B982" i="39" s="1"/>
  <c r="B984" i="30"/>
  <c r="A985" i="30"/>
  <c r="D982" i="30"/>
  <c r="C983" i="30" s="1"/>
  <c r="E982" i="30"/>
  <c r="D977" i="25"/>
  <c r="C978" i="25" s="1"/>
  <c r="E977" i="25"/>
  <c r="A984" i="25"/>
  <c r="B984" i="25" s="1"/>
  <c r="F978" i="39" l="1"/>
  <c r="E978" i="39"/>
  <c r="D979" i="39" s="1"/>
  <c r="C982" i="39"/>
  <c r="A983" i="39"/>
  <c r="B983" i="39" s="1"/>
  <c r="B985" i="30"/>
  <c r="A986" i="30"/>
  <c r="D983" i="30"/>
  <c r="C984" i="30" s="1"/>
  <c r="E983" i="30"/>
  <c r="D978" i="25"/>
  <c r="C979" i="25" s="1"/>
  <c r="E978" i="25"/>
  <c r="A985" i="25"/>
  <c r="B985" i="25" s="1"/>
  <c r="E979" i="39" l="1"/>
  <c r="D980" i="39" s="1"/>
  <c r="F979" i="39"/>
  <c r="C983" i="39"/>
  <c r="A984" i="39"/>
  <c r="B984" i="39" s="1"/>
  <c r="B986" i="30"/>
  <c r="A987" i="30"/>
  <c r="D984" i="30"/>
  <c r="C985" i="30" s="1"/>
  <c r="E984" i="30"/>
  <c r="D979" i="25"/>
  <c r="C980" i="25" s="1"/>
  <c r="E979" i="25"/>
  <c r="A986" i="25"/>
  <c r="B986" i="25" s="1"/>
  <c r="E980" i="39" l="1"/>
  <c r="D981" i="39" s="1"/>
  <c r="F980" i="39"/>
  <c r="C984" i="39"/>
  <c r="A985" i="39"/>
  <c r="B985" i="39" s="1"/>
  <c r="B987" i="30"/>
  <c r="A988" i="30"/>
  <c r="D985" i="30"/>
  <c r="C986" i="30" s="1"/>
  <c r="E985" i="30"/>
  <c r="E980" i="25"/>
  <c r="D980" i="25"/>
  <c r="C981" i="25" s="1"/>
  <c r="A987" i="25"/>
  <c r="B987" i="25" s="1"/>
  <c r="E981" i="39" l="1"/>
  <c r="D982" i="39" s="1"/>
  <c r="F981" i="39"/>
  <c r="C985" i="39"/>
  <c r="A986" i="39"/>
  <c r="B986" i="39" s="1"/>
  <c r="B988" i="30"/>
  <c r="A989" i="30"/>
  <c r="D986" i="30"/>
  <c r="C987" i="30" s="1"/>
  <c r="E986" i="30"/>
  <c r="D981" i="25"/>
  <c r="C982" i="25" s="1"/>
  <c r="E981" i="25"/>
  <c r="A988" i="25"/>
  <c r="B988" i="25" s="1"/>
  <c r="F982" i="39" l="1"/>
  <c r="E982" i="39"/>
  <c r="D983" i="39" s="1"/>
  <c r="C986" i="39"/>
  <c r="A987" i="39"/>
  <c r="B987" i="39" s="1"/>
  <c r="B989" i="30"/>
  <c r="A990" i="30"/>
  <c r="D987" i="30"/>
  <c r="C988" i="30" s="1"/>
  <c r="E987" i="30"/>
  <c r="D982" i="25"/>
  <c r="C983" i="25" s="1"/>
  <c r="E982" i="25"/>
  <c r="A989" i="25"/>
  <c r="B989" i="25" s="1"/>
  <c r="F983" i="39" l="1"/>
  <c r="E983" i="39"/>
  <c r="D984" i="39" s="1"/>
  <c r="C987" i="39"/>
  <c r="A988" i="39"/>
  <c r="B988" i="39" s="1"/>
  <c r="B990" i="30"/>
  <c r="A991" i="30"/>
  <c r="D988" i="30"/>
  <c r="C989" i="30" s="1"/>
  <c r="E988" i="30"/>
  <c r="D983" i="25"/>
  <c r="C984" i="25" s="1"/>
  <c r="E983" i="25"/>
  <c r="A990" i="25"/>
  <c r="B990" i="25" s="1"/>
  <c r="E984" i="39" l="1"/>
  <c r="D985" i="39" s="1"/>
  <c r="F984" i="39"/>
  <c r="C988" i="39"/>
  <c r="A989" i="39"/>
  <c r="B989" i="39" s="1"/>
  <c r="B991" i="30"/>
  <c r="A992" i="30"/>
  <c r="D989" i="30"/>
  <c r="C990" i="30" s="1"/>
  <c r="E989" i="30"/>
  <c r="D984" i="25"/>
  <c r="C985" i="25" s="1"/>
  <c r="E984" i="25"/>
  <c r="A991" i="25"/>
  <c r="B991" i="25" s="1"/>
  <c r="E985" i="39" l="1"/>
  <c r="D986" i="39" s="1"/>
  <c r="F985" i="39"/>
  <c r="C989" i="39"/>
  <c r="A990" i="39"/>
  <c r="B990" i="39" s="1"/>
  <c r="B992" i="30"/>
  <c r="A993" i="30"/>
  <c r="D990" i="30"/>
  <c r="C991" i="30" s="1"/>
  <c r="E990" i="30"/>
  <c r="D985" i="25"/>
  <c r="C986" i="25" s="1"/>
  <c r="E985" i="25"/>
  <c r="A992" i="25"/>
  <c r="B992" i="25" s="1"/>
  <c r="E986" i="39" l="1"/>
  <c r="D987" i="39" s="1"/>
  <c r="F986" i="39"/>
  <c r="C990" i="39"/>
  <c r="A991" i="39"/>
  <c r="B991" i="39" s="1"/>
  <c r="B993" i="30"/>
  <c r="A994" i="30"/>
  <c r="D991" i="30"/>
  <c r="C992" i="30" s="1"/>
  <c r="E991" i="30"/>
  <c r="D986" i="25"/>
  <c r="C987" i="25" s="1"/>
  <c r="E986" i="25"/>
  <c r="A993" i="25"/>
  <c r="B993" i="25" s="1"/>
  <c r="E987" i="39" l="1"/>
  <c r="D988" i="39" s="1"/>
  <c r="F987" i="39"/>
  <c r="C991" i="39"/>
  <c r="A992" i="39"/>
  <c r="B992" i="39" s="1"/>
  <c r="B994" i="30"/>
  <c r="A995" i="30"/>
  <c r="D992" i="30"/>
  <c r="C993" i="30" s="1"/>
  <c r="E992" i="30"/>
  <c r="D987" i="25"/>
  <c r="C988" i="25" s="1"/>
  <c r="E987" i="25"/>
  <c r="A994" i="25"/>
  <c r="B994" i="25" s="1"/>
  <c r="F988" i="39" l="1"/>
  <c r="E988" i="39"/>
  <c r="D989" i="39" s="1"/>
  <c r="C992" i="39"/>
  <c r="A993" i="39"/>
  <c r="B993" i="39" s="1"/>
  <c r="B995" i="30"/>
  <c r="A996" i="30"/>
  <c r="D993" i="30"/>
  <c r="C994" i="30" s="1"/>
  <c r="E993" i="30"/>
  <c r="E988" i="25"/>
  <c r="D988" i="25"/>
  <c r="C989" i="25" s="1"/>
  <c r="A995" i="25"/>
  <c r="B995" i="25" s="1"/>
  <c r="E989" i="39" l="1"/>
  <c r="D990" i="39" s="1"/>
  <c r="F989" i="39"/>
  <c r="C993" i="39"/>
  <c r="A994" i="39"/>
  <c r="B994" i="39" s="1"/>
  <c r="B996" i="30"/>
  <c r="A997" i="30"/>
  <c r="D994" i="30"/>
  <c r="C995" i="30" s="1"/>
  <c r="E994" i="30"/>
  <c r="E989" i="25"/>
  <c r="D989" i="25"/>
  <c r="C990" i="25" s="1"/>
  <c r="A996" i="25"/>
  <c r="B996" i="25" s="1"/>
  <c r="F990" i="39" l="1"/>
  <c r="E990" i="39"/>
  <c r="D991" i="39" s="1"/>
  <c r="C994" i="39"/>
  <c r="A995" i="39"/>
  <c r="B995" i="39" s="1"/>
  <c r="B997" i="30"/>
  <c r="A998" i="30"/>
  <c r="D995" i="30"/>
  <c r="C996" i="30" s="1"/>
  <c r="E995" i="30"/>
  <c r="D990" i="25"/>
  <c r="C991" i="25" s="1"/>
  <c r="E990" i="25"/>
  <c r="A997" i="25"/>
  <c r="B997" i="25" s="1"/>
  <c r="E991" i="39" l="1"/>
  <c r="D992" i="39" s="1"/>
  <c r="F991" i="39"/>
  <c r="C995" i="39"/>
  <c r="A996" i="39"/>
  <c r="B996" i="39" s="1"/>
  <c r="B998" i="30"/>
  <c r="A999" i="30"/>
  <c r="D996" i="30"/>
  <c r="C997" i="30" s="1"/>
  <c r="E996" i="30"/>
  <c r="D991" i="25"/>
  <c r="C992" i="25" s="1"/>
  <c r="E991" i="25"/>
  <c r="A998" i="25"/>
  <c r="B998" i="25" s="1"/>
  <c r="E992" i="39" l="1"/>
  <c r="D993" i="39" s="1"/>
  <c r="F992" i="39"/>
  <c r="C996" i="39"/>
  <c r="A997" i="39"/>
  <c r="B997" i="39" s="1"/>
  <c r="B999" i="30"/>
  <c r="A1000" i="30"/>
  <c r="D997" i="30"/>
  <c r="C998" i="30" s="1"/>
  <c r="E997" i="30"/>
  <c r="D992" i="25"/>
  <c r="C993" i="25" s="1"/>
  <c r="E992" i="25"/>
  <c r="A999" i="25"/>
  <c r="B999" i="25" s="1"/>
  <c r="E993" i="39" l="1"/>
  <c r="D994" i="39" s="1"/>
  <c r="F993" i="39"/>
  <c r="C997" i="39"/>
  <c r="A998" i="39"/>
  <c r="B998" i="39" s="1"/>
  <c r="B1000" i="30"/>
  <c r="A1001" i="30"/>
  <c r="D998" i="30"/>
  <c r="C999" i="30" s="1"/>
  <c r="E998" i="30"/>
  <c r="D993" i="25"/>
  <c r="C994" i="25" s="1"/>
  <c r="E993" i="25"/>
  <c r="A1000" i="25"/>
  <c r="B1000" i="25" s="1"/>
  <c r="F994" i="39" l="1"/>
  <c r="E994" i="39"/>
  <c r="D995" i="39" s="1"/>
  <c r="C998" i="39"/>
  <c r="A999" i="39"/>
  <c r="B999" i="39" s="1"/>
  <c r="B1001" i="30"/>
  <c r="A1002" i="30"/>
  <c r="D999" i="30"/>
  <c r="C1000" i="30" s="1"/>
  <c r="E999" i="30"/>
  <c r="D994" i="25"/>
  <c r="C995" i="25" s="1"/>
  <c r="E994" i="25"/>
  <c r="A1001" i="25"/>
  <c r="B1001" i="25" s="1"/>
  <c r="F995" i="39" l="1"/>
  <c r="E995" i="39"/>
  <c r="D996" i="39" s="1"/>
  <c r="C999" i="39"/>
  <c r="A1000" i="39"/>
  <c r="B1000" i="39" s="1"/>
  <c r="B1002" i="30"/>
  <c r="A1003" i="30"/>
  <c r="D1000" i="30"/>
  <c r="C1001" i="30" s="1"/>
  <c r="E1000" i="30"/>
  <c r="D995" i="25"/>
  <c r="C996" i="25" s="1"/>
  <c r="E995" i="25"/>
  <c r="A1002" i="25"/>
  <c r="B1002" i="25" s="1"/>
  <c r="E996" i="39" l="1"/>
  <c r="D997" i="39" s="1"/>
  <c r="F996" i="39"/>
  <c r="C1000" i="39"/>
  <c r="A1001" i="39"/>
  <c r="B1001" i="39" s="1"/>
  <c r="B1003" i="30"/>
  <c r="A1004" i="30"/>
  <c r="D1001" i="30"/>
  <c r="C1002" i="30" s="1"/>
  <c r="E1001" i="30"/>
  <c r="D996" i="25"/>
  <c r="C997" i="25" s="1"/>
  <c r="E996" i="25"/>
  <c r="A1003" i="25"/>
  <c r="B1003" i="25" s="1"/>
  <c r="E997" i="39" l="1"/>
  <c r="D998" i="39" s="1"/>
  <c r="F997" i="39"/>
  <c r="C1001" i="39"/>
  <c r="A1002" i="39"/>
  <c r="B1002" i="39" s="1"/>
  <c r="B1004" i="30"/>
  <c r="A1005" i="30"/>
  <c r="D1002" i="30"/>
  <c r="C1003" i="30" s="1"/>
  <c r="E1002" i="30"/>
  <c r="E997" i="25"/>
  <c r="D997" i="25"/>
  <c r="C998" i="25" s="1"/>
  <c r="A1004" i="25"/>
  <c r="B1004" i="25" s="1"/>
  <c r="F998" i="39" l="1"/>
  <c r="E998" i="39"/>
  <c r="D999" i="39" s="1"/>
  <c r="C1002" i="39"/>
  <c r="A1003" i="39"/>
  <c r="B1003" i="39" s="1"/>
  <c r="B1005" i="30"/>
  <c r="A1006" i="30"/>
  <c r="D1003" i="30"/>
  <c r="C1004" i="30" s="1"/>
  <c r="E1003" i="30"/>
  <c r="D998" i="25"/>
  <c r="C999" i="25" s="1"/>
  <c r="E998" i="25"/>
  <c r="A1005" i="25"/>
  <c r="B1005" i="25" s="1"/>
  <c r="E999" i="39" l="1"/>
  <c r="D1000" i="39" s="1"/>
  <c r="F999" i="39"/>
  <c r="C1003" i="39"/>
  <c r="A1004" i="39"/>
  <c r="B1004" i="39" s="1"/>
  <c r="B1006" i="30"/>
  <c r="A1007" i="30"/>
  <c r="D1004" i="30"/>
  <c r="C1005" i="30" s="1"/>
  <c r="E1004" i="30"/>
  <c r="D999" i="25"/>
  <c r="C1000" i="25" s="1"/>
  <c r="E999" i="25"/>
  <c r="A1006" i="25"/>
  <c r="B1006" i="25" s="1"/>
  <c r="E1000" i="39" l="1"/>
  <c r="D1001" i="39" s="1"/>
  <c r="F1000" i="39"/>
  <c r="C1004" i="39"/>
  <c r="A1005" i="39"/>
  <c r="B1005" i="39" s="1"/>
  <c r="B1007" i="30"/>
  <c r="A1008" i="30"/>
  <c r="D1005" i="30"/>
  <c r="C1006" i="30" s="1"/>
  <c r="E1005" i="30"/>
  <c r="E1000" i="25"/>
  <c r="D1000" i="25"/>
  <c r="C1001" i="25" s="1"/>
  <c r="A1007" i="25"/>
  <c r="B1007" i="25" s="1"/>
  <c r="E1001" i="39" l="1"/>
  <c r="D1002" i="39" s="1"/>
  <c r="F1001" i="39"/>
  <c r="C1005" i="39"/>
  <c r="A1006" i="39"/>
  <c r="B1006" i="39" s="1"/>
  <c r="B1008" i="30"/>
  <c r="A1009" i="30"/>
  <c r="D1006" i="30"/>
  <c r="C1007" i="30" s="1"/>
  <c r="E1006" i="30"/>
  <c r="D1001" i="25"/>
  <c r="C1002" i="25" s="1"/>
  <c r="E1001" i="25"/>
  <c r="A1008" i="25"/>
  <c r="B1008" i="25" s="1"/>
  <c r="E1002" i="39" l="1"/>
  <c r="D1003" i="39" s="1"/>
  <c r="F1002" i="39"/>
  <c r="C1006" i="39"/>
  <c r="A1007" i="39"/>
  <c r="B1007" i="39" s="1"/>
  <c r="B1009" i="30"/>
  <c r="A1010" i="30"/>
  <c r="D1007" i="30"/>
  <c r="C1008" i="30" s="1"/>
  <c r="E1007" i="30"/>
  <c r="D1002" i="25"/>
  <c r="C1003" i="25" s="1"/>
  <c r="E1002" i="25"/>
  <c r="A1009" i="25"/>
  <c r="B1009" i="25" s="1"/>
  <c r="E1003" i="39" l="1"/>
  <c r="D1004" i="39" s="1"/>
  <c r="F1003" i="39"/>
  <c r="C1007" i="39"/>
  <c r="A1008" i="39"/>
  <c r="B1008" i="39" s="1"/>
  <c r="B1010" i="30"/>
  <c r="A1011" i="30"/>
  <c r="D1008" i="30"/>
  <c r="C1009" i="30" s="1"/>
  <c r="E1008" i="30"/>
  <c r="E1003" i="25"/>
  <c r="D1003" i="25"/>
  <c r="C1004" i="25" s="1"/>
  <c r="A1010" i="25"/>
  <c r="B1010" i="25" s="1"/>
  <c r="E1004" i="39" l="1"/>
  <c r="D1005" i="39" s="1"/>
  <c r="F1004" i="39"/>
  <c r="C1008" i="39"/>
  <c r="A1009" i="39"/>
  <c r="B1009" i="39" s="1"/>
  <c r="B1011" i="30"/>
  <c r="A1012" i="30"/>
  <c r="D1009" i="30"/>
  <c r="C1010" i="30" s="1"/>
  <c r="E1009" i="30"/>
  <c r="D1004" i="25"/>
  <c r="C1005" i="25" s="1"/>
  <c r="E1004" i="25"/>
  <c r="A1011" i="25"/>
  <c r="B1011" i="25" s="1"/>
  <c r="E1005" i="39" l="1"/>
  <c r="D1006" i="39" s="1"/>
  <c r="F1005" i="39"/>
  <c r="C1009" i="39"/>
  <c r="A1010" i="39"/>
  <c r="B1010" i="39" s="1"/>
  <c r="B1012" i="30"/>
  <c r="A1013" i="30"/>
  <c r="D1010" i="30"/>
  <c r="C1011" i="30" s="1"/>
  <c r="E1010" i="30"/>
  <c r="D1005" i="25"/>
  <c r="C1006" i="25" s="1"/>
  <c r="E1005" i="25"/>
  <c r="A1012" i="25"/>
  <c r="B1012" i="25" s="1"/>
  <c r="E1006" i="39" l="1"/>
  <c r="D1007" i="39" s="1"/>
  <c r="F1006" i="39"/>
  <c r="C1010" i="39"/>
  <c r="A1011" i="39"/>
  <c r="B1011" i="39" s="1"/>
  <c r="B1013" i="30"/>
  <c r="A1014" i="30"/>
  <c r="D1011" i="30"/>
  <c r="C1012" i="30" s="1"/>
  <c r="E1011" i="30"/>
  <c r="D1006" i="25"/>
  <c r="C1007" i="25" s="1"/>
  <c r="E1006" i="25"/>
  <c r="A1013" i="25"/>
  <c r="B1013" i="25" s="1"/>
  <c r="F1007" i="39" l="1"/>
  <c r="E1007" i="39"/>
  <c r="D1008" i="39" s="1"/>
  <c r="C1011" i="39"/>
  <c r="A1012" i="39"/>
  <c r="B1012" i="39" s="1"/>
  <c r="B1014" i="30"/>
  <c r="A1015" i="30"/>
  <c r="D1012" i="30"/>
  <c r="C1013" i="30" s="1"/>
  <c r="E1012" i="30"/>
  <c r="D1007" i="25"/>
  <c r="C1008" i="25" s="1"/>
  <c r="E1007" i="25"/>
  <c r="A1014" i="25"/>
  <c r="B1014" i="25" s="1"/>
  <c r="F1008" i="39" l="1"/>
  <c r="E1008" i="39"/>
  <c r="D1009" i="39" s="1"/>
  <c r="C1012" i="39"/>
  <c r="A1013" i="39"/>
  <c r="B1013" i="39" s="1"/>
  <c r="B1015" i="30"/>
  <c r="A1016" i="30"/>
  <c r="D1013" i="30"/>
  <c r="C1014" i="30" s="1"/>
  <c r="E1013" i="30"/>
  <c r="D1008" i="25"/>
  <c r="C1009" i="25" s="1"/>
  <c r="E1008" i="25"/>
  <c r="A1015" i="25"/>
  <c r="B1015" i="25" s="1"/>
  <c r="E1009" i="39" l="1"/>
  <c r="D1010" i="39" s="1"/>
  <c r="F1009" i="39"/>
  <c r="C1013" i="39"/>
  <c r="A1014" i="39"/>
  <c r="B1014" i="39" s="1"/>
  <c r="B1016" i="30"/>
  <c r="A1017" i="30"/>
  <c r="D1014" i="30"/>
  <c r="C1015" i="30" s="1"/>
  <c r="E1014" i="30"/>
  <c r="D1009" i="25"/>
  <c r="C1010" i="25" s="1"/>
  <c r="E1009" i="25"/>
  <c r="A1016" i="25"/>
  <c r="B1016" i="25" s="1"/>
  <c r="E1010" i="39" l="1"/>
  <c r="D1011" i="39" s="1"/>
  <c r="F1010" i="39"/>
  <c r="C1014" i="39"/>
  <c r="A1015" i="39"/>
  <c r="B1015" i="39" s="1"/>
  <c r="B1017" i="30"/>
  <c r="A1018" i="30"/>
  <c r="D1015" i="30"/>
  <c r="C1016" i="30" s="1"/>
  <c r="E1015" i="30"/>
  <c r="E1010" i="25"/>
  <c r="D1010" i="25"/>
  <c r="C1011" i="25" s="1"/>
  <c r="A1017" i="25"/>
  <c r="B1017" i="25" s="1"/>
  <c r="F1011" i="39" l="1"/>
  <c r="E1011" i="39"/>
  <c r="D1012" i="39" s="1"/>
  <c r="C1015" i="39"/>
  <c r="A1016" i="39"/>
  <c r="B1016" i="39" s="1"/>
  <c r="B1018" i="30"/>
  <c r="A1019" i="30"/>
  <c r="D1016" i="30"/>
  <c r="C1017" i="30" s="1"/>
  <c r="E1016" i="30"/>
  <c r="D1011" i="25"/>
  <c r="C1012" i="25" s="1"/>
  <c r="E1011" i="25"/>
  <c r="A1018" i="25"/>
  <c r="B1018" i="25" s="1"/>
  <c r="E1012" i="39" l="1"/>
  <c r="D1013" i="39" s="1"/>
  <c r="F1012" i="39"/>
  <c r="C1016" i="39"/>
  <c r="A1017" i="39"/>
  <c r="B1017" i="39" s="1"/>
  <c r="B1019" i="30"/>
  <c r="A1020" i="30"/>
  <c r="D1017" i="30"/>
  <c r="C1018" i="30" s="1"/>
  <c r="E1017" i="30"/>
  <c r="E1012" i="25"/>
  <c r="D1012" i="25"/>
  <c r="C1013" i="25" s="1"/>
  <c r="A1019" i="25"/>
  <c r="B1019" i="25" s="1"/>
  <c r="F1013" i="39" l="1"/>
  <c r="E1013" i="39"/>
  <c r="D1014" i="39" s="1"/>
  <c r="C1017" i="39"/>
  <c r="A1018" i="39"/>
  <c r="B1018" i="39" s="1"/>
  <c r="B1020" i="30"/>
  <c r="A1021" i="30"/>
  <c r="D1018" i="30"/>
  <c r="C1019" i="30" s="1"/>
  <c r="E1018" i="30"/>
  <c r="D1013" i="25"/>
  <c r="C1014" i="25" s="1"/>
  <c r="E1013" i="25"/>
  <c r="A1020" i="25"/>
  <c r="B1020" i="25" s="1"/>
  <c r="E1014" i="39" l="1"/>
  <c r="D1015" i="39" s="1"/>
  <c r="F1014" i="39"/>
  <c r="C1018" i="39"/>
  <c r="A1019" i="39"/>
  <c r="B1019" i="39" s="1"/>
  <c r="B1021" i="30"/>
  <c r="A1022" i="30"/>
  <c r="D1019" i="30"/>
  <c r="C1020" i="30" s="1"/>
  <c r="E1019" i="30"/>
  <c r="D1014" i="25"/>
  <c r="C1015" i="25" s="1"/>
  <c r="E1014" i="25"/>
  <c r="A1021" i="25"/>
  <c r="B1021" i="25" s="1"/>
  <c r="F1015" i="39" l="1"/>
  <c r="E1015" i="39"/>
  <c r="D1016" i="39" s="1"/>
  <c r="C1019" i="39"/>
  <c r="A1020" i="39"/>
  <c r="B1020" i="39" s="1"/>
  <c r="B1022" i="30"/>
  <c r="A1023" i="30"/>
  <c r="D1020" i="30"/>
  <c r="C1021" i="30" s="1"/>
  <c r="E1020" i="30"/>
  <c r="D1015" i="25"/>
  <c r="C1016" i="25" s="1"/>
  <c r="E1015" i="25"/>
  <c r="A1022" i="25"/>
  <c r="B1022" i="25" s="1"/>
  <c r="E1016" i="39" l="1"/>
  <c r="D1017" i="39" s="1"/>
  <c r="F1016" i="39"/>
  <c r="C1020" i="39"/>
  <c r="A1021" i="39"/>
  <c r="B1021" i="39" s="1"/>
  <c r="B1023" i="30"/>
  <c r="A1024" i="30"/>
  <c r="D1021" i="30"/>
  <c r="C1022" i="30" s="1"/>
  <c r="E1021" i="30"/>
  <c r="D1016" i="25"/>
  <c r="C1017" i="25" s="1"/>
  <c r="E1016" i="25"/>
  <c r="A1023" i="25"/>
  <c r="B1023" i="25" s="1"/>
  <c r="F1017" i="39" l="1"/>
  <c r="E1017" i="39"/>
  <c r="D1018" i="39" s="1"/>
  <c r="C1021" i="39"/>
  <c r="A1022" i="39"/>
  <c r="B1022" i="39" s="1"/>
  <c r="B1024" i="30"/>
  <c r="A1025" i="30"/>
  <c r="D1022" i="30"/>
  <c r="C1023" i="30" s="1"/>
  <c r="E1022" i="30"/>
  <c r="D1017" i="25"/>
  <c r="C1018" i="25" s="1"/>
  <c r="E1017" i="25"/>
  <c r="A1024" i="25"/>
  <c r="B1024" i="25" s="1"/>
  <c r="E1018" i="39" l="1"/>
  <c r="D1019" i="39" s="1"/>
  <c r="F1018" i="39"/>
  <c r="C1022" i="39"/>
  <c r="A1023" i="39"/>
  <c r="B1023" i="39" s="1"/>
  <c r="B1025" i="30"/>
  <c r="A1026" i="30"/>
  <c r="D1023" i="30"/>
  <c r="C1024" i="30" s="1"/>
  <c r="E1023" i="30"/>
  <c r="D1018" i="25"/>
  <c r="C1019" i="25" s="1"/>
  <c r="E1018" i="25"/>
  <c r="A1025" i="25"/>
  <c r="B1025" i="25" s="1"/>
  <c r="F1019" i="39" l="1"/>
  <c r="E1019" i="39"/>
  <c r="D1020" i="39" s="1"/>
  <c r="C1023" i="39"/>
  <c r="A1024" i="39"/>
  <c r="B1024" i="39" s="1"/>
  <c r="B1026" i="30"/>
  <c r="A1027" i="30"/>
  <c r="D1024" i="30"/>
  <c r="C1025" i="30" s="1"/>
  <c r="E1024" i="30"/>
  <c r="D1019" i="25"/>
  <c r="C1020" i="25" s="1"/>
  <c r="E1019" i="25"/>
  <c r="A1026" i="25"/>
  <c r="B1026" i="25" s="1"/>
  <c r="F1020" i="39" l="1"/>
  <c r="E1020" i="39"/>
  <c r="D1021" i="39" s="1"/>
  <c r="C1024" i="39"/>
  <c r="A1025" i="39"/>
  <c r="B1025" i="39" s="1"/>
  <c r="B1027" i="30"/>
  <c r="A1028" i="30"/>
  <c r="D1025" i="30"/>
  <c r="C1026" i="30" s="1"/>
  <c r="E1025" i="30"/>
  <c r="D1020" i="25"/>
  <c r="C1021" i="25" s="1"/>
  <c r="E1020" i="25"/>
  <c r="A1027" i="25"/>
  <c r="B1027" i="25" s="1"/>
  <c r="E1021" i="39" l="1"/>
  <c r="D1022" i="39" s="1"/>
  <c r="F1021" i="39"/>
  <c r="C1025" i="39"/>
  <c r="A1026" i="39"/>
  <c r="B1026" i="39" s="1"/>
  <c r="B1028" i="30"/>
  <c r="A1029" i="30"/>
  <c r="D1026" i="30"/>
  <c r="C1027" i="30" s="1"/>
  <c r="E1026" i="30"/>
  <c r="D1021" i="25"/>
  <c r="C1022" i="25" s="1"/>
  <c r="E1021" i="25"/>
  <c r="A1028" i="25"/>
  <c r="B1028" i="25" s="1"/>
  <c r="F1022" i="39" l="1"/>
  <c r="E1022" i="39"/>
  <c r="D1023" i="39" s="1"/>
  <c r="C1026" i="39"/>
  <c r="A1027" i="39"/>
  <c r="B1027" i="39" s="1"/>
  <c r="B1029" i="30"/>
  <c r="A1030" i="30"/>
  <c r="D1027" i="30"/>
  <c r="C1028" i="30" s="1"/>
  <c r="E1027" i="30"/>
  <c r="E1022" i="25"/>
  <c r="D1022" i="25"/>
  <c r="C1023" i="25" s="1"/>
  <c r="A1029" i="25"/>
  <c r="B1029" i="25" s="1"/>
  <c r="F1023" i="39" l="1"/>
  <c r="E1023" i="39"/>
  <c r="D1024" i="39" s="1"/>
  <c r="C1027" i="39"/>
  <c r="A1028" i="39"/>
  <c r="B1028" i="39" s="1"/>
  <c r="B1030" i="30"/>
  <c r="A1031" i="30"/>
  <c r="D1028" i="30"/>
  <c r="C1029" i="30" s="1"/>
  <c r="E1028" i="30"/>
  <c r="D1023" i="25"/>
  <c r="C1024" i="25" s="1"/>
  <c r="E1023" i="25"/>
  <c r="A1030" i="25"/>
  <c r="B1030" i="25" s="1"/>
  <c r="E1024" i="39" l="1"/>
  <c r="D1025" i="39" s="1"/>
  <c r="F1024" i="39"/>
  <c r="C1028" i="39"/>
  <c r="A1029" i="39"/>
  <c r="B1029" i="39" s="1"/>
  <c r="B1031" i="30"/>
  <c r="A1032" i="30"/>
  <c r="D1029" i="30"/>
  <c r="C1030" i="30" s="1"/>
  <c r="E1029" i="30"/>
  <c r="E1024" i="25"/>
  <c r="D1024" i="25"/>
  <c r="C1025" i="25" s="1"/>
  <c r="A1031" i="25"/>
  <c r="B1031" i="25" s="1"/>
  <c r="E1025" i="39" l="1"/>
  <c r="D1026" i="39" s="1"/>
  <c r="F1025" i="39"/>
  <c r="C1029" i="39"/>
  <c r="A1030" i="39"/>
  <c r="B1030" i="39" s="1"/>
  <c r="B1032" i="30"/>
  <c r="A1033" i="30"/>
  <c r="D1030" i="30"/>
  <c r="C1031" i="30" s="1"/>
  <c r="E1030" i="30"/>
  <c r="D1025" i="25"/>
  <c r="C1026" i="25" s="1"/>
  <c r="E1025" i="25"/>
  <c r="A1032" i="25"/>
  <c r="B1032" i="25" s="1"/>
  <c r="F1026" i="39" l="1"/>
  <c r="E1026" i="39"/>
  <c r="D1027" i="39" s="1"/>
  <c r="C1030" i="39"/>
  <c r="A1031" i="39"/>
  <c r="B1031" i="39" s="1"/>
  <c r="B1033" i="30"/>
  <c r="A1034" i="30"/>
  <c r="D1031" i="30"/>
  <c r="C1032" i="30" s="1"/>
  <c r="E1031" i="30"/>
  <c r="E1026" i="25"/>
  <c r="D1026" i="25"/>
  <c r="C1027" i="25" s="1"/>
  <c r="A1033" i="25"/>
  <c r="B1033" i="25" s="1"/>
  <c r="F1027" i="39" l="1"/>
  <c r="E1027" i="39"/>
  <c r="D1028" i="39" s="1"/>
  <c r="C1031" i="39"/>
  <c r="A1032" i="39"/>
  <c r="B1032" i="39" s="1"/>
  <c r="B1034" i="30"/>
  <c r="A1035" i="30"/>
  <c r="D1032" i="30"/>
  <c r="C1033" i="30" s="1"/>
  <c r="E1032" i="30"/>
  <c r="D1027" i="25"/>
  <c r="C1028" i="25" s="1"/>
  <c r="E1027" i="25"/>
  <c r="A1034" i="25"/>
  <c r="B1034" i="25" s="1"/>
  <c r="F1028" i="39" l="1"/>
  <c r="E1028" i="39"/>
  <c r="D1029" i="39" s="1"/>
  <c r="C1032" i="39"/>
  <c r="A1033" i="39"/>
  <c r="B1033" i="39" s="1"/>
  <c r="B1035" i="30"/>
  <c r="A1036" i="30"/>
  <c r="D1033" i="30"/>
  <c r="C1034" i="30" s="1"/>
  <c r="E1033" i="30"/>
  <c r="E1028" i="25"/>
  <c r="D1028" i="25"/>
  <c r="C1029" i="25" s="1"/>
  <c r="A1035" i="25"/>
  <c r="B1035" i="25" s="1"/>
  <c r="F1029" i="39" l="1"/>
  <c r="E1029" i="39"/>
  <c r="D1030" i="39" s="1"/>
  <c r="C1033" i="39"/>
  <c r="A1034" i="39"/>
  <c r="B1034" i="39" s="1"/>
  <c r="B1036" i="30"/>
  <c r="A1037" i="30"/>
  <c r="D1034" i="30"/>
  <c r="C1035" i="30" s="1"/>
  <c r="E1034" i="30"/>
  <c r="E1029" i="25"/>
  <c r="D1029" i="25"/>
  <c r="C1030" i="25" s="1"/>
  <c r="A1036" i="25"/>
  <c r="B1036" i="25" s="1"/>
  <c r="F1030" i="39" l="1"/>
  <c r="E1030" i="39"/>
  <c r="D1031" i="39" s="1"/>
  <c r="C1034" i="39"/>
  <c r="A1035" i="39"/>
  <c r="B1035" i="39" s="1"/>
  <c r="B1037" i="30"/>
  <c r="A1038" i="30"/>
  <c r="D1035" i="30"/>
  <c r="C1036" i="30" s="1"/>
  <c r="E1035" i="30"/>
  <c r="D1030" i="25"/>
  <c r="C1031" i="25" s="1"/>
  <c r="E1030" i="25"/>
  <c r="A1037" i="25"/>
  <c r="B1037" i="25" s="1"/>
  <c r="F1031" i="39" l="1"/>
  <c r="E1031" i="39"/>
  <c r="D1032" i="39" s="1"/>
  <c r="C1035" i="39"/>
  <c r="A1036" i="39"/>
  <c r="B1036" i="39" s="1"/>
  <c r="B1038" i="30"/>
  <c r="A1039" i="30"/>
  <c r="D1036" i="30"/>
  <c r="C1037" i="30" s="1"/>
  <c r="E1036" i="30"/>
  <c r="D1031" i="25"/>
  <c r="C1032" i="25" s="1"/>
  <c r="E1031" i="25"/>
  <c r="A1038" i="25"/>
  <c r="B1038" i="25" s="1"/>
  <c r="F1032" i="39" l="1"/>
  <c r="E1032" i="39"/>
  <c r="D1033" i="39" s="1"/>
  <c r="C1036" i="39"/>
  <c r="A1037" i="39"/>
  <c r="B1037" i="39" s="1"/>
  <c r="B1039" i="30"/>
  <c r="A1040" i="30"/>
  <c r="D1037" i="30"/>
  <c r="C1038" i="30" s="1"/>
  <c r="E1037" i="30"/>
  <c r="E1032" i="25"/>
  <c r="D1032" i="25"/>
  <c r="C1033" i="25" s="1"/>
  <c r="A1039" i="25"/>
  <c r="B1039" i="25" s="1"/>
  <c r="E1033" i="39" l="1"/>
  <c r="D1034" i="39" s="1"/>
  <c r="F1033" i="39"/>
  <c r="C1037" i="39"/>
  <c r="A1038" i="39"/>
  <c r="B1038" i="39" s="1"/>
  <c r="B1040" i="30"/>
  <c r="A1041" i="30"/>
  <c r="D1038" i="30"/>
  <c r="C1039" i="30" s="1"/>
  <c r="E1038" i="30"/>
  <c r="D1033" i="25"/>
  <c r="C1034" i="25" s="1"/>
  <c r="E1033" i="25"/>
  <c r="A1040" i="25"/>
  <c r="B1040" i="25" s="1"/>
  <c r="F1034" i="39" l="1"/>
  <c r="E1034" i="39"/>
  <c r="D1035" i="39" s="1"/>
  <c r="C1038" i="39"/>
  <c r="A1039" i="39"/>
  <c r="B1039" i="39" s="1"/>
  <c r="B1041" i="30"/>
  <c r="A1042" i="30"/>
  <c r="D1039" i="30"/>
  <c r="C1040" i="30" s="1"/>
  <c r="E1039" i="30"/>
  <c r="E1034" i="25"/>
  <c r="D1034" i="25"/>
  <c r="C1035" i="25" s="1"/>
  <c r="A1041" i="25"/>
  <c r="B1041" i="25" s="1"/>
  <c r="F1035" i="39" l="1"/>
  <c r="E1035" i="39"/>
  <c r="D1036" i="39" s="1"/>
  <c r="C1039" i="39"/>
  <c r="A1040" i="39"/>
  <c r="B1040" i="39" s="1"/>
  <c r="B1042" i="30"/>
  <c r="A1043" i="30"/>
  <c r="D1040" i="30"/>
  <c r="C1041" i="30" s="1"/>
  <c r="E1040" i="30"/>
  <c r="D1035" i="25"/>
  <c r="C1036" i="25" s="1"/>
  <c r="E1035" i="25"/>
  <c r="A1042" i="25"/>
  <c r="B1042" i="25" s="1"/>
  <c r="E1036" i="39" l="1"/>
  <c r="D1037" i="39" s="1"/>
  <c r="F1036" i="39"/>
  <c r="C1040" i="39"/>
  <c r="A1041" i="39"/>
  <c r="B1041" i="39" s="1"/>
  <c r="B1043" i="30"/>
  <c r="A1044" i="30"/>
  <c r="D1041" i="30"/>
  <c r="C1042" i="30" s="1"/>
  <c r="E1041" i="30"/>
  <c r="D1036" i="25"/>
  <c r="C1037" i="25" s="1"/>
  <c r="E1036" i="25"/>
  <c r="A1043" i="25"/>
  <c r="B1043" i="25" s="1"/>
  <c r="E1037" i="39" l="1"/>
  <c r="D1038" i="39" s="1"/>
  <c r="F1037" i="39"/>
  <c r="C1041" i="39"/>
  <c r="A1042" i="39"/>
  <c r="B1042" i="39" s="1"/>
  <c r="B1044" i="30"/>
  <c r="A1045" i="30"/>
  <c r="D1042" i="30"/>
  <c r="C1043" i="30" s="1"/>
  <c r="E1042" i="30"/>
  <c r="D1037" i="25"/>
  <c r="C1038" i="25" s="1"/>
  <c r="E1037" i="25"/>
  <c r="A1044" i="25"/>
  <c r="B1044" i="25" s="1"/>
  <c r="F1038" i="39" l="1"/>
  <c r="E1038" i="39"/>
  <c r="D1039" i="39" s="1"/>
  <c r="C1042" i="39"/>
  <c r="A1043" i="39"/>
  <c r="B1043" i="39" s="1"/>
  <c r="B1045" i="30"/>
  <c r="A1046" i="30"/>
  <c r="D1043" i="30"/>
  <c r="C1044" i="30" s="1"/>
  <c r="E1043" i="30"/>
  <c r="D1038" i="25"/>
  <c r="C1039" i="25" s="1"/>
  <c r="E1038" i="25"/>
  <c r="A1045" i="25"/>
  <c r="B1045" i="25" s="1"/>
  <c r="F1039" i="39" l="1"/>
  <c r="E1039" i="39"/>
  <c r="D1040" i="39" s="1"/>
  <c r="C1043" i="39"/>
  <c r="A1044" i="39"/>
  <c r="B1044" i="39" s="1"/>
  <c r="B1046" i="30"/>
  <c r="A1047" i="30"/>
  <c r="D1044" i="30"/>
  <c r="C1045" i="30" s="1"/>
  <c r="E1044" i="30"/>
  <c r="E1039" i="25"/>
  <c r="D1039" i="25"/>
  <c r="C1040" i="25" s="1"/>
  <c r="A1046" i="25"/>
  <c r="B1046" i="25" s="1"/>
  <c r="F1040" i="39" l="1"/>
  <c r="E1040" i="39"/>
  <c r="D1041" i="39" s="1"/>
  <c r="C1044" i="39"/>
  <c r="A1045" i="39"/>
  <c r="B1045" i="39" s="1"/>
  <c r="B1047" i="30"/>
  <c r="A1048" i="30"/>
  <c r="D1045" i="30"/>
  <c r="C1046" i="30" s="1"/>
  <c r="E1045" i="30"/>
  <c r="D1040" i="25"/>
  <c r="C1041" i="25" s="1"/>
  <c r="E1040" i="25"/>
  <c r="A1047" i="25"/>
  <c r="B1047" i="25" s="1"/>
  <c r="E1041" i="39" l="1"/>
  <c r="D1042" i="39" s="1"/>
  <c r="F1041" i="39"/>
  <c r="C1045" i="39"/>
  <c r="A1046" i="39"/>
  <c r="B1046" i="39" s="1"/>
  <c r="B1048" i="30"/>
  <c r="A1049" i="30"/>
  <c r="D1046" i="30"/>
  <c r="C1047" i="30" s="1"/>
  <c r="E1046" i="30"/>
  <c r="E1041" i="25"/>
  <c r="D1041" i="25"/>
  <c r="C1042" i="25" s="1"/>
  <c r="A1048" i="25"/>
  <c r="B1048" i="25" s="1"/>
  <c r="E1042" i="39" l="1"/>
  <c r="D1043" i="39" s="1"/>
  <c r="F1042" i="39"/>
  <c r="C1046" i="39"/>
  <c r="A1047" i="39"/>
  <c r="B1047" i="39" s="1"/>
  <c r="B1049" i="30"/>
  <c r="A1050" i="30"/>
  <c r="D1047" i="30"/>
  <c r="C1048" i="30" s="1"/>
  <c r="E1047" i="30"/>
  <c r="D1042" i="25"/>
  <c r="C1043" i="25" s="1"/>
  <c r="E1042" i="25"/>
  <c r="A1049" i="25"/>
  <c r="B1049" i="25" s="1"/>
  <c r="F1043" i="39" l="1"/>
  <c r="E1043" i="39"/>
  <c r="D1044" i="39" s="1"/>
  <c r="C1047" i="39"/>
  <c r="A1048" i="39"/>
  <c r="B1048" i="39" s="1"/>
  <c r="B1050" i="30"/>
  <c r="A1051" i="30"/>
  <c r="D1048" i="30"/>
  <c r="C1049" i="30" s="1"/>
  <c r="E1048" i="30"/>
  <c r="D1043" i="25"/>
  <c r="C1044" i="25" s="1"/>
  <c r="E1043" i="25"/>
  <c r="A1050" i="25"/>
  <c r="B1050" i="25" s="1"/>
  <c r="E1044" i="39" l="1"/>
  <c r="D1045" i="39" s="1"/>
  <c r="F1044" i="39"/>
  <c r="C1048" i="39"/>
  <c r="A1049" i="39"/>
  <c r="B1049" i="39" s="1"/>
  <c r="B1051" i="30"/>
  <c r="A1052" i="30"/>
  <c r="D1049" i="30"/>
  <c r="C1050" i="30" s="1"/>
  <c r="E1049" i="30"/>
  <c r="D1044" i="25"/>
  <c r="C1045" i="25" s="1"/>
  <c r="E1044" i="25"/>
  <c r="A1051" i="25"/>
  <c r="B1051" i="25" s="1"/>
  <c r="E1045" i="39" l="1"/>
  <c r="D1046" i="39" s="1"/>
  <c r="F1045" i="39"/>
  <c r="C1049" i="39"/>
  <c r="A1050" i="39"/>
  <c r="B1050" i="39" s="1"/>
  <c r="B1052" i="30"/>
  <c r="A1053" i="30"/>
  <c r="D1050" i="30"/>
  <c r="C1051" i="30" s="1"/>
  <c r="E1050" i="30"/>
  <c r="D1045" i="25"/>
  <c r="C1046" i="25" s="1"/>
  <c r="E1045" i="25"/>
  <c r="A1052" i="25"/>
  <c r="B1052" i="25" s="1"/>
  <c r="E1046" i="39" l="1"/>
  <c r="D1047" i="39" s="1"/>
  <c r="F1046" i="39"/>
  <c r="C1050" i="39"/>
  <c r="A1051" i="39"/>
  <c r="B1051" i="39" s="1"/>
  <c r="B1053" i="30"/>
  <c r="A1054" i="30"/>
  <c r="D1051" i="30"/>
  <c r="C1052" i="30" s="1"/>
  <c r="E1051" i="30"/>
  <c r="E1046" i="25"/>
  <c r="D1046" i="25"/>
  <c r="C1047" i="25" s="1"/>
  <c r="A1053" i="25"/>
  <c r="B1053" i="25" s="1"/>
  <c r="E1047" i="39" l="1"/>
  <c r="D1048" i="39" s="1"/>
  <c r="F1047" i="39"/>
  <c r="C1051" i="39"/>
  <c r="A1052" i="39"/>
  <c r="B1052" i="39" s="1"/>
  <c r="B1054" i="30"/>
  <c r="A1055" i="30"/>
  <c r="D1052" i="30"/>
  <c r="C1053" i="30" s="1"/>
  <c r="E1052" i="30"/>
  <c r="D1047" i="25"/>
  <c r="C1048" i="25" s="1"/>
  <c r="E1047" i="25"/>
  <c r="A1054" i="25"/>
  <c r="B1054" i="25" s="1"/>
  <c r="E1048" i="39" l="1"/>
  <c r="D1049" i="39" s="1"/>
  <c r="F1048" i="39"/>
  <c r="C1052" i="39"/>
  <c r="A1053" i="39"/>
  <c r="B1053" i="39" s="1"/>
  <c r="B1055" i="30"/>
  <c r="A1056" i="30"/>
  <c r="D1053" i="30"/>
  <c r="C1054" i="30" s="1"/>
  <c r="E1053" i="30"/>
  <c r="D1048" i="25"/>
  <c r="C1049" i="25" s="1"/>
  <c r="E1048" i="25"/>
  <c r="A1055" i="25"/>
  <c r="B1055" i="25" s="1"/>
  <c r="F1049" i="39" l="1"/>
  <c r="E1049" i="39"/>
  <c r="D1050" i="39" s="1"/>
  <c r="C1053" i="39"/>
  <c r="A1054" i="39"/>
  <c r="B1054" i="39" s="1"/>
  <c r="B1056" i="30"/>
  <c r="A1057" i="30"/>
  <c r="D1054" i="30"/>
  <c r="C1055" i="30" s="1"/>
  <c r="E1054" i="30"/>
  <c r="D1049" i="25"/>
  <c r="C1050" i="25" s="1"/>
  <c r="E1049" i="25"/>
  <c r="A1056" i="25"/>
  <c r="B1056" i="25" s="1"/>
  <c r="E1050" i="39" l="1"/>
  <c r="D1051" i="39" s="1"/>
  <c r="F1050" i="39"/>
  <c r="C1054" i="39"/>
  <c r="A1055" i="39"/>
  <c r="B1055" i="39" s="1"/>
  <c r="B1057" i="30"/>
  <c r="A1058" i="30"/>
  <c r="D1055" i="30"/>
  <c r="C1056" i="30" s="1"/>
  <c r="E1055" i="30"/>
  <c r="D1050" i="25"/>
  <c r="C1051" i="25" s="1"/>
  <c r="E1050" i="25"/>
  <c r="A1057" i="25"/>
  <c r="B1057" i="25" s="1"/>
  <c r="F1051" i="39" l="1"/>
  <c r="E1051" i="39"/>
  <c r="D1052" i="39" s="1"/>
  <c r="C1055" i="39"/>
  <c r="A1056" i="39"/>
  <c r="B1056" i="39" s="1"/>
  <c r="B1058" i="30"/>
  <c r="A1059" i="30"/>
  <c r="D1056" i="30"/>
  <c r="C1057" i="30" s="1"/>
  <c r="E1056" i="30"/>
  <c r="D1051" i="25"/>
  <c r="C1052" i="25" s="1"/>
  <c r="E1051" i="25"/>
  <c r="A1058" i="25"/>
  <c r="B1058" i="25" s="1"/>
  <c r="E1052" i="39" l="1"/>
  <c r="D1053" i="39" s="1"/>
  <c r="F1052" i="39"/>
  <c r="C1056" i="39"/>
  <c r="A1057" i="39"/>
  <c r="B1057" i="39" s="1"/>
  <c r="B1059" i="30"/>
  <c r="A1060" i="30"/>
  <c r="D1057" i="30"/>
  <c r="C1058" i="30" s="1"/>
  <c r="E1057" i="30"/>
  <c r="D1052" i="25"/>
  <c r="C1053" i="25" s="1"/>
  <c r="E1052" i="25"/>
  <c r="A1059" i="25"/>
  <c r="B1059" i="25" s="1"/>
  <c r="F1053" i="39" l="1"/>
  <c r="E1053" i="39"/>
  <c r="D1054" i="39" s="1"/>
  <c r="C1057" i="39"/>
  <c r="A1058" i="39"/>
  <c r="B1058" i="39" s="1"/>
  <c r="B1060" i="30"/>
  <c r="A1061" i="30"/>
  <c r="D1058" i="30"/>
  <c r="C1059" i="30" s="1"/>
  <c r="E1058" i="30"/>
  <c r="E1053" i="25"/>
  <c r="D1053" i="25"/>
  <c r="C1054" i="25" s="1"/>
  <c r="A1060" i="25"/>
  <c r="B1060" i="25" s="1"/>
  <c r="E1054" i="39" l="1"/>
  <c r="D1055" i="39" s="1"/>
  <c r="F1054" i="39"/>
  <c r="C1058" i="39"/>
  <c r="A1059" i="39"/>
  <c r="B1059" i="39" s="1"/>
  <c r="B1061" i="30"/>
  <c r="A1062" i="30"/>
  <c r="D1059" i="30"/>
  <c r="C1060" i="30" s="1"/>
  <c r="E1059" i="30"/>
  <c r="D1054" i="25"/>
  <c r="C1055" i="25" s="1"/>
  <c r="E1054" i="25"/>
  <c r="A1061" i="25"/>
  <c r="B1061" i="25" s="1"/>
  <c r="F1055" i="39" l="1"/>
  <c r="E1055" i="39"/>
  <c r="D1056" i="39" s="1"/>
  <c r="C1059" i="39"/>
  <c r="A1060" i="39"/>
  <c r="B1060" i="39" s="1"/>
  <c r="B1062" i="30"/>
  <c r="A1063" i="30"/>
  <c r="D1060" i="30"/>
  <c r="C1061" i="30" s="1"/>
  <c r="E1060" i="30"/>
  <c r="D1055" i="25"/>
  <c r="C1056" i="25" s="1"/>
  <c r="E1055" i="25"/>
  <c r="A1062" i="25"/>
  <c r="B1062" i="25" s="1"/>
  <c r="E1056" i="39" l="1"/>
  <c r="D1057" i="39" s="1"/>
  <c r="F1056" i="39"/>
  <c r="C1060" i="39"/>
  <c r="A1061" i="39"/>
  <c r="B1061" i="39" s="1"/>
  <c r="B1063" i="30"/>
  <c r="A1064" i="30"/>
  <c r="D1061" i="30"/>
  <c r="C1062" i="30" s="1"/>
  <c r="E1061" i="30"/>
  <c r="D1056" i="25"/>
  <c r="C1057" i="25" s="1"/>
  <c r="E1056" i="25"/>
  <c r="A1063" i="25"/>
  <c r="B1063" i="25" s="1"/>
  <c r="F1057" i="39" l="1"/>
  <c r="E1057" i="39"/>
  <c r="D1058" i="39" s="1"/>
  <c r="C1061" i="39"/>
  <c r="A1062" i="39"/>
  <c r="B1062" i="39" s="1"/>
  <c r="B1064" i="30"/>
  <c r="A1065" i="30"/>
  <c r="D1062" i="30"/>
  <c r="C1063" i="30" s="1"/>
  <c r="E1062" i="30"/>
  <c r="D1057" i="25"/>
  <c r="C1058" i="25" s="1"/>
  <c r="E1057" i="25"/>
  <c r="A1064" i="25"/>
  <c r="B1064" i="25" s="1"/>
  <c r="E1058" i="39" l="1"/>
  <c r="D1059" i="39" s="1"/>
  <c r="F1058" i="39"/>
  <c r="C1062" i="39"/>
  <c r="A1063" i="39"/>
  <c r="B1063" i="39" s="1"/>
  <c r="B1065" i="30"/>
  <c r="A1066" i="30"/>
  <c r="D1063" i="30"/>
  <c r="C1064" i="30" s="1"/>
  <c r="E1063" i="30"/>
  <c r="D1058" i="25"/>
  <c r="C1059" i="25" s="1"/>
  <c r="E1058" i="25"/>
  <c r="A1065" i="25"/>
  <c r="B1065" i="25" s="1"/>
  <c r="F1059" i="39" l="1"/>
  <c r="E1059" i="39"/>
  <c r="D1060" i="39" s="1"/>
  <c r="C1063" i="39"/>
  <c r="A1064" i="39"/>
  <c r="B1064" i="39" s="1"/>
  <c r="B1066" i="30"/>
  <c r="A1067" i="30"/>
  <c r="D1064" i="30"/>
  <c r="C1065" i="30" s="1"/>
  <c r="E1064" i="30"/>
  <c r="D1059" i="25"/>
  <c r="C1060" i="25" s="1"/>
  <c r="E1059" i="25"/>
  <c r="A1066" i="25"/>
  <c r="B1066" i="25" s="1"/>
  <c r="E1060" i="39" l="1"/>
  <c r="D1061" i="39" s="1"/>
  <c r="F1060" i="39"/>
  <c r="C1064" i="39"/>
  <c r="A1065" i="39"/>
  <c r="B1065" i="39" s="1"/>
  <c r="B1067" i="30"/>
  <c r="A1068" i="30"/>
  <c r="D1065" i="30"/>
  <c r="C1066" i="30" s="1"/>
  <c r="E1065" i="30"/>
  <c r="E1060" i="25"/>
  <c r="D1060" i="25"/>
  <c r="C1061" i="25" s="1"/>
  <c r="A1067" i="25"/>
  <c r="B1067" i="25" s="1"/>
  <c r="F1061" i="39" l="1"/>
  <c r="E1061" i="39"/>
  <c r="D1062" i="39" s="1"/>
  <c r="C1065" i="39"/>
  <c r="A1066" i="39"/>
  <c r="B1066" i="39" s="1"/>
  <c r="B1068" i="30"/>
  <c r="A1069" i="30"/>
  <c r="D1066" i="30"/>
  <c r="C1067" i="30" s="1"/>
  <c r="E1066" i="30"/>
  <c r="D1061" i="25"/>
  <c r="C1062" i="25" s="1"/>
  <c r="E1061" i="25"/>
  <c r="A1068" i="25"/>
  <c r="B1068" i="25" s="1"/>
  <c r="E1062" i="39" l="1"/>
  <c r="D1063" i="39" s="1"/>
  <c r="F1062" i="39"/>
  <c r="C1066" i="39"/>
  <c r="A1067" i="39"/>
  <c r="B1067" i="39" s="1"/>
  <c r="B1069" i="30"/>
  <c r="A1070" i="30"/>
  <c r="D1067" i="30"/>
  <c r="C1068" i="30" s="1"/>
  <c r="E1067" i="30"/>
  <c r="D1062" i="25"/>
  <c r="C1063" i="25" s="1"/>
  <c r="E1062" i="25"/>
  <c r="A1069" i="25"/>
  <c r="B1069" i="25" s="1"/>
  <c r="E1063" i="39" l="1"/>
  <c r="D1064" i="39" s="1"/>
  <c r="F1063" i="39"/>
  <c r="C1067" i="39"/>
  <c r="A1068" i="39"/>
  <c r="B1068" i="39" s="1"/>
  <c r="B1070" i="30"/>
  <c r="A1071" i="30"/>
  <c r="D1068" i="30"/>
  <c r="C1069" i="30" s="1"/>
  <c r="E1068" i="30"/>
  <c r="E1063" i="25"/>
  <c r="D1063" i="25"/>
  <c r="C1064" i="25" s="1"/>
  <c r="A1070" i="25"/>
  <c r="B1070" i="25" s="1"/>
  <c r="E1064" i="39" l="1"/>
  <c r="D1065" i="39" s="1"/>
  <c r="F1064" i="39"/>
  <c r="C1068" i="39"/>
  <c r="A1069" i="39"/>
  <c r="B1069" i="39" s="1"/>
  <c r="B1071" i="30"/>
  <c r="A1072" i="30"/>
  <c r="D1069" i="30"/>
  <c r="C1070" i="30" s="1"/>
  <c r="E1069" i="30"/>
  <c r="D1064" i="25"/>
  <c r="C1065" i="25" s="1"/>
  <c r="E1064" i="25"/>
  <c r="A1071" i="25"/>
  <c r="B1071" i="25" s="1"/>
  <c r="F1065" i="39" l="1"/>
  <c r="E1065" i="39"/>
  <c r="D1066" i="39" s="1"/>
  <c r="C1069" i="39"/>
  <c r="A1070" i="39"/>
  <c r="B1070" i="39" s="1"/>
  <c r="B1072" i="30"/>
  <c r="A1073" i="30"/>
  <c r="D1070" i="30"/>
  <c r="C1071" i="30" s="1"/>
  <c r="E1070" i="30"/>
  <c r="D1065" i="25"/>
  <c r="C1066" i="25" s="1"/>
  <c r="E1065" i="25"/>
  <c r="A1072" i="25"/>
  <c r="B1072" i="25" s="1"/>
  <c r="E1066" i="39" l="1"/>
  <c r="D1067" i="39" s="1"/>
  <c r="F1066" i="39"/>
  <c r="C1070" i="39"/>
  <c r="A1071" i="39"/>
  <c r="B1071" i="39" s="1"/>
  <c r="B1073" i="30"/>
  <c r="A1074" i="30"/>
  <c r="D1071" i="30"/>
  <c r="C1072" i="30" s="1"/>
  <c r="E1071" i="30"/>
  <c r="D1066" i="25"/>
  <c r="C1067" i="25" s="1"/>
  <c r="E1066" i="25"/>
  <c r="A1073" i="25"/>
  <c r="B1073" i="25" s="1"/>
  <c r="F1067" i="39" l="1"/>
  <c r="E1067" i="39"/>
  <c r="D1068" i="39" s="1"/>
  <c r="C1071" i="39"/>
  <c r="A1072" i="39"/>
  <c r="B1072" i="39" s="1"/>
  <c r="B1074" i="30"/>
  <c r="A1075" i="30"/>
  <c r="D1072" i="30"/>
  <c r="C1073" i="30" s="1"/>
  <c r="E1072" i="30"/>
  <c r="D1067" i="25"/>
  <c r="C1068" i="25" s="1"/>
  <c r="E1067" i="25"/>
  <c r="A1074" i="25"/>
  <c r="B1074" i="25" s="1"/>
  <c r="E1068" i="39" l="1"/>
  <c r="D1069" i="39" s="1"/>
  <c r="F1068" i="39"/>
  <c r="C1072" i="39"/>
  <c r="A1073" i="39"/>
  <c r="B1073" i="39" s="1"/>
  <c r="B1075" i="30"/>
  <c r="A1076" i="30"/>
  <c r="D1073" i="30"/>
  <c r="C1074" i="30" s="1"/>
  <c r="E1073" i="30"/>
  <c r="D1068" i="25"/>
  <c r="C1069" i="25" s="1"/>
  <c r="E1068" i="25"/>
  <c r="A1075" i="25"/>
  <c r="B1075" i="25" s="1"/>
  <c r="F1069" i="39" l="1"/>
  <c r="E1069" i="39"/>
  <c r="D1070" i="39" s="1"/>
  <c r="C1073" i="39"/>
  <c r="A1074" i="39"/>
  <c r="B1074" i="39" s="1"/>
  <c r="B1076" i="30"/>
  <c r="A1077" i="30"/>
  <c r="D1074" i="30"/>
  <c r="C1075" i="30" s="1"/>
  <c r="E1074" i="30"/>
  <c r="E1069" i="25"/>
  <c r="D1069" i="25"/>
  <c r="C1070" i="25" s="1"/>
  <c r="A1076" i="25"/>
  <c r="B1076" i="25" s="1"/>
  <c r="F1070" i="39" l="1"/>
  <c r="E1070" i="39"/>
  <c r="D1071" i="39" s="1"/>
  <c r="C1074" i="39"/>
  <c r="A1075" i="39"/>
  <c r="B1075" i="39" s="1"/>
  <c r="B1077" i="30"/>
  <c r="A1078" i="30"/>
  <c r="D1075" i="30"/>
  <c r="C1076" i="30" s="1"/>
  <c r="E1075" i="30"/>
  <c r="E1070" i="25"/>
  <c r="D1070" i="25"/>
  <c r="C1071" i="25" s="1"/>
  <c r="A1077" i="25"/>
  <c r="B1077" i="25" s="1"/>
  <c r="F1071" i="39" l="1"/>
  <c r="E1071" i="39"/>
  <c r="D1072" i="39" s="1"/>
  <c r="C1075" i="39"/>
  <c r="A1076" i="39"/>
  <c r="B1076" i="39" s="1"/>
  <c r="B1078" i="30"/>
  <c r="A1079" i="30"/>
  <c r="D1076" i="30"/>
  <c r="C1077" i="30" s="1"/>
  <c r="E1076" i="30"/>
  <c r="D1071" i="25"/>
  <c r="C1072" i="25" s="1"/>
  <c r="E1071" i="25"/>
  <c r="A1078" i="25"/>
  <c r="B1078" i="25" s="1"/>
  <c r="E1072" i="39" l="1"/>
  <c r="D1073" i="39" s="1"/>
  <c r="F1072" i="39"/>
  <c r="C1076" i="39"/>
  <c r="A1077" i="39"/>
  <c r="B1077" i="39" s="1"/>
  <c r="B1079" i="30"/>
  <c r="A1080" i="30"/>
  <c r="D1077" i="30"/>
  <c r="C1078" i="30" s="1"/>
  <c r="E1077" i="30"/>
  <c r="D1072" i="25"/>
  <c r="C1073" i="25" s="1"/>
  <c r="E1072" i="25"/>
  <c r="A1079" i="25"/>
  <c r="B1079" i="25" s="1"/>
  <c r="E1073" i="39" l="1"/>
  <c r="D1074" i="39" s="1"/>
  <c r="F1073" i="39"/>
  <c r="C1077" i="39"/>
  <c r="A1078" i="39"/>
  <c r="B1078" i="39" s="1"/>
  <c r="B1080" i="30"/>
  <c r="A1081" i="30"/>
  <c r="D1078" i="30"/>
  <c r="C1079" i="30" s="1"/>
  <c r="E1078" i="30"/>
  <c r="E1073" i="25"/>
  <c r="D1073" i="25"/>
  <c r="C1074" i="25" s="1"/>
  <c r="A1080" i="25"/>
  <c r="B1080" i="25" s="1"/>
  <c r="F1074" i="39" l="1"/>
  <c r="E1074" i="39"/>
  <c r="D1075" i="39" s="1"/>
  <c r="C1078" i="39"/>
  <c r="A1079" i="39"/>
  <c r="B1079" i="39" s="1"/>
  <c r="B1081" i="30"/>
  <c r="A1082" i="30"/>
  <c r="D1079" i="30"/>
  <c r="C1080" i="30" s="1"/>
  <c r="E1079" i="30"/>
  <c r="D1074" i="25"/>
  <c r="C1075" i="25" s="1"/>
  <c r="E1074" i="25"/>
  <c r="A1081" i="25"/>
  <c r="B1081" i="25" s="1"/>
  <c r="E1075" i="39" l="1"/>
  <c r="D1076" i="39" s="1"/>
  <c r="F1075" i="39"/>
  <c r="C1079" i="39"/>
  <c r="A1080" i="39"/>
  <c r="B1080" i="39" s="1"/>
  <c r="B1082" i="30"/>
  <c r="A1083" i="30"/>
  <c r="D1080" i="30"/>
  <c r="C1081" i="30" s="1"/>
  <c r="E1080" i="30"/>
  <c r="D1075" i="25"/>
  <c r="C1076" i="25" s="1"/>
  <c r="E1075" i="25"/>
  <c r="A1082" i="25"/>
  <c r="B1082" i="25" s="1"/>
  <c r="F1076" i="39" l="1"/>
  <c r="E1076" i="39"/>
  <c r="D1077" i="39" s="1"/>
  <c r="C1080" i="39"/>
  <c r="A1081" i="39"/>
  <c r="B1081" i="39" s="1"/>
  <c r="B1083" i="30"/>
  <c r="A1084" i="30"/>
  <c r="D1081" i="30"/>
  <c r="C1082" i="30" s="1"/>
  <c r="E1081" i="30"/>
  <c r="D1076" i="25"/>
  <c r="C1077" i="25" s="1"/>
  <c r="E1076" i="25"/>
  <c r="A1083" i="25"/>
  <c r="B1083" i="25" s="1"/>
  <c r="E1077" i="39" l="1"/>
  <c r="D1078" i="39" s="1"/>
  <c r="F1077" i="39"/>
  <c r="C1081" i="39"/>
  <c r="A1082" i="39"/>
  <c r="B1082" i="39" s="1"/>
  <c r="B1084" i="30"/>
  <c r="A1085" i="30"/>
  <c r="D1082" i="30"/>
  <c r="C1083" i="30" s="1"/>
  <c r="E1082" i="30"/>
  <c r="D1077" i="25"/>
  <c r="C1078" i="25" s="1"/>
  <c r="E1077" i="25"/>
  <c r="A1084" i="25"/>
  <c r="B1084" i="25" s="1"/>
  <c r="F1078" i="39" l="1"/>
  <c r="E1078" i="39"/>
  <c r="D1079" i="39" s="1"/>
  <c r="C1082" i="39"/>
  <c r="A1083" i="39"/>
  <c r="B1083" i="39" s="1"/>
  <c r="B1085" i="30"/>
  <c r="A1086" i="30"/>
  <c r="D1083" i="30"/>
  <c r="C1084" i="30" s="1"/>
  <c r="E1083" i="30"/>
  <c r="D1078" i="25"/>
  <c r="C1079" i="25" s="1"/>
  <c r="E1078" i="25"/>
  <c r="A1085" i="25"/>
  <c r="B1085" i="25" s="1"/>
  <c r="E1079" i="39" l="1"/>
  <c r="D1080" i="39" s="1"/>
  <c r="F1079" i="39"/>
  <c r="C1083" i="39"/>
  <c r="A1084" i="39"/>
  <c r="B1084" i="39" s="1"/>
  <c r="B1086" i="30"/>
  <c r="A1087" i="30"/>
  <c r="D1084" i="30"/>
  <c r="C1085" i="30" s="1"/>
  <c r="E1084" i="30"/>
  <c r="E1079" i="25"/>
  <c r="D1079" i="25"/>
  <c r="C1080" i="25" s="1"/>
  <c r="A1086" i="25"/>
  <c r="B1086" i="25" s="1"/>
  <c r="F1080" i="39" l="1"/>
  <c r="E1080" i="39"/>
  <c r="D1081" i="39" s="1"/>
  <c r="C1084" i="39"/>
  <c r="A1085" i="39"/>
  <c r="B1085" i="39" s="1"/>
  <c r="B1087" i="30"/>
  <c r="A1088" i="30"/>
  <c r="D1085" i="30"/>
  <c r="C1086" i="30" s="1"/>
  <c r="E1085" i="30"/>
  <c r="D1080" i="25"/>
  <c r="C1081" i="25" s="1"/>
  <c r="E1080" i="25"/>
  <c r="A1087" i="25"/>
  <c r="B1087" i="25" s="1"/>
  <c r="E1081" i="39" l="1"/>
  <c r="D1082" i="39" s="1"/>
  <c r="F1081" i="39"/>
  <c r="C1085" i="39"/>
  <c r="A1086" i="39"/>
  <c r="B1086" i="39" s="1"/>
  <c r="B1088" i="30"/>
  <c r="A1089" i="30"/>
  <c r="D1086" i="30"/>
  <c r="C1087" i="30" s="1"/>
  <c r="E1086" i="30"/>
  <c r="D1081" i="25"/>
  <c r="C1082" i="25" s="1"/>
  <c r="E1081" i="25"/>
  <c r="A1088" i="25"/>
  <c r="B1088" i="25" s="1"/>
  <c r="F1082" i="39" l="1"/>
  <c r="E1082" i="39"/>
  <c r="D1083" i="39" s="1"/>
  <c r="C1086" i="39"/>
  <c r="A1087" i="39"/>
  <c r="B1087" i="39" s="1"/>
  <c r="B1089" i="30"/>
  <c r="A1090" i="30"/>
  <c r="D1087" i="30"/>
  <c r="C1088" i="30" s="1"/>
  <c r="E1087" i="30"/>
  <c r="E1082" i="25"/>
  <c r="D1082" i="25"/>
  <c r="C1083" i="25" s="1"/>
  <c r="A1089" i="25"/>
  <c r="B1089" i="25" s="1"/>
  <c r="E1083" i="39" l="1"/>
  <c r="D1084" i="39" s="1"/>
  <c r="F1083" i="39"/>
  <c r="C1087" i="39"/>
  <c r="A1088" i="39"/>
  <c r="B1088" i="39" s="1"/>
  <c r="B1090" i="30"/>
  <c r="A1091" i="30"/>
  <c r="D1088" i="30"/>
  <c r="C1089" i="30" s="1"/>
  <c r="E1088" i="30"/>
  <c r="D1083" i="25"/>
  <c r="C1084" i="25" s="1"/>
  <c r="E1083" i="25"/>
  <c r="A1090" i="25"/>
  <c r="B1090" i="25" s="1"/>
  <c r="E1084" i="39" l="1"/>
  <c r="D1085" i="39" s="1"/>
  <c r="F1084" i="39"/>
  <c r="C1088" i="39"/>
  <c r="A1089" i="39"/>
  <c r="B1089" i="39" s="1"/>
  <c r="B1091" i="30"/>
  <c r="A1092" i="30"/>
  <c r="D1089" i="30"/>
  <c r="C1090" i="30" s="1"/>
  <c r="E1089" i="30"/>
  <c r="E1084" i="25"/>
  <c r="D1084" i="25"/>
  <c r="C1085" i="25" s="1"/>
  <c r="A1091" i="25"/>
  <c r="B1091" i="25" s="1"/>
  <c r="F1085" i="39" l="1"/>
  <c r="E1085" i="39"/>
  <c r="D1086" i="39" s="1"/>
  <c r="C1089" i="39"/>
  <c r="A1090" i="39"/>
  <c r="B1090" i="39" s="1"/>
  <c r="B1092" i="30"/>
  <c r="A1093" i="30"/>
  <c r="D1090" i="30"/>
  <c r="C1091" i="30" s="1"/>
  <c r="E1090" i="30"/>
  <c r="D1085" i="25"/>
  <c r="C1086" i="25" s="1"/>
  <c r="E1085" i="25"/>
  <c r="A1092" i="25"/>
  <c r="B1092" i="25" s="1"/>
  <c r="F1086" i="39" l="1"/>
  <c r="E1086" i="39"/>
  <c r="D1087" i="39" s="1"/>
  <c r="C1090" i="39"/>
  <c r="A1091" i="39"/>
  <c r="B1091" i="39" s="1"/>
  <c r="B1093" i="30"/>
  <c r="A1094" i="30"/>
  <c r="D1091" i="30"/>
  <c r="C1092" i="30" s="1"/>
  <c r="E1091" i="30"/>
  <c r="E1086" i="25"/>
  <c r="D1086" i="25"/>
  <c r="C1087" i="25" s="1"/>
  <c r="A1093" i="25"/>
  <c r="B1093" i="25" s="1"/>
  <c r="E1087" i="39" l="1"/>
  <c r="D1088" i="39" s="1"/>
  <c r="F1087" i="39"/>
  <c r="C1091" i="39"/>
  <c r="A1092" i="39"/>
  <c r="B1092" i="39" s="1"/>
  <c r="B1094" i="30"/>
  <c r="A1095" i="30"/>
  <c r="D1092" i="30"/>
  <c r="C1093" i="30" s="1"/>
  <c r="E1092" i="30"/>
  <c r="D1087" i="25"/>
  <c r="C1088" i="25" s="1"/>
  <c r="E1087" i="25"/>
  <c r="A1094" i="25"/>
  <c r="B1094" i="25" s="1"/>
  <c r="E1088" i="39" l="1"/>
  <c r="D1089" i="39" s="1"/>
  <c r="F1088" i="39"/>
  <c r="C1092" i="39"/>
  <c r="A1093" i="39"/>
  <c r="B1093" i="39" s="1"/>
  <c r="B1095" i="30"/>
  <c r="A1096" i="30"/>
  <c r="D1093" i="30"/>
  <c r="C1094" i="30" s="1"/>
  <c r="E1093" i="30"/>
  <c r="D1088" i="25"/>
  <c r="C1089" i="25" s="1"/>
  <c r="E1088" i="25"/>
  <c r="A1095" i="25"/>
  <c r="B1095" i="25" s="1"/>
  <c r="F1089" i="39" l="1"/>
  <c r="E1089" i="39"/>
  <c r="D1090" i="39" s="1"/>
  <c r="C1093" i="39"/>
  <c r="A1094" i="39"/>
  <c r="B1094" i="39" s="1"/>
  <c r="B1096" i="30"/>
  <c r="A1097" i="30"/>
  <c r="D1094" i="30"/>
  <c r="C1095" i="30" s="1"/>
  <c r="E1094" i="30"/>
  <c r="E1089" i="25"/>
  <c r="D1089" i="25"/>
  <c r="C1090" i="25" s="1"/>
  <c r="A1096" i="25"/>
  <c r="B1096" i="25" s="1"/>
  <c r="F1090" i="39" l="1"/>
  <c r="E1090" i="39"/>
  <c r="D1091" i="39" s="1"/>
  <c r="C1094" i="39"/>
  <c r="A1095" i="39"/>
  <c r="B1095" i="39" s="1"/>
  <c r="B1097" i="30"/>
  <c r="A1098" i="30"/>
  <c r="D1095" i="30"/>
  <c r="C1096" i="30" s="1"/>
  <c r="E1095" i="30"/>
  <c r="D1090" i="25"/>
  <c r="C1091" i="25" s="1"/>
  <c r="E1090" i="25"/>
  <c r="A1097" i="25"/>
  <c r="B1097" i="25" s="1"/>
  <c r="F1091" i="39" l="1"/>
  <c r="E1091" i="39"/>
  <c r="D1092" i="39" s="1"/>
  <c r="C1095" i="39"/>
  <c r="A1096" i="39"/>
  <c r="B1096" i="39" s="1"/>
  <c r="B1098" i="30"/>
  <c r="A1099" i="30"/>
  <c r="D1096" i="30"/>
  <c r="C1097" i="30" s="1"/>
  <c r="E1096" i="30"/>
  <c r="D1091" i="25"/>
  <c r="C1092" i="25" s="1"/>
  <c r="E1091" i="25"/>
  <c r="A1098" i="25"/>
  <c r="B1098" i="25" s="1"/>
  <c r="F1092" i="39" l="1"/>
  <c r="E1092" i="39"/>
  <c r="D1093" i="39" s="1"/>
  <c r="C1096" i="39"/>
  <c r="A1097" i="39"/>
  <c r="B1097" i="39" s="1"/>
  <c r="B1099" i="30"/>
  <c r="A1100" i="30"/>
  <c r="D1097" i="30"/>
  <c r="C1098" i="30" s="1"/>
  <c r="E1097" i="30"/>
  <c r="D1092" i="25"/>
  <c r="C1093" i="25" s="1"/>
  <c r="E1092" i="25"/>
  <c r="A1099" i="25"/>
  <c r="B1099" i="25" s="1"/>
  <c r="E1093" i="39" l="1"/>
  <c r="D1094" i="39" s="1"/>
  <c r="F1093" i="39"/>
  <c r="C1097" i="39"/>
  <c r="A1098" i="39"/>
  <c r="B1098" i="39" s="1"/>
  <c r="B1100" i="30"/>
  <c r="A1101" i="30"/>
  <c r="D1098" i="30"/>
  <c r="C1099" i="30" s="1"/>
  <c r="E1098" i="30"/>
  <c r="D1093" i="25"/>
  <c r="C1094" i="25" s="1"/>
  <c r="E1093" i="25"/>
  <c r="A1100" i="25"/>
  <c r="B1100" i="25" s="1"/>
  <c r="F1094" i="39" l="1"/>
  <c r="E1094" i="39"/>
  <c r="D1095" i="39" s="1"/>
  <c r="C1098" i="39"/>
  <c r="A1099" i="39"/>
  <c r="B1099" i="39" s="1"/>
  <c r="B1101" i="30"/>
  <c r="A1102" i="30"/>
  <c r="D1099" i="30"/>
  <c r="C1100" i="30" s="1"/>
  <c r="E1099" i="30"/>
  <c r="E1094" i="25"/>
  <c r="D1094" i="25"/>
  <c r="C1095" i="25" s="1"/>
  <c r="A1101" i="25"/>
  <c r="B1101" i="25" s="1"/>
  <c r="F1095" i="39" l="1"/>
  <c r="E1095" i="39"/>
  <c r="D1096" i="39" s="1"/>
  <c r="C1099" i="39"/>
  <c r="A1100" i="39"/>
  <c r="B1100" i="39" s="1"/>
  <c r="B1102" i="30"/>
  <c r="A1103" i="30"/>
  <c r="D1100" i="30"/>
  <c r="C1101" i="30" s="1"/>
  <c r="E1100" i="30"/>
  <c r="D1095" i="25"/>
  <c r="C1096" i="25" s="1"/>
  <c r="E1095" i="25"/>
  <c r="A1102" i="25"/>
  <c r="B1102" i="25" s="1"/>
  <c r="E1096" i="39" l="1"/>
  <c r="D1097" i="39" s="1"/>
  <c r="F1096" i="39"/>
  <c r="C1100" i="39"/>
  <c r="A1101" i="39"/>
  <c r="B1101" i="39" s="1"/>
  <c r="B1103" i="30"/>
  <c r="A1104" i="30"/>
  <c r="D1101" i="30"/>
  <c r="C1102" i="30" s="1"/>
  <c r="E1101" i="30"/>
  <c r="D1096" i="25"/>
  <c r="C1097" i="25" s="1"/>
  <c r="E1096" i="25"/>
  <c r="A1103" i="25"/>
  <c r="B1103" i="25" s="1"/>
  <c r="E1097" i="39" l="1"/>
  <c r="D1098" i="39" s="1"/>
  <c r="F1097" i="39"/>
  <c r="C1101" i="39"/>
  <c r="A1102" i="39"/>
  <c r="B1102" i="39" s="1"/>
  <c r="B1104" i="30"/>
  <c r="A1105" i="30"/>
  <c r="D1102" i="30"/>
  <c r="C1103" i="30" s="1"/>
  <c r="E1102" i="30"/>
  <c r="D1097" i="25"/>
  <c r="C1098" i="25" s="1"/>
  <c r="E1097" i="25"/>
  <c r="A1104" i="25"/>
  <c r="B1104" i="25" s="1"/>
  <c r="F1098" i="39" l="1"/>
  <c r="E1098" i="39"/>
  <c r="D1099" i="39" s="1"/>
  <c r="C1102" i="39"/>
  <c r="A1103" i="39"/>
  <c r="B1103" i="39" s="1"/>
  <c r="B1105" i="30"/>
  <c r="A1106" i="30"/>
  <c r="D1103" i="30"/>
  <c r="C1104" i="30" s="1"/>
  <c r="E1103" i="30"/>
  <c r="D1098" i="25"/>
  <c r="C1099" i="25" s="1"/>
  <c r="E1098" i="25"/>
  <c r="A1105" i="25"/>
  <c r="B1105" i="25" s="1"/>
  <c r="E1099" i="39" l="1"/>
  <c r="D1100" i="39" s="1"/>
  <c r="F1099" i="39"/>
  <c r="C1103" i="39"/>
  <c r="A1104" i="39"/>
  <c r="B1104" i="39" s="1"/>
  <c r="B1106" i="30"/>
  <c r="A1107" i="30"/>
  <c r="D1104" i="30"/>
  <c r="C1105" i="30" s="1"/>
  <c r="E1104" i="30"/>
  <c r="D1099" i="25"/>
  <c r="C1100" i="25" s="1"/>
  <c r="E1099" i="25"/>
  <c r="A1106" i="25"/>
  <c r="B1106" i="25" s="1"/>
  <c r="F1100" i="39" l="1"/>
  <c r="E1100" i="39"/>
  <c r="D1101" i="39" s="1"/>
  <c r="C1104" i="39"/>
  <c r="A1105" i="39"/>
  <c r="B1105" i="39" s="1"/>
  <c r="B1107" i="30"/>
  <c r="A1108" i="30"/>
  <c r="D1105" i="30"/>
  <c r="C1106" i="30" s="1"/>
  <c r="E1105" i="30"/>
  <c r="D1100" i="25"/>
  <c r="C1101" i="25" s="1"/>
  <c r="E1100" i="25"/>
  <c r="A1107" i="25"/>
  <c r="B1107" i="25" s="1"/>
  <c r="F1101" i="39" l="1"/>
  <c r="E1101" i="39"/>
  <c r="D1102" i="39" s="1"/>
  <c r="C1105" i="39"/>
  <c r="A1106" i="39"/>
  <c r="B1106" i="39" s="1"/>
  <c r="B1108" i="30"/>
  <c r="A1109" i="30"/>
  <c r="D1106" i="30"/>
  <c r="C1107" i="30" s="1"/>
  <c r="E1106" i="30"/>
  <c r="D1101" i="25"/>
  <c r="C1102" i="25" s="1"/>
  <c r="E1101" i="25"/>
  <c r="A1108" i="25"/>
  <c r="B1108" i="25" s="1"/>
  <c r="E1102" i="39" l="1"/>
  <c r="D1103" i="39" s="1"/>
  <c r="F1102" i="39"/>
  <c r="C1106" i="39"/>
  <c r="A1107" i="39"/>
  <c r="B1107" i="39" s="1"/>
  <c r="B1109" i="30"/>
  <c r="A1110" i="30"/>
  <c r="D1107" i="30"/>
  <c r="C1108" i="30" s="1"/>
  <c r="E1107" i="30"/>
  <c r="D1102" i="25"/>
  <c r="C1103" i="25" s="1"/>
  <c r="E1102" i="25"/>
  <c r="A1109" i="25"/>
  <c r="B1109" i="25" s="1"/>
  <c r="F1103" i="39" l="1"/>
  <c r="E1103" i="39"/>
  <c r="D1104" i="39" s="1"/>
  <c r="C1107" i="39"/>
  <c r="A1108" i="39"/>
  <c r="B1108" i="39" s="1"/>
  <c r="B1110" i="30"/>
  <c r="A1111" i="30"/>
  <c r="D1108" i="30"/>
  <c r="C1109" i="30" s="1"/>
  <c r="E1108" i="30"/>
  <c r="E1103" i="25"/>
  <c r="D1103" i="25"/>
  <c r="C1104" i="25" s="1"/>
  <c r="A1110" i="25"/>
  <c r="B1110" i="25" s="1"/>
  <c r="E1104" i="39" l="1"/>
  <c r="D1105" i="39" s="1"/>
  <c r="F1104" i="39"/>
  <c r="C1108" i="39"/>
  <c r="A1109" i="39"/>
  <c r="B1109" i="39" s="1"/>
  <c r="B1111" i="30"/>
  <c r="A1112" i="30"/>
  <c r="D1109" i="30"/>
  <c r="C1110" i="30" s="1"/>
  <c r="E1109" i="30"/>
  <c r="D1104" i="25"/>
  <c r="C1105" i="25" s="1"/>
  <c r="E1104" i="25"/>
  <c r="A1111" i="25"/>
  <c r="B1111" i="25" s="1"/>
  <c r="E1105" i="39" l="1"/>
  <c r="D1106" i="39" s="1"/>
  <c r="F1105" i="39"/>
  <c r="C1109" i="39"/>
  <c r="A1110" i="39"/>
  <c r="B1110" i="39" s="1"/>
  <c r="B1112" i="30"/>
  <c r="A1113" i="30"/>
  <c r="D1110" i="30"/>
  <c r="C1111" i="30" s="1"/>
  <c r="E1110" i="30"/>
  <c r="D1105" i="25"/>
  <c r="C1106" i="25" s="1"/>
  <c r="E1105" i="25"/>
  <c r="A1112" i="25"/>
  <c r="B1112" i="25" s="1"/>
  <c r="E1106" i="39" l="1"/>
  <c r="D1107" i="39" s="1"/>
  <c r="F1106" i="39"/>
  <c r="C1110" i="39"/>
  <c r="A1111" i="39"/>
  <c r="B1111" i="39" s="1"/>
  <c r="B1113" i="30"/>
  <c r="A1114" i="30"/>
  <c r="D1111" i="30"/>
  <c r="C1112" i="30" s="1"/>
  <c r="E1111" i="30"/>
  <c r="D1106" i="25"/>
  <c r="C1107" i="25" s="1"/>
  <c r="E1106" i="25"/>
  <c r="A1113" i="25"/>
  <c r="B1113" i="25" s="1"/>
  <c r="E1107" i="39" l="1"/>
  <c r="D1108" i="39" s="1"/>
  <c r="F1107" i="39"/>
  <c r="C1111" i="39"/>
  <c r="A1112" i="39"/>
  <c r="B1112" i="39" s="1"/>
  <c r="B1114" i="30"/>
  <c r="A1115" i="30"/>
  <c r="D1112" i="30"/>
  <c r="C1113" i="30" s="1"/>
  <c r="E1112" i="30"/>
  <c r="D1107" i="25"/>
  <c r="C1108" i="25" s="1"/>
  <c r="E1107" i="25"/>
  <c r="A1114" i="25"/>
  <c r="B1114" i="25" s="1"/>
  <c r="E1108" i="39" l="1"/>
  <c r="D1109" i="39" s="1"/>
  <c r="F1108" i="39"/>
  <c r="C1112" i="39"/>
  <c r="A1113" i="39"/>
  <c r="B1113" i="39" s="1"/>
  <c r="B1115" i="30"/>
  <c r="A1116" i="30"/>
  <c r="D1113" i="30"/>
  <c r="C1114" i="30" s="1"/>
  <c r="E1113" i="30"/>
  <c r="D1108" i="25"/>
  <c r="C1109" i="25" s="1"/>
  <c r="E1108" i="25"/>
  <c r="A1115" i="25"/>
  <c r="B1115" i="25" s="1"/>
  <c r="F1109" i="39" l="1"/>
  <c r="E1109" i="39"/>
  <c r="D1110" i="39" s="1"/>
  <c r="C1113" i="39"/>
  <c r="A1114" i="39"/>
  <c r="B1114" i="39" s="1"/>
  <c r="B1116" i="30"/>
  <c r="A1117" i="30"/>
  <c r="D1114" i="30"/>
  <c r="C1115" i="30" s="1"/>
  <c r="E1114" i="30"/>
  <c r="D1109" i="25"/>
  <c r="C1110" i="25" s="1"/>
  <c r="E1109" i="25"/>
  <c r="A1116" i="25"/>
  <c r="B1116" i="25" s="1"/>
  <c r="F1110" i="39" l="1"/>
  <c r="E1110" i="39"/>
  <c r="D1111" i="39" s="1"/>
  <c r="C1114" i="39"/>
  <c r="A1115" i="39"/>
  <c r="B1115" i="39" s="1"/>
  <c r="B1117" i="30"/>
  <c r="A1118" i="30"/>
  <c r="D1115" i="30"/>
  <c r="C1116" i="30" s="1"/>
  <c r="E1115" i="30"/>
  <c r="D1110" i="25"/>
  <c r="C1111" i="25" s="1"/>
  <c r="E1110" i="25"/>
  <c r="A1117" i="25"/>
  <c r="B1117" i="25" s="1"/>
  <c r="E1111" i="39" l="1"/>
  <c r="D1112" i="39" s="1"/>
  <c r="F1111" i="39"/>
  <c r="C1115" i="39"/>
  <c r="A1116" i="39"/>
  <c r="B1116" i="39" s="1"/>
  <c r="B1118" i="30"/>
  <c r="A1119" i="30"/>
  <c r="D1116" i="30"/>
  <c r="C1117" i="30" s="1"/>
  <c r="E1116" i="30"/>
  <c r="D1111" i="25"/>
  <c r="C1112" i="25" s="1"/>
  <c r="E1111" i="25"/>
  <c r="A1118" i="25"/>
  <c r="B1118" i="25" s="1"/>
  <c r="E1112" i="39" l="1"/>
  <c r="D1113" i="39" s="1"/>
  <c r="F1112" i="39"/>
  <c r="C1116" i="39"/>
  <c r="A1117" i="39"/>
  <c r="B1117" i="39" s="1"/>
  <c r="B1119" i="30"/>
  <c r="A1120" i="30"/>
  <c r="D1117" i="30"/>
  <c r="C1118" i="30" s="1"/>
  <c r="E1117" i="30"/>
  <c r="D1112" i="25"/>
  <c r="C1113" i="25" s="1"/>
  <c r="E1112" i="25"/>
  <c r="A1119" i="25"/>
  <c r="B1119" i="25" s="1"/>
  <c r="F1113" i="39" l="1"/>
  <c r="E1113" i="39"/>
  <c r="D1114" i="39" s="1"/>
  <c r="C1117" i="39"/>
  <c r="A1118" i="39"/>
  <c r="B1118" i="39" s="1"/>
  <c r="B1120" i="30"/>
  <c r="A1121" i="30"/>
  <c r="D1118" i="30"/>
  <c r="C1119" i="30" s="1"/>
  <c r="E1118" i="30"/>
  <c r="D1113" i="25"/>
  <c r="C1114" i="25" s="1"/>
  <c r="E1113" i="25"/>
  <c r="A1120" i="25"/>
  <c r="B1120" i="25" s="1"/>
  <c r="F1114" i="39" l="1"/>
  <c r="E1114" i="39"/>
  <c r="D1115" i="39" s="1"/>
  <c r="C1118" i="39"/>
  <c r="A1119" i="39"/>
  <c r="B1119" i="39" s="1"/>
  <c r="B1121" i="30"/>
  <c r="A1122" i="30"/>
  <c r="D1119" i="30"/>
  <c r="C1120" i="30" s="1"/>
  <c r="E1119" i="30"/>
  <c r="D1114" i="25"/>
  <c r="C1115" i="25" s="1"/>
  <c r="E1114" i="25"/>
  <c r="A1121" i="25"/>
  <c r="B1121" i="25" s="1"/>
  <c r="E1115" i="39" l="1"/>
  <c r="D1116" i="39" s="1"/>
  <c r="F1115" i="39"/>
  <c r="C1119" i="39"/>
  <c r="A1120" i="39"/>
  <c r="B1120" i="39" s="1"/>
  <c r="B1122" i="30"/>
  <c r="A1123" i="30"/>
  <c r="D1120" i="30"/>
  <c r="C1121" i="30" s="1"/>
  <c r="E1120" i="30"/>
  <c r="D1115" i="25"/>
  <c r="C1116" i="25" s="1"/>
  <c r="E1115" i="25"/>
  <c r="A1122" i="25"/>
  <c r="B1122" i="25" s="1"/>
  <c r="F1116" i="39" l="1"/>
  <c r="E1116" i="39"/>
  <c r="D1117" i="39" s="1"/>
  <c r="C1120" i="39"/>
  <c r="A1121" i="39"/>
  <c r="B1121" i="39" s="1"/>
  <c r="B1123" i="30"/>
  <c r="A1124" i="30"/>
  <c r="D1121" i="30"/>
  <c r="C1122" i="30" s="1"/>
  <c r="E1121" i="30"/>
  <c r="E1116" i="25"/>
  <c r="D1116" i="25"/>
  <c r="C1117" i="25" s="1"/>
  <c r="A1123" i="25"/>
  <c r="B1123" i="25" s="1"/>
  <c r="E1117" i="39" l="1"/>
  <c r="D1118" i="39" s="1"/>
  <c r="F1117" i="39"/>
  <c r="C1121" i="39"/>
  <c r="A1122" i="39"/>
  <c r="B1122" i="39" s="1"/>
  <c r="B1124" i="30"/>
  <c r="A1125" i="30"/>
  <c r="D1122" i="30"/>
  <c r="C1123" i="30" s="1"/>
  <c r="E1122" i="30"/>
  <c r="E1117" i="25"/>
  <c r="D1117" i="25"/>
  <c r="C1118" i="25" s="1"/>
  <c r="A1124" i="25"/>
  <c r="B1124" i="25" s="1"/>
  <c r="F1118" i="39" l="1"/>
  <c r="E1118" i="39"/>
  <c r="D1119" i="39" s="1"/>
  <c r="C1122" i="39"/>
  <c r="A1123" i="39"/>
  <c r="B1123" i="39" s="1"/>
  <c r="B1125" i="30"/>
  <c r="A1126" i="30"/>
  <c r="D1123" i="30"/>
  <c r="C1124" i="30" s="1"/>
  <c r="E1123" i="30"/>
  <c r="D1118" i="25"/>
  <c r="C1119" i="25" s="1"/>
  <c r="E1118" i="25"/>
  <c r="A1125" i="25"/>
  <c r="B1125" i="25" s="1"/>
  <c r="E1119" i="39" l="1"/>
  <c r="D1120" i="39" s="1"/>
  <c r="F1119" i="39"/>
  <c r="C1123" i="39"/>
  <c r="A1124" i="39"/>
  <c r="B1124" i="39" s="1"/>
  <c r="B1126" i="30"/>
  <c r="A1127" i="30"/>
  <c r="D1124" i="30"/>
  <c r="C1125" i="30" s="1"/>
  <c r="E1124" i="30"/>
  <c r="D1119" i="25"/>
  <c r="C1120" i="25" s="1"/>
  <c r="E1119" i="25"/>
  <c r="A1126" i="25"/>
  <c r="B1126" i="25" s="1"/>
  <c r="E1120" i="39" l="1"/>
  <c r="D1121" i="39" s="1"/>
  <c r="F1120" i="39"/>
  <c r="C1124" i="39"/>
  <c r="A1125" i="39"/>
  <c r="B1125" i="39" s="1"/>
  <c r="B1127" i="30"/>
  <c r="A1128" i="30"/>
  <c r="D1125" i="30"/>
  <c r="C1126" i="30" s="1"/>
  <c r="E1125" i="30"/>
  <c r="D1120" i="25"/>
  <c r="C1121" i="25" s="1"/>
  <c r="E1120" i="25"/>
  <c r="A1127" i="25"/>
  <c r="B1127" i="25" s="1"/>
  <c r="E1121" i="39" l="1"/>
  <c r="D1122" i="39" s="1"/>
  <c r="F1121" i="39"/>
  <c r="C1125" i="39"/>
  <c r="A1126" i="39"/>
  <c r="B1126" i="39" s="1"/>
  <c r="B1128" i="30"/>
  <c r="A1129" i="30"/>
  <c r="D1126" i="30"/>
  <c r="C1127" i="30" s="1"/>
  <c r="E1126" i="30"/>
  <c r="E1121" i="25"/>
  <c r="D1121" i="25"/>
  <c r="C1122" i="25" s="1"/>
  <c r="A1128" i="25"/>
  <c r="B1128" i="25" s="1"/>
  <c r="F1122" i="39" l="1"/>
  <c r="E1122" i="39"/>
  <c r="D1123" i="39" s="1"/>
  <c r="C1126" i="39"/>
  <c r="A1127" i="39"/>
  <c r="B1127" i="39" s="1"/>
  <c r="B1129" i="30"/>
  <c r="A1130" i="30"/>
  <c r="D1127" i="30"/>
  <c r="C1128" i="30" s="1"/>
  <c r="E1127" i="30"/>
  <c r="E1122" i="25"/>
  <c r="D1122" i="25"/>
  <c r="C1123" i="25" s="1"/>
  <c r="A1129" i="25"/>
  <c r="B1129" i="25" s="1"/>
  <c r="F1123" i="39" l="1"/>
  <c r="E1123" i="39"/>
  <c r="D1124" i="39" s="1"/>
  <c r="C1127" i="39"/>
  <c r="A1128" i="39"/>
  <c r="B1128" i="39" s="1"/>
  <c r="B1130" i="30"/>
  <c r="A1131" i="30"/>
  <c r="D1128" i="30"/>
  <c r="C1129" i="30" s="1"/>
  <c r="E1128" i="30"/>
  <c r="D1123" i="25"/>
  <c r="C1124" i="25" s="1"/>
  <c r="E1123" i="25"/>
  <c r="A1130" i="25"/>
  <c r="B1130" i="25" s="1"/>
  <c r="F1124" i="39" l="1"/>
  <c r="E1124" i="39"/>
  <c r="D1125" i="39" s="1"/>
  <c r="C1128" i="39"/>
  <c r="A1129" i="39"/>
  <c r="B1129" i="39" s="1"/>
  <c r="B1131" i="30"/>
  <c r="A1132" i="30"/>
  <c r="D1129" i="30"/>
  <c r="C1130" i="30" s="1"/>
  <c r="E1129" i="30"/>
  <c r="D1124" i="25"/>
  <c r="C1125" i="25" s="1"/>
  <c r="E1124" i="25"/>
  <c r="A1131" i="25"/>
  <c r="B1131" i="25" s="1"/>
  <c r="F1125" i="39" l="1"/>
  <c r="E1125" i="39"/>
  <c r="D1126" i="39" s="1"/>
  <c r="C1129" i="39"/>
  <c r="A1130" i="39"/>
  <c r="B1130" i="39" s="1"/>
  <c r="B1132" i="30"/>
  <c r="A1133" i="30"/>
  <c r="D1130" i="30"/>
  <c r="C1131" i="30" s="1"/>
  <c r="E1130" i="30"/>
  <c r="D1125" i="25"/>
  <c r="C1126" i="25" s="1"/>
  <c r="E1125" i="25"/>
  <c r="A1132" i="25"/>
  <c r="B1132" i="25" s="1"/>
  <c r="F1126" i="39" l="1"/>
  <c r="E1126" i="39"/>
  <c r="D1127" i="39" s="1"/>
  <c r="C1130" i="39"/>
  <c r="A1131" i="39"/>
  <c r="B1131" i="39" s="1"/>
  <c r="B1133" i="30"/>
  <c r="A1134" i="30"/>
  <c r="D1131" i="30"/>
  <c r="C1132" i="30" s="1"/>
  <c r="E1131" i="30"/>
  <c r="E1126" i="25"/>
  <c r="D1126" i="25"/>
  <c r="C1127" i="25" s="1"/>
  <c r="A1133" i="25"/>
  <c r="B1133" i="25" s="1"/>
  <c r="F1127" i="39" l="1"/>
  <c r="E1127" i="39"/>
  <c r="D1128" i="39" s="1"/>
  <c r="C1131" i="39"/>
  <c r="A1132" i="39"/>
  <c r="B1132" i="39" s="1"/>
  <c r="B1134" i="30"/>
  <c r="A1135" i="30"/>
  <c r="D1132" i="30"/>
  <c r="C1133" i="30" s="1"/>
  <c r="E1132" i="30"/>
  <c r="D1127" i="25"/>
  <c r="C1128" i="25" s="1"/>
  <c r="E1127" i="25"/>
  <c r="A1134" i="25"/>
  <c r="B1134" i="25" s="1"/>
  <c r="E1128" i="39" l="1"/>
  <c r="D1129" i="39" s="1"/>
  <c r="F1128" i="39"/>
  <c r="C1132" i="39"/>
  <c r="A1133" i="39"/>
  <c r="B1133" i="39" s="1"/>
  <c r="B1135" i="30"/>
  <c r="A1136" i="30"/>
  <c r="D1133" i="30"/>
  <c r="C1134" i="30" s="1"/>
  <c r="E1133" i="30"/>
  <c r="D1128" i="25"/>
  <c r="C1129" i="25" s="1"/>
  <c r="E1128" i="25"/>
  <c r="A1135" i="25"/>
  <c r="B1135" i="25" s="1"/>
  <c r="F1129" i="39" l="1"/>
  <c r="E1129" i="39"/>
  <c r="D1130" i="39" s="1"/>
  <c r="C1133" i="39"/>
  <c r="A1134" i="39"/>
  <c r="B1134" i="39" s="1"/>
  <c r="B1136" i="30"/>
  <c r="A1137" i="30"/>
  <c r="D1134" i="30"/>
  <c r="C1135" i="30" s="1"/>
  <c r="E1134" i="30"/>
  <c r="D1129" i="25"/>
  <c r="C1130" i="25" s="1"/>
  <c r="E1129" i="25"/>
  <c r="A1136" i="25"/>
  <c r="B1136" i="25" s="1"/>
  <c r="F1130" i="39" l="1"/>
  <c r="E1130" i="39"/>
  <c r="D1131" i="39" s="1"/>
  <c r="C1134" i="39"/>
  <c r="A1135" i="39"/>
  <c r="B1135" i="39" s="1"/>
  <c r="B1137" i="30"/>
  <c r="A1138" i="30"/>
  <c r="D1135" i="30"/>
  <c r="C1136" i="30" s="1"/>
  <c r="E1135" i="30"/>
  <c r="D1130" i="25"/>
  <c r="C1131" i="25" s="1"/>
  <c r="E1130" i="25"/>
  <c r="A1137" i="25"/>
  <c r="B1137" i="25" s="1"/>
  <c r="F1131" i="39" l="1"/>
  <c r="E1131" i="39"/>
  <c r="D1132" i="39" s="1"/>
  <c r="C1135" i="39"/>
  <c r="A1136" i="39"/>
  <c r="B1136" i="39" s="1"/>
  <c r="B1138" i="30"/>
  <c r="A1139" i="30"/>
  <c r="D1136" i="30"/>
  <c r="C1137" i="30" s="1"/>
  <c r="E1136" i="30"/>
  <c r="D1131" i="25"/>
  <c r="C1132" i="25" s="1"/>
  <c r="E1131" i="25"/>
  <c r="A1138" i="25"/>
  <c r="B1138" i="25" s="1"/>
  <c r="E1132" i="39" l="1"/>
  <c r="D1133" i="39" s="1"/>
  <c r="F1132" i="39"/>
  <c r="C1136" i="39"/>
  <c r="A1137" i="39"/>
  <c r="B1137" i="39" s="1"/>
  <c r="B1139" i="30"/>
  <c r="A1140" i="30"/>
  <c r="D1137" i="30"/>
  <c r="C1138" i="30" s="1"/>
  <c r="E1137" i="30"/>
  <c r="E1132" i="25"/>
  <c r="D1132" i="25"/>
  <c r="C1133" i="25" s="1"/>
  <c r="A1139" i="25"/>
  <c r="B1139" i="25" s="1"/>
  <c r="F1133" i="39" l="1"/>
  <c r="E1133" i="39"/>
  <c r="D1134" i="39" s="1"/>
  <c r="C1137" i="39"/>
  <c r="A1138" i="39"/>
  <c r="B1138" i="39" s="1"/>
  <c r="B1140" i="30"/>
  <c r="A1141" i="30"/>
  <c r="D1138" i="30"/>
  <c r="C1139" i="30" s="1"/>
  <c r="E1138" i="30"/>
  <c r="D1133" i="25"/>
  <c r="C1134" i="25" s="1"/>
  <c r="E1133" i="25"/>
  <c r="A1140" i="25"/>
  <c r="B1140" i="25" s="1"/>
  <c r="E1134" i="39" l="1"/>
  <c r="D1135" i="39" s="1"/>
  <c r="F1134" i="39"/>
  <c r="C1138" i="39"/>
  <c r="A1139" i="39"/>
  <c r="B1139" i="39" s="1"/>
  <c r="B1141" i="30"/>
  <c r="A1142" i="30"/>
  <c r="D1139" i="30"/>
  <c r="C1140" i="30" s="1"/>
  <c r="E1139" i="30"/>
  <c r="D1134" i="25"/>
  <c r="C1135" i="25" s="1"/>
  <c r="E1134" i="25"/>
  <c r="A1141" i="25"/>
  <c r="B1141" i="25" s="1"/>
  <c r="E1135" i="39" l="1"/>
  <c r="D1136" i="39" s="1"/>
  <c r="F1135" i="39"/>
  <c r="C1139" i="39"/>
  <c r="A1140" i="39"/>
  <c r="B1140" i="39" s="1"/>
  <c r="B1142" i="30"/>
  <c r="A1143" i="30"/>
  <c r="D1140" i="30"/>
  <c r="C1141" i="30" s="1"/>
  <c r="E1140" i="30"/>
  <c r="E1135" i="25"/>
  <c r="D1135" i="25"/>
  <c r="C1136" i="25" s="1"/>
  <c r="A1142" i="25"/>
  <c r="B1142" i="25" s="1"/>
  <c r="F1136" i="39" l="1"/>
  <c r="E1136" i="39"/>
  <c r="D1137" i="39" s="1"/>
  <c r="C1140" i="39"/>
  <c r="A1141" i="39"/>
  <c r="B1141" i="39" s="1"/>
  <c r="B1143" i="30"/>
  <c r="A1144" i="30"/>
  <c r="D1141" i="30"/>
  <c r="C1142" i="30" s="1"/>
  <c r="E1141" i="30"/>
  <c r="D1136" i="25"/>
  <c r="C1137" i="25" s="1"/>
  <c r="E1136" i="25"/>
  <c r="A1143" i="25"/>
  <c r="B1143" i="25" s="1"/>
  <c r="E1137" i="39" l="1"/>
  <c r="D1138" i="39" s="1"/>
  <c r="F1137" i="39"/>
  <c r="C1141" i="39"/>
  <c r="A1142" i="39"/>
  <c r="B1142" i="39" s="1"/>
  <c r="B1144" i="30"/>
  <c r="A1145" i="30"/>
  <c r="D1142" i="30"/>
  <c r="C1143" i="30" s="1"/>
  <c r="E1142" i="30"/>
  <c r="D1137" i="25"/>
  <c r="C1138" i="25" s="1"/>
  <c r="E1137" i="25"/>
  <c r="A1144" i="25"/>
  <c r="B1144" i="25" s="1"/>
  <c r="E1138" i="39" l="1"/>
  <c r="D1139" i="39" s="1"/>
  <c r="F1138" i="39"/>
  <c r="C1142" i="39"/>
  <c r="A1143" i="39"/>
  <c r="B1143" i="39" s="1"/>
  <c r="B1145" i="30"/>
  <c r="A1146" i="30"/>
  <c r="D1143" i="30"/>
  <c r="C1144" i="30" s="1"/>
  <c r="E1143" i="30"/>
  <c r="D1138" i="25"/>
  <c r="C1139" i="25" s="1"/>
  <c r="E1138" i="25"/>
  <c r="A1145" i="25"/>
  <c r="B1145" i="25" s="1"/>
  <c r="E1139" i="39" l="1"/>
  <c r="D1140" i="39" s="1"/>
  <c r="F1139" i="39"/>
  <c r="C1143" i="39"/>
  <c r="A1144" i="39"/>
  <c r="B1144" i="39" s="1"/>
  <c r="B1146" i="30"/>
  <c r="A1147" i="30"/>
  <c r="D1144" i="30"/>
  <c r="C1145" i="30" s="1"/>
  <c r="E1144" i="30"/>
  <c r="D1139" i="25"/>
  <c r="C1140" i="25" s="1"/>
  <c r="E1139" i="25"/>
  <c r="A1146" i="25"/>
  <c r="B1146" i="25" s="1"/>
  <c r="F1140" i="39" l="1"/>
  <c r="E1140" i="39"/>
  <c r="D1141" i="39" s="1"/>
  <c r="C1144" i="39"/>
  <c r="A1145" i="39"/>
  <c r="B1145" i="39" s="1"/>
  <c r="B1147" i="30"/>
  <c r="A1148" i="30"/>
  <c r="D1145" i="30"/>
  <c r="C1146" i="30" s="1"/>
  <c r="E1145" i="30"/>
  <c r="D1140" i="25"/>
  <c r="C1141" i="25" s="1"/>
  <c r="E1140" i="25"/>
  <c r="A1147" i="25"/>
  <c r="B1147" i="25" s="1"/>
  <c r="F1141" i="39" l="1"/>
  <c r="E1141" i="39"/>
  <c r="D1142" i="39" s="1"/>
  <c r="C1145" i="39"/>
  <c r="A1146" i="39"/>
  <c r="B1146" i="39" s="1"/>
  <c r="B1148" i="30"/>
  <c r="A1149" i="30"/>
  <c r="D1146" i="30"/>
  <c r="C1147" i="30" s="1"/>
  <c r="E1146" i="30"/>
  <c r="D1141" i="25"/>
  <c r="C1142" i="25" s="1"/>
  <c r="E1141" i="25"/>
  <c r="A1148" i="25"/>
  <c r="B1148" i="25" s="1"/>
  <c r="F1142" i="39" l="1"/>
  <c r="E1142" i="39"/>
  <c r="D1143" i="39" s="1"/>
  <c r="C1146" i="39"/>
  <c r="A1147" i="39"/>
  <c r="B1147" i="39" s="1"/>
  <c r="B1149" i="30"/>
  <c r="A1150" i="30"/>
  <c r="D1147" i="30"/>
  <c r="C1148" i="30" s="1"/>
  <c r="E1147" i="30"/>
  <c r="D1142" i="25"/>
  <c r="C1143" i="25" s="1"/>
  <c r="E1142" i="25"/>
  <c r="A1149" i="25"/>
  <c r="B1149" i="25" s="1"/>
  <c r="F1143" i="39" l="1"/>
  <c r="E1143" i="39"/>
  <c r="D1144" i="39" s="1"/>
  <c r="C1147" i="39"/>
  <c r="A1148" i="39"/>
  <c r="B1148" i="39" s="1"/>
  <c r="B1150" i="30"/>
  <c r="A1151" i="30"/>
  <c r="D1148" i="30"/>
  <c r="C1149" i="30" s="1"/>
  <c r="E1148" i="30"/>
  <c r="D1143" i="25"/>
  <c r="C1144" i="25" s="1"/>
  <c r="E1143" i="25"/>
  <c r="A1150" i="25"/>
  <c r="B1150" i="25" s="1"/>
  <c r="F1144" i="39" l="1"/>
  <c r="E1144" i="39"/>
  <c r="D1145" i="39" s="1"/>
  <c r="C1148" i="39"/>
  <c r="A1149" i="39"/>
  <c r="B1149" i="39" s="1"/>
  <c r="B1151" i="30"/>
  <c r="A1152" i="30"/>
  <c r="D1149" i="30"/>
  <c r="C1150" i="30" s="1"/>
  <c r="E1149" i="30"/>
  <c r="D1144" i="25"/>
  <c r="C1145" i="25" s="1"/>
  <c r="E1144" i="25"/>
  <c r="A1151" i="25"/>
  <c r="B1151" i="25" s="1"/>
  <c r="F1145" i="39" l="1"/>
  <c r="E1145" i="39"/>
  <c r="D1146" i="39" s="1"/>
  <c r="C1149" i="39"/>
  <c r="A1150" i="39"/>
  <c r="B1150" i="39" s="1"/>
  <c r="B1152" i="30"/>
  <c r="A1153" i="30"/>
  <c r="D1150" i="30"/>
  <c r="C1151" i="30" s="1"/>
  <c r="E1150" i="30"/>
  <c r="D1145" i="25"/>
  <c r="C1146" i="25" s="1"/>
  <c r="E1145" i="25"/>
  <c r="A1152" i="25"/>
  <c r="B1152" i="25" s="1"/>
  <c r="F1146" i="39" l="1"/>
  <c r="E1146" i="39"/>
  <c r="D1147" i="39" s="1"/>
  <c r="C1150" i="39"/>
  <c r="A1151" i="39"/>
  <c r="B1151" i="39" s="1"/>
  <c r="B1153" i="30"/>
  <c r="A1154" i="30"/>
  <c r="D1151" i="30"/>
  <c r="C1152" i="30" s="1"/>
  <c r="E1151" i="30"/>
  <c r="D1146" i="25"/>
  <c r="C1147" i="25" s="1"/>
  <c r="E1146" i="25"/>
  <c r="A1153" i="25"/>
  <c r="B1153" i="25" s="1"/>
  <c r="F1147" i="39" l="1"/>
  <c r="E1147" i="39"/>
  <c r="D1148" i="39" s="1"/>
  <c r="C1151" i="39"/>
  <c r="A1152" i="39"/>
  <c r="B1152" i="39" s="1"/>
  <c r="B1154" i="30"/>
  <c r="A1155" i="30"/>
  <c r="D1152" i="30"/>
  <c r="C1153" i="30" s="1"/>
  <c r="E1152" i="30"/>
  <c r="D1147" i="25"/>
  <c r="C1148" i="25" s="1"/>
  <c r="E1147" i="25"/>
  <c r="A1154" i="25"/>
  <c r="B1154" i="25" s="1"/>
  <c r="F1148" i="39" l="1"/>
  <c r="E1148" i="39"/>
  <c r="D1149" i="39" s="1"/>
  <c r="C1152" i="39"/>
  <c r="A1153" i="39"/>
  <c r="B1153" i="39" s="1"/>
  <c r="B1155" i="30"/>
  <c r="A1156" i="30"/>
  <c r="D1153" i="30"/>
  <c r="C1154" i="30" s="1"/>
  <c r="E1153" i="30"/>
  <c r="D1148" i="25"/>
  <c r="C1149" i="25" s="1"/>
  <c r="E1148" i="25"/>
  <c r="A1155" i="25"/>
  <c r="B1155" i="25" s="1"/>
  <c r="F1149" i="39" l="1"/>
  <c r="E1149" i="39"/>
  <c r="D1150" i="39" s="1"/>
  <c r="C1153" i="39"/>
  <c r="A1154" i="39"/>
  <c r="B1154" i="39" s="1"/>
  <c r="B1156" i="30"/>
  <c r="A1157" i="30"/>
  <c r="D1154" i="30"/>
  <c r="C1155" i="30" s="1"/>
  <c r="E1154" i="30"/>
  <c r="D1149" i="25"/>
  <c r="C1150" i="25" s="1"/>
  <c r="E1149" i="25"/>
  <c r="A1156" i="25"/>
  <c r="B1156" i="25" s="1"/>
  <c r="F1150" i="39" l="1"/>
  <c r="E1150" i="39"/>
  <c r="D1151" i="39" s="1"/>
  <c r="C1154" i="39"/>
  <c r="A1155" i="39"/>
  <c r="B1155" i="39" s="1"/>
  <c r="B1157" i="30"/>
  <c r="A1158" i="30"/>
  <c r="D1155" i="30"/>
  <c r="C1156" i="30" s="1"/>
  <c r="E1155" i="30"/>
  <c r="D1150" i="25"/>
  <c r="C1151" i="25" s="1"/>
  <c r="E1150" i="25"/>
  <c r="A1157" i="25"/>
  <c r="B1157" i="25" s="1"/>
  <c r="E1151" i="39" l="1"/>
  <c r="D1152" i="39" s="1"/>
  <c r="F1151" i="39"/>
  <c r="C1155" i="39"/>
  <c r="A1156" i="39"/>
  <c r="B1156" i="39" s="1"/>
  <c r="B1158" i="30"/>
  <c r="A1159" i="30"/>
  <c r="D1156" i="30"/>
  <c r="C1157" i="30" s="1"/>
  <c r="E1156" i="30"/>
  <c r="E1151" i="25"/>
  <c r="D1151" i="25"/>
  <c r="C1152" i="25" s="1"/>
  <c r="A1158" i="25"/>
  <c r="B1158" i="25" s="1"/>
  <c r="E1152" i="39" l="1"/>
  <c r="D1153" i="39" s="1"/>
  <c r="F1152" i="39"/>
  <c r="C1156" i="39"/>
  <c r="A1157" i="39"/>
  <c r="B1157" i="39" s="1"/>
  <c r="B1159" i="30"/>
  <c r="A1160" i="30"/>
  <c r="D1157" i="30"/>
  <c r="C1158" i="30" s="1"/>
  <c r="E1157" i="30"/>
  <c r="E1152" i="25"/>
  <c r="D1152" i="25"/>
  <c r="C1153" i="25" s="1"/>
  <c r="A1159" i="25"/>
  <c r="B1159" i="25" s="1"/>
  <c r="E1153" i="39" l="1"/>
  <c r="D1154" i="39" s="1"/>
  <c r="F1153" i="39"/>
  <c r="C1157" i="39"/>
  <c r="A1158" i="39"/>
  <c r="B1158" i="39" s="1"/>
  <c r="B1160" i="30"/>
  <c r="A1161" i="30"/>
  <c r="D1158" i="30"/>
  <c r="C1159" i="30" s="1"/>
  <c r="E1158" i="30"/>
  <c r="E1153" i="25"/>
  <c r="D1153" i="25"/>
  <c r="C1154" i="25" s="1"/>
  <c r="A1160" i="25"/>
  <c r="B1160" i="25" s="1"/>
  <c r="E1154" i="39" l="1"/>
  <c r="D1155" i="39" s="1"/>
  <c r="F1154" i="39"/>
  <c r="C1158" i="39"/>
  <c r="A1159" i="39"/>
  <c r="B1159" i="39" s="1"/>
  <c r="B1161" i="30"/>
  <c r="A1162" i="30"/>
  <c r="D1159" i="30"/>
  <c r="C1160" i="30" s="1"/>
  <c r="E1159" i="30"/>
  <c r="E1154" i="25"/>
  <c r="D1154" i="25"/>
  <c r="C1155" i="25" s="1"/>
  <c r="A1161" i="25"/>
  <c r="B1161" i="25" s="1"/>
  <c r="F1155" i="39" l="1"/>
  <c r="E1155" i="39"/>
  <c r="D1156" i="39" s="1"/>
  <c r="C1159" i="39"/>
  <c r="A1160" i="39"/>
  <c r="B1160" i="39" s="1"/>
  <c r="B1162" i="30"/>
  <c r="A1163" i="30"/>
  <c r="D1160" i="30"/>
  <c r="C1161" i="30" s="1"/>
  <c r="E1160" i="30"/>
  <c r="D1155" i="25"/>
  <c r="C1156" i="25" s="1"/>
  <c r="E1155" i="25"/>
  <c r="A1162" i="25"/>
  <c r="B1162" i="25" s="1"/>
  <c r="E1156" i="39" l="1"/>
  <c r="D1157" i="39" s="1"/>
  <c r="F1156" i="39"/>
  <c r="C1160" i="39"/>
  <c r="A1161" i="39"/>
  <c r="B1161" i="39" s="1"/>
  <c r="B1163" i="30"/>
  <c r="A1164" i="30"/>
  <c r="D1161" i="30"/>
  <c r="C1162" i="30" s="1"/>
  <c r="E1161" i="30"/>
  <c r="E1156" i="25"/>
  <c r="D1156" i="25"/>
  <c r="C1157" i="25" s="1"/>
  <c r="A1163" i="25"/>
  <c r="B1163" i="25" s="1"/>
  <c r="F1157" i="39" l="1"/>
  <c r="E1157" i="39"/>
  <c r="D1158" i="39" s="1"/>
  <c r="C1161" i="39"/>
  <c r="A1162" i="39"/>
  <c r="B1162" i="39" s="1"/>
  <c r="B1164" i="30"/>
  <c r="A1165" i="30"/>
  <c r="D1162" i="30"/>
  <c r="C1163" i="30" s="1"/>
  <c r="E1162" i="30"/>
  <c r="E1157" i="25"/>
  <c r="D1157" i="25"/>
  <c r="C1158" i="25" s="1"/>
  <c r="A1164" i="25"/>
  <c r="B1164" i="25" s="1"/>
  <c r="E1158" i="39" l="1"/>
  <c r="D1159" i="39" s="1"/>
  <c r="F1158" i="39"/>
  <c r="C1162" i="39"/>
  <c r="A1163" i="39"/>
  <c r="B1163" i="39" s="1"/>
  <c r="B1165" i="30"/>
  <c r="A1166" i="30"/>
  <c r="D1163" i="30"/>
  <c r="C1164" i="30" s="1"/>
  <c r="E1163" i="30"/>
  <c r="E1158" i="25"/>
  <c r="D1158" i="25"/>
  <c r="C1159" i="25" s="1"/>
  <c r="A1165" i="25"/>
  <c r="B1165" i="25" s="1"/>
  <c r="F1159" i="39" l="1"/>
  <c r="E1159" i="39"/>
  <c r="D1160" i="39" s="1"/>
  <c r="C1163" i="39"/>
  <c r="A1164" i="39"/>
  <c r="B1164" i="39" s="1"/>
  <c r="B1166" i="30"/>
  <c r="A1167" i="30"/>
  <c r="D1164" i="30"/>
  <c r="C1165" i="30" s="1"/>
  <c r="E1164" i="30"/>
  <c r="E1159" i="25"/>
  <c r="D1159" i="25"/>
  <c r="C1160" i="25" s="1"/>
  <c r="A1166" i="25"/>
  <c r="B1166" i="25" s="1"/>
  <c r="F1160" i="39" l="1"/>
  <c r="E1160" i="39"/>
  <c r="D1161" i="39" s="1"/>
  <c r="C1164" i="39"/>
  <c r="A1165" i="39"/>
  <c r="B1165" i="39" s="1"/>
  <c r="B1167" i="30"/>
  <c r="A1168" i="30"/>
  <c r="D1165" i="30"/>
  <c r="C1166" i="30" s="1"/>
  <c r="E1165" i="30"/>
  <c r="E1160" i="25"/>
  <c r="D1160" i="25"/>
  <c r="C1161" i="25" s="1"/>
  <c r="A1167" i="25"/>
  <c r="B1167" i="25" s="1"/>
  <c r="F1161" i="39" l="1"/>
  <c r="E1161" i="39"/>
  <c r="D1162" i="39" s="1"/>
  <c r="C1165" i="39"/>
  <c r="A1166" i="39"/>
  <c r="B1166" i="39" s="1"/>
  <c r="B1168" i="30"/>
  <c r="A1169" i="30"/>
  <c r="D1166" i="30"/>
  <c r="C1167" i="30" s="1"/>
  <c r="E1166" i="30"/>
  <c r="E1161" i="25"/>
  <c r="D1161" i="25"/>
  <c r="C1162" i="25" s="1"/>
  <c r="A1168" i="25"/>
  <c r="B1168" i="25" s="1"/>
  <c r="F1162" i="39" l="1"/>
  <c r="E1162" i="39"/>
  <c r="D1163" i="39" s="1"/>
  <c r="C1166" i="39"/>
  <c r="A1167" i="39"/>
  <c r="B1167" i="39" s="1"/>
  <c r="B1169" i="30"/>
  <c r="A1170" i="30"/>
  <c r="D1167" i="30"/>
  <c r="C1168" i="30" s="1"/>
  <c r="E1167" i="30"/>
  <c r="E1162" i="25"/>
  <c r="D1162" i="25"/>
  <c r="C1163" i="25" s="1"/>
  <c r="A1169" i="25"/>
  <c r="B1169" i="25" s="1"/>
  <c r="F1163" i="39" l="1"/>
  <c r="E1163" i="39"/>
  <c r="D1164" i="39" s="1"/>
  <c r="C1167" i="39"/>
  <c r="A1168" i="39"/>
  <c r="B1168" i="39" s="1"/>
  <c r="B1170" i="30"/>
  <c r="A1171" i="30"/>
  <c r="D1168" i="30"/>
  <c r="C1169" i="30" s="1"/>
  <c r="E1168" i="30"/>
  <c r="E1163" i="25"/>
  <c r="D1163" i="25"/>
  <c r="C1164" i="25" s="1"/>
  <c r="A1170" i="25"/>
  <c r="B1170" i="25" s="1"/>
  <c r="E1164" i="39" l="1"/>
  <c r="D1165" i="39" s="1"/>
  <c r="F1164" i="39"/>
  <c r="C1168" i="39"/>
  <c r="A1169" i="39"/>
  <c r="B1169" i="39" s="1"/>
  <c r="B1171" i="30"/>
  <c r="A1172" i="30"/>
  <c r="D1169" i="30"/>
  <c r="C1170" i="30" s="1"/>
  <c r="E1169" i="30"/>
  <c r="E1164" i="25"/>
  <c r="D1164" i="25"/>
  <c r="C1165" i="25" s="1"/>
  <c r="A1171" i="25"/>
  <c r="B1171" i="25" s="1"/>
  <c r="E1165" i="39" l="1"/>
  <c r="D1166" i="39" s="1"/>
  <c r="F1165" i="39"/>
  <c r="C1169" i="39"/>
  <c r="A1170" i="39"/>
  <c r="B1170" i="39" s="1"/>
  <c r="B1172" i="30"/>
  <c r="A1173" i="30"/>
  <c r="D1170" i="30"/>
  <c r="C1171" i="30" s="1"/>
  <c r="E1170" i="30"/>
  <c r="E1165" i="25"/>
  <c r="D1165" i="25"/>
  <c r="C1166" i="25" s="1"/>
  <c r="A1172" i="25"/>
  <c r="B1172" i="25" s="1"/>
  <c r="F1166" i="39" l="1"/>
  <c r="E1166" i="39"/>
  <c r="D1167" i="39" s="1"/>
  <c r="C1170" i="39"/>
  <c r="A1171" i="39"/>
  <c r="B1171" i="39" s="1"/>
  <c r="B1173" i="30"/>
  <c r="A1174" i="30"/>
  <c r="D1171" i="30"/>
  <c r="C1172" i="30" s="1"/>
  <c r="E1171" i="30"/>
  <c r="D1166" i="25"/>
  <c r="C1167" i="25" s="1"/>
  <c r="E1166" i="25"/>
  <c r="A1173" i="25"/>
  <c r="B1173" i="25" s="1"/>
  <c r="E1167" i="39" l="1"/>
  <c r="D1168" i="39" s="1"/>
  <c r="F1167" i="39"/>
  <c r="C1171" i="39"/>
  <c r="A1172" i="39"/>
  <c r="B1172" i="39" s="1"/>
  <c r="B1174" i="30"/>
  <c r="A1175" i="30"/>
  <c r="D1172" i="30"/>
  <c r="C1173" i="30" s="1"/>
  <c r="E1172" i="30"/>
  <c r="D1167" i="25"/>
  <c r="C1168" i="25" s="1"/>
  <c r="E1167" i="25"/>
  <c r="A1174" i="25"/>
  <c r="B1174" i="25" s="1"/>
  <c r="F1168" i="39" l="1"/>
  <c r="E1168" i="39"/>
  <c r="D1169" i="39" s="1"/>
  <c r="C1172" i="39"/>
  <c r="A1173" i="39"/>
  <c r="B1173" i="39" s="1"/>
  <c r="B1175" i="30"/>
  <c r="A1176" i="30"/>
  <c r="D1173" i="30"/>
  <c r="C1174" i="30" s="1"/>
  <c r="E1173" i="30"/>
  <c r="D1168" i="25"/>
  <c r="C1169" i="25" s="1"/>
  <c r="E1168" i="25"/>
  <c r="A1175" i="25"/>
  <c r="B1175" i="25" s="1"/>
  <c r="F1169" i="39" l="1"/>
  <c r="E1169" i="39"/>
  <c r="D1170" i="39" s="1"/>
  <c r="C1173" i="39"/>
  <c r="A1174" i="39"/>
  <c r="B1174" i="39" s="1"/>
  <c r="B1176" i="30"/>
  <c r="A1177" i="30"/>
  <c r="D1174" i="30"/>
  <c r="C1175" i="30" s="1"/>
  <c r="E1174" i="30"/>
  <c r="D1169" i="25"/>
  <c r="C1170" i="25" s="1"/>
  <c r="E1169" i="25"/>
  <c r="A1176" i="25"/>
  <c r="B1176" i="25" s="1"/>
  <c r="F1170" i="39" l="1"/>
  <c r="E1170" i="39"/>
  <c r="D1171" i="39" s="1"/>
  <c r="C1174" i="39"/>
  <c r="A1175" i="39"/>
  <c r="B1175" i="39" s="1"/>
  <c r="B1177" i="30"/>
  <c r="A1178" i="30"/>
  <c r="D1175" i="30"/>
  <c r="C1176" i="30" s="1"/>
  <c r="E1175" i="30"/>
  <c r="D1170" i="25"/>
  <c r="C1171" i="25" s="1"/>
  <c r="E1170" i="25"/>
  <c r="A1177" i="25"/>
  <c r="B1177" i="25" s="1"/>
  <c r="E1171" i="39" l="1"/>
  <c r="D1172" i="39" s="1"/>
  <c r="F1171" i="39"/>
  <c r="C1175" i="39"/>
  <c r="A1176" i="39"/>
  <c r="B1176" i="39" s="1"/>
  <c r="B1178" i="30"/>
  <c r="A1179" i="30"/>
  <c r="D1176" i="30"/>
  <c r="C1177" i="30" s="1"/>
  <c r="E1176" i="30"/>
  <c r="D1171" i="25"/>
  <c r="C1172" i="25" s="1"/>
  <c r="E1171" i="25"/>
  <c r="A1178" i="25"/>
  <c r="B1178" i="25" s="1"/>
  <c r="F1172" i="39" l="1"/>
  <c r="E1172" i="39"/>
  <c r="D1173" i="39" s="1"/>
  <c r="C1176" i="39"/>
  <c r="A1177" i="39"/>
  <c r="B1177" i="39" s="1"/>
  <c r="B1179" i="30"/>
  <c r="A1180" i="30"/>
  <c r="D1177" i="30"/>
  <c r="C1178" i="30" s="1"/>
  <c r="E1177" i="30"/>
  <c r="D1172" i="25"/>
  <c r="C1173" i="25" s="1"/>
  <c r="E1172" i="25"/>
  <c r="A1179" i="25"/>
  <c r="B1179" i="25" s="1"/>
  <c r="E1173" i="39" l="1"/>
  <c r="D1174" i="39" s="1"/>
  <c r="F1173" i="39"/>
  <c r="C1177" i="39"/>
  <c r="A1178" i="39"/>
  <c r="B1178" i="39" s="1"/>
  <c r="B1180" i="30"/>
  <c r="A1181" i="30"/>
  <c r="D1178" i="30"/>
  <c r="C1179" i="30" s="1"/>
  <c r="E1178" i="30"/>
  <c r="D1173" i="25"/>
  <c r="C1174" i="25" s="1"/>
  <c r="E1173" i="25"/>
  <c r="A1180" i="25"/>
  <c r="B1180" i="25" s="1"/>
  <c r="F1174" i="39" l="1"/>
  <c r="E1174" i="39"/>
  <c r="D1175" i="39" s="1"/>
  <c r="C1178" i="39"/>
  <c r="A1179" i="39"/>
  <c r="B1179" i="39" s="1"/>
  <c r="B1181" i="30"/>
  <c r="A1182" i="30"/>
  <c r="D1179" i="30"/>
  <c r="C1180" i="30" s="1"/>
  <c r="E1179" i="30"/>
  <c r="D1174" i="25"/>
  <c r="C1175" i="25" s="1"/>
  <c r="E1174" i="25"/>
  <c r="A1181" i="25"/>
  <c r="B1181" i="25" s="1"/>
  <c r="F1175" i="39" l="1"/>
  <c r="E1175" i="39"/>
  <c r="D1176" i="39" s="1"/>
  <c r="C1179" i="39"/>
  <c r="A1180" i="39"/>
  <c r="B1180" i="39" s="1"/>
  <c r="B1182" i="30"/>
  <c r="A1183" i="30"/>
  <c r="D1180" i="30"/>
  <c r="C1181" i="30" s="1"/>
  <c r="E1180" i="30"/>
  <c r="D1175" i="25"/>
  <c r="C1176" i="25" s="1"/>
  <c r="E1175" i="25"/>
  <c r="A1182" i="25"/>
  <c r="B1182" i="25" s="1"/>
  <c r="F1176" i="39" l="1"/>
  <c r="E1176" i="39"/>
  <c r="D1177" i="39" s="1"/>
  <c r="C1180" i="39"/>
  <c r="A1181" i="39"/>
  <c r="B1181" i="39" s="1"/>
  <c r="B1183" i="30"/>
  <c r="A1184" i="30"/>
  <c r="D1181" i="30"/>
  <c r="C1182" i="30" s="1"/>
  <c r="E1181" i="30"/>
  <c r="D1176" i="25"/>
  <c r="C1177" i="25" s="1"/>
  <c r="E1176" i="25"/>
  <c r="A1183" i="25"/>
  <c r="B1183" i="25" s="1"/>
  <c r="E1177" i="39" l="1"/>
  <c r="D1178" i="39" s="1"/>
  <c r="F1177" i="39"/>
  <c r="C1181" i="39"/>
  <c r="A1182" i="39"/>
  <c r="B1182" i="39" s="1"/>
  <c r="B1184" i="30"/>
  <c r="A1185" i="30"/>
  <c r="D1182" i="30"/>
  <c r="C1183" i="30" s="1"/>
  <c r="E1182" i="30"/>
  <c r="D1177" i="25"/>
  <c r="C1178" i="25" s="1"/>
  <c r="E1177" i="25"/>
  <c r="A1184" i="25"/>
  <c r="B1184" i="25" s="1"/>
  <c r="F1178" i="39" l="1"/>
  <c r="E1178" i="39"/>
  <c r="D1179" i="39" s="1"/>
  <c r="C1182" i="39"/>
  <c r="A1183" i="39"/>
  <c r="B1183" i="39" s="1"/>
  <c r="B1185" i="30"/>
  <c r="A1186" i="30"/>
  <c r="D1183" i="30"/>
  <c r="C1184" i="30" s="1"/>
  <c r="E1183" i="30"/>
  <c r="D1178" i="25"/>
  <c r="C1179" i="25" s="1"/>
  <c r="E1178" i="25"/>
  <c r="A1185" i="25"/>
  <c r="B1185" i="25" s="1"/>
  <c r="E1179" i="39" l="1"/>
  <c r="D1180" i="39" s="1"/>
  <c r="F1179" i="39"/>
  <c r="C1183" i="39"/>
  <c r="A1184" i="39"/>
  <c r="B1184" i="39" s="1"/>
  <c r="B1186" i="30"/>
  <c r="A1187" i="30"/>
  <c r="D1184" i="30"/>
  <c r="C1185" i="30" s="1"/>
  <c r="E1184" i="30"/>
  <c r="D1179" i="25"/>
  <c r="C1180" i="25" s="1"/>
  <c r="E1179" i="25"/>
  <c r="A1186" i="25"/>
  <c r="B1186" i="25" s="1"/>
  <c r="F1180" i="39" l="1"/>
  <c r="E1180" i="39"/>
  <c r="D1181" i="39" s="1"/>
  <c r="C1184" i="39"/>
  <c r="A1185" i="39"/>
  <c r="B1185" i="39" s="1"/>
  <c r="B1187" i="30"/>
  <c r="A1188" i="30"/>
  <c r="D1185" i="30"/>
  <c r="C1186" i="30" s="1"/>
  <c r="E1185" i="30"/>
  <c r="D1180" i="25"/>
  <c r="C1181" i="25" s="1"/>
  <c r="E1180" i="25"/>
  <c r="A1187" i="25"/>
  <c r="B1187" i="25" s="1"/>
  <c r="F1181" i="39" l="1"/>
  <c r="E1181" i="39"/>
  <c r="D1182" i="39" s="1"/>
  <c r="C1185" i="39"/>
  <c r="A1186" i="39"/>
  <c r="B1186" i="39" s="1"/>
  <c r="B1188" i="30"/>
  <c r="A1189" i="30"/>
  <c r="D1186" i="30"/>
  <c r="C1187" i="30" s="1"/>
  <c r="E1186" i="30"/>
  <c r="D1181" i="25"/>
  <c r="C1182" i="25" s="1"/>
  <c r="E1181" i="25"/>
  <c r="A1188" i="25"/>
  <c r="B1188" i="25" s="1"/>
  <c r="F1182" i="39" l="1"/>
  <c r="E1182" i="39"/>
  <c r="D1183" i="39" s="1"/>
  <c r="C1186" i="39"/>
  <c r="A1187" i="39"/>
  <c r="B1187" i="39" s="1"/>
  <c r="B1189" i="30"/>
  <c r="A1190" i="30"/>
  <c r="D1187" i="30"/>
  <c r="C1188" i="30" s="1"/>
  <c r="E1187" i="30"/>
  <c r="D1182" i="25"/>
  <c r="C1183" i="25" s="1"/>
  <c r="E1182" i="25"/>
  <c r="A1189" i="25"/>
  <c r="B1189" i="25" s="1"/>
  <c r="E1183" i="39" l="1"/>
  <c r="D1184" i="39" s="1"/>
  <c r="F1183" i="39"/>
  <c r="C1187" i="39"/>
  <c r="A1188" i="39"/>
  <c r="B1188" i="39" s="1"/>
  <c r="B1190" i="30"/>
  <c r="A1191" i="30"/>
  <c r="D1188" i="30"/>
  <c r="C1189" i="30" s="1"/>
  <c r="E1188" i="30"/>
  <c r="D1183" i="25"/>
  <c r="C1184" i="25" s="1"/>
  <c r="E1183" i="25"/>
  <c r="A1190" i="25"/>
  <c r="B1190" i="25" s="1"/>
  <c r="F1184" i="39" l="1"/>
  <c r="E1184" i="39"/>
  <c r="D1185" i="39" s="1"/>
  <c r="C1188" i="39"/>
  <c r="A1189" i="39"/>
  <c r="B1189" i="39" s="1"/>
  <c r="B1191" i="30"/>
  <c r="A1192" i="30"/>
  <c r="D1189" i="30"/>
  <c r="C1190" i="30" s="1"/>
  <c r="E1189" i="30"/>
  <c r="D1184" i="25"/>
  <c r="C1185" i="25" s="1"/>
  <c r="E1184" i="25"/>
  <c r="A1191" i="25"/>
  <c r="B1191" i="25" s="1"/>
  <c r="F1185" i="39" l="1"/>
  <c r="E1185" i="39"/>
  <c r="D1186" i="39" s="1"/>
  <c r="C1189" i="39"/>
  <c r="A1190" i="39"/>
  <c r="B1190" i="39" s="1"/>
  <c r="B1192" i="30"/>
  <c r="A1193" i="30"/>
  <c r="D1190" i="30"/>
  <c r="C1191" i="30" s="1"/>
  <c r="E1190" i="30"/>
  <c r="D1185" i="25"/>
  <c r="C1186" i="25" s="1"/>
  <c r="E1185" i="25"/>
  <c r="A1192" i="25"/>
  <c r="B1192" i="25" s="1"/>
  <c r="E1186" i="39" l="1"/>
  <c r="D1187" i="39" s="1"/>
  <c r="F1186" i="39"/>
  <c r="C1190" i="39"/>
  <c r="A1191" i="39"/>
  <c r="B1191" i="39" s="1"/>
  <c r="B1193" i="30"/>
  <c r="A1194" i="30"/>
  <c r="D1191" i="30"/>
  <c r="C1192" i="30" s="1"/>
  <c r="E1191" i="30"/>
  <c r="D1186" i="25"/>
  <c r="C1187" i="25" s="1"/>
  <c r="E1186" i="25"/>
  <c r="A1193" i="25"/>
  <c r="B1193" i="25" s="1"/>
  <c r="F1187" i="39" l="1"/>
  <c r="E1187" i="39"/>
  <c r="D1188" i="39" s="1"/>
  <c r="C1191" i="39"/>
  <c r="A1192" i="39"/>
  <c r="B1192" i="39" s="1"/>
  <c r="B1194" i="30"/>
  <c r="A1195" i="30"/>
  <c r="D1192" i="30"/>
  <c r="C1193" i="30" s="1"/>
  <c r="E1192" i="30"/>
  <c r="D1187" i="25"/>
  <c r="C1188" i="25" s="1"/>
  <c r="E1187" i="25"/>
  <c r="A1194" i="25"/>
  <c r="B1194" i="25" s="1"/>
  <c r="E1188" i="39" l="1"/>
  <c r="D1189" i="39" s="1"/>
  <c r="F1188" i="39"/>
  <c r="C1192" i="39"/>
  <c r="A1193" i="39"/>
  <c r="B1193" i="39" s="1"/>
  <c r="B1195" i="30"/>
  <c r="A1196" i="30"/>
  <c r="D1193" i="30"/>
  <c r="C1194" i="30" s="1"/>
  <c r="E1193" i="30"/>
  <c r="D1188" i="25"/>
  <c r="C1189" i="25" s="1"/>
  <c r="E1188" i="25"/>
  <c r="A1195" i="25"/>
  <c r="B1195" i="25" s="1"/>
  <c r="E1189" i="39" l="1"/>
  <c r="D1190" i="39" s="1"/>
  <c r="F1189" i="39"/>
  <c r="C1193" i="39"/>
  <c r="A1194" i="39"/>
  <c r="B1194" i="39" s="1"/>
  <c r="B1196" i="30"/>
  <c r="A1197" i="30"/>
  <c r="D1194" i="30"/>
  <c r="C1195" i="30" s="1"/>
  <c r="E1194" i="30"/>
  <c r="E1189" i="25"/>
  <c r="D1189" i="25"/>
  <c r="C1190" i="25" s="1"/>
  <c r="A1196" i="25"/>
  <c r="B1196" i="25" s="1"/>
  <c r="E1190" i="39" l="1"/>
  <c r="D1191" i="39" s="1"/>
  <c r="F1190" i="39"/>
  <c r="C1194" i="39"/>
  <c r="A1195" i="39"/>
  <c r="B1195" i="39" s="1"/>
  <c r="B1197" i="30"/>
  <c r="A1198" i="30"/>
  <c r="D1195" i="30"/>
  <c r="C1196" i="30" s="1"/>
  <c r="E1195" i="30"/>
  <c r="D1190" i="25"/>
  <c r="C1191" i="25" s="1"/>
  <c r="E1190" i="25"/>
  <c r="A1197" i="25"/>
  <c r="B1197" i="25" s="1"/>
  <c r="F1191" i="39" l="1"/>
  <c r="E1191" i="39"/>
  <c r="D1192" i="39" s="1"/>
  <c r="C1195" i="39"/>
  <c r="A1196" i="39"/>
  <c r="B1196" i="39" s="1"/>
  <c r="B1198" i="30"/>
  <c r="A1199" i="30"/>
  <c r="D1196" i="30"/>
  <c r="C1197" i="30" s="1"/>
  <c r="E1196" i="30"/>
  <c r="D1191" i="25"/>
  <c r="C1192" i="25" s="1"/>
  <c r="E1191" i="25"/>
  <c r="A1198" i="25"/>
  <c r="B1198" i="25" s="1"/>
  <c r="F1192" i="39" l="1"/>
  <c r="E1192" i="39"/>
  <c r="D1193" i="39" s="1"/>
  <c r="C1196" i="39"/>
  <c r="A1197" i="39"/>
  <c r="B1197" i="39" s="1"/>
  <c r="B1199" i="30"/>
  <c r="A1200" i="30"/>
  <c r="D1197" i="30"/>
  <c r="C1198" i="30" s="1"/>
  <c r="E1197" i="30"/>
  <c r="E1192" i="25"/>
  <c r="D1192" i="25"/>
  <c r="C1193" i="25" s="1"/>
  <c r="A1199" i="25"/>
  <c r="B1199" i="25" s="1"/>
  <c r="F1193" i="39" l="1"/>
  <c r="E1193" i="39"/>
  <c r="D1194" i="39" s="1"/>
  <c r="C1197" i="39"/>
  <c r="A1198" i="39"/>
  <c r="B1198" i="39" s="1"/>
  <c r="B1200" i="30"/>
  <c r="A1201" i="30"/>
  <c r="D1198" i="30"/>
  <c r="C1199" i="30" s="1"/>
  <c r="E1198" i="30"/>
  <c r="E1193" i="25"/>
  <c r="D1193" i="25"/>
  <c r="C1194" i="25" s="1"/>
  <c r="A1200" i="25"/>
  <c r="B1200" i="25" s="1"/>
  <c r="E1194" i="39" l="1"/>
  <c r="D1195" i="39" s="1"/>
  <c r="F1194" i="39"/>
  <c r="C1198" i="39"/>
  <c r="A1199" i="39"/>
  <c r="B1199" i="39" s="1"/>
  <c r="B1201" i="30"/>
  <c r="A1202" i="30"/>
  <c r="D1199" i="30"/>
  <c r="C1200" i="30" s="1"/>
  <c r="E1199" i="30"/>
  <c r="D1194" i="25"/>
  <c r="C1195" i="25" s="1"/>
  <c r="E1194" i="25"/>
  <c r="A1201" i="25"/>
  <c r="B1201" i="25" s="1"/>
  <c r="E1195" i="39" l="1"/>
  <c r="D1196" i="39" s="1"/>
  <c r="F1195" i="39"/>
  <c r="C1199" i="39"/>
  <c r="A1200" i="39"/>
  <c r="B1200" i="39" s="1"/>
  <c r="B1202" i="30"/>
  <c r="A1203" i="30"/>
  <c r="D1200" i="30"/>
  <c r="C1201" i="30" s="1"/>
  <c r="E1200" i="30"/>
  <c r="D1195" i="25"/>
  <c r="C1196" i="25" s="1"/>
  <c r="E1195" i="25"/>
  <c r="A1202" i="25"/>
  <c r="B1202" i="25" s="1"/>
  <c r="F1196" i="39" l="1"/>
  <c r="E1196" i="39"/>
  <c r="D1197" i="39" s="1"/>
  <c r="C1200" i="39"/>
  <c r="A1201" i="39"/>
  <c r="B1201" i="39" s="1"/>
  <c r="B1203" i="30"/>
  <c r="A1204" i="30"/>
  <c r="D1201" i="30"/>
  <c r="C1202" i="30" s="1"/>
  <c r="E1201" i="30"/>
  <c r="E1196" i="25"/>
  <c r="D1196" i="25"/>
  <c r="C1197" i="25" s="1"/>
  <c r="A1203" i="25"/>
  <c r="B1203" i="25" s="1"/>
  <c r="F1197" i="39" l="1"/>
  <c r="E1197" i="39"/>
  <c r="D1198" i="39" s="1"/>
  <c r="C1201" i="39"/>
  <c r="A1202" i="39"/>
  <c r="B1202" i="39" s="1"/>
  <c r="B1204" i="30"/>
  <c r="A1205" i="30"/>
  <c r="D1202" i="30"/>
  <c r="C1203" i="30" s="1"/>
  <c r="E1202" i="30"/>
  <c r="D1197" i="25"/>
  <c r="C1198" i="25" s="1"/>
  <c r="E1197" i="25"/>
  <c r="A1204" i="25"/>
  <c r="B1204" i="25" s="1"/>
  <c r="E1198" i="39" l="1"/>
  <c r="D1199" i="39" s="1"/>
  <c r="F1198" i="39"/>
  <c r="C1202" i="39"/>
  <c r="A1203" i="39"/>
  <c r="B1203" i="39" s="1"/>
  <c r="B1205" i="30"/>
  <c r="A1206" i="30"/>
  <c r="D1203" i="30"/>
  <c r="C1204" i="30" s="1"/>
  <c r="E1203" i="30"/>
  <c r="D1198" i="25"/>
  <c r="C1199" i="25" s="1"/>
  <c r="E1198" i="25"/>
  <c r="A1205" i="25"/>
  <c r="B1205" i="25" s="1"/>
  <c r="E1199" i="39" l="1"/>
  <c r="D1200" i="39" s="1"/>
  <c r="F1199" i="39"/>
  <c r="C1203" i="39"/>
  <c r="A1204" i="39"/>
  <c r="B1204" i="39" s="1"/>
  <c r="B1206" i="30"/>
  <c r="A1207" i="30"/>
  <c r="D1204" i="30"/>
  <c r="C1205" i="30" s="1"/>
  <c r="E1204" i="30"/>
  <c r="D1199" i="25"/>
  <c r="C1200" i="25" s="1"/>
  <c r="E1199" i="25"/>
  <c r="A1206" i="25"/>
  <c r="B1206" i="25" s="1"/>
  <c r="E1200" i="39" l="1"/>
  <c r="D1201" i="39" s="1"/>
  <c r="F1200" i="39"/>
  <c r="C1204" i="39"/>
  <c r="A1205" i="39"/>
  <c r="B1205" i="39" s="1"/>
  <c r="B1207" i="30"/>
  <c r="A1208" i="30"/>
  <c r="D1205" i="30"/>
  <c r="C1206" i="30" s="1"/>
  <c r="E1205" i="30"/>
  <c r="D1200" i="25"/>
  <c r="C1201" i="25" s="1"/>
  <c r="E1200" i="25"/>
  <c r="A1207" i="25"/>
  <c r="B1207" i="25" s="1"/>
  <c r="E1201" i="39" l="1"/>
  <c r="D1202" i="39" s="1"/>
  <c r="F1201" i="39"/>
  <c r="C1205" i="39"/>
  <c r="A1206" i="39"/>
  <c r="B1206" i="39" s="1"/>
  <c r="B1208" i="30"/>
  <c r="A1209" i="30"/>
  <c r="D1206" i="30"/>
  <c r="C1207" i="30" s="1"/>
  <c r="E1206" i="30"/>
  <c r="D1201" i="25"/>
  <c r="C1202" i="25" s="1"/>
  <c r="E1201" i="25"/>
  <c r="A1208" i="25"/>
  <c r="B1208" i="25" s="1"/>
  <c r="E1202" i="39" l="1"/>
  <c r="D1203" i="39" s="1"/>
  <c r="F1202" i="39"/>
  <c r="C1206" i="39"/>
  <c r="A1207" i="39"/>
  <c r="B1207" i="39" s="1"/>
  <c r="B1209" i="30"/>
  <c r="A1210" i="30"/>
  <c r="D1207" i="30"/>
  <c r="C1208" i="30" s="1"/>
  <c r="E1207" i="30"/>
  <c r="E1202" i="25"/>
  <c r="D1202" i="25"/>
  <c r="C1203" i="25" s="1"/>
  <c r="A1209" i="25"/>
  <c r="B1209" i="25" s="1"/>
  <c r="F1203" i="39" l="1"/>
  <c r="E1203" i="39"/>
  <c r="D1204" i="39" s="1"/>
  <c r="C1207" i="39"/>
  <c r="A1208" i="39"/>
  <c r="B1208" i="39" s="1"/>
  <c r="B1210" i="30"/>
  <c r="A1211" i="30"/>
  <c r="D1208" i="30"/>
  <c r="C1209" i="30" s="1"/>
  <c r="E1208" i="30"/>
  <c r="D1203" i="25"/>
  <c r="C1204" i="25" s="1"/>
  <c r="E1203" i="25"/>
  <c r="A1210" i="25"/>
  <c r="B1210" i="25" s="1"/>
  <c r="F1204" i="39" l="1"/>
  <c r="E1204" i="39"/>
  <c r="D1205" i="39" s="1"/>
  <c r="C1208" i="39"/>
  <c r="A1209" i="39"/>
  <c r="B1209" i="39" s="1"/>
  <c r="B1211" i="30"/>
  <c r="A1212" i="30"/>
  <c r="D1209" i="30"/>
  <c r="C1210" i="30" s="1"/>
  <c r="E1209" i="30"/>
  <c r="E1204" i="25"/>
  <c r="D1204" i="25"/>
  <c r="C1205" i="25" s="1"/>
  <c r="A1211" i="25"/>
  <c r="B1211" i="25" s="1"/>
  <c r="F1205" i="39" l="1"/>
  <c r="E1205" i="39"/>
  <c r="D1206" i="39" s="1"/>
  <c r="C1209" i="39"/>
  <c r="A1210" i="39"/>
  <c r="B1210" i="39" s="1"/>
  <c r="B1212" i="30"/>
  <c r="A1213" i="30"/>
  <c r="D1210" i="30"/>
  <c r="C1211" i="30" s="1"/>
  <c r="E1210" i="30"/>
  <c r="D1205" i="25"/>
  <c r="C1206" i="25" s="1"/>
  <c r="E1205" i="25"/>
  <c r="A1212" i="25"/>
  <c r="B1212" i="25" s="1"/>
  <c r="F1206" i="39" l="1"/>
  <c r="E1206" i="39"/>
  <c r="D1207" i="39" s="1"/>
  <c r="C1210" i="39"/>
  <c r="A1211" i="39"/>
  <c r="B1211" i="39" s="1"/>
  <c r="B1213" i="30"/>
  <c r="A1214" i="30"/>
  <c r="D1211" i="30"/>
  <c r="C1212" i="30" s="1"/>
  <c r="E1211" i="30"/>
  <c r="D1206" i="25"/>
  <c r="C1207" i="25" s="1"/>
  <c r="E1206" i="25"/>
  <c r="A1213" i="25"/>
  <c r="B1213" i="25" s="1"/>
  <c r="E1207" i="39" l="1"/>
  <c r="D1208" i="39" s="1"/>
  <c r="F1207" i="39"/>
  <c r="C1211" i="39"/>
  <c r="A1212" i="39"/>
  <c r="B1212" i="39" s="1"/>
  <c r="B1214" i="30"/>
  <c r="A1215" i="30"/>
  <c r="D1212" i="30"/>
  <c r="C1213" i="30" s="1"/>
  <c r="E1212" i="30"/>
  <c r="D1207" i="25"/>
  <c r="C1208" i="25" s="1"/>
  <c r="E1207" i="25"/>
  <c r="A1214" i="25"/>
  <c r="B1214" i="25" s="1"/>
  <c r="E1208" i="39" l="1"/>
  <c r="D1209" i="39" s="1"/>
  <c r="F1208" i="39"/>
  <c r="C1212" i="39"/>
  <c r="A1213" i="39"/>
  <c r="B1213" i="39" s="1"/>
  <c r="B1215" i="30"/>
  <c r="A1216" i="30"/>
  <c r="D1213" i="30"/>
  <c r="C1214" i="30" s="1"/>
  <c r="E1213" i="30"/>
  <c r="E1208" i="25"/>
  <c r="D1208" i="25"/>
  <c r="C1209" i="25" s="1"/>
  <c r="A1215" i="25"/>
  <c r="B1215" i="25" s="1"/>
  <c r="F1209" i="39" l="1"/>
  <c r="E1209" i="39"/>
  <c r="D1210" i="39" s="1"/>
  <c r="C1213" i="39"/>
  <c r="A1214" i="39"/>
  <c r="B1214" i="39" s="1"/>
  <c r="B1216" i="30"/>
  <c r="A1217" i="30"/>
  <c r="D1214" i="30"/>
  <c r="C1215" i="30" s="1"/>
  <c r="E1214" i="30"/>
  <c r="D1209" i="25"/>
  <c r="C1210" i="25" s="1"/>
  <c r="E1209" i="25"/>
  <c r="A1216" i="25"/>
  <c r="B1216" i="25" s="1"/>
  <c r="E1210" i="39" l="1"/>
  <c r="D1211" i="39" s="1"/>
  <c r="F1210" i="39"/>
  <c r="C1214" i="39"/>
  <c r="A1215" i="39"/>
  <c r="B1215" i="39" s="1"/>
  <c r="B1217" i="30"/>
  <c r="A1218" i="30"/>
  <c r="D1215" i="30"/>
  <c r="C1216" i="30" s="1"/>
  <c r="E1215" i="30"/>
  <c r="D1210" i="25"/>
  <c r="C1211" i="25" s="1"/>
  <c r="E1210" i="25"/>
  <c r="A1217" i="25"/>
  <c r="B1217" i="25" s="1"/>
  <c r="E1211" i="39" l="1"/>
  <c r="D1212" i="39" s="1"/>
  <c r="F1211" i="39"/>
  <c r="C1215" i="39"/>
  <c r="A1216" i="39"/>
  <c r="B1216" i="39" s="1"/>
  <c r="B1218" i="30"/>
  <c r="A1219" i="30"/>
  <c r="D1216" i="30"/>
  <c r="C1217" i="30" s="1"/>
  <c r="E1216" i="30"/>
  <c r="E1211" i="25"/>
  <c r="D1211" i="25"/>
  <c r="C1212" i="25" s="1"/>
  <c r="A1218" i="25"/>
  <c r="B1218" i="25" s="1"/>
  <c r="E1212" i="39" l="1"/>
  <c r="D1213" i="39" s="1"/>
  <c r="F1212" i="39"/>
  <c r="C1216" i="39"/>
  <c r="A1217" i="39"/>
  <c r="B1217" i="39" s="1"/>
  <c r="B1219" i="30"/>
  <c r="A1220" i="30"/>
  <c r="D1217" i="30"/>
  <c r="C1218" i="30" s="1"/>
  <c r="E1217" i="30"/>
  <c r="D1212" i="25"/>
  <c r="C1213" i="25" s="1"/>
  <c r="E1212" i="25"/>
  <c r="A1219" i="25"/>
  <c r="B1219" i="25" s="1"/>
  <c r="F1213" i="39" l="1"/>
  <c r="E1213" i="39"/>
  <c r="D1214" i="39" s="1"/>
  <c r="C1217" i="39"/>
  <c r="A1218" i="39"/>
  <c r="B1218" i="39" s="1"/>
  <c r="B1220" i="30"/>
  <c r="A1221" i="30"/>
  <c r="D1218" i="30"/>
  <c r="C1219" i="30" s="1"/>
  <c r="E1218" i="30"/>
  <c r="D1213" i="25"/>
  <c r="C1214" i="25" s="1"/>
  <c r="E1213" i="25"/>
  <c r="A1220" i="25"/>
  <c r="B1220" i="25" s="1"/>
  <c r="E1214" i="39" l="1"/>
  <c r="D1215" i="39" s="1"/>
  <c r="F1214" i="39"/>
  <c r="C1218" i="39"/>
  <c r="A1219" i="39"/>
  <c r="B1219" i="39" s="1"/>
  <c r="B1221" i="30"/>
  <c r="A1222" i="30"/>
  <c r="D1219" i="30"/>
  <c r="C1220" i="30" s="1"/>
  <c r="E1219" i="30"/>
  <c r="D1214" i="25"/>
  <c r="C1215" i="25" s="1"/>
  <c r="E1214" i="25"/>
  <c r="A1221" i="25"/>
  <c r="B1221" i="25" s="1"/>
  <c r="F1215" i="39" l="1"/>
  <c r="E1215" i="39"/>
  <c r="D1216" i="39" s="1"/>
  <c r="C1219" i="39"/>
  <c r="A1220" i="39"/>
  <c r="B1220" i="39" s="1"/>
  <c r="B1222" i="30"/>
  <c r="A1223" i="30"/>
  <c r="D1220" i="30"/>
  <c r="C1221" i="30" s="1"/>
  <c r="E1220" i="30"/>
  <c r="D1215" i="25"/>
  <c r="C1216" i="25" s="1"/>
  <c r="E1215" i="25"/>
  <c r="A1222" i="25"/>
  <c r="B1222" i="25" s="1"/>
  <c r="F1216" i="39" l="1"/>
  <c r="E1216" i="39"/>
  <c r="D1217" i="39" s="1"/>
  <c r="C1220" i="39"/>
  <c r="A1221" i="39"/>
  <c r="B1221" i="39" s="1"/>
  <c r="B1223" i="30"/>
  <c r="A1224" i="30"/>
  <c r="D1221" i="30"/>
  <c r="C1222" i="30" s="1"/>
  <c r="E1221" i="30"/>
  <c r="D1216" i="25"/>
  <c r="C1217" i="25" s="1"/>
  <c r="E1216" i="25"/>
  <c r="A1223" i="25"/>
  <c r="B1223" i="25" s="1"/>
  <c r="F1217" i="39" l="1"/>
  <c r="E1217" i="39"/>
  <c r="D1218" i="39" s="1"/>
  <c r="C1221" i="39"/>
  <c r="A1222" i="39"/>
  <c r="B1222" i="39" s="1"/>
  <c r="B1224" i="30"/>
  <c r="A1225" i="30"/>
  <c r="D1222" i="30"/>
  <c r="C1223" i="30" s="1"/>
  <c r="E1222" i="30"/>
  <c r="D1217" i="25"/>
  <c r="C1218" i="25" s="1"/>
  <c r="E1217" i="25"/>
  <c r="A1224" i="25"/>
  <c r="B1224" i="25" s="1"/>
  <c r="E1218" i="39" l="1"/>
  <c r="D1219" i="39" s="1"/>
  <c r="F1218" i="39"/>
  <c r="C1222" i="39"/>
  <c r="A1223" i="39"/>
  <c r="B1223" i="39" s="1"/>
  <c r="B1225" i="30"/>
  <c r="A1226" i="30"/>
  <c r="D1223" i="30"/>
  <c r="C1224" i="30" s="1"/>
  <c r="E1223" i="30"/>
  <c r="D1218" i="25"/>
  <c r="C1219" i="25" s="1"/>
  <c r="E1218" i="25"/>
  <c r="A1225" i="25"/>
  <c r="B1225" i="25" s="1"/>
  <c r="F1219" i="39" l="1"/>
  <c r="E1219" i="39"/>
  <c r="D1220" i="39" s="1"/>
  <c r="C1223" i="39"/>
  <c r="A1224" i="39"/>
  <c r="B1224" i="39" s="1"/>
  <c r="B1226" i="30"/>
  <c r="A1227" i="30"/>
  <c r="D1224" i="30"/>
  <c r="C1225" i="30" s="1"/>
  <c r="E1224" i="30"/>
  <c r="D1219" i="25"/>
  <c r="C1220" i="25" s="1"/>
  <c r="E1219" i="25"/>
  <c r="A1226" i="25"/>
  <c r="B1226" i="25" s="1"/>
  <c r="E1220" i="39" l="1"/>
  <c r="D1221" i="39" s="1"/>
  <c r="F1220" i="39"/>
  <c r="C1224" i="39"/>
  <c r="A1225" i="39"/>
  <c r="B1225" i="39" s="1"/>
  <c r="B1227" i="30"/>
  <c r="A1228" i="30"/>
  <c r="D1225" i="30"/>
  <c r="C1226" i="30" s="1"/>
  <c r="E1225" i="30"/>
  <c r="D1220" i="25"/>
  <c r="C1221" i="25" s="1"/>
  <c r="E1220" i="25"/>
  <c r="A1227" i="25"/>
  <c r="B1227" i="25" s="1"/>
  <c r="F1221" i="39" l="1"/>
  <c r="E1221" i="39"/>
  <c r="D1222" i="39" s="1"/>
  <c r="C1225" i="39"/>
  <c r="A1226" i="39"/>
  <c r="B1226" i="39" s="1"/>
  <c r="B1228" i="30"/>
  <c r="A1229" i="30"/>
  <c r="D1226" i="30"/>
  <c r="C1227" i="30" s="1"/>
  <c r="E1226" i="30"/>
  <c r="D1221" i="25"/>
  <c r="C1222" i="25" s="1"/>
  <c r="E1221" i="25"/>
  <c r="A1228" i="25"/>
  <c r="B1228" i="25" s="1"/>
  <c r="E1222" i="39" l="1"/>
  <c r="D1223" i="39" s="1"/>
  <c r="F1222" i="39"/>
  <c r="C1226" i="39"/>
  <c r="A1227" i="39"/>
  <c r="B1227" i="39" s="1"/>
  <c r="B1229" i="30"/>
  <c r="A1230" i="30"/>
  <c r="D1227" i="30"/>
  <c r="C1228" i="30" s="1"/>
  <c r="E1227" i="30"/>
  <c r="D1222" i="25"/>
  <c r="C1223" i="25" s="1"/>
  <c r="E1222" i="25"/>
  <c r="A1229" i="25"/>
  <c r="B1229" i="25" s="1"/>
  <c r="F1223" i="39" l="1"/>
  <c r="E1223" i="39"/>
  <c r="D1224" i="39" s="1"/>
  <c r="C1227" i="39"/>
  <c r="A1228" i="39"/>
  <c r="B1228" i="39" s="1"/>
  <c r="B1230" i="30"/>
  <c r="A1231" i="30"/>
  <c r="D1228" i="30"/>
  <c r="C1229" i="30" s="1"/>
  <c r="E1228" i="30"/>
  <c r="D1223" i="25"/>
  <c r="C1224" i="25" s="1"/>
  <c r="E1223" i="25"/>
  <c r="A1230" i="25"/>
  <c r="B1230" i="25" s="1"/>
  <c r="E1224" i="39" l="1"/>
  <c r="D1225" i="39" s="1"/>
  <c r="F1224" i="39"/>
  <c r="C1228" i="39"/>
  <c r="A1229" i="39"/>
  <c r="B1229" i="39" s="1"/>
  <c r="B1231" i="30"/>
  <c r="A1232" i="30"/>
  <c r="D1229" i="30"/>
  <c r="C1230" i="30" s="1"/>
  <c r="E1229" i="30"/>
  <c r="D1224" i="25"/>
  <c r="C1225" i="25" s="1"/>
  <c r="E1224" i="25"/>
  <c r="A1231" i="25"/>
  <c r="B1231" i="25" s="1"/>
  <c r="F1225" i="39" l="1"/>
  <c r="E1225" i="39"/>
  <c r="D1226" i="39" s="1"/>
  <c r="C1229" i="39"/>
  <c r="A1230" i="39"/>
  <c r="B1230" i="39" s="1"/>
  <c r="B1232" i="30"/>
  <c r="A1233" i="30"/>
  <c r="D1230" i="30"/>
  <c r="C1231" i="30" s="1"/>
  <c r="E1230" i="30"/>
  <c r="D1225" i="25"/>
  <c r="C1226" i="25" s="1"/>
  <c r="E1225" i="25"/>
  <c r="A1232" i="25"/>
  <c r="B1232" i="25" s="1"/>
  <c r="E1226" i="39" l="1"/>
  <c r="D1227" i="39" s="1"/>
  <c r="F1226" i="39"/>
  <c r="C1230" i="39"/>
  <c r="A1231" i="39"/>
  <c r="B1231" i="39" s="1"/>
  <c r="B1233" i="30"/>
  <c r="A1234" i="30"/>
  <c r="D1231" i="30"/>
  <c r="C1232" i="30" s="1"/>
  <c r="E1231" i="30"/>
  <c r="E1226" i="25"/>
  <c r="D1226" i="25"/>
  <c r="C1227" i="25" s="1"/>
  <c r="A1233" i="25"/>
  <c r="B1233" i="25" s="1"/>
  <c r="E1227" i="39" l="1"/>
  <c r="D1228" i="39" s="1"/>
  <c r="F1227" i="39"/>
  <c r="C1231" i="39"/>
  <c r="A1232" i="39"/>
  <c r="B1232" i="39" s="1"/>
  <c r="B1234" i="30"/>
  <c r="A1235" i="30"/>
  <c r="D1232" i="30"/>
  <c r="C1233" i="30" s="1"/>
  <c r="E1232" i="30"/>
  <c r="D1227" i="25"/>
  <c r="C1228" i="25" s="1"/>
  <c r="E1227" i="25"/>
  <c r="A1234" i="25"/>
  <c r="B1234" i="25" s="1"/>
  <c r="F1228" i="39" l="1"/>
  <c r="E1228" i="39"/>
  <c r="D1229" i="39" s="1"/>
  <c r="C1232" i="39"/>
  <c r="A1233" i="39"/>
  <c r="B1233" i="39" s="1"/>
  <c r="B1235" i="30"/>
  <c r="A1236" i="30"/>
  <c r="D1233" i="30"/>
  <c r="C1234" i="30" s="1"/>
  <c r="E1233" i="30"/>
  <c r="D1228" i="25"/>
  <c r="C1229" i="25" s="1"/>
  <c r="E1228" i="25"/>
  <c r="A1235" i="25"/>
  <c r="B1235" i="25" s="1"/>
  <c r="E1229" i="39" l="1"/>
  <c r="D1230" i="39" s="1"/>
  <c r="F1229" i="39"/>
  <c r="C1233" i="39"/>
  <c r="A1234" i="39"/>
  <c r="B1234" i="39" s="1"/>
  <c r="B1236" i="30"/>
  <c r="A1237" i="30"/>
  <c r="D1234" i="30"/>
  <c r="C1235" i="30" s="1"/>
  <c r="E1234" i="30"/>
  <c r="D1229" i="25"/>
  <c r="C1230" i="25" s="1"/>
  <c r="E1229" i="25"/>
  <c r="A1236" i="25"/>
  <c r="B1236" i="25" s="1"/>
  <c r="F1230" i="39" l="1"/>
  <c r="E1230" i="39"/>
  <c r="D1231" i="39" s="1"/>
  <c r="C1234" i="39"/>
  <c r="A1235" i="39"/>
  <c r="B1235" i="39" s="1"/>
  <c r="B1237" i="30"/>
  <c r="A1238" i="30"/>
  <c r="D1235" i="30"/>
  <c r="C1236" i="30" s="1"/>
  <c r="E1235" i="30"/>
  <c r="D1230" i="25"/>
  <c r="C1231" i="25" s="1"/>
  <c r="E1230" i="25"/>
  <c r="A1237" i="25"/>
  <c r="B1237" i="25" s="1"/>
  <c r="F1231" i="39" l="1"/>
  <c r="E1231" i="39"/>
  <c r="D1232" i="39" s="1"/>
  <c r="C1235" i="39"/>
  <c r="A1236" i="39"/>
  <c r="B1236" i="39" s="1"/>
  <c r="B1238" i="30"/>
  <c r="A1239" i="30"/>
  <c r="D1236" i="30"/>
  <c r="C1237" i="30" s="1"/>
  <c r="E1236" i="30"/>
  <c r="D1231" i="25"/>
  <c r="C1232" i="25" s="1"/>
  <c r="E1231" i="25"/>
  <c r="A1238" i="25"/>
  <c r="B1238" i="25" s="1"/>
  <c r="E1232" i="39" l="1"/>
  <c r="D1233" i="39" s="1"/>
  <c r="F1232" i="39"/>
  <c r="C1236" i="39"/>
  <c r="A1237" i="39"/>
  <c r="B1237" i="39" s="1"/>
  <c r="B1239" i="30"/>
  <c r="A1240" i="30"/>
  <c r="D1237" i="30"/>
  <c r="C1238" i="30" s="1"/>
  <c r="E1237" i="30"/>
  <c r="D1232" i="25"/>
  <c r="C1233" i="25" s="1"/>
  <c r="E1232" i="25"/>
  <c r="A1239" i="25"/>
  <c r="B1239" i="25" s="1"/>
  <c r="F1233" i="39" l="1"/>
  <c r="E1233" i="39"/>
  <c r="D1234" i="39" s="1"/>
  <c r="C1237" i="39"/>
  <c r="A1238" i="39"/>
  <c r="B1238" i="39" s="1"/>
  <c r="B1240" i="30"/>
  <c r="A1241" i="30"/>
  <c r="D1238" i="30"/>
  <c r="C1239" i="30" s="1"/>
  <c r="E1238" i="30"/>
  <c r="D1233" i="25"/>
  <c r="C1234" i="25" s="1"/>
  <c r="E1233" i="25"/>
  <c r="A1240" i="25"/>
  <c r="B1240" i="25" s="1"/>
  <c r="F1234" i="39" l="1"/>
  <c r="E1234" i="39"/>
  <c r="D1235" i="39" s="1"/>
  <c r="C1238" i="39"/>
  <c r="A1239" i="39"/>
  <c r="B1239" i="39" s="1"/>
  <c r="B1241" i="30"/>
  <c r="A1242" i="30"/>
  <c r="D1239" i="30"/>
  <c r="C1240" i="30" s="1"/>
  <c r="E1239" i="30"/>
  <c r="D1234" i="25"/>
  <c r="C1235" i="25" s="1"/>
  <c r="E1234" i="25"/>
  <c r="A1241" i="25"/>
  <c r="B1241" i="25" s="1"/>
  <c r="F1235" i="39" l="1"/>
  <c r="E1235" i="39"/>
  <c r="D1236" i="39" s="1"/>
  <c r="C1239" i="39"/>
  <c r="A1240" i="39"/>
  <c r="B1240" i="39" s="1"/>
  <c r="B1242" i="30"/>
  <c r="A1243" i="30"/>
  <c r="D1240" i="30"/>
  <c r="C1241" i="30" s="1"/>
  <c r="E1240" i="30"/>
  <c r="D1235" i="25"/>
  <c r="C1236" i="25" s="1"/>
  <c r="E1235" i="25"/>
  <c r="A1242" i="25"/>
  <c r="B1242" i="25" s="1"/>
  <c r="E1236" i="39" l="1"/>
  <c r="D1237" i="39" s="1"/>
  <c r="F1236" i="39"/>
  <c r="C1240" i="39"/>
  <c r="A1241" i="39"/>
  <c r="B1241" i="39" s="1"/>
  <c r="B1243" i="30"/>
  <c r="A1244" i="30"/>
  <c r="D1241" i="30"/>
  <c r="C1242" i="30" s="1"/>
  <c r="E1241" i="30"/>
  <c r="D1236" i="25"/>
  <c r="C1237" i="25" s="1"/>
  <c r="E1236" i="25"/>
  <c r="A1243" i="25"/>
  <c r="B1243" i="25" s="1"/>
  <c r="F1237" i="39" l="1"/>
  <c r="E1237" i="39"/>
  <c r="D1238" i="39" s="1"/>
  <c r="C1241" i="39"/>
  <c r="A1242" i="39"/>
  <c r="B1242" i="39" s="1"/>
  <c r="B1244" i="30"/>
  <c r="A1245" i="30"/>
  <c r="D1242" i="30"/>
  <c r="C1243" i="30" s="1"/>
  <c r="E1242" i="30"/>
  <c r="D1237" i="25"/>
  <c r="C1238" i="25" s="1"/>
  <c r="E1237" i="25"/>
  <c r="A1244" i="25"/>
  <c r="B1244" i="25" s="1"/>
  <c r="E1238" i="39" l="1"/>
  <c r="D1239" i="39" s="1"/>
  <c r="F1238" i="39"/>
  <c r="C1242" i="39"/>
  <c r="A1243" i="39"/>
  <c r="B1243" i="39" s="1"/>
  <c r="B1245" i="30"/>
  <c r="A1246" i="30"/>
  <c r="D1243" i="30"/>
  <c r="C1244" i="30" s="1"/>
  <c r="E1243" i="30"/>
  <c r="D1238" i="25"/>
  <c r="C1239" i="25" s="1"/>
  <c r="E1238" i="25"/>
  <c r="A1245" i="25"/>
  <c r="B1245" i="25" s="1"/>
  <c r="F1239" i="39" l="1"/>
  <c r="E1239" i="39"/>
  <c r="D1240" i="39" s="1"/>
  <c r="C1243" i="39"/>
  <c r="A1244" i="39"/>
  <c r="B1244" i="39" s="1"/>
  <c r="B1246" i="30"/>
  <c r="A1247" i="30"/>
  <c r="D1244" i="30"/>
  <c r="C1245" i="30" s="1"/>
  <c r="E1244" i="30"/>
  <c r="D1239" i="25"/>
  <c r="C1240" i="25" s="1"/>
  <c r="E1239" i="25"/>
  <c r="A1246" i="25"/>
  <c r="B1246" i="25" s="1"/>
  <c r="F1240" i="39" l="1"/>
  <c r="E1240" i="39"/>
  <c r="D1241" i="39" s="1"/>
  <c r="C1244" i="39"/>
  <c r="A1245" i="39"/>
  <c r="B1245" i="39" s="1"/>
  <c r="B1247" i="30"/>
  <c r="A1248" i="30"/>
  <c r="D1245" i="30"/>
  <c r="C1246" i="30" s="1"/>
  <c r="E1245" i="30"/>
  <c r="D1240" i="25"/>
  <c r="C1241" i="25" s="1"/>
  <c r="E1240" i="25"/>
  <c r="A1247" i="25"/>
  <c r="B1247" i="25" s="1"/>
  <c r="E1241" i="39" l="1"/>
  <c r="D1242" i="39" s="1"/>
  <c r="F1241" i="39"/>
  <c r="C1245" i="39"/>
  <c r="A1246" i="39"/>
  <c r="B1246" i="39" s="1"/>
  <c r="B1248" i="30"/>
  <c r="A1249" i="30"/>
  <c r="D1246" i="30"/>
  <c r="C1247" i="30" s="1"/>
  <c r="E1246" i="30"/>
  <c r="D1241" i="25"/>
  <c r="C1242" i="25" s="1"/>
  <c r="E1241" i="25"/>
  <c r="A1248" i="25"/>
  <c r="B1248" i="25" s="1"/>
  <c r="F1242" i="39" l="1"/>
  <c r="E1242" i="39"/>
  <c r="D1243" i="39" s="1"/>
  <c r="C1246" i="39"/>
  <c r="A1247" i="39"/>
  <c r="B1247" i="39" s="1"/>
  <c r="B1249" i="30"/>
  <c r="A1250" i="30"/>
  <c r="D1247" i="30"/>
  <c r="C1248" i="30" s="1"/>
  <c r="E1247" i="30"/>
  <c r="D1242" i="25"/>
  <c r="C1243" i="25" s="1"/>
  <c r="E1242" i="25"/>
  <c r="A1249" i="25"/>
  <c r="B1249" i="25" s="1"/>
  <c r="F1243" i="39" l="1"/>
  <c r="E1243" i="39"/>
  <c r="D1244" i="39" s="1"/>
  <c r="C1247" i="39"/>
  <c r="A1248" i="39"/>
  <c r="B1248" i="39" s="1"/>
  <c r="B1250" i="30"/>
  <c r="A1251" i="30"/>
  <c r="D1248" i="30"/>
  <c r="C1249" i="30" s="1"/>
  <c r="E1248" i="30"/>
  <c r="D1243" i="25"/>
  <c r="C1244" i="25" s="1"/>
  <c r="E1243" i="25"/>
  <c r="A1250" i="25"/>
  <c r="B1250" i="25" s="1"/>
  <c r="E1244" i="39" l="1"/>
  <c r="D1245" i="39" s="1"/>
  <c r="F1244" i="39"/>
  <c r="C1248" i="39"/>
  <c r="A1249" i="39"/>
  <c r="B1249" i="39" s="1"/>
  <c r="B1251" i="30"/>
  <c r="A1252" i="30"/>
  <c r="D1249" i="30"/>
  <c r="C1250" i="30" s="1"/>
  <c r="E1249" i="30"/>
  <c r="E1244" i="25"/>
  <c r="D1244" i="25"/>
  <c r="C1245" i="25" s="1"/>
  <c r="A1251" i="25"/>
  <c r="B1251" i="25" s="1"/>
  <c r="E1245" i="39" l="1"/>
  <c r="D1246" i="39" s="1"/>
  <c r="F1245" i="39"/>
  <c r="C1249" i="39"/>
  <c r="A1250" i="39"/>
  <c r="B1250" i="39" s="1"/>
  <c r="B1252" i="30"/>
  <c r="A1253" i="30"/>
  <c r="D1250" i="30"/>
  <c r="C1251" i="30" s="1"/>
  <c r="E1250" i="30"/>
  <c r="D1245" i="25"/>
  <c r="C1246" i="25" s="1"/>
  <c r="E1245" i="25"/>
  <c r="A1252" i="25"/>
  <c r="B1252" i="25" s="1"/>
  <c r="F1246" i="39" l="1"/>
  <c r="E1246" i="39"/>
  <c r="D1247" i="39" s="1"/>
  <c r="C1250" i="39"/>
  <c r="A1251" i="39"/>
  <c r="B1251" i="39" s="1"/>
  <c r="B1253" i="30"/>
  <c r="A1254" i="30"/>
  <c r="D1251" i="30"/>
  <c r="C1252" i="30" s="1"/>
  <c r="E1251" i="30"/>
  <c r="D1246" i="25"/>
  <c r="C1247" i="25" s="1"/>
  <c r="E1246" i="25"/>
  <c r="A1253" i="25"/>
  <c r="B1253" i="25" s="1"/>
  <c r="E1247" i="39" l="1"/>
  <c r="D1248" i="39" s="1"/>
  <c r="F1247" i="39"/>
  <c r="C1251" i="39"/>
  <c r="A1252" i="39"/>
  <c r="B1252" i="39" s="1"/>
  <c r="B1254" i="30"/>
  <c r="A1255" i="30"/>
  <c r="D1252" i="30"/>
  <c r="C1253" i="30" s="1"/>
  <c r="E1252" i="30"/>
  <c r="D1247" i="25"/>
  <c r="C1248" i="25" s="1"/>
  <c r="E1247" i="25"/>
  <c r="A1254" i="25"/>
  <c r="B1254" i="25" s="1"/>
  <c r="F1248" i="39" l="1"/>
  <c r="E1248" i="39"/>
  <c r="D1249" i="39" s="1"/>
  <c r="C1252" i="39"/>
  <c r="A1253" i="39"/>
  <c r="B1253" i="39" s="1"/>
  <c r="B1255" i="30"/>
  <c r="A1256" i="30"/>
  <c r="D1253" i="30"/>
  <c r="C1254" i="30" s="1"/>
  <c r="E1253" i="30"/>
  <c r="D1248" i="25"/>
  <c r="C1249" i="25" s="1"/>
  <c r="E1248" i="25"/>
  <c r="A1255" i="25"/>
  <c r="B1255" i="25" s="1"/>
  <c r="E1249" i="39" l="1"/>
  <c r="D1250" i="39" s="1"/>
  <c r="F1249" i="39"/>
  <c r="C1253" i="39"/>
  <c r="A1254" i="39"/>
  <c r="B1254" i="39" s="1"/>
  <c r="B1256" i="30"/>
  <c r="A1257" i="30"/>
  <c r="D1254" i="30"/>
  <c r="C1255" i="30" s="1"/>
  <c r="E1254" i="30"/>
  <c r="D1249" i="25"/>
  <c r="C1250" i="25" s="1"/>
  <c r="E1249" i="25"/>
  <c r="A1256" i="25"/>
  <c r="B1256" i="25" s="1"/>
  <c r="F1250" i="39" l="1"/>
  <c r="E1250" i="39"/>
  <c r="D1251" i="39" s="1"/>
  <c r="C1254" i="39"/>
  <c r="A1255" i="39"/>
  <c r="B1255" i="39" s="1"/>
  <c r="B1257" i="30"/>
  <c r="A1258" i="30"/>
  <c r="D1255" i="30"/>
  <c r="C1256" i="30" s="1"/>
  <c r="E1255" i="30"/>
  <c r="D1250" i="25"/>
  <c r="C1251" i="25" s="1"/>
  <c r="E1250" i="25"/>
  <c r="A1257" i="25"/>
  <c r="B1257" i="25" s="1"/>
  <c r="E1251" i="39" l="1"/>
  <c r="D1252" i="39" s="1"/>
  <c r="F1251" i="39"/>
  <c r="C1255" i="39"/>
  <c r="A1256" i="39"/>
  <c r="B1256" i="39" s="1"/>
  <c r="B1258" i="30"/>
  <c r="A1259" i="30"/>
  <c r="D1256" i="30"/>
  <c r="C1257" i="30" s="1"/>
  <c r="E1256" i="30"/>
  <c r="D1251" i="25"/>
  <c r="C1252" i="25" s="1"/>
  <c r="E1251" i="25"/>
  <c r="A1258" i="25"/>
  <c r="B1258" i="25" s="1"/>
  <c r="E1252" i="39" l="1"/>
  <c r="D1253" i="39" s="1"/>
  <c r="F1252" i="39"/>
  <c r="C1256" i="39"/>
  <c r="A1257" i="39"/>
  <c r="B1257" i="39" s="1"/>
  <c r="B1259" i="30"/>
  <c r="A1260" i="30"/>
  <c r="D1257" i="30"/>
  <c r="C1258" i="30" s="1"/>
  <c r="E1257" i="30"/>
  <c r="D1252" i="25"/>
  <c r="C1253" i="25" s="1"/>
  <c r="E1252" i="25"/>
  <c r="A1259" i="25"/>
  <c r="B1259" i="25" s="1"/>
  <c r="F1253" i="39" l="1"/>
  <c r="E1253" i="39"/>
  <c r="D1254" i="39" s="1"/>
  <c r="C1257" i="39"/>
  <c r="A1258" i="39"/>
  <c r="B1258" i="39" s="1"/>
  <c r="B1260" i="30"/>
  <c r="A1261" i="30"/>
  <c r="D1258" i="30"/>
  <c r="C1259" i="30" s="1"/>
  <c r="E1258" i="30"/>
  <c r="D1253" i="25"/>
  <c r="C1254" i="25" s="1"/>
  <c r="E1253" i="25"/>
  <c r="A1260" i="25"/>
  <c r="B1260" i="25" s="1"/>
  <c r="F1254" i="39" l="1"/>
  <c r="E1254" i="39"/>
  <c r="D1255" i="39" s="1"/>
  <c r="C1258" i="39"/>
  <c r="A1259" i="39"/>
  <c r="B1259" i="39" s="1"/>
  <c r="B1261" i="30"/>
  <c r="A1262" i="30"/>
  <c r="D1259" i="30"/>
  <c r="C1260" i="30" s="1"/>
  <c r="E1259" i="30"/>
  <c r="D1254" i="25"/>
  <c r="C1255" i="25" s="1"/>
  <c r="E1254" i="25"/>
  <c r="A1261" i="25"/>
  <c r="B1261" i="25" s="1"/>
  <c r="E1255" i="39" l="1"/>
  <c r="D1256" i="39" s="1"/>
  <c r="F1255" i="39"/>
  <c r="C1259" i="39"/>
  <c r="A1260" i="39"/>
  <c r="B1260" i="39" s="1"/>
  <c r="B1262" i="30"/>
  <c r="A1263" i="30"/>
  <c r="D1260" i="30"/>
  <c r="C1261" i="30" s="1"/>
  <c r="E1260" i="30"/>
  <c r="D1255" i="25"/>
  <c r="C1256" i="25" s="1"/>
  <c r="E1255" i="25"/>
  <c r="A1262" i="25"/>
  <c r="B1262" i="25" s="1"/>
  <c r="F1256" i="39" l="1"/>
  <c r="E1256" i="39"/>
  <c r="D1257" i="39" s="1"/>
  <c r="C1260" i="39"/>
  <c r="A1261" i="39"/>
  <c r="B1261" i="39" s="1"/>
  <c r="B1263" i="30"/>
  <c r="A1264" i="30"/>
  <c r="D1261" i="30"/>
  <c r="C1262" i="30" s="1"/>
  <c r="E1261" i="30"/>
  <c r="D1256" i="25"/>
  <c r="C1257" i="25" s="1"/>
  <c r="E1256" i="25"/>
  <c r="A1263" i="25"/>
  <c r="B1263" i="25" s="1"/>
  <c r="F1257" i="39" l="1"/>
  <c r="E1257" i="39"/>
  <c r="D1258" i="39" s="1"/>
  <c r="C1261" i="39"/>
  <c r="A1262" i="39"/>
  <c r="B1262" i="39" s="1"/>
  <c r="B1264" i="30"/>
  <c r="A1265" i="30"/>
  <c r="D1262" i="30"/>
  <c r="C1263" i="30" s="1"/>
  <c r="E1262" i="30"/>
  <c r="D1257" i="25"/>
  <c r="C1258" i="25" s="1"/>
  <c r="E1257" i="25"/>
  <c r="A1264" i="25"/>
  <c r="B1264" i="25" s="1"/>
  <c r="E1258" i="39" l="1"/>
  <c r="D1259" i="39" s="1"/>
  <c r="F1258" i="39"/>
  <c r="C1262" i="39"/>
  <c r="A1263" i="39"/>
  <c r="B1263" i="39" s="1"/>
  <c r="B1265" i="30"/>
  <c r="A1266" i="30"/>
  <c r="D1263" i="30"/>
  <c r="C1264" i="30" s="1"/>
  <c r="E1263" i="30"/>
  <c r="D1258" i="25"/>
  <c r="C1259" i="25" s="1"/>
  <c r="E1258" i="25"/>
  <c r="A1265" i="25"/>
  <c r="B1265" i="25" s="1"/>
  <c r="E1259" i="39" l="1"/>
  <c r="D1260" i="39" s="1"/>
  <c r="F1259" i="39"/>
  <c r="C1263" i="39"/>
  <c r="A1264" i="39"/>
  <c r="B1264" i="39" s="1"/>
  <c r="B1266" i="30"/>
  <c r="A1267" i="30"/>
  <c r="D1264" i="30"/>
  <c r="C1265" i="30" s="1"/>
  <c r="E1264" i="30"/>
  <c r="D1259" i="25"/>
  <c r="C1260" i="25" s="1"/>
  <c r="E1259" i="25"/>
  <c r="A1266" i="25"/>
  <c r="B1266" i="25" s="1"/>
  <c r="F1260" i="39" l="1"/>
  <c r="E1260" i="39"/>
  <c r="D1261" i="39" s="1"/>
  <c r="C1264" i="39"/>
  <c r="A1265" i="39"/>
  <c r="B1265" i="39" s="1"/>
  <c r="B1267" i="30"/>
  <c r="A1268" i="30"/>
  <c r="D1265" i="30"/>
  <c r="C1266" i="30" s="1"/>
  <c r="E1265" i="30"/>
  <c r="D1260" i="25"/>
  <c r="C1261" i="25" s="1"/>
  <c r="E1260" i="25"/>
  <c r="A1267" i="25"/>
  <c r="B1267" i="25" s="1"/>
  <c r="F1261" i="39" l="1"/>
  <c r="E1261" i="39"/>
  <c r="D1262" i="39" s="1"/>
  <c r="C1265" i="39"/>
  <c r="A1266" i="39"/>
  <c r="B1266" i="39" s="1"/>
  <c r="B1268" i="30"/>
  <c r="A1269" i="30"/>
  <c r="D1266" i="30"/>
  <c r="C1267" i="30" s="1"/>
  <c r="E1266" i="30"/>
  <c r="D1261" i="25"/>
  <c r="C1262" i="25" s="1"/>
  <c r="E1261" i="25"/>
  <c r="A1268" i="25"/>
  <c r="B1268" i="25" s="1"/>
  <c r="E1262" i="39" l="1"/>
  <c r="D1263" i="39" s="1"/>
  <c r="F1262" i="39"/>
  <c r="C1266" i="39"/>
  <c r="A1267" i="39"/>
  <c r="B1267" i="39" s="1"/>
  <c r="B1269" i="30"/>
  <c r="A1270" i="30"/>
  <c r="D1267" i="30"/>
  <c r="C1268" i="30" s="1"/>
  <c r="E1267" i="30"/>
  <c r="D1262" i="25"/>
  <c r="C1263" i="25" s="1"/>
  <c r="E1262" i="25"/>
  <c r="A1269" i="25"/>
  <c r="B1269" i="25" s="1"/>
  <c r="F1263" i="39" l="1"/>
  <c r="E1263" i="39"/>
  <c r="D1264" i="39" s="1"/>
  <c r="C1267" i="39"/>
  <c r="A1268" i="39"/>
  <c r="B1268" i="39" s="1"/>
  <c r="B1270" i="30"/>
  <c r="A1271" i="30"/>
  <c r="D1268" i="30"/>
  <c r="C1269" i="30" s="1"/>
  <c r="E1268" i="30"/>
  <c r="D1263" i="25"/>
  <c r="C1264" i="25" s="1"/>
  <c r="E1263" i="25"/>
  <c r="A1270" i="25"/>
  <c r="B1270" i="25" s="1"/>
  <c r="E1264" i="39" l="1"/>
  <c r="D1265" i="39" s="1"/>
  <c r="F1264" i="39"/>
  <c r="C1268" i="39"/>
  <c r="A1269" i="39"/>
  <c r="B1269" i="39" s="1"/>
  <c r="B1271" i="30"/>
  <c r="A1272" i="30"/>
  <c r="D1269" i="30"/>
  <c r="C1270" i="30" s="1"/>
  <c r="E1269" i="30"/>
  <c r="D1264" i="25"/>
  <c r="C1265" i="25" s="1"/>
  <c r="E1264" i="25"/>
  <c r="A1271" i="25"/>
  <c r="B1271" i="25" s="1"/>
  <c r="E1265" i="39" l="1"/>
  <c r="D1266" i="39" s="1"/>
  <c r="F1265" i="39"/>
  <c r="C1269" i="39"/>
  <c r="A1270" i="39"/>
  <c r="B1270" i="39" s="1"/>
  <c r="B1272" i="30"/>
  <c r="A1273" i="30"/>
  <c r="D1270" i="30"/>
  <c r="C1271" i="30" s="1"/>
  <c r="E1270" i="30"/>
  <c r="D1265" i="25"/>
  <c r="C1266" i="25" s="1"/>
  <c r="E1265" i="25"/>
  <c r="A1272" i="25"/>
  <c r="B1272" i="25" s="1"/>
  <c r="F1266" i="39" l="1"/>
  <c r="E1266" i="39"/>
  <c r="D1267" i="39" s="1"/>
  <c r="C1270" i="39"/>
  <c r="A1271" i="39"/>
  <c r="B1271" i="39" s="1"/>
  <c r="B1273" i="30"/>
  <c r="A1274" i="30"/>
  <c r="D1271" i="30"/>
  <c r="C1272" i="30" s="1"/>
  <c r="E1271" i="30"/>
  <c r="D1266" i="25"/>
  <c r="C1267" i="25" s="1"/>
  <c r="E1266" i="25"/>
  <c r="A1273" i="25"/>
  <c r="B1273" i="25" s="1"/>
  <c r="F1267" i="39" l="1"/>
  <c r="E1267" i="39"/>
  <c r="D1268" i="39" s="1"/>
  <c r="C1271" i="39"/>
  <c r="A1272" i="39"/>
  <c r="B1272" i="39" s="1"/>
  <c r="B1274" i="30"/>
  <c r="A1275" i="30"/>
  <c r="D1272" i="30"/>
  <c r="C1273" i="30" s="1"/>
  <c r="E1272" i="30"/>
  <c r="D1267" i="25"/>
  <c r="C1268" i="25" s="1"/>
  <c r="E1267" i="25"/>
  <c r="A1274" i="25"/>
  <c r="B1274" i="25" s="1"/>
  <c r="F1268" i="39" l="1"/>
  <c r="E1268" i="39"/>
  <c r="D1269" i="39" s="1"/>
  <c r="C1272" i="39"/>
  <c r="A1273" i="39"/>
  <c r="B1273" i="39" s="1"/>
  <c r="B1275" i="30"/>
  <c r="A1276" i="30"/>
  <c r="D1273" i="30"/>
  <c r="C1274" i="30" s="1"/>
  <c r="E1273" i="30"/>
  <c r="D1268" i="25"/>
  <c r="C1269" i="25" s="1"/>
  <c r="E1268" i="25"/>
  <c r="A1275" i="25"/>
  <c r="B1275" i="25" s="1"/>
  <c r="F1269" i="39" l="1"/>
  <c r="E1269" i="39"/>
  <c r="D1270" i="39" s="1"/>
  <c r="C1273" i="39"/>
  <c r="A1274" i="39"/>
  <c r="B1274" i="39" s="1"/>
  <c r="B1276" i="30"/>
  <c r="A1277" i="30"/>
  <c r="D1274" i="30"/>
  <c r="C1275" i="30" s="1"/>
  <c r="E1274" i="30"/>
  <c r="D1269" i="25"/>
  <c r="C1270" i="25" s="1"/>
  <c r="E1269" i="25"/>
  <c r="A1276" i="25"/>
  <c r="B1276" i="25" s="1"/>
  <c r="F1270" i="39" l="1"/>
  <c r="E1270" i="39"/>
  <c r="D1271" i="39" s="1"/>
  <c r="C1274" i="39"/>
  <c r="A1275" i="39"/>
  <c r="B1275" i="39" s="1"/>
  <c r="B1277" i="30"/>
  <c r="A1278" i="30"/>
  <c r="D1275" i="30"/>
  <c r="C1276" i="30" s="1"/>
  <c r="E1275" i="30"/>
  <c r="D1270" i="25"/>
  <c r="C1271" i="25" s="1"/>
  <c r="E1270" i="25"/>
  <c r="A1277" i="25"/>
  <c r="B1277" i="25" s="1"/>
  <c r="F1271" i="39" l="1"/>
  <c r="E1271" i="39"/>
  <c r="D1272" i="39" s="1"/>
  <c r="C1275" i="39"/>
  <c r="A1276" i="39"/>
  <c r="B1276" i="39" s="1"/>
  <c r="B1278" i="30"/>
  <c r="A1279" i="30"/>
  <c r="D1276" i="30"/>
  <c r="C1277" i="30" s="1"/>
  <c r="E1276" i="30"/>
  <c r="D1271" i="25"/>
  <c r="C1272" i="25" s="1"/>
  <c r="E1271" i="25"/>
  <c r="A1278" i="25"/>
  <c r="B1278" i="25" s="1"/>
  <c r="E1272" i="39" l="1"/>
  <c r="D1273" i="39" s="1"/>
  <c r="F1272" i="39"/>
  <c r="C1276" i="39"/>
  <c r="A1277" i="39"/>
  <c r="B1277" i="39" s="1"/>
  <c r="B1279" i="30"/>
  <c r="A1280" i="30"/>
  <c r="D1277" i="30"/>
  <c r="C1278" i="30" s="1"/>
  <c r="E1277" i="30"/>
  <c r="D1272" i="25"/>
  <c r="C1273" i="25" s="1"/>
  <c r="E1272" i="25"/>
  <c r="A1279" i="25"/>
  <c r="B1279" i="25" s="1"/>
  <c r="F1273" i="39" l="1"/>
  <c r="E1273" i="39"/>
  <c r="D1274" i="39" s="1"/>
  <c r="C1277" i="39"/>
  <c r="A1278" i="39"/>
  <c r="B1278" i="39" s="1"/>
  <c r="B1280" i="30"/>
  <c r="A1281" i="30"/>
  <c r="D1278" i="30"/>
  <c r="C1279" i="30" s="1"/>
  <c r="E1278" i="30"/>
  <c r="D1273" i="25"/>
  <c r="C1274" i="25" s="1"/>
  <c r="E1273" i="25"/>
  <c r="A1280" i="25"/>
  <c r="B1280" i="25" s="1"/>
  <c r="F1274" i="39" l="1"/>
  <c r="E1274" i="39"/>
  <c r="D1275" i="39" s="1"/>
  <c r="C1278" i="39"/>
  <c r="A1279" i="39"/>
  <c r="B1279" i="39" s="1"/>
  <c r="B1281" i="30"/>
  <c r="A1282" i="30"/>
  <c r="D1279" i="30"/>
  <c r="C1280" i="30" s="1"/>
  <c r="E1279" i="30"/>
  <c r="D1274" i="25"/>
  <c r="C1275" i="25" s="1"/>
  <c r="E1274" i="25"/>
  <c r="A1281" i="25"/>
  <c r="B1281" i="25" s="1"/>
  <c r="F1275" i="39" l="1"/>
  <c r="E1275" i="39"/>
  <c r="D1276" i="39" s="1"/>
  <c r="C1279" i="39"/>
  <c r="A1280" i="39"/>
  <c r="B1280" i="39" s="1"/>
  <c r="B1282" i="30"/>
  <c r="A1283" i="30"/>
  <c r="D1280" i="30"/>
  <c r="C1281" i="30" s="1"/>
  <c r="E1280" i="30"/>
  <c r="D1275" i="25"/>
  <c r="C1276" i="25" s="1"/>
  <c r="E1275" i="25"/>
  <c r="A1282" i="25"/>
  <c r="B1282" i="25" s="1"/>
  <c r="E1276" i="39" l="1"/>
  <c r="D1277" i="39" s="1"/>
  <c r="F1276" i="39"/>
  <c r="C1280" i="39"/>
  <c r="A1281" i="39"/>
  <c r="B1281" i="39" s="1"/>
  <c r="B1283" i="30"/>
  <c r="A1284" i="30"/>
  <c r="D1281" i="30"/>
  <c r="C1282" i="30" s="1"/>
  <c r="E1281" i="30"/>
  <c r="D1276" i="25"/>
  <c r="C1277" i="25" s="1"/>
  <c r="E1276" i="25"/>
  <c r="A1283" i="25"/>
  <c r="B1283" i="25" s="1"/>
  <c r="F1277" i="39" l="1"/>
  <c r="E1277" i="39"/>
  <c r="D1278" i="39" s="1"/>
  <c r="C1281" i="39"/>
  <c r="A1282" i="39"/>
  <c r="B1282" i="39" s="1"/>
  <c r="B1284" i="30"/>
  <c r="A1285" i="30"/>
  <c r="D1282" i="30"/>
  <c r="C1283" i="30" s="1"/>
  <c r="E1282" i="30"/>
  <c r="D1277" i="25"/>
  <c r="C1278" i="25" s="1"/>
  <c r="E1277" i="25"/>
  <c r="A1284" i="25"/>
  <c r="B1284" i="25" s="1"/>
  <c r="E1278" i="39" l="1"/>
  <c r="D1279" i="39" s="1"/>
  <c r="F1278" i="39"/>
  <c r="C1282" i="39"/>
  <c r="A1283" i="39"/>
  <c r="B1283" i="39" s="1"/>
  <c r="B1285" i="30"/>
  <c r="A1286" i="30"/>
  <c r="D1283" i="30"/>
  <c r="C1284" i="30" s="1"/>
  <c r="E1283" i="30"/>
  <c r="D1278" i="25"/>
  <c r="C1279" i="25" s="1"/>
  <c r="E1278" i="25"/>
  <c r="A1285" i="25"/>
  <c r="B1285" i="25" s="1"/>
  <c r="F1279" i="39" l="1"/>
  <c r="E1279" i="39"/>
  <c r="D1280" i="39" s="1"/>
  <c r="C1283" i="39"/>
  <c r="A1284" i="39"/>
  <c r="B1284" i="39" s="1"/>
  <c r="B1286" i="30"/>
  <c r="A1287" i="30"/>
  <c r="D1284" i="30"/>
  <c r="C1285" i="30" s="1"/>
  <c r="E1284" i="30"/>
  <c r="D1279" i="25"/>
  <c r="C1280" i="25" s="1"/>
  <c r="E1279" i="25"/>
  <c r="A1286" i="25"/>
  <c r="B1286" i="25" s="1"/>
  <c r="F1280" i="39" l="1"/>
  <c r="E1280" i="39"/>
  <c r="D1281" i="39" s="1"/>
  <c r="C1284" i="39"/>
  <c r="A1285" i="39"/>
  <c r="B1285" i="39" s="1"/>
  <c r="B1287" i="30"/>
  <c r="A1288" i="30"/>
  <c r="D1285" i="30"/>
  <c r="C1286" i="30" s="1"/>
  <c r="E1285" i="30"/>
  <c r="D1280" i="25"/>
  <c r="C1281" i="25" s="1"/>
  <c r="E1280" i="25"/>
  <c r="A1287" i="25"/>
  <c r="B1287" i="25" s="1"/>
  <c r="E1281" i="39" l="1"/>
  <c r="D1282" i="39" s="1"/>
  <c r="F1281" i="39"/>
  <c r="C1285" i="39"/>
  <c r="A1286" i="39"/>
  <c r="B1286" i="39" s="1"/>
  <c r="B1288" i="30"/>
  <c r="A1289" i="30"/>
  <c r="D1286" i="30"/>
  <c r="C1287" i="30" s="1"/>
  <c r="E1286" i="30"/>
  <c r="D1281" i="25"/>
  <c r="C1282" i="25" s="1"/>
  <c r="E1281" i="25"/>
  <c r="A1288" i="25"/>
  <c r="B1288" i="25" s="1"/>
  <c r="E1282" i="39" l="1"/>
  <c r="D1283" i="39" s="1"/>
  <c r="F1282" i="39"/>
  <c r="C1286" i="39"/>
  <c r="A1287" i="39"/>
  <c r="B1287" i="39" s="1"/>
  <c r="B1289" i="30"/>
  <c r="A1290" i="30"/>
  <c r="D1287" i="30"/>
  <c r="C1288" i="30" s="1"/>
  <c r="E1287" i="30"/>
  <c r="D1282" i="25"/>
  <c r="C1283" i="25" s="1"/>
  <c r="E1282" i="25"/>
  <c r="A1289" i="25"/>
  <c r="B1289" i="25" s="1"/>
  <c r="E1283" i="39" l="1"/>
  <c r="D1284" i="39" s="1"/>
  <c r="F1283" i="39"/>
  <c r="C1287" i="39"/>
  <c r="A1288" i="39"/>
  <c r="B1288" i="39" s="1"/>
  <c r="B1290" i="30"/>
  <c r="A1291" i="30"/>
  <c r="D1288" i="30"/>
  <c r="C1289" i="30" s="1"/>
  <c r="E1288" i="30"/>
  <c r="D1283" i="25"/>
  <c r="C1284" i="25" s="1"/>
  <c r="E1283" i="25"/>
  <c r="A1290" i="25"/>
  <c r="B1290" i="25" s="1"/>
  <c r="E1284" i="39" l="1"/>
  <c r="D1285" i="39" s="1"/>
  <c r="F1284" i="39"/>
  <c r="C1288" i="39"/>
  <c r="A1289" i="39"/>
  <c r="B1289" i="39" s="1"/>
  <c r="B1291" i="30"/>
  <c r="A1292" i="30"/>
  <c r="D1289" i="30"/>
  <c r="C1290" i="30" s="1"/>
  <c r="E1289" i="30"/>
  <c r="D1284" i="25"/>
  <c r="C1285" i="25" s="1"/>
  <c r="E1284" i="25"/>
  <c r="A1291" i="25"/>
  <c r="B1291" i="25" s="1"/>
  <c r="F1285" i="39" l="1"/>
  <c r="E1285" i="39"/>
  <c r="D1286" i="39" s="1"/>
  <c r="C1289" i="39"/>
  <c r="A1290" i="39"/>
  <c r="B1290" i="39" s="1"/>
  <c r="B1292" i="30"/>
  <c r="A1293" i="30"/>
  <c r="D1290" i="30"/>
  <c r="C1291" i="30" s="1"/>
  <c r="E1290" i="30"/>
  <c r="D1285" i="25"/>
  <c r="C1286" i="25" s="1"/>
  <c r="E1285" i="25"/>
  <c r="A1292" i="25"/>
  <c r="B1292" i="25" s="1"/>
  <c r="F1286" i="39" l="1"/>
  <c r="E1286" i="39"/>
  <c r="D1287" i="39" s="1"/>
  <c r="C1290" i="39"/>
  <c r="A1291" i="39"/>
  <c r="B1291" i="39" s="1"/>
  <c r="B1293" i="30"/>
  <c r="A1294" i="30"/>
  <c r="D1291" i="30"/>
  <c r="C1292" i="30" s="1"/>
  <c r="E1291" i="30"/>
  <c r="D1286" i="25"/>
  <c r="C1287" i="25" s="1"/>
  <c r="E1286" i="25"/>
  <c r="A1293" i="25"/>
  <c r="B1293" i="25" s="1"/>
  <c r="F1287" i="39" l="1"/>
  <c r="E1287" i="39"/>
  <c r="D1288" i="39" s="1"/>
  <c r="C1291" i="39"/>
  <c r="A1292" i="39"/>
  <c r="B1292" i="39" s="1"/>
  <c r="B1294" i="30"/>
  <c r="A1295" i="30"/>
  <c r="D1292" i="30"/>
  <c r="C1293" i="30" s="1"/>
  <c r="E1292" i="30"/>
  <c r="D1287" i="25"/>
  <c r="C1288" i="25" s="1"/>
  <c r="E1287" i="25"/>
  <c r="A1294" i="25"/>
  <c r="B1294" i="25" s="1"/>
  <c r="E1288" i="39" l="1"/>
  <c r="D1289" i="39" s="1"/>
  <c r="F1288" i="39"/>
  <c r="C1292" i="39"/>
  <c r="A1293" i="39"/>
  <c r="B1293" i="39" s="1"/>
  <c r="B1295" i="30"/>
  <c r="A1296" i="30"/>
  <c r="D1293" i="30"/>
  <c r="C1294" i="30" s="1"/>
  <c r="E1293" i="30"/>
  <c r="D1288" i="25"/>
  <c r="C1289" i="25" s="1"/>
  <c r="E1288" i="25"/>
  <c r="A1295" i="25"/>
  <c r="B1295" i="25" s="1"/>
  <c r="F1289" i="39" l="1"/>
  <c r="E1289" i="39"/>
  <c r="D1290" i="39" s="1"/>
  <c r="C1293" i="39"/>
  <c r="A1294" i="39"/>
  <c r="B1294" i="39" s="1"/>
  <c r="B1296" i="30"/>
  <c r="A1297" i="30"/>
  <c r="D1294" i="30"/>
  <c r="C1295" i="30" s="1"/>
  <c r="E1294" i="30"/>
  <c r="D1289" i="25"/>
  <c r="C1290" i="25" s="1"/>
  <c r="E1289" i="25"/>
  <c r="A1296" i="25"/>
  <c r="B1296" i="25" s="1"/>
  <c r="E1290" i="39" l="1"/>
  <c r="D1291" i="39" s="1"/>
  <c r="F1290" i="39"/>
  <c r="C1294" i="39"/>
  <c r="A1295" i="39"/>
  <c r="B1295" i="39" s="1"/>
  <c r="B1297" i="30"/>
  <c r="A1298" i="30"/>
  <c r="D1295" i="30"/>
  <c r="C1296" i="30" s="1"/>
  <c r="E1295" i="30"/>
  <c r="D1290" i="25"/>
  <c r="C1291" i="25" s="1"/>
  <c r="E1290" i="25"/>
  <c r="A1297" i="25"/>
  <c r="B1297" i="25" s="1"/>
  <c r="F1291" i="39" l="1"/>
  <c r="E1291" i="39"/>
  <c r="D1292" i="39" s="1"/>
  <c r="C1295" i="39"/>
  <c r="A1296" i="39"/>
  <c r="B1296" i="39" s="1"/>
  <c r="B1298" i="30"/>
  <c r="A1299" i="30"/>
  <c r="D1296" i="30"/>
  <c r="C1297" i="30" s="1"/>
  <c r="E1296" i="30"/>
  <c r="D1291" i="25"/>
  <c r="C1292" i="25" s="1"/>
  <c r="E1291" i="25"/>
  <c r="A1298" i="25"/>
  <c r="B1298" i="25" s="1"/>
  <c r="E1292" i="39" l="1"/>
  <c r="D1293" i="39" s="1"/>
  <c r="F1292" i="39"/>
  <c r="C1296" i="39"/>
  <c r="A1297" i="39"/>
  <c r="B1297" i="39" s="1"/>
  <c r="B1299" i="30"/>
  <c r="A1300" i="30"/>
  <c r="D1297" i="30"/>
  <c r="C1298" i="30" s="1"/>
  <c r="E1297" i="30"/>
  <c r="D1292" i="25"/>
  <c r="C1293" i="25" s="1"/>
  <c r="E1292" i="25"/>
  <c r="A1299" i="25"/>
  <c r="B1299" i="25" s="1"/>
  <c r="F1293" i="39" l="1"/>
  <c r="E1293" i="39"/>
  <c r="D1294" i="39" s="1"/>
  <c r="C1297" i="39"/>
  <c r="A1298" i="39"/>
  <c r="B1298" i="39" s="1"/>
  <c r="B1300" i="30"/>
  <c r="A1301" i="30"/>
  <c r="D1298" i="30"/>
  <c r="C1299" i="30" s="1"/>
  <c r="E1298" i="30"/>
  <c r="D1293" i="25"/>
  <c r="C1294" i="25" s="1"/>
  <c r="E1293" i="25"/>
  <c r="A1300" i="25"/>
  <c r="B1300" i="25" s="1"/>
  <c r="F1294" i="39" l="1"/>
  <c r="E1294" i="39"/>
  <c r="D1295" i="39" s="1"/>
  <c r="C1298" i="39"/>
  <c r="A1299" i="39"/>
  <c r="B1299" i="39" s="1"/>
  <c r="B1301" i="30"/>
  <c r="A1302" i="30"/>
  <c r="D1299" i="30"/>
  <c r="C1300" i="30" s="1"/>
  <c r="E1299" i="30"/>
  <c r="E1294" i="25"/>
  <c r="D1294" i="25"/>
  <c r="C1295" i="25" s="1"/>
  <c r="A1301" i="25"/>
  <c r="B1301" i="25" s="1"/>
  <c r="F1295" i="39" l="1"/>
  <c r="E1295" i="39"/>
  <c r="D1296" i="39" s="1"/>
  <c r="C1299" i="39"/>
  <c r="A1300" i="39"/>
  <c r="B1300" i="39" s="1"/>
  <c r="B1302" i="30"/>
  <c r="A1303" i="30"/>
  <c r="D1300" i="30"/>
  <c r="C1301" i="30" s="1"/>
  <c r="E1300" i="30"/>
  <c r="D1295" i="25"/>
  <c r="C1296" i="25" s="1"/>
  <c r="E1295" i="25"/>
  <c r="A1302" i="25"/>
  <c r="B1302" i="25" s="1"/>
  <c r="F1296" i="39" l="1"/>
  <c r="E1296" i="39"/>
  <c r="D1297" i="39" s="1"/>
  <c r="C1300" i="39"/>
  <c r="A1301" i="39"/>
  <c r="B1301" i="39" s="1"/>
  <c r="B1303" i="30"/>
  <c r="A1304" i="30"/>
  <c r="D1301" i="30"/>
  <c r="C1302" i="30" s="1"/>
  <c r="E1301" i="30"/>
  <c r="D1296" i="25"/>
  <c r="C1297" i="25" s="1"/>
  <c r="E1296" i="25"/>
  <c r="A1303" i="25"/>
  <c r="B1303" i="25" s="1"/>
  <c r="F1297" i="39" l="1"/>
  <c r="E1297" i="39"/>
  <c r="D1298" i="39" s="1"/>
  <c r="C1301" i="39"/>
  <c r="A1302" i="39"/>
  <c r="B1302" i="39" s="1"/>
  <c r="B1304" i="30"/>
  <c r="A1305" i="30"/>
  <c r="D1302" i="30"/>
  <c r="C1303" i="30" s="1"/>
  <c r="E1302" i="30"/>
  <c r="D1297" i="25"/>
  <c r="C1298" i="25" s="1"/>
  <c r="E1297" i="25"/>
  <c r="A1304" i="25"/>
  <c r="B1304" i="25" s="1"/>
  <c r="E1298" i="39" l="1"/>
  <c r="D1299" i="39" s="1"/>
  <c r="F1298" i="39"/>
  <c r="C1302" i="39"/>
  <c r="A1303" i="39"/>
  <c r="B1303" i="39" s="1"/>
  <c r="B1305" i="30"/>
  <c r="A1306" i="30"/>
  <c r="D1303" i="30"/>
  <c r="C1304" i="30" s="1"/>
  <c r="E1303" i="30"/>
  <c r="E1298" i="25"/>
  <c r="D1298" i="25"/>
  <c r="C1299" i="25" s="1"/>
  <c r="A1305" i="25"/>
  <c r="B1305" i="25" s="1"/>
  <c r="E1299" i="39" l="1"/>
  <c r="D1300" i="39" s="1"/>
  <c r="F1299" i="39"/>
  <c r="C1303" i="39"/>
  <c r="A1304" i="39"/>
  <c r="B1304" i="39" s="1"/>
  <c r="B1306" i="30"/>
  <c r="A1307" i="30"/>
  <c r="D1304" i="30"/>
  <c r="C1305" i="30" s="1"/>
  <c r="E1304" i="30"/>
  <c r="D1299" i="25"/>
  <c r="C1300" i="25" s="1"/>
  <c r="E1299" i="25"/>
  <c r="A1306" i="25"/>
  <c r="B1306" i="25" s="1"/>
  <c r="E1300" i="39" l="1"/>
  <c r="D1301" i="39" s="1"/>
  <c r="F1300" i="39"/>
  <c r="C1304" i="39"/>
  <c r="A1305" i="39"/>
  <c r="B1305" i="39" s="1"/>
  <c r="B1307" i="30"/>
  <c r="A1308" i="30"/>
  <c r="D1305" i="30"/>
  <c r="C1306" i="30" s="1"/>
  <c r="E1305" i="30"/>
  <c r="D1300" i="25"/>
  <c r="C1301" i="25" s="1"/>
  <c r="E1300" i="25"/>
  <c r="A1307" i="25"/>
  <c r="B1307" i="25" s="1"/>
  <c r="F1301" i="39" l="1"/>
  <c r="E1301" i="39"/>
  <c r="D1302" i="39" s="1"/>
  <c r="C1305" i="39"/>
  <c r="A1306" i="39"/>
  <c r="B1306" i="39" s="1"/>
  <c r="B1308" i="30"/>
  <c r="A1309" i="30"/>
  <c r="D1306" i="30"/>
  <c r="C1307" i="30" s="1"/>
  <c r="E1306" i="30"/>
  <c r="D1301" i="25"/>
  <c r="C1302" i="25" s="1"/>
  <c r="E1301" i="25"/>
  <c r="A1308" i="25"/>
  <c r="B1308" i="25" s="1"/>
  <c r="F1302" i="39" l="1"/>
  <c r="E1302" i="39"/>
  <c r="D1303" i="39" s="1"/>
  <c r="C1306" i="39"/>
  <c r="A1307" i="39"/>
  <c r="B1307" i="39" s="1"/>
  <c r="B1309" i="30"/>
  <c r="A1310" i="30"/>
  <c r="D1307" i="30"/>
  <c r="C1308" i="30" s="1"/>
  <c r="E1307" i="30"/>
  <c r="D1302" i="25"/>
  <c r="C1303" i="25" s="1"/>
  <c r="E1302" i="25"/>
  <c r="A1309" i="25"/>
  <c r="B1309" i="25" s="1"/>
  <c r="F1303" i="39" l="1"/>
  <c r="E1303" i="39"/>
  <c r="D1304" i="39" s="1"/>
  <c r="C1307" i="39"/>
  <c r="A1308" i="39"/>
  <c r="B1308" i="39" s="1"/>
  <c r="B1310" i="30"/>
  <c r="A1311" i="30"/>
  <c r="D1308" i="30"/>
  <c r="C1309" i="30" s="1"/>
  <c r="E1308" i="30"/>
  <c r="D1303" i="25"/>
  <c r="C1304" i="25" s="1"/>
  <c r="E1303" i="25"/>
  <c r="A1310" i="25"/>
  <c r="B1310" i="25" s="1"/>
  <c r="E1304" i="39" l="1"/>
  <c r="D1305" i="39" s="1"/>
  <c r="F1304" i="39"/>
  <c r="C1308" i="39"/>
  <c r="A1309" i="39"/>
  <c r="B1309" i="39" s="1"/>
  <c r="B1311" i="30"/>
  <c r="A1312" i="30"/>
  <c r="D1309" i="30"/>
  <c r="C1310" i="30" s="1"/>
  <c r="E1309" i="30"/>
  <c r="D1304" i="25"/>
  <c r="C1305" i="25" s="1"/>
  <c r="E1304" i="25"/>
  <c r="A1311" i="25"/>
  <c r="B1311" i="25" s="1"/>
  <c r="F1305" i="39" l="1"/>
  <c r="E1305" i="39"/>
  <c r="D1306" i="39" s="1"/>
  <c r="C1309" i="39"/>
  <c r="A1310" i="39"/>
  <c r="B1310" i="39" s="1"/>
  <c r="B1312" i="30"/>
  <c r="A1313" i="30"/>
  <c r="D1310" i="30"/>
  <c r="C1311" i="30" s="1"/>
  <c r="E1310" i="30"/>
  <c r="D1305" i="25"/>
  <c r="C1306" i="25" s="1"/>
  <c r="E1305" i="25"/>
  <c r="A1312" i="25"/>
  <c r="B1312" i="25" s="1"/>
  <c r="E1306" i="39" l="1"/>
  <c r="D1307" i="39" s="1"/>
  <c r="F1306" i="39"/>
  <c r="C1310" i="39"/>
  <c r="A1311" i="39"/>
  <c r="B1311" i="39" s="1"/>
  <c r="B1313" i="30"/>
  <c r="A1314" i="30"/>
  <c r="D1311" i="30"/>
  <c r="C1312" i="30" s="1"/>
  <c r="E1311" i="30"/>
  <c r="D1306" i="25"/>
  <c r="C1307" i="25" s="1"/>
  <c r="E1306" i="25"/>
  <c r="A1313" i="25"/>
  <c r="B1313" i="25" s="1"/>
  <c r="F1307" i="39" l="1"/>
  <c r="E1307" i="39"/>
  <c r="D1308" i="39" s="1"/>
  <c r="C1311" i="39"/>
  <c r="A1312" i="39"/>
  <c r="B1312" i="39" s="1"/>
  <c r="B1314" i="30"/>
  <c r="A1315" i="30"/>
  <c r="D1312" i="30"/>
  <c r="C1313" i="30" s="1"/>
  <c r="E1312" i="30"/>
  <c r="D1307" i="25"/>
  <c r="C1308" i="25" s="1"/>
  <c r="E1307" i="25"/>
  <c r="A1314" i="25"/>
  <c r="B1314" i="25" s="1"/>
  <c r="E1308" i="39" l="1"/>
  <c r="D1309" i="39" s="1"/>
  <c r="F1308" i="39"/>
  <c r="C1312" i="39"/>
  <c r="A1313" i="39"/>
  <c r="B1313" i="39" s="1"/>
  <c r="B1315" i="30"/>
  <c r="A1316" i="30"/>
  <c r="D1313" i="30"/>
  <c r="C1314" i="30" s="1"/>
  <c r="E1313" i="30"/>
  <c r="D1308" i="25"/>
  <c r="C1309" i="25" s="1"/>
  <c r="E1308" i="25"/>
  <c r="A1315" i="25"/>
  <c r="B1315" i="25" s="1"/>
  <c r="F1309" i="39" l="1"/>
  <c r="E1309" i="39"/>
  <c r="D1310" i="39" s="1"/>
  <c r="C1313" i="39"/>
  <c r="A1314" i="39"/>
  <c r="B1314" i="39" s="1"/>
  <c r="B1316" i="30"/>
  <c r="A1317" i="30"/>
  <c r="D1314" i="30"/>
  <c r="C1315" i="30" s="1"/>
  <c r="E1314" i="30"/>
  <c r="D1309" i="25"/>
  <c r="C1310" i="25" s="1"/>
  <c r="E1309" i="25"/>
  <c r="A1316" i="25"/>
  <c r="B1316" i="25" s="1"/>
  <c r="E1310" i="39" l="1"/>
  <c r="D1311" i="39" s="1"/>
  <c r="F1310" i="39"/>
  <c r="C1314" i="39"/>
  <c r="A1315" i="39"/>
  <c r="B1315" i="39" s="1"/>
  <c r="B1317" i="30"/>
  <c r="A1318" i="30"/>
  <c r="D1315" i="30"/>
  <c r="C1316" i="30" s="1"/>
  <c r="E1315" i="30"/>
  <c r="D1310" i="25"/>
  <c r="C1311" i="25" s="1"/>
  <c r="E1310" i="25"/>
  <c r="A1317" i="25"/>
  <c r="B1317" i="25" s="1"/>
  <c r="F1311" i="39" l="1"/>
  <c r="E1311" i="39"/>
  <c r="D1312" i="39" s="1"/>
  <c r="C1315" i="39"/>
  <c r="A1316" i="39"/>
  <c r="B1316" i="39" s="1"/>
  <c r="B1318" i="30"/>
  <c r="A1319" i="30"/>
  <c r="D1316" i="30"/>
  <c r="C1317" i="30" s="1"/>
  <c r="E1316" i="30"/>
  <c r="D1311" i="25"/>
  <c r="C1312" i="25" s="1"/>
  <c r="E1311" i="25"/>
  <c r="A1318" i="25"/>
  <c r="B1318" i="25" s="1"/>
  <c r="F1312" i="39" l="1"/>
  <c r="E1312" i="39"/>
  <c r="D1313" i="39" s="1"/>
  <c r="C1316" i="39"/>
  <c r="A1317" i="39"/>
  <c r="B1317" i="39" s="1"/>
  <c r="B1319" i="30"/>
  <c r="A1320" i="30"/>
  <c r="D1317" i="30"/>
  <c r="C1318" i="30" s="1"/>
  <c r="E1317" i="30"/>
  <c r="D1312" i="25"/>
  <c r="C1313" i="25" s="1"/>
  <c r="E1312" i="25"/>
  <c r="A1319" i="25"/>
  <c r="B1319" i="25" s="1"/>
  <c r="F1313" i="39" l="1"/>
  <c r="E1313" i="39"/>
  <c r="D1314" i="39" s="1"/>
  <c r="C1317" i="39"/>
  <c r="A1318" i="39"/>
  <c r="B1318" i="39" s="1"/>
  <c r="B1320" i="30"/>
  <c r="A1321" i="30"/>
  <c r="D1318" i="30"/>
  <c r="C1319" i="30" s="1"/>
  <c r="E1318" i="30"/>
  <c r="D1313" i="25"/>
  <c r="C1314" i="25" s="1"/>
  <c r="E1313" i="25"/>
  <c r="A1320" i="25"/>
  <c r="B1320" i="25" s="1"/>
  <c r="E1314" i="39" l="1"/>
  <c r="D1315" i="39" s="1"/>
  <c r="F1314" i="39"/>
  <c r="C1318" i="39"/>
  <c r="A1319" i="39"/>
  <c r="B1319" i="39" s="1"/>
  <c r="B1321" i="30"/>
  <c r="A1322" i="30"/>
  <c r="D1319" i="30"/>
  <c r="C1320" i="30" s="1"/>
  <c r="E1319" i="30"/>
  <c r="D1314" i="25"/>
  <c r="C1315" i="25" s="1"/>
  <c r="E1314" i="25"/>
  <c r="A1321" i="25"/>
  <c r="B1321" i="25" s="1"/>
  <c r="F1315" i="39" l="1"/>
  <c r="E1315" i="39"/>
  <c r="D1316" i="39" s="1"/>
  <c r="C1319" i="39"/>
  <c r="A1320" i="39"/>
  <c r="B1320" i="39" s="1"/>
  <c r="B1322" i="30"/>
  <c r="A1323" i="30"/>
  <c r="D1320" i="30"/>
  <c r="C1321" i="30" s="1"/>
  <c r="E1320" i="30"/>
  <c r="D1315" i="25"/>
  <c r="C1316" i="25" s="1"/>
  <c r="E1315" i="25"/>
  <c r="A1322" i="25"/>
  <c r="B1322" i="25" s="1"/>
  <c r="E1316" i="39" l="1"/>
  <c r="D1317" i="39" s="1"/>
  <c r="F1316" i="39"/>
  <c r="C1320" i="39"/>
  <c r="A1321" i="39"/>
  <c r="B1321" i="39" s="1"/>
  <c r="B1323" i="30"/>
  <c r="A1324" i="30"/>
  <c r="D1321" i="30"/>
  <c r="C1322" i="30" s="1"/>
  <c r="E1321" i="30"/>
  <c r="D1316" i="25"/>
  <c r="C1317" i="25" s="1"/>
  <c r="E1316" i="25"/>
  <c r="A1323" i="25"/>
  <c r="B1323" i="25" s="1"/>
  <c r="F1317" i="39" l="1"/>
  <c r="E1317" i="39"/>
  <c r="D1318" i="39" s="1"/>
  <c r="C1321" i="39"/>
  <c r="A1322" i="39"/>
  <c r="B1322" i="39" s="1"/>
  <c r="B1324" i="30"/>
  <c r="A1325" i="30"/>
  <c r="D1322" i="30"/>
  <c r="C1323" i="30" s="1"/>
  <c r="E1322" i="30"/>
  <c r="D1317" i="25"/>
  <c r="C1318" i="25" s="1"/>
  <c r="E1317" i="25"/>
  <c r="A1324" i="25"/>
  <c r="B1324" i="25" s="1"/>
  <c r="E1318" i="39" l="1"/>
  <c r="D1319" i="39" s="1"/>
  <c r="F1318" i="39"/>
  <c r="C1322" i="39"/>
  <c r="A1323" i="39"/>
  <c r="B1323" i="39" s="1"/>
  <c r="B1325" i="30"/>
  <c r="A1326" i="30"/>
  <c r="D1323" i="30"/>
  <c r="C1324" i="30" s="1"/>
  <c r="E1323" i="30"/>
  <c r="D1318" i="25"/>
  <c r="C1319" i="25" s="1"/>
  <c r="E1318" i="25"/>
  <c r="A1325" i="25"/>
  <c r="B1325" i="25" s="1"/>
  <c r="E1319" i="39" l="1"/>
  <c r="D1320" i="39" s="1"/>
  <c r="F1319" i="39"/>
  <c r="C1323" i="39"/>
  <c r="A1324" i="39"/>
  <c r="B1324" i="39" s="1"/>
  <c r="B1326" i="30"/>
  <c r="A1327" i="30"/>
  <c r="D1324" i="30"/>
  <c r="C1325" i="30" s="1"/>
  <c r="E1324" i="30"/>
  <c r="D1319" i="25"/>
  <c r="C1320" i="25" s="1"/>
  <c r="E1319" i="25"/>
  <c r="A1326" i="25"/>
  <c r="B1326" i="25" s="1"/>
  <c r="F1320" i="39" l="1"/>
  <c r="E1320" i="39"/>
  <c r="D1321" i="39" s="1"/>
  <c r="C1324" i="39"/>
  <c r="A1325" i="39"/>
  <c r="B1325" i="39" s="1"/>
  <c r="B1327" i="30"/>
  <c r="A1328" i="30"/>
  <c r="D1325" i="30"/>
  <c r="C1326" i="30" s="1"/>
  <c r="E1325" i="30"/>
  <c r="D1320" i="25"/>
  <c r="C1321" i="25" s="1"/>
  <c r="E1320" i="25"/>
  <c r="A1327" i="25"/>
  <c r="B1327" i="25" s="1"/>
  <c r="E1321" i="39" l="1"/>
  <c r="D1322" i="39" s="1"/>
  <c r="F1321" i="39"/>
  <c r="C1325" i="39"/>
  <c r="A1326" i="39"/>
  <c r="B1326" i="39" s="1"/>
  <c r="B1328" i="30"/>
  <c r="A1329" i="30"/>
  <c r="D1326" i="30"/>
  <c r="C1327" i="30" s="1"/>
  <c r="E1326" i="30"/>
  <c r="D1321" i="25"/>
  <c r="C1322" i="25" s="1"/>
  <c r="E1321" i="25"/>
  <c r="A1328" i="25"/>
  <c r="B1328" i="25" s="1"/>
  <c r="F1322" i="39" l="1"/>
  <c r="E1322" i="39"/>
  <c r="D1323" i="39" s="1"/>
  <c r="C1326" i="39"/>
  <c r="A1327" i="39"/>
  <c r="B1327" i="39" s="1"/>
  <c r="B1329" i="30"/>
  <c r="A1330" i="30"/>
  <c r="D1327" i="30"/>
  <c r="C1328" i="30" s="1"/>
  <c r="E1327" i="30"/>
  <c r="D1322" i="25"/>
  <c r="C1323" i="25" s="1"/>
  <c r="E1322" i="25"/>
  <c r="A1329" i="25"/>
  <c r="B1329" i="25" s="1"/>
  <c r="E1323" i="39" l="1"/>
  <c r="D1324" i="39" s="1"/>
  <c r="F1323" i="39"/>
  <c r="C1327" i="39"/>
  <c r="A1328" i="39"/>
  <c r="B1328" i="39" s="1"/>
  <c r="B1330" i="30"/>
  <c r="A1331" i="30"/>
  <c r="D1328" i="30"/>
  <c r="C1329" i="30" s="1"/>
  <c r="E1328" i="30"/>
  <c r="D1323" i="25"/>
  <c r="C1324" i="25" s="1"/>
  <c r="E1323" i="25"/>
  <c r="A1330" i="25"/>
  <c r="B1330" i="25" s="1"/>
  <c r="F1324" i="39" l="1"/>
  <c r="E1324" i="39"/>
  <c r="D1325" i="39" s="1"/>
  <c r="C1328" i="39"/>
  <c r="A1329" i="39"/>
  <c r="B1329" i="39" s="1"/>
  <c r="B1331" i="30"/>
  <c r="A1332" i="30"/>
  <c r="D1329" i="30"/>
  <c r="C1330" i="30" s="1"/>
  <c r="E1329" i="30"/>
  <c r="D1324" i="25"/>
  <c r="C1325" i="25" s="1"/>
  <c r="E1324" i="25"/>
  <c r="A1331" i="25"/>
  <c r="B1331" i="25" s="1"/>
  <c r="E1325" i="39" l="1"/>
  <c r="D1326" i="39" s="1"/>
  <c r="F1325" i="39"/>
  <c r="C1329" i="39"/>
  <c r="A1330" i="39"/>
  <c r="B1330" i="39" s="1"/>
  <c r="B1332" i="30"/>
  <c r="A1333" i="30"/>
  <c r="D1330" i="30"/>
  <c r="C1331" i="30" s="1"/>
  <c r="E1330" i="30"/>
  <c r="D1325" i="25"/>
  <c r="C1326" i="25" s="1"/>
  <c r="E1325" i="25"/>
  <c r="A1332" i="25"/>
  <c r="B1332" i="25" s="1"/>
  <c r="E1326" i="39" l="1"/>
  <c r="D1327" i="39" s="1"/>
  <c r="F1326" i="39"/>
  <c r="C1330" i="39"/>
  <c r="A1331" i="39"/>
  <c r="B1331" i="39" s="1"/>
  <c r="B1333" i="30"/>
  <c r="A1334" i="30"/>
  <c r="D1331" i="30"/>
  <c r="C1332" i="30" s="1"/>
  <c r="E1331" i="30"/>
  <c r="D1326" i="25"/>
  <c r="C1327" i="25" s="1"/>
  <c r="E1326" i="25"/>
  <c r="A1333" i="25"/>
  <c r="B1333" i="25" s="1"/>
  <c r="F1327" i="39" l="1"/>
  <c r="E1327" i="39"/>
  <c r="D1328" i="39" s="1"/>
  <c r="C1331" i="39"/>
  <c r="A1332" i="39"/>
  <c r="B1332" i="39" s="1"/>
  <c r="B1334" i="30"/>
  <c r="A1335" i="30"/>
  <c r="D1332" i="30"/>
  <c r="C1333" i="30" s="1"/>
  <c r="E1332" i="30"/>
  <c r="D1327" i="25"/>
  <c r="C1328" i="25" s="1"/>
  <c r="E1327" i="25"/>
  <c r="A1334" i="25"/>
  <c r="B1334" i="25" s="1"/>
  <c r="F1328" i="39" l="1"/>
  <c r="E1328" i="39"/>
  <c r="D1329" i="39" s="1"/>
  <c r="C1332" i="39"/>
  <c r="A1333" i="39"/>
  <c r="B1333" i="39" s="1"/>
  <c r="B1335" i="30"/>
  <c r="A1336" i="30"/>
  <c r="D1333" i="30"/>
  <c r="C1334" i="30" s="1"/>
  <c r="E1333" i="30"/>
  <c r="D1328" i="25"/>
  <c r="C1329" i="25" s="1"/>
  <c r="E1328" i="25"/>
  <c r="A1335" i="25"/>
  <c r="B1335" i="25" s="1"/>
  <c r="E1329" i="39" l="1"/>
  <c r="D1330" i="39" s="1"/>
  <c r="F1329" i="39"/>
  <c r="C1333" i="39"/>
  <c r="A1334" i="39"/>
  <c r="B1334" i="39" s="1"/>
  <c r="B1336" i="30"/>
  <c r="A1337" i="30"/>
  <c r="D1334" i="30"/>
  <c r="C1335" i="30" s="1"/>
  <c r="E1334" i="30"/>
  <c r="E1329" i="25"/>
  <c r="D1329" i="25"/>
  <c r="C1330" i="25" s="1"/>
  <c r="A1336" i="25"/>
  <c r="B1336" i="25" s="1"/>
  <c r="F1330" i="39" l="1"/>
  <c r="E1330" i="39"/>
  <c r="D1331" i="39" s="1"/>
  <c r="C1334" i="39"/>
  <c r="A1335" i="39"/>
  <c r="B1335" i="39" s="1"/>
  <c r="B1337" i="30"/>
  <c r="A1338" i="30"/>
  <c r="D1335" i="30"/>
  <c r="C1336" i="30" s="1"/>
  <c r="E1335" i="30"/>
  <c r="D1330" i="25"/>
  <c r="C1331" i="25" s="1"/>
  <c r="E1330" i="25"/>
  <c r="A1337" i="25"/>
  <c r="B1337" i="25" s="1"/>
  <c r="E1331" i="39" l="1"/>
  <c r="D1332" i="39" s="1"/>
  <c r="F1331" i="39"/>
  <c r="C1335" i="39"/>
  <c r="A1336" i="39"/>
  <c r="B1336" i="39" s="1"/>
  <c r="B1338" i="30"/>
  <c r="A1339" i="30"/>
  <c r="D1336" i="30"/>
  <c r="C1337" i="30" s="1"/>
  <c r="E1336" i="30"/>
  <c r="E1331" i="25"/>
  <c r="D1331" i="25"/>
  <c r="C1332" i="25" s="1"/>
  <c r="A1338" i="25"/>
  <c r="B1338" i="25" s="1"/>
  <c r="F1332" i="39" l="1"/>
  <c r="E1332" i="39"/>
  <c r="D1333" i="39" s="1"/>
  <c r="C1336" i="39"/>
  <c r="A1337" i="39"/>
  <c r="B1337" i="39" s="1"/>
  <c r="B1339" i="30"/>
  <c r="A1340" i="30"/>
  <c r="D1337" i="30"/>
  <c r="C1338" i="30" s="1"/>
  <c r="E1337" i="30"/>
  <c r="D1332" i="25"/>
  <c r="C1333" i="25" s="1"/>
  <c r="E1332" i="25"/>
  <c r="A1339" i="25"/>
  <c r="B1339" i="25" s="1"/>
  <c r="E1333" i="39" l="1"/>
  <c r="D1334" i="39" s="1"/>
  <c r="F1333" i="39"/>
  <c r="C1337" i="39"/>
  <c r="A1338" i="39"/>
  <c r="B1338" i="39" s="1"/>
  <c r="B1340" i="30"/>
  <c r="A1341" i="30"/>
  <c r="D1338" i="30"/>
  <c r="C1339" i="30" s="1"/>
  <c r="E1338" i="30"/>
  <c r="E1333" i="25"/>
  <c r="D1333" i="25"/>
  <c r="C1334" i="25" s="1"/>
  <c r="A1340" i="25"/>
  <c r="B1340" i="25" s="1"/>
  <c r="F1334" i="39" l="1"/>
  <c r="E1334" i="39"/>
  <c r="D1335" i="39" s="1"/>
  <c r="C1338" i="39"/>
  <c r="A1339" i="39"/>
  <c r="B1339" i="39" s="1"/>
  <c r="B1341" i="30"/>
  <c r="A1342" i="30"/>
  <c r="D1339" i="30"/>
  <c r="C1340" i="30" s="1"/>
  <c r="E1339" i="30"/>
  <c r="E1334" i="25"/>
  <c r="D1334" i="25"/>
  <c r="C1335" i="25" s="1"/>
  <c r="A1341" i="25"/>
  <c r="B1341" i="25" s="1"/>
  <c r="F1335" i="39" l="1"/>
  <c r="E1335" i="39"/>
  <c r="D1336" i="39" s="1"/>
  <c r="C1339" i="39"/>
  <c r="A1340" i="39"/>
  <c r="B1340" i="39" s="1"/>
  <c r="B1342" i="30"/>
  <c r="A1343" i="30"/>
  <c r="D1340" i="30"/>
  <c r="C1341" i="30" s="1"/>
  <c r="E1340" i="30"/>
  <c r="D1335" i="25"/>
  <c r="C1336" i="25" s="1"/>
  <c r="E1335" i="25"/>
  <c r="A1342" i="25"/>
  <c r="B1342" i="25" s="1"/>
  <c r="F1336" i="39" l="1"/>
  <c r="E1336" i="39"/>
  <c r="D1337" i="39" s="1"/>
  <c r="C1340" i="39"/>
  <c r="A1341" i="39"/>
  <c r="B1341" i="39" s="1"/>
  <c r="B1343" i="30"/>
  <c r="A1344" i="30"/>
  <c r="D1341" i="30"/>
  <c r="C1342" i="30" s="1"/>
  <c r="E1341" i="30"/>
  <c r="D1336" i="25"/>
  <c r="C1337" i="25" s="1"/>
  <c r="E1336" i="25"/>
  <c r="A1343" i="25"/>
  <c r="B1343" i="25" s="1"/>
  <c r="E1337" i="39" l="1"/>
  <c r="D1338" i="39" s="1"/>
  <c r="F1337" i="39"/>
  <c r="C1341" i="39"/>
  <c r="A1342" i="39"/>
  <c r="B1342" i="39" s="1"/>
  <c r="B1344" i="30"/>
  <c r="A1345" i="30"/>
  <c r="D1342" i="30"/>
  <c r="C1343" i="30" s="1"/>
  <c r="E1342" i="30"/>
  <c r="D1337" i="25"/>
  <c r="C1338" i="25" s="1"/>
  <c r="E1337" i="25"/>
  <c r="A1344" i="25"/>
  <c r="B1344" i="25" s="1"/>
  <c r="F1338" i="39" l="1"/>
  <c r="E1338" i="39"/>
  <c r="D1339" i="39" s="1"/>
  <c r="C1342" i="39"/>
  <c r="A1343" i="39"/>
  <c r="B1343" i="39" s="1"/>
  <c r="B1345" i="30"/>
  <c r="A1346" i="30"/>
  <c r="D1343" i="30"/>
  <c r="C1344" i="30" s="1"/>
  <c r="E1343" i="30"/>
  <c r="D1338" i="25"/>
  <c r="C1339" i="25" s="1"/>
  <c r="E1338" i="25"/>
  <c r="A1345" i="25"/>
  <c r="B1345" i="25" s="1"/>
  <c r="E1339" i="39" l="1"/>
  <c r="D1340" i="39" s="1"/>
  <c r="F1339" i="39"/>
  <c r="C1343" i="39"/>
  <c r="A1344" i="39"/>
  <c r="B1344" i="39" s="1"/>
  <c r="B1346" i="30"/>
  <c r="A1347" i="30"/>
  <c r="D1344" i="30"/>
  <c r="C1345" i="30" s="1"/>
  <c r="E1344" i="30"/>
  <c r="E1339" i="25"/>
  <c r="D1339" i="25"/>
  <c r="C1340" i="25" s="1"/>
  <c r="A1346" i="25"/>
  <c r="B1346" i="25" s="1"/>
  <c r="F1340" i="39" l="1"/>
  <c r="E1340" i="39"/>
  <c r="D1341" i="39" s="1"/>
  <c r="C1344" i="39"/>
  <c r="A1345" i="39"/>
  <c r="B1345" i="39" s="1"/>
  <c r="B1347" i="30"/>
  <c r="A1348" i="30"/>
  <c r="D1345" i="30"/>
  <c r="C1346" i="30" s="1"/>
  <c r="E1345" i="30"/>
  <c r="D1340" i="25"/>
  <c r="C1341" i="25" s="1"/>
  <c r="E1340" i="25"/>
  <c r="A1347" i="25"/>
  <c r="B1347" i="25" s="1"/>
  <c r="E1341" i="39" l="1"/>
  <c r="D1342" i="39" s="1"/>
  <c r="F1341" i="39"/>
  <c r="C1345" i="39"/>
  <c r="A1346" i="39"/>
  <c r="B1346" i="39" s="1"/>
  <c r="B1348" i="30"/>
  <c r="A1349" i="30"/>
  <c r="D1346" i="30"/>
  <c r="C1347" i="30" s="1"/>
  <c r="E1346" i="30"/>
  <c r="E1341" i="25"/>
  <c r="D1341" i="25"/>
  <c r="C1342" i="25" s="1"/>
  <c r="A1348" i="25"/>
  <c r="B1348" i="25" s="1"/>
  <c r="F1342" i="39" l="1"/>
  <c r="E1342" i="39"/>
  <c r="D1343" i="39" s="1"/>
  <c r="C1346" i="39"/>
  <c r="A1347" i="39"/>
  <c r="B1347" i="39" s="1"/>
  <c r="B1349" i="30"/>
  <c r="A1350" i="30"/>
  <c r="D1347" i="30"/>
  <c r="C1348" i="30" s="1"/>
  <c r="E1347" i="30"/>
  <c r="D1342" i="25"/>
  <c r="C1343" i="25" s="1"/>
  <c r="E1342" i="25"/>
  <c r="A1349" i="25"/>
  <c r="B1349" i="25" s="1"/>
  <c r="E1343" i="39" l="1"/>
  <c r="D1344" i="39" s="1"/>
  <c r="F1343" i="39"/>
  <c r="C1347" i="39"/>
  <c r="A1348" i="39"/>
  <c r="B1348" i="39" s="1"/>
  <c r="B1350" i="30"/>
  <c r="A1351" i="30"/>
  <c r="D1348" i="30"/>
  <c r="C1349" i="30" s="1"/>
  <c r="E1348" i="30"/>
  <c r="D1343" i="25"/>
  <c r="C1344" i="25" s="1"/>
  <c r="E1343" i="25"/>
  <c r="A1350" i="25"/>
  <c r="B1350" i="25" s="1"/>
  <c r="E1344" i="39" l="1"/>
  <c r="D1345" i="39" s="1"/>
  <c r="F1344" i="39"/>
  <c r="C1348" i="39"/>
  <c r="A1349" i="39"/>
  <c r="B1349" i="39" s="1"/>
  <c r="B1351" i="30"/>
  <c r="A1352" i="30"/>
  <c r="D1349" i="30"/>
  <c r="C1350" i="30" s="1"/>
  <c r="E1349" i="30"/>
  <c r="D1344" i="25"/>
  <c r="C1345" i="25" s="1"/>
  <c r="E1344" i="25"/>
  <c r="A1351" i="25"/>
  <c r="B1351" i="25" s="1"/>
  <c r="E1345" i="39" l="1"/>
  <c r="D1346" i="39" s="1"/>
  <c r="F1345" i="39"/>
  <c r="C1349" i="39"/>
  <c r="A1350" i="39"/>
  <c r="B1350" i="39" s="1"/>
  <c r="B1352" i="30"/>
  <c r="A1353" i="30"/>
  <c r="D1350" i="30"/>
  <c r="C1351" i="30" s="1"/>
  <c r="E1350" i="30"/>
  <c r="D1345" i="25"/>
  <c r="C1346" i="25" s="1"/>
  <c r="E1345" i="25"/>
  <c r="A1352" i="25"/>
  <c r="B1352" i="25" s="1"/>
  <c r="E1346" i="39" l="1"/>
  <c r="D1347" i="39" s="1"/>
  <c r="F1346" i="39"/>
  <c r="C1350" i="39"/>
  <c r="A1351" i="39"/>
  <c r="B1351" i="39" s="1"/>
  <c r="B1353" i="30"/>
  <c r="A1354" i="30"/>
  <c r="D1351" i="30"/>
  <c r="C1352" i="30" s="1"/>
  <c r="E1351" i="30"/>
  <c r="D1346" i="25"/>
  <c r="C1347" i="25" s="1"/>
  <c r="E1346" i="25"/>
  <c r="A1353" i="25"/>
  <c r="B1353" i="25" s="1"/>
  <c r="E1347" i="39" l="1"/>
  <c r="D1348" i="39" s="1"/>
  <c r="F1347" i="39"/>
  <c r="C1351" i="39"/>
  <c r="A1352" i="39"/>
  <c r="B1352" i="39" s="1"/>
  <c r="B1354" i="30"/>
  <c r="A1355" i="30"/>
  <c r="D1352" i="30"/>
  <c r="C1353" i="30" s="1"/>
  <c r="E1352" i="30"/>
  <c r="E1347" i="25"/>
  <c r="D1347" i="25"/>
  <c r="C1348" i="25" s="1"/>
  <c r="A1354" i="25"/>
  <c r="B1354" i="25" s="1"/>
  <c r="F1348" i="39" l="1"/>
  <c r="E1348" i="39"/>
  <c r="D1349" i="39" s="1"/>
  <c r="C1352" i="39"/>
  <c r="A1353" i="39"/>
  <c r="B1353" i="39" s="1"/>
  <c r="B1355" i="30"/>
  <c r="A1356" i="30"/>
  <c r="D1353" i="30"/>
  <c r="C1354" i="30" s="1"/>
  <c r="E1353" i="30"/>
  <c r="D1348" i="25"/>
  <c r="C1349" i="25" s="1"/>
  <c r="E1348" i="25"/>
  <c r="A1355" i="25"/>
  <c r="B1355" i="25" s="1"/>
  <c r="F1349" i="39" l="1"/>
  <c r="E1349" i="39"/>
  <c r="D1350" i="39" s="1"/>
  <c r="C1353" i="39"/>
  <c r="A1354" i="39"/>
  <c r="B1354" i="39" s="1"/>
  <c r="B1356" i="30"/>
  <c r="A1357" i="30"/>
  <c r="D1354" i="30"/>
  <c r="C1355" i="30" s="1"/>
  <c r="E1354" i="30"/>
  <c r="E1349" i="25"/>
  <c r="D1349" i="25"/>
  <c r="C1350" i="25" s="1"/>
  <c r="A1356" i="25"/>
  <c r="B1356" i="25" s="1"/>
  <c r="E1350" i="39" l="1"/>
  <c r="D1351" i="39" s="1"/>
  <c r="F1350" i="39"/>
  <c r="C1354" i="39"/>
  <c r="A1355" i="39"/>
  <c r="B1355" i="39" s="1"/>
  <c r="B1357" i="30"/>
  <c r="A1358" i="30"/>
  <c r="D1355" i="30"/>
  <c r="C1356" i="30" s="1"/>
  <c r="E1355" i="30"/>
  <c r="D1350" i="25"/>
  <c r="C1351" i="25" s="1"/>
  <c r="E1350" i="25"/>
  <c r="A1357" i="25"/>
  <c r="B1357" i="25" s="1"/>
  <c r="E1351" i="39" l="1"/>
  <c r="D1352" i="39" s="1"/>
  <c r="F1351" i="39"/>
  <c r="C1355" i="39"/>
  <c r="A1356" i="39"/>
  <c r="B1356" i="39" s="1"/>
  <c r="B1358" i="30"/>
  <c r="A1359" i="30"/>
  <c r="D1356" i="30"/>
  <c r="C1357" i="30" s="1"/>
  <c r="E1356" i="30"/>
  <c r="E1351" i="25"/>
  <c r="D1351" i="25"/>
  <c r="C1352" i="25" s="1"/>
  <c r="A1358" i="25"/>
  <c r="B1358" i="25" s="1"/>
  <c r="E1352" i="39" l="1"/>
  <c r="D1353" i="39" s="1"/>
  <c r="F1352" i="39"/>
  <c r="C1356" i="39"/>
  <c r="A1357" i="39"/>
  <c r="B1357" i="39" s="1"/>
  <c r="B1359" i="30"/>
  <c r="A1360" i="30"/>
  <c r="D1357" i="30"/>
  <c r="C1358" i="30" s="1"/>
  <c r="E1357" i="30"/>
  <c r="D1352" i="25"/>
  <c r="C1353" i="25" s="1"/>
  <c r="E1352" i="25"/>
  <c r="A1359" i="25"/>
  <c r="B1359" i="25" s="1"/>
  <c r="E1353" i="39" l="1"/>
  <c r="D1354" i="39" s="1"/>
  <c r="F1353" i="39"/>
  <c r="C1357" i="39"/>
  <c r="A1358" i="39"/>
  <c r="B1358" i="39" s="1"/>
  <c r="B1360" i="30"/>
  <c r="A1361" i="30"/>
  <c r="D1358" i="30"/>
  <c r="C1359" i="30" s="1"/>
  <c r="E1358" i="30"/>
  <c r="D1353" i="25"/>
  <c r="C1354" i="25" s="1"/>
  <c r="E1353" i="25"/>
  <c r="A1360" i="25"/>
  <c r="B1360" i="25" s="1"/>
  <c r="F1354" i="39" l="1"/>
  <c r="E1354" i="39"/>
  <c r="D1355" i="39" s="1"/>
  <c r="C1358" i="39"/>
  <c r="A1359" i="39"/>
  <c r="B1359" i="39" s="1"/>
  <c r="B1361" i="30"/>
  <c r="A1362" i="30"/>
  <c r="D1359" i="30"/>
  <c r="C1360" i="30" s="1"/>
  <c r="E1359" i="30"/>
  <c r="D1354" i="25"/>
  <c r="C1355" i="25" s="1"/>
  <c r="E1354" i="25"/>
  <c r="A1361" i="25"/>
  <c r="B1361" i="25" s="1"/>
  <c r="F1355" i="39" l="1"/>
  <c r="E1355" i="39"/>
  <c r="D1356" i="39" s="1"/>
  <c r="C1359" i="39"/>
  <c r="A1360" i="39"/>
  <c r="B1360" i="39" s="1"/>
  <c r="B1362" i="30"/>
  <c r="A1363" i="30"/>
  <c r="D1360" i="30"/>
  <c r="C1361" i="30" s="1"/>
  <c r="E1360" i="30"/>
  <c r="D1355" i="25"/>
  <c r="C1356" i="25" s="1"/>
  <c r="E1355" i="25"/>
  <c r="A1362" i="25"/>
  <c r="B1362" i="25" s="1"/>
  <c r="F1356" i="39" l="1"/>
  <c r="E1356" i="39"/>
  <c r="D1357" i="39" s="1"/>
  <c r="C1360" i="39"/>
  <c r="A1361" i="39"/>
  <c r="B1361" i="39" s="1"/>
  <c r="B1363" i="30"/>
  <c r="A1364" i="30"/>
  <c r="D1361" i="30"/>
  <c r="C1362" i="30" s="1"/>
  <c r="E1361" i="30"/>
  <c r="D1356" i="25"/>
  <c r="C1357" i="25" s="1"/>
  <c r="E1356" i="25"/>
  <c r="A1363" i="25"/>
  <c r="B1363" i="25" s="1"/>
  <c r="E1357" i="39" l="1"/>
  <c r="D1358" i="39" s="1"/>
  <c r="F1357" i="39"/>
  <c r="C1361" i="39"/>
  <c r="A1362" i="39"/>
  <c r="B1362" i="39" s="1"/>
  <c r="B1364" i="30"/>
  <c r="A1365" i="30"/>
  <c r="D1362" i="30"/>
  <c r="C1363" i="30" s="1"/>
  <c r="E1362" i="30"/>
  <c r="E1357" i="25"/>
  <c r="D1357" i="25"/>
  <c r="C1358" i="25" s="1"/>
  <c r="A1364" i="25"/>
  <c r="B1364" i="25" s="1"/>
  <c r="F1358" i="39" l="1"/>
  <c r="E1358" i="39"/>
  <c r="D1359" i="39" s="1"/>
  <c r="C1362" i="39"/>
  <c r="A1363" i="39"/>
  <c r="B1363" i="39" s="1"/>
  <c r="B1365" i="30"/>
  <c r="A1366" i="30"/>
  <c r="D1363" i="30"/>
  <c r="C1364" i="30" s="1"/>
  <c r="E1363" i="30"/>
  <c r="D1358" i="25"/>
  <c r="C1359" i="25" s="1"/>
  <c r="E1358" i="25"/>
  <c r="A1365" i="25"/>
  <c r="B1365" i="25" s="1"/>
  <c r="E1359" i="39" l="1"/>
  <c r="D1360" i="39" s="1"/>
  <c r="F1359" i="39"/>
  <c r="C1363" i="39"/>
  <c r="A1364" i="39"/>
  <c r="B1364" i="39" s="1"/>
  <c r="B1366" i="30"/>
  <c r="A1367" i="30"/>
  <c r="D1364" i="30"/>
  <c r="C1365" i="30" s="1"/>
  <c r="E1364" i="30"/>
  <c r="E1359" i="25"/>
  <c r="D1359" i="25"/>
  <c r="C1360" i="25" s="1"/>
  <c r="A1366" i="25"/>
  <c r="B1366" i="25" s="1"/>
  <c r="E1360" i="39" l="1"/>
  <c r="D1361" i="39" s="1"/>
  <c r="F1360" i="39"/>
  <c r="C1364" i="39"/>
  <c r="A1365" i="39"/>
  <c r="B1365" i="39" s="1"/>
  <c r="B1367" i="30"/>
  <c r="A1368" i="30"/>
  <c r="D1365" i="30"/>
  <c r="C1366" i="30" s="1"/>
  <c r="E1365" i="30"/>
  <c r="D1360" i="25"/>
  <c r="C1361" i="25" s="1"/>
  <c r="E1360" i="25"/>
  <c r="A1367" i="25"/>
  <c r="B1367" i="25" s="1"/>
  <c r="F1361" i="39" l="1"/>
  <c r="E1361" i="39"/>
  <c r="D1362" i="39" s="1"/>
  <c r="C1365" i="39"/>
  <c r="A1366" i="39"/>
  <c r="B1366" i="39" s="1"/>
  <c r="B1368" i="30"/>
  <c r="A1369" i="30"/>
  <c r="D1366" i="30"/>
  <c r="C1367" i="30" s="1"/>
  <c r="E1366" i="30"/>
  <c r="E1361" i="25"/>
  <c r="D1361" i="25"/>
  <c r="C1362" i="25" s="1"/>
  <c r="A1368" i="25"/>
  <c r="B1368" i="25" s="1"/>
  <c r="E1362" i="39" l="1"/>
  <c r="D1363" i="39" s="1"/>
  <c r="F1362" i="39"/>
  <c r="C1366" i="39"/>
  <c r="A1367" i="39"/>
  <c r="B1367" i="39" s="1"/>
  <c r="B1369" i="30"/>
  <c r="A1370" i="30"/>
  <c r="D1367" i="30"/>
  <c r="C1368" i="30" s="1"/>
  <c r="E1367" i="30"/>
  <c r="D1362" i="25"/>
  <c r="C1363" i="25" s="1"/>
  <c r="E1362" i="25"/>
  <c r="A1369" i="25"/>
  <c r="B1369" i="25" s="1"/>
  <c r="E1363" i="39" l="1"/>
  <c r="D1364" i="39" s="1"/>
  <c r="F1363" i="39"/>
  <c r="C1367" i="39"/>
  <c r="A1368" i="39"/>
  <c r="B1368" i="39" s="1"/>
  <c r="B1370" i="30"/>
  <c r="A1371" i="30"/>
  <c r="D1368" i="30"/>
  <c r="C1369" i="30" s="1"/>
  <c r="E1368" i="30"/>
  <c r="E1363" i="25"/>
  <c r="D1363" i="25"/>
  <c r="C1364" i="25" s="1"/>
  <c r="A1370" i="25"/>
  <c r="B1370" i="25" s="1"/>
  <c r="E1364" i="39" l="1"/>
  <c r="D1365" i="39" s="1"/>
  <c r="F1364" i="39"/>
  <c r="C1368" i="39"/>
  <c r="A1369" i="39"/>
  <c r="B1369" i="39" s="1"/>
  <c r="B1371" i="30"/>
  <c r="A1372" i="30"/>
  <c r="D1369" i="30"/>
  <c r="C1370" i="30" s="1"/>
  <c r="E1369" i="30"/>
  <c r="D1364" i="25"/>
  <c r="C1365" i="25" s="1"/>
  <c r="E1364" i="25"/>
  <c r="A1371" i="25"/>
  <c r="B1371" i="25" s="1"/>
  <c r="E1365" i="39" l="1"/>
  <c r="D1366" i="39" s="1"/>
  <c r="F1365" i="39"/>
  <c r="C1369" i="39"/>
  <c r="A1370" i="39"/>
  <c r="B1370" i="39" s="1"/>
  <c r="B1372" i="30"/>
  <c r="A1373" i="30"/>
  <c r="D1370" i="30"/>
  <c r="C1371" i="30" s="1"/>
  <c r="E1370" i="30"/>
  <c r="D1365" i="25"/>
  <c r="C1366" i="25" s="1"/>
  <c r="E1365" i="25"/>
  <c r="A1372" i="25"/>
  <c r="B1372" i="25" s="1"/>
  <c r="F1366" i="39" l="1"/>
  <c r="E1366" i="39"/>
  <c r="D1367" i="39" s="1"/>
  <c r="C1370" i="39"/>
  <c r="A1371" i="39"/>
  <c r="B1371" i="39" s="1"/>
  <c r="B1373" i="30"/>
  <c r="A1374" i="30"/>
  <c r="D1371" i="30"/>
  <c r="C1372" i="30" s="1"/>
  <c r="E1371" i="30"/>
  <c r="D1366" i="25"/>
  <c r="C1367" i="25" s="1"/>
  <c r="E1366" i="25"/>
  <c r="A1373" i="25"/>
  <c r="B1373" i="25" s="1"/>
  <c r="E1367" i="39" l="1"/>
  <c r="D1368" i="39" s="1"/>
  <c r="F1367" i="39"/>
  <c r="C1371" i="39"/>
  <c r="A1372" i="39"/>
  <c r="B1372" i="39" s="1"/>
  <c r="B1374" i="30"/>
  <c r="A1375" i="30"/>
  <c r="D1372" i="30"/>
  <c r="C1373" i="30" s="1"/>
  <c r="E1372" i="30"/>
  <c r="E1367" i="25"/>
  <c r="D1367" i="25"/>
  <c r="C1368" i="25" s="1"/>
  <c r="A1374" i="25"/>
  <c r="B1374" i="25" s="1"/>
  <c r="E1368" i="39" l="1"/>
  <c r="D1369" i="39" s="1"/>
  <c r="F1368" i="39"/>
  <c r="C1372" i="39"/>
  <c r="A1373" i="39"/>
  <c r="B1373" i="39" s="1"/>
  <c r="B1375" i="30"/>
  <c r="A1376" i="30"/>
  <c r="D1373" i="30"/>
  <c r="C1374" i="30" s="1"/>
  <c r="E1373" i="30"/>
  <c r="D1368" i="25"/>
  <c r="C1369" i="25" s="1"/>
  <c r="E1368" i="25"/>
  <c r="A1375" i="25"/>
  <c r="B1375" i="25" s="1"/>
  <c r="E1369" i="39" l="1"/>
  <c r="D1370" i="39" s="1"/>
  <c r="F1369" i="39"/>
  <c r="C1373" i="39"/>
  <c r="A1374" i="39"/>
  <c r="B1374" i="39" s="1"/>
  <c r="B1376" i="30"/>
  <c r="A1377" i="30"/>
  <c r="D1374" i="30"/>
  <c r="C1375" i="30" s="1"/>
  <c r="E1374" i="30"/>
  <c r="D1369" i="25"/>
  <c r="C1370" i="25" s="1"/>
  <c r="E1369" i="25"/>
  <c r="A1376" i="25"/>
  <c r="B1376" i="25" s="1"/>
  <c r="F1370" i="39" l="1"/>
  <c r="E1370" i="39"/>
  <c r="D1371" i="39" s="1"/>
  <c r="C1374" i="39"/>
  <c r="A1375" i="39"/>
  <c r="B1375" i="39" s="1"/>
  <c r="B1377" i="30"/>
  <c r="A1378" i="30"/>
  <c r="D1375" i="30"/>
  <c r="C1376" i="30" s="1"/>
  <c r="E1375" i="30"/>
  <c r="E1370" i="25"/>
  <c r="D1370" i="25"/>
  <c r="C1371" i="25" s="1"/>
  <c r="A1377" i="25"/>
  <c r="B1377" i="25" s="1"/>
  <c r="E1371" i="39" l="1"/>
  <c r="D1372" i="39" s="1"/>
  <c r="F1371" i="39"/>
  <c r="C1375" i="39"/>
  <c r="A1376" i="39"/>
  <c r="B1376" i="39" s="1"/>
  <c r="B1378" i="30"/>
  <c r="A1379" i="30"/>
  <c r="D1376" i="30"/>
  <c r="C1377" i="30" s="1"/>
  <c r="E1376" i="30"/>
  <c r="E1371" i="25"/>
  <c r="D1371" i="25"/>
  <c r="C1372" i="25" s="1"/>
  <c r="A1378" i="25"/>
  <c r="B1378" i="25" s="1"/>
  <c r="E1372" i="39" l="1"/>
  <c r="D1373" i="39" s="1"/>
  <c r="F1372" i="39"/>
  <c r="C1376" i="39"/>
  <c r="A1377" i="39"/>
  <c r="B1377" i="39" s="1"/>
  <c r="B1379" i="30"/>
  <c r="A1380" i="30"/>
  <c r="D1377" i="30"/>
  <c r="C1378" i="30" s="1"/>
  <c r="E1377" i="30"/>
  <c r="E1372" i="25"/>
  <c r="D1372" i="25"/>
  <c r="C1373" i="25" s="1"/>
  <c r="A1379" i="25"/>
  <c r="B1379" i="25" s="1"/>
  <c r="E1373" i="39" l="1"/>
  <c r="D1374" i="39" s="1"/>
  <c r="F1373" i="39"/>
  <c r="C1377" i="39"/>
  <c r="A1378" i="39"/>
  <c r="B1378" i="39" s="1"/>
  <c r="B1380" i="30"/>
  <c r="A1381" i="30"/>
  <c r="D1378" i="30"/>
  <c r="C1379" i="30" s="1"/>
  <c r="E1378" i="30"/>
  <c r="E1373" i="25"/>
  <c r="D1373" i="25"/>
  <c r="C1374" i="25" s="1"/>
  <c r="A1380" i="25"/>
  <c r="B1380" i="25" s="1"/>
  <c r="F1374" i="39" l="1"/>
  <c r="E1374" i="39"/>
  <c r="D1375" i="39" s="1"/>
  <c r="C1378" i="39"/>
  <c r="A1379" i="39"/>
  <c r="B1379" i="39" s="1"/>
  <c r="B1381" i="30"/>
  <c r="A1382" i="30"/>
  <c r="D1379" i="30"/>
  <c r="C1380" i="30" s="1"/>
  <c r="E1379" i="30"/>
  <c r="E1374" i="25"/>
  <c r="D1374" i="25"/>
  <c r="C1375" i="25" s="1"/>
  <c r="A1381" i="25"/>
  <c r="B1381" i="25" s="1"/>
  <c r="E1375" i="39" l="1"/>
  <c r="D1376" i="39" s="1"/>
  <c r="F1375" i="39"/>
  <c r="C1379" i="39"/>
  <c r="A1380" i="39"/>
  <c r="B1380" i="39" s="1"/>
  <c r="B1382" i="30"/>
  <c r="A1383" i="30"/>
  <c r="D1380" i="30"/>
  <c r="C1381" i="30" s="1"/>
  <c r="E1380" i="30"/>
  <c r="D1375" i="25"/>
  <c r="C1376" i="25" s="1"/>
  <c r="E1375" i="25"/>
  <c r="A1382" i="25"/>
  <c r="B1382" i="25" s="1"/>
  <c r="E1376" i="39" l="1"/>
  <c r="D1377" i="39" s="1"/>
  <c r="F1376" i="39"/>
  <c r="C1380" i="39"/>
  <c r="A1381" i="39"/>
  <c r="B1381" i="39" s="1"/>
  <c r="B1383" i="30"/>
  <c r="A1384" i="30"/>
  <c r="D1381" i="30"/>
  <c r="C1382" i="30" s="1"/>
  <c r="E1381" i="30"/>
  <c r="D1376" i="25"/>
  <c r="C1377" i="25" s="1"/>
  <c r="E1376" i="25"/>
  <c r="A1383" i="25"/>
  <c r="B1383" i="25" s="1"/>
  <c r="F1377" i="39" l="1"/>
  <c r="E1377" i="39"/>
  <c r="D1378" i="39" s="1"/>
  <c r="C1381" i="39"/>
  <c r="A1382" i="39"/>
  <c r="B1382" i="39" s="1"/>
  <c r="B1384" i="30"/>
  <c r="A1385" i="30"/>
  <c r="D1382" i="30"/>
  <c r="C1383" i="30" s="1"/>
  <c r="E1382" i="30"/>
  <c r="D1377" i="25"/>
  <c r="C1378" i="25" s="1"/>
  <c r="E1377" i="25"/>
  <c r="A1384" i="25"/>
  <c r="B1384" i="25" s="1"/>
  <c r="F1378" i="39" l="1"/>
  <c r="E1378" i="39"/>
  <c r="D1379" i="39" s="1"/>
  <c r="C1382" i="39"/>
  <c r="A1383" i="39"/>
  <c r="B1383" i="39" s="1"/>
  <c r="B1385" i="30"/>
  <c r="A1386" i="30"/>
  <c r="D1383" i="30"/>
  <c r="C1384" i="30" s="1"/>
  <c r="E1383" i="30"/>
  <c r="D1378" i="25"/>
  <c r="C1379" i="25" s="1"/>
  <c r="E1378" i="25"/>
  <c r="A1385" i="25"/>
  <c r="B1385" i="25" s="1"/>
  <c r="F1379" i="39" l="1"/>
  <c r="E1379" i="39"/>
  <c r="D1380" i="39" s="1"/>
  <c r="C1383" i="39"/>
  <c r="A1384" i="39"/>
  <c r="B1384" i="39" s="1"/>
  <c r="B1386" i="30"/>
  <c r="A1387" i="30"/>
  <c r="D1384" i="30"/>
  <c r="C1385" i="30" s="1"/>
  <c r="E1384" i="30"/>
  <c r="E1379" i="25"/>
  <c r="D1379" i="25"/>
  <c r="C1380" i="25" s="1"/>
  <c r="A1386" i="25"/>
  <c r="B1386" i="25" s="1"/>
  <c r="F1380" i="39" l="1"/>
  <c r="E1380" i="39"/>
  <c r="D1381" i="39" s="1"/>
  <c r="C1384" i="39"/>
  <c r="A1385" i="39"/>
  <c r="B1385" i="39" s="1"/>
  <c r="B1387" i="30"/>
  <c r="A1388" i="30"/>
  <c r="D1385" i="30"/>
  <c r="C1386" i="30" s="1"/>
  <c r="E1385" i="30"/>
  <c r="D1380" i="25"/>
  <c r="C1381" i="25" s="1"/>
  <c r="E1380" i="25"/>
  <c r="A1387" i="25"/>
  <c r="B1387" i="25" s="1"/>
  <c r="F1381" i="39" l="1"/>
  <c r="E1381" i="39"/>
  <c r="D1382" i="39" s="1"/>
  <c r="C1385" i="39"/>
  <c r="A1386" i="39"/>
  <c r="B1386" i="39" s="1"/>
  <c r="B1388" i="30"/>
  <c r="A1389" i="30"/>
  <c r="D1386" i="30"/>
  <c r="C1387" i="30" s="1"/>
  <c r="E1386" i="30"/>
  <c r="D1381" i="25"/>
  <c r="C1382" i="25" s="1"/>
  <c r="E1381" i="25"/>
  <c r="A1388" i="25"/>
  <c r="B1388" i="25" s="1"/>
  <c r="E1382" i="39" l="1"/>
  <c r="D1383" i="39" s="1"/>
  <c r="F1382" i="39"/>
  <c r="C1386" i="39"/>
  <c r="A1387" i="39"/>
  <c r="B1387" i="39" s="1"/>
  <c r="B1389" i="30"/>
  <c r="A1390" i="30"/>
  <c r="D1387" i="30"/>
  <c r="C1388" i="30" s="1"/>
  <c r="E1387" i="30"/>
  <c r="E1382" i="25"/>
  <c r="D1382" i="25"/>
  <c r="C1383" i="25" s="1"/>
  <c r="A1389" i="25"/>
  <c r="B1389" i="25" s="1"/>
  <c r="E1383" i="39" l="1"/>
  <c r="D1384" i="39" s="1"/>
  <c r="F1383" i="39"/>
  <c r="C1387" i="39"/>
  <c r="A1388" i="39"/>
  <c r="B1388" i="39" s="1"/>
  <c r="B1390" i="30"/>
  <c r="A1391" i="30"/>
  <c r="D1388" i="30"/>
  <c r="C1389" i="30" s="1"/>
  <c r="E1388" i="30"/>
  <c r="D1383" i="25"/>
  <c r="C1384" i="25" s="1"/>
  <c r="E1383" i="25"/>
  <c r="A1390" i="25"/>
  <c r="B1390" i="25" s="1"/>
  <c r="E1384" i="39" l="1"/>
  <c r="D1385" i="39" s="1"/>
  <c r="F1384" i="39"/>
  <c r="C1388" i="39"/>
  <c r="A1389" i="39"/>
  <c r="B1389" i="39" s="1"/>
  <c r="B1391" i="30"/>
  <c r="A1392" i="30"/>
  <c r="D1389" i="30"/>
  <c r="C1390" i="30" s="1"/>
  <c r="E1389" i="30"/>
  <c r="D1384" i="25"/>
  <c r="C1385" i="25" s="1"/>
  <c r="E1384" i="25"/>
  <c r="A1391" i="25"/>
  <c r="B1391" i="25" s="1"/>
  <c r="F1385" i="39" l="1"/>
  <c r="E1385" i="39"/>
  <c r="D1386" i="39" s="1"/>
  <c r="C1389" i="39"/>
  <c r="A1390" i="39"/>
  <c r="B1390" i="39" s="1"/>
  <c r="B1392" i="30"/>
  <c r="A1393" i="30"/>
  <c r="D1390" i="30"/>
  <c r="C1391" i="30" s="1"/>
  <c r="E1390" i="30"/>
  <c r="D1385" i="25"/>
  <c r="C1386" i="25" s="1"/>
  <c r="E1385" i="25"/>
  <c r="A1392" i="25"/>
  <c r="B1392" i="25" s="1"/>
  <c r="F1386" i="39" l="1"/>
  <c r="E1386" i="39"/>
  <c r="D1387" i="39" s="1"/>
  <c r="C1390" i="39"/>
  <c r="A1391" i="39"/>
  <c r="B1391" i="39" s="1"/>
  <c r="B1393" i="30"/>
  <c r="A1394" i="30"/>
  <c r="D1391" i="30"/>
  <c r="C1392" i="30" s="1"/>
  <c r="E1391" i="30"/>
  <c r="D1386" i="25"/>
  <c r="C1387" i="25" s="1"/>
  <c r="E1386" i="25"/>
  <c r="A1393" i="25"/>
  <c r="B1393" i="25" s="1"/>
  <c r="F1387" i="39" l="1"/>
  <c r="E1387" i="39"/>
  <c r="D1388" i="39" s="1"/>
  <c r="C1391" i="39"/>
  <c r="A1392" i="39"/>
  <c r="B1392" i="39" s="1"/>
  <c r="B1394" i="30"/>
  <c r="A1395" i="30"/>
  <c r="D1392" i="30"/>
  <c r="C1393" i="30" s="1"/>
  <c r="E1392" i="30"/>
  <c r="E1387" i="25"/>
  <c r="D1387" i="25"/>
  <c r="C1388" i="25" s="1"/>
  <c r="A1394" i="25"/>
  <c r="B1394" i="25" s="1"/>
  <c r="E1388" i="39" l="1"/>
  <c r="D1389" i="39" s="1"/>
  <c r="F1388" i="39"/>
  <c r="C1392" i="39"/>
  <c r="A1393" i="39"/>
  <c r="B1393" i="39" s="1"/>
  <c r="B1395" i="30"/>
  <c r="A1396" i="30"/>
  <c r="D1393" i="30"/>
  <c r="C1394" i="30" s="1"/>
  <c r="E1393" i="30"/>
  <c r="E1388" i="25"/>
  <c r="D1388" i="25"/>
  <c r="C1389" i="25" s="1"/>
  <c r="A1395" i="25"/>
  <c r="B1395" i="25" s="1"/>
  <c r="E1389" i="39" l="1"/>
  <c r="D1390" i="39" s="1"/>
  <c r="F1389" i="39"/>
  <c r="C1393" i="39"/>
  <c r="A1394" i="39"/>
  <c r="B1394" i="39" s="1"/>
  <c r="B1396" i="30"/>
  <c r="A1397" i="30"/>
  <c r="D1394" i="30"/>
  <c r="C1395" i="30" s="1"/>
  <c r="E1394" i="30"/>
  <c r="E1389" i="25"/>
  <c r="D1389" i="25"/>
  <c r="C1390" i="25" s="1"/>
  <c r="A1396" i="25"/>
  <c r="B1396" i="25" s="1"/>
  <c r="F1390" i="39" l="1"/>
  <c r="E1390" i="39"/>
  <c r="D1391" i="39" s="1"/>
  <c r="C1394" i="39"/>
  <c r="A1395" i="39"/>
  <c r="B1395" i="39" s="1"/>
  <c r="B1397" i="30"/>
  <c r="A1398" i="30"/>
  <c r="D1395" i="30"/>
  <c r="C1396" i="30" s="1"/>
  <c r="E1395" i="30"/>
  <c r="D1390" i="25"/>
  <c r="C1391" i="25" s="1"/>
  <c r="E1390" i="25"/>
  <c r="A1397" i="25"/>
  <c r="B1397" i="25" s="1"/>
  <c r="F1391" i="39" l="1"/>
  <c r="E1391" i="39"/>
  <c r="D1392" i="39" s="1"/>
  <c r="C1395" i="39"/>
  <c r="A1396" i="39"/>
  <c r="B1396" i="39" s="1"/>
  <c r="B1398" i="30"/>
  <c r="A1399" i="30"/>
  <c r="D1396" i="30"/>
  <c r="C1397" i="30" s="1"/>
  <c r="E1396" i="30"/>
  <c r="E1391" i="25"/>
  <c r="D1391" i="25"/>
  <c r="C1392" i="25" s="1"/>
  <c r="A1398" i="25"/>
  <c r="B1398" i="25" s="1"/>
  <c r="E1392" i="39" l="1"/>
  <c r="D1393" i="39" s="1"/>
  <c r="F1392" i="39"/>
  <c r="C1396" i="39"/>
  <c r="A1397" i="39"/>
  <c r="B1397" i="39" s="1"/>
  <c r="B1399" i="30"/>
  <c r="A1400" i="30"/>
  <c r="D1397" i="30"/>
  <c r="C1398" i="30" s="1"/>
  <c r="E1397" i="30"/>
  <c r="D1392" i="25"/>
  <c r="C1393" i="25" s="1"/>
  <c r="E1392" i="25"/>
  <c r="A1399" i="25"/>
  <c r="B1399" i="25" s="1"/>
  <c r="E1393" i="39" l="1"/>
  <c r="D1394" i="39" s="1"/>
  <c r="F1393" i="39"/>
  <c r="C1397" i="39"/>
  <c r="A1398" i="39"/>
  <c r="B1398" i="39" s="1"/>
  <c r="B1400" i="30"/>
  <c r="A1401" i="30"/>
  <c r="D1398" i="30"/>
  <c r="C1399" i="30" s="1"/>
  <c r="E1398" i="30"/>
  <c r="D1393" i="25"/>
  <c r="C1394" i="25" s="1"/>
  <c r="E1393" i="25"/>
  <c r="A1400" i="25"/>
  <c r="B1400" i="25" s="1"/>
  <c r="E1394" i="39" l="1"/>
  <c r="D1395" i="39" s="1"/>
  <c r="F1394" i="39"/>
  <c r="C1398" i="39"/>
  <c r="A1399" i="39"/>
  <c r="B1399" i="39" s="1"/>
  <c r="B1401" i="30"/>
  <c r="A1402" i="30"/>
  <c r="D1399" i="30"/>
  <c r="C1400" i="30" s="1"/>
  <c r="E1399" i="30"/>
  <c r="D1394" i="25"/>
  <c r="C1395" i="25" s="1"/>
  <c r="E1394" i="25"/>
  <c r="A1401" i="25"/>
  <c r="B1401" i="25" s="1"/>
  <c r="F1395" i="39" l="1"/>
  <c r="E1395" i="39"/>
  <c r="D1396" i="39" s="1"/>
  <c r="C1399" i="39"/>
  <c r="A1400" i="39"/>
  <c r="B1400" i="39" s="1"/>
  <c r="B1402" i="30"/>
  <c r="A1403" i="30"/>
  <c r="D1400" i="30"/>
  <c r="C1401" i="30" s="1"/>
  <c r="E1400" i="30"/>
  <c r="D1395" i="25"/>
  <c r="C1396" i="25" s="1"/>
  <c r="E1395" i="25"/>
  <c r="A1402" i="25"/>
  <c r="B1402" i="25" s="1"/>
  <c r="E1396" i="39" l="1"/>
  <c r="D1397" i="39" s="1"/>
  <c r="F1396" i="39"/>
  <c r="C1400" i="39"/>
  <c r="A1401" i="39"/>
  <c r="B1401" i="39" s="1"/>
  <c r="B1403" i="30"/>
  <c r="A1404" i="30"/>
  <c r="D1401" i="30"/>
  <c r="C1402" i="30" s="1"/>
  <c r="E1401" i="30"/>
  <c r="D1396" i="25"/>
  <c r="C1397" i="25" s="1"/>
  <c r="E1396" i="25"/>
  <c r="A1403" i="25"/>
  <c r="B1403" i="25" s="1"/>
  <c r="F1397" i="39" l="1"/>
  <c r="E1397" i="39"/>
  <c r="D1398" i="39" s="1"/>
  <c r="C1401" i="39"/>
  <c r="A1402" i="39"/>
  <c r="B1402" i="39" s="1"/>
  <c r="B1404" i="30"/>
  <c r="A1405" i="30"/>
  <c r="D1402" i="30"/>
  <c r="C1403" i="30" s="1"/>
  <c r="E1402" i="30"/>
  <c r="D1397" i="25"/>
  <c r="C1398" i="25" s="1"/>
  <c r="E1397" i="25"/>
  <c r="A1404" i="25"/>
  <c r="B1404" i="25" s="1"/>
  <c r="F1398" i="39" l="1"/>
  <c r="E1398" i="39"/>
  <c r="D1399" i="39" s="1"/>
  <c r="C1402" i="39"/>
  <c r="A1403" i="39"/>
  <c r="B1403" i="39" s="1"/>
  <c r="B1405" i="30"/>
  <c r="A1406" i="30"/>
  <c r="D1403" i="30"/>
  <c r="C1404" i="30" s="1"/>
  <c r="E1403" i="30"/>
  <c r="D1398" i="25"/>
  <c r="C1399" i="25" s="1"/>
  <c r="E1398" i="25"/>
  <c r="A1405" i="25"/>
  <c r="B1405" i="25" s="1"/>
  <c r="F1399" i="39" l="1"/>
  <c r="E1399" i="39"/>
  <c r="D1400" i="39" s="1"/>
  <c r="C1403" i="39"/>
  <c r="A1404" i="39"/>
  <c r="B1404" i="39" s="1"/>
  <c r="B1406" i="30"/>
  <c r="A1407" i="30"/>
  <c r="D1404" i="30"/>
  <c r="C1405" i="30" s="1"/>
  <c r="E1404" i="30"/>
  <c r="D1399" i="25"/>
  <c r="C1400" i="25" s="1"/>
  <c r="E1399" i="25"/>
  <c r="A1406" i="25"/>
  <c r="B1406" i="25" s="1"/>
  <c r="F1400" i="39" l="1"/>
  <c r="E1400" i="39"/>
  <c r="D1401" i="39" s="1"/>
  <c r="C1404" i="39"/>
  <c r="A1405" i="39"/>
  <c r="B1405" i="39" s="1"/>
  <c r="B1407" i="30"/>
  <c r="A1408" i="30"/>
  <c r="D1405" i="30"/>
  <c r="C1406" i="30" s="1"/>
  <c r="E1405" i="30"/>
  <c r="D1400" i="25"/>
  <c r="C1401" i="25" s="1"/>
  <c r="E1400" i="25"/>
  <c r="A1407" i="25"/>
  <c r="B1407" i="25" s="1"/>
  <c r="F1401" i="39" l="1"/>
  <c r="E1401" i="39"/>
  <c r="D1402" i="39" s="1"/>
  <c r="C1405" i="39"/>
  <c r="A1406" i="39"/>
  <c r="B1406" i="39" s="1"/>
  <c r="B1408" i="30"/>
  <c r="A1409" i="30"/>
  <c r="D1406" i="30"/>
  <c r="C1407" i="30" s="1"/>
  <c r="E1406" i="30"/>
  <c r="E1401" i="25"/>
  <c r="D1401" i="25"/>
  <c r="C1402" i="25" s="1"/>
  <c r="A1408" i="25"/>
  <c r="B1408" i="25" s="1"/>
  <c r="F1402" i="39" l="1"/>
  <c r="E1402" i="39"/>
  <c r="D1403" i="39" s="1"/>
  <c r="C1406" i="39"/>
  <c r="A1407" i="39"/>
  <c r="B1407" i="39" s="1"/>
  <c r="B1409" i="30"/>
  <c r="A1410" i="30"/>
  <c r="D1407" i="30"/>
  <c r="C1408" i="30" s="1"/>
  <c r="E1407" i="30"/>
  <c r="D1402" i="25"/>
  <c r="C1403" i="25" s="1"/>
  <c r="E1402" i="25"/>
  <c r="A1409" i="25"/>
  <c r="B1409" i="25" s="1"/>
  <c r="F1403" i="39" l="1"/>
  <c r="E1403" i="39"/>
  <c r="D1404" i="39" s="1"/>
  <c r="C1407" i="39"/>
  <c r="A1408" i="39"/>
  <c r="B1408" i="39" s="1"/>
  <c r="B1410" i="30"/>
  <c r="A1411" i="30"/>
  <c r="D1408" i="30"/>
  <c r="C1409" i="30" s="1"/>
  <c r="E1408" i="30"/>
  <c r="D1403" i="25"/>
  <c r="C1404" i="25" s="1"/>
  <c r="E1403" i="25"/>
  <c r="A1410" i="25"/>
  <c r="B1410" i="25" s="1"/>
  <c r="E1404" i="39" l="1"/>
  <c r="D1405" i="39" s="1"/>
  <c r="F1404" i="39"/>
  <c r="C1408" i="39"/>
  <c r="A1409" i="39"/>
  <c r="B1409" i="39" s="1"/>
  <c r="B1411" i="30"/>
  <c r="A1412" i="30"/>
  <c r="D1409" i="30"/>
  <c r="C1410" i="30" s="1"/>
  <c r="E1409" i="30"/>
  <c r="D1404" i="25"/>
  <c r="C1405" i="25" s="1"/>
  <c r="E1404" i="25"/>
  <c r="A1411" i="25"/>
  <c r="B1411" i="25" s="1"/>
  <c r="E1405" i="39" l="1"/>
  <c r="D1406" i="39" s="1"/>
  <c r="F1405" i="39"/>
  <c r="C1409" i="39"/>
  <c r="A1410" i="39"/>
  <c r="B1410" i="39" s="1"/>
  <c r="B1412" i="30"/>
  <c r="A1413" i="30"/>
  <c r="D1410" i="30"/>
  <c r="C1411" i="30" s="1"/>
  <c r="E1410" i="30"/>
  <c r="D1405" i="25"/>
  <c r="C1406" i="25" s="1"/>
  <c r="E1405" i="25"/>
  <c r="A1412" i="25"/>
  <c r="B1412" i="25" s="1"/>
  <c r="F1406" i="39" l="1"/>
  <c r="E1406" i="39"/>
  <c r="D1407" i="39" s="1"/>
  <c r="C1410" i="39"/>
  <c r="A1411" i="39"/>
  <c r="B1411" i="39" s="1"/>
  <c r="B1413" i="30"/>
  <c r="A1414" i="30"/>
  <c r="D1411" i="30"/>
  <c r="C1412" i="30" s="1"/>
  <c r="E1411" i="30"/>
  <c r="D1406" i="25"/>
  <c r="C1407" i="25" s="1"/>
  <c r="E1406" i="25"/>
  <c r="A1413" i="25"/>
  <c r="B1413" i="25" s="1"/>
  <c r="E1407" i="39" l="1"/>
  <c r="D1408" i="39" s="1"/>
  <c r="F1407" i="39"/>
  <c r="C1411" i="39"/>
  <c r="A1412" i="39"/>
  <c r="B1412" i="39" s="1"/>
  <c r="B1414" i="30"/>
  <c r="A1415" i="30"/>
  <c r="D1412" i="30"/>
  <c r="C1413" i="30" s="1"/>
  <c r="E1412" i="30"/>
  <c r="D1407" i="25"/>
  <c r="C1408" i="25" s="1"/>
  <c r="E1407" i="25"/>
  <c r="A1414" i="25"/>
  <c r="B1414" i="25" s="1"/>
  <c r="E1408" i="39" l="1"/>
  <c r="D1409" i="39" s="1"/>
  <c r="F1408" i="39"/>
  <c r="C1412" i="39"/>
  <c r="A1413" i="39"/>
  <c r="B1413" i="39" s="1"/>
  <c r="B1415" i="30"/>
  <c r="A1416" i="30"/>
  <c r="D1413" i="30"/>
  <c r="C1414" i="30" s="1"/>
  <c r="E1413" i="30"/>
  <c r="D1408" i="25"/>
  <c r="C1409" i="25" s="1"/>
  <c r="E1408" i="25"/>
  <c r="A1415" i="25"/>
  <c r="B1415" i="25" s="1"/>
  <c r="E1409" i="39" l="1"/>
  <c r="D1410" i="39" s="1"/>
  <c r="F1409" i="39"/>
  <c r="C1413" i="39"/>
  <c r="A1414" i="39"/>
  <c r="B1414" i="39" s="1"/>
  <c r="B1416" i="30"/>
  <c r="A1417" i="30"/>
  <c r="D1414" i="30"/>
  <c r="C1415" i="30" s="1"/>
  <c r="E1414" i="30"/>
  <c r="D1409" i="25"/>
  <c r="C1410" i="25" s="1"/>
  <c r="E1409" i="25"/>
  <c r="A1416" i="25"/>
  <c r="B1416" i="25" s="1"/>
  <c r="F1410" i="39" l="1"/>
  <c r="E1410" i="39"/>
  <c r="D1411" i="39" s="1"/>
  <c r="C1414" i="39"/>
  <c r="A1415" i="39"/>
  <c r="B1415" i="39" s="1"/>
  <c r="B1417" i="30"/>
  <c r="A1418" i="30"/>
  <c r="D1415" i="30"/>
  <c r="C1416" i="30" s="1"/>
  <c r="E1415" i="30"/>
  <c r="D1410" i="25"/>
  <c r="C1411" i="25" s="1"/>
  <c r="E1410" i="25"/>
  <c r="A1417" i="25"/>
  <c r="B1417" i="25" s="1"/>
  <c r="E1411" i="39" l="1"/>
  <c r="D1412" i="39" s="1"/>
  <c r="F1411" i="39"/>
  <c r="C1415" i="39"/>
  <c r="A1416" i="39"/>
  <c r="B1416" i="39" s="1"/>
  <c r="B1418" i="30"/>
  <c r="A1419" i="30"/>
  <c r="D1416" i="30"/>
  <c r="C1417" i="30" s="1"/>
  <c r="E1416" i="30"/>
  <c r="D1411" i="25"/>
  <c r="C1412" i="25" s="1"/>
  <c r="E1411" i="25"/>
  <c r="A1418" i="25"/>
  <c r="B1418" i="25" s="1"/>
  <c r="E1412" i="39" l="1"/>
  <c r="D1413" i="39" s="1"/>
  <c r="F1412" i="39"/>
  <c r="C1416" i="39"/>
  <c r="A1417" i="39"/>
  <c r="B1417" i="39" s="1"/>
  <c r="B1419" i="30"/>
  <c r="A1420" i="30"/>
  <c r="D1417" i="30"/>
  <c r="C1418" i="30" s="1"/>
  <c r="E1417" i="30"/>
  <c r="D1412" i="25"/>
  <c r="C1413" i="25" s="1"/>
  <c r="E1412" i="25"/>
  <c r="A1419" i="25"/>
  <c r="B1419" i="25" s="1"/>
  <c r="E1413" i="39" l="1"/>
  <c r="D1414" i="39" s="1"/>
  <c r="F1413" i="39"/>
  <c r="C1417" i="39"/>
  <c r="A1418" i="39"/>
  <c r="B1418" i="39" s="1"/>
  <c r="B1420" i="30"/>
  <c r="A1421" i="30"/>
  <c r="D1418" i="30"/>
  <c r="C1419" i="30" s="1"/>
  <c r="E1418" i="30"/>
  <c r="D1413" i="25"/>
  <c r="C1414" i="25" s="1"/>
  <c r="E1413" i="25"/>
  <c r="A1420" i="25"/>
  <c r="B1420" i="25" s="1"/>
  <c r="F1414" i="39" l="1"/>
  <c r="E1414" i="39"/>
  <c r="D1415" i="39" s="1"/>
  <c r="C1418" i="39"/>
  <c r="A1419" i="39"/>
  <c r="B1419" i="39" s="1"/>
  <c r="B1421" i="30"/>
  <c r="A1422" i="30"/>
  <c r="D1419" i="30"/>
  <c r="C1420" i="30" s="1"/>
  <c r="E1419" i="30"/>
  <c r="D1414" i="25"/>
  <c r="C1415" i="25" s="1"/>
  <c r="E1414" i="25"/>
  <c r="A1421" i="25"/>
  <c r="B1421" i="25" s="1"/>
  <c r="F1415" i="39" l="1"/>
  <c r="E1415" i="39"/>
  <c r="D1416" i="39" s="1"/>
  <c r="C1419" i="39"/>
  <c r="A1420" i="39"/>
  <c r="B1420" i="39" s="1"/>
  <c r="B1422" i="30"/>
  <c r="A1423" i="30"/>
  <c r="D1420" i="30"/>
  <c r="C1421" i="30" s="1"/>
  <c r="E1420" i="30"/>
  <c r="D1415" i="25"/>
  <c r="C1416" i="25" s="1"/>
  <c r="E1415" i="25"/>
  <c r="A1422" i="25"/>
  <c r="B1422" i="25" s="1"/>
  <c r="F1416" i="39" l="1"/>
  <c r="E1416" i="39"/>
  <c r="D1417" i="39" s="1"/>
  <c r="C1420" i="39"/>
  <c r="A1421" i="39"/>
  <c r="B1421" i="39" s="1"/>
  <c r="B1423" i="30"/>
  <c r="A1424" i="30"/>
  <c r="D1421" i="30"/>
  <c r="C1422" i="30" s="1"/>
  <c r="E1421" i="30"/>
  <c r="D1416" i="25"/>
  <c r="C1417" i="25" s="1"/>
  <c r="E1416" i="25"/>
  <c r="A1423" i="25"/>
  <c r="B1423" i="25" s="1"/>
  <c r="F1417" i="39" l="1"/>
  <c r="E1417" i="39"/>
  <c r="D1418" i="39" s="1"/>
  <c r="C1421" i="39"/>
  <c r="A1422" i="39"/>
  <c r="B1422" i="39" s="1"/>
  <c r="B1424" i="30"/>
  <c r="A1425" i="30"/>
  <c r="D1422" i="30"/>
  <c r="C1423" i="30" s="1"/>
  <c r="E1422" i="30"/>
  <c r="D1417" i="25"/>
  <c r="C1418" i="25" s="1"/>
  <c r="E1417" i="25"/>
  <c r="A1424" i="25"/>
  <c r="B1424" i="25" s="1"/>
  <c r="F1418" i="39" l="1"/>
  <c r="E1418" i="39"/>
  <c r="D1419" i="39" s="1"/>
  <c r="C1422" i="39"/>
  <c r="A1423" i="39"/>
  <c r="B1423" i="39" s="1"/>
  <c r="B1425" i="30"/>
  <c r="A1426" i="30"/>
  <c r="D1423" i="30"/>
  <c r="C1424" i="30" s="1"/>
  <c r="E1423" i="30"/>
  <c r="D1418" i="25"/>
  <c r="C1419" i="25" s="1"/>
  <c r="E1418" i="25"/>
  <c r="A1425" i="25"/>
  <c r="B1425" i="25" s="1"/>
  <c r="F1419" i="39" l="1"/>
  <c r="E1419" i="39"/>
  <c r="D1420" i="39" s="1"/>
  <c r="C1423" i="39"/>
  <c r="A1424" i="39"/>
  <c r="B1424" i="39" s="1"/>
  <c r="B1426" i="30"/>
  <c r="A1427" i="30"/>
  <c r="D1424" i="30"/>
  <c r="C1425" i="30" s="1"/>
  <c r="E1424" i="30"/>
  <c r="E1419" i="25"/>
  <c r="D1419" i="25"/>
  <c r="C1420" i="25" s="1"/>
  <c r="A1426" i="25"/>
  <c r="B1426" i="25" s="1"/>
  <c r="E1420" i="39" l="1"/>
  <c r="D1421" i="39" s="1"/>
  <c r="F1420" i="39"/>
  <c r="C1424" i="39"/>
  <c r="A1425" i="39"/>
  <c r="B1425" i="39" s="1"/>
  <c r="B1427" i="30"/>
  <c r="A1428" i="30"/>
  <c r="D1425" i="30"/>
  <c r="C1426" i="30" s="1"/>
  <c r="E1425" i="30"/>
  <c r="E1420" i="25"/>
  <c r="D1420" i="25"/>
  <c r="C1421" i="25" s="1"/>
  <c r="A1427" i="25"/>
  <c r="B1427" i="25" s="1"/>
  <c r="F1421" i="39" l="1"/>
  <c r="E1421" i="39"/>
  <c r="D1422" i="39" s="1"/>
  <c r="C1425" i="39"/>
  <c r="A1426" i="39"/>
  <c r="B1426" i="39" s="1"/>
  <c r="B1428" i="30"/>
  <c r="A1429" i="30"/>
  <c r="D1426" i="30"/>
  <c r="C1427" i="30" s="1"/>
  <c r="E1426" i="30"/>
  <c r="D1421" i="25"/>
  <c r="C1422" i="25" s="1"/>
  <c r="E1421" i="25"/>
  <c r="A1428" i="25"/>
  <c r="B1428" i="25" s="1"/>
  <c r="E1422" i="39" l="1"/>
  <c r="D1423" i="39" s="1"/>
  <c r="F1422" i="39"/>
  <c r="C1426" i="39"/>
  <c r="A1427" i="39"/>
  <c r="B1427" i="39" s="1"/>
  <c r="B1429" i="30"/>
  <c r="A1430" i="30"/>
  <c r="D1427" i="30"/>
  <c r="C1428" i="30" s="1"/>
  <c r="E1427" i="30"/>
  <c r="E1422" i="25"/>
  <c r="D1422" i="25"/>
  <c r="C1423" i="25" s="1"/>
  <c r="A1429" i="25"/>
  <c r="B1429" i="25" s="1"/>
  <c r="F1423" i="39" l="1"/>
  <c r="E1423" i="39"/>
  <c r="D1424" i="39" s="1"/>
  <c r="C1427" i="39"/>
  <c r="A1428" i="39"/>
  <c r="B1428" i="39" s="1"/>
  <c r="B1430" i="30"/>
  <c r="A1431" i="30"/>
  <c r="D1428" i="30"/>
  <c r="C1429" i="30" s="1"/>
  <c r="E1428" i="30"/>
  <c r="D1423" i="25"/>
  <c r="C1424" i="25" s="1"/>
  <c r="E1423" i="25"/>
  <c r="A1430" i="25"/>
  <c r="B1430" i="25" s="1"/>
  <c r="F1424" i="39" l="1"/>
  <c r="E1424" i="39"/>
  <c r="D1425" i="39" s="1"/>
  <c r="C1428" i="39"/>
  <c r="A1429" i="39"/>
  <c r="B1429" i="39" s="1"/>
  <c r="B1431" i="30"/>
  <c r="A1432" i="30"/>
  <c r="D1429" i="30"/>
  <c r="C1430" i="30" s="1"/>
  <c r="E1429" i="30"/>
  <c r="D1424" i="25"/>
  <c r="C1425" i="25" s="1"/>
  <c r="E1424" i="25"/>
  <c r="A1431" i="25"/>
  <c r="B1431" i="25" s="1"/>
  <c r="E1425" i="39" l="1"/>
  <c r="D1426" i="39" s="1"/>
  <c r="F1425" i="39"/>
  <c r="C1429" i="39"/>
  <c r="A1430" i="39"/>
  <c r="B1430" i="39" s="1"/>
  <c r="B1432" i="30"/>
  <c r="A1433" i="30"/>
  <c r="D1430" i="30"/>
  <c r="C1431" i="30" s="1"/>
  <c r="E1430" i="30"/>
  <c r="D1425" i="25"/>
  <c r="C1426" i="25" s="1"/>
  <c r="E1425" i="25"/>
  <c r="A1432" i="25"/>
  <c r="B1432" i="25" s="1"/>
  <c r="F1426" i="39" l="1"/>
  <c r="E1426" i="39"/>
  <c r="D1427" i="39" s="1"/>
  <c r="C1430" i="39"/>
  <c r="A1431" i="39"/>
  <c r="B1431" i="39" s="1"/>
  <c r="B1433" i="30"/>
  <c r="A1434" i="30"/>
  <c r="D1431" i="30"/>
  <c r="C1432" i="30" s="1"/>
  <c r="E1431" i="30"/>
  <c r="D1426" i="25"/>
  <c r="C1427" i="25" s="1"/>
  <c r="E1426" i="25"/>
  <c r="A1433" i="25"/>
  <c r="B1433" i="25" s="1"/>
  <c r="F1427" i="39" l="1"/>
  <c r="E1427" i="39"/>
  <c r="D1428" i="39" s="1"/>
  <c r="C1431" i="39"/>
  <c r="A1432" i="39"/>
  <c r="B1432" i="39" s="1"/>
  <c r="B1434" i="30"/>
  <c r="A1435" i="30"/>
  <c r="D1432" i="30"/>
  <c r="C1433" i="30" s="1"/>
  <c r="E1432" i="30"/>
  <c r="D1427" i="25"/>
  <c r="C1428" i="25" s="1"/>
  <c r="E1427" i="25"/>
  <c r="A1434" i="25"/>
  <c r="B1434" i="25" s="1"/>
  <c r="E1428" i="39" l="1"/>
  <c r="D1429" i="39" s="1"/>
  <c r="F1428" i="39"/>
  <c r="C1432" i="39"/>
  <c r="A1433" i="39"/>
  <c r="B1433" i="39" s="1"/>
  <c r="B1435" i="30"/>
  <c r="A1436" i="30"/>
  <c r="D1433" i="30"/>
  <c r="C1434" i="30" s="1"/>
  <c r="E1433" i="30"/>
  <c r="D1428" i="25"/>
  <c r="C1429" i="25" s="1"/>
  <c r="E1428" i="25"/>
  <c r="A1435" i="25"/>
  <c r="B1435" i="25" s="1"/>
  <c r="F1429" i="39" l="1"/>
  <c r="E1429" i="39"/>
  <c r="D1430" i="39" s="1"/>
  <c r="C1433" i="39"/>
  <c r="A1434" i="39"/>
  <c r="B1434" i="39" s="1"/>
  <c r="B1436" i="30"/>
  <c r="A1437" i="30"/>
  <c r="D1434" i="30"/>
  <c r="C1435" i="30" s="1"/>
  <c r="E1434" i="30"/>
  <c r="D1429" i="25"/>
  <c r="C1430" i="25" s="1"/>
  <c r="E1429" i="25"/>
  <c r="A1436" i="25"/>
  <c r="B1436" i="25" s="1"/>
  <c r="F1430" i="39" l="1"/>
  <c r="E1430" i="39"/>
  <c r="D1431" i="39" s="1"/>
  <c r="C1434" i="39"/>
  <c r="A1435" i="39"/>
  <c r="B1435" i="39" s="1"/>
  <c r="B1437" i="30"/>
  <c r="A1438" i="30"/>
  <c r="D1435" i="30"/>
  <c r="C1436" i="30" s="1"/>
  <c r="E1435" i="30"/>
  <c r="D1430" i="25"/>
  <c r="C1431" i="25" s="1"/>
  <c r="E1430" i="25"/>
  <c r="A1437" i="25"/>
  <c r="B1437" i="25" s="1"/>
  <c r="F1431" i="39" l="1"/>
  <c r="E1431" i="39"/>
  <c r="D1432" i="39" s="1"/>
  <c r="C1435" i="39"/>
  <c r="A1436" i="39"/>
  <c r="B1436" i="39" s="1"/>
  <c r="B1438" i="30"/>
  <c r="A1439" i="30"/>
  <c r="D1436" i="30"/>
  <c r="C1437" i="30" s="1"/>
  <c r="E1436" i="30"/>
  <c r="D1431" i="25"/>
  <c r="C1432" i="25" s="1"/>
  <c r="E1431" i="25"/>
  <c r="A1438" i="25"/>
  <c r="B1438" i="25" s="1"/>
  <c r="E1432" i="39" l="1"/>
  <c r="D1433" i="39" s="1"/>
  <c r="F1432" i="39"/>
  <c r="C1436" i="39"/>
  <c r="A1437" i="39"/>
  <c r="B1437" i="39" s="1"/>
  <c r="B1439" i="30"/>
  <c r="A1440" i="30"/>
  <c r="D1437" i="30"/>
  <c r="C1438" i="30" s="1"/>
  <c r="E1437" i="30"/>
  <c r="D1432" i="25"/>
  <c r="C1433" i="25" s="1"/>
  <c r="E1432" i="25"/>
  <c r="A1439" i="25"/>
  <c r="B1439" i="25" s="1"/>
  <c r="F1433" i="39" l="1"/>
  <c r="E1433" i="39"/>
  <c r="D1434" i="39" s="1"/>
  <c r="C1437" i="39"/>
  <c r="A1438" i="39"/>
  <c r="B1438" i="39" s="1"/>
  <c r="B1440" i="30"/>
  <c r="A1441" i="30"/>
  <c r="D1438" i="30"/>
  <c r="C1439" i="30" s="1"/>
  <c r="E1438" i="30"/>
  <c r="D1433" i="25"/>
  <c r="C1434" i="25" s="1"/>
  <c r="E1433" i="25"/>
  <c r="A1440" i="25"/>
  <c r="B1440" i="25" s="1"/>
  <c r="E1434" i="39" l="1"/>
  <c r="D1435" i="39" s="1"/>
  <c r="F1434" i="39"/>
  <c r="C1438" i="39"/>
  <c r="A1439" i="39"/>
  <c r="B1439" i="39" s="1"/>
  <c r="B1441" i="30"/>
  <c r="A1442" i="30"/>
  <c r="D1439" i="30"/>
  <c r="C1440" i="30" s="1"/>
  <c r="E1439" i="30"/>
  <c r="D1434" i="25"/>
  <c r="C1435" i="25" s="1"/>
  <c r="E1434" i="25"/>
  <c r="A1441" i="25"/>
  <c r="B1441" i="25" s="1"/>
  <c r="E1435" i="39" l="1"/>
  <c r="D1436" i="39" s="1"/>
  <c r="F1435" i="39"/>
  <c r="C1439" i="39"/>
  <c r="A1440" i="39"/>
  <c r="B1440" i="39" s="1"/>
  <c r="B1442" i="30"/>
  <c r="A1443" i="30"/>
  <c r="D1440" i="30"/>
  <c r="C1441" i="30" s="1"/>
  <c r="E1440" i="30"/>
  <c r="D1435" i="25"/>
  <c r="C1436" i="25" s="1"/>
  <c r="E1435" i="25"/>
  <c r="A1442" i="25"/>
  <c r="B1442" i="25" s="1"/>
  <c r="E1436" i="39" l="1"/>
  <c r="D1437" i="39" s="1"/>
  <c r="F1436" i="39"/>
  <c r="C1440" i="39"/>
  <c r="A1441" i="39"/>
  <c r="B1441" i="39" s="1"/>
  <c r="B1443" i="30"/>
  <c r="A1444" i="30"/>
  <c r="D1441" i="30"/>
  <c r="C1442" i="30" s="1"/>
  <c r="E1441" i="30"/>
  <c r="D1436" i="25"/>
  <c r="C1437" i="25" s="1"/>
  <c r="E1436" i="25"/>
  <c r="A1443" i="25"/>
  <c r="B1443" i="25" s="1"/>
  <c r="E1437" i="39" l="1"/>
  <c r="D1438" i="39" s="1"/>
  <c r="F1437" i="39"/>
  <c r="C1441" i="39"/>
  <c r="A1442" i="39"/>
  <c r="B1442" i="39" s="1"/>
  <c r="B1444" i="30"/>
  <c r="A1445" i="30"/>
  <c r="D1442" i="30"/>
  <c r="C1443" i="30" s="1"/>
  <c r="E1442" i="30"/>
  <c r="D1437" i="25"/>
  <c r="C1438" i="25" s="1"/>
  <c r="E1437" i="25"/>
  <c r="A1444" i="25"/>
  <c r="B1444" i="25" s="1"/>
  <c r="E1438" i="39" l="1"/>
  <c r="D1439" i="39" s="1"/>
  <c r="F1438" i="39"/>
  <c r="C1442" i="39"/>
  <c r="A1443" i="39"/>
  <c r="B1443" i="39" s="1"/>
  <c r="B1445" i="30"/>
  <c r="A1446" i="30"/>
  <c r="D1443" i="30"/>
  <c r="C1444" i="30" s="1"/>
  <c r="E1443" i="30"/>
  <c r="D1438" i="25"/>
  <c r="C1439" i="25" s="1"/>
  <c r="E1438" i="25"/>
  <c r="A1445" i="25"/>
  <c r="B1445" i="25" s="1"/>
  <c r="F1439" i="39" l="1"/>
  <c r="E1439" i="39"/>
  <c r="D1440" i="39" s="1"/>
  <c r="C1443" i="39"/>
  <c r="A1444" i="39"/>
  <c r="B1444" i="39" s="1"/>
  <c r="B1446" i="30"/>
  <c r="A1447" i="30"/>
  <c r="D1444" i="30"/>
  <c r="C1445" i="30" s="1"/>
  <c r="E1444" i="30"/>
  <c r="D1439" i="25"/>
  <c r="C1440" i="25" s="1"/>
  <c r="E1439" i="25"/>
  <c r="A1446" i="25"/>
  <c r="B1446" i="25" s="1"/>
  <c r="E1440" i="39" l="1"/>
  <c r="D1441" i="39" s="1"/>
  <c r="F1440" i="39"/>
  <c r="C1444" i="39"/>
  <c r="A1445" i="39"/>
  <c r="B1445" i="39" s="1"/>
  <c r="B1447" i="30"/>
  <c r="A1448" i="30"/>
  <c r="D1445" i="30"/>
  <c r="C1446" i="30" s="1"/>
  <c r="E1445" i="30"/>
  <c r="D1440" i="25"/>
  <c r="C1441" i="25" s="1"/>
  <c r="E1440" i="25"/>
  <c r="A1447" i="25"/>
  <c r="B1447" i="25" s="1"/>
  <c r="F1441" i="39" l="1"/>
  <c r="E1441" i="39"/>
  <c r="D1442" i="39" s="1"/>
  <c r="C1445" i="39"/>
  <c r="A1446" i="39"/>
  <c r="B1446" i="39" s="1"/>
  <c r="B1448" i="30"/>
  <c r="A1449" i="30"/>
  <c r="D1446" i="30"/>
  <c r="C1447" i="30" s="1"/>
  <c r="E1446" i="30"/>
  <c r="D1441" i="25"/>
  <c r="C1442" i="25" s="1"/>
  <c r="E1441" i="25"/>
  <c r="A1448" i="25"/>
  <c r="B1448" i="25" s="1"/>
  <c r="E1442" i="39" l="1"/>
  <c r="D1443" i="39" s="1"/>
  <c r="F1442" i="39"/>
  <c r="C1446" i="39"/>
  <c r="A1447" i="39"/>
  <c r="B1447" i="39" s="1"/>
  <c r="B1449" i="30"/>
  <c r="A1450" i="30"/>
  <c r="D1447" i="30"/>
  <c r="C1448" i="30" s="1"/>
  <c r="E1447" i="30"/>
  <c r="D1442" i="25"/>
  <c r="C1443" i="25" s="1"/>
  <c r="E1442" i="25"/>
  <c r="A1449" i="25"/>
  <c r="B1449" i="25" s="1"/>
  <c r="E1443" i="39" l="1"/>
  <c r="D1444" i="39" s="1"/>
  <c r="F1443" i="39"/>
  <c r="C1447" i="39"/>
  <c r="A1448" i="39"/>
  <c r="B1448" i="39" s="1"/>
  <c r="B1450" i="30"/>
  <c r="A1451" i="30"/>
  <c r="D1448" i="30"/>
  <c r="C1449" i="30" s="1"/>
  <c r="E1448" i="30"/>
  <c r="D1443" i="25"/>
  <c r="C1444" i="25" s="1"/>
  <c r="E1443" i="25"/>
  <c r="A1450" i="25"/>
  <c r="B1450" i="25" s="1"/>
  <c r="F1444" i="39" l="1"/>
  <c r="E1444" i="39"/>
  <c r="D1445" i="39" s="1"/>
  <c r="C1448" i="39"/>
  <c r="A1449" i="39"/>
  <c r="B1449" i="39" s="1"/>
  <c r="B1451" i="30"/>
  <c r="A1452" i="30"/>
  <c r="D1449" i="30"/>
  <c r="C1450" i="30" s="1"/>
  <c r="E1449" i="30"/>
  <c r="D1444" i="25"/>
  <c r="C1445" i="25" s="1"/>
  <c r="E1444" i="25"/>
  <c r="A1451" i="25"/>
  <c r="B1451" i="25" s="1"/>
  <c r="F1445" i="39" l="1"/>
  <c r="E1445" i="39"/>
  <c r="D1446" i="39" s="1"/>
  <c r="C1449" i="39"/>
  <c r="A1450" i="39"/>
  <c r="B1450" i="39" s="1"/>
  <c r="B1452" i="30"/>
  <c r="A1453" i="30"/>
  <c r="D1450" i="30"/>
  <c r="C1451" i="30" s="1"/>
  <c r="E1450" i="30"/>
  <c r="D1445" i="25"/>
  <c r="C1446" i="25" s="1"/>
  <c r="E1445" i="25"/>
  <c r="A1452" i="25"/>
  <c r="B1452" i="25" s="1"/>
  <c r="E1446" i="39" l="1"/>
  <c r="D1447" i="39" s="1"/>
  <c r="F1446" i="39"/>
  <c r="C1450" i="39"/>
  <c r="A1451" i="39"/>
  <c r="B1451" i="39" s="1"/>
  <c r="B1453" i="30"/>
  <c r="A1454" i="30"/>
  <c r="D1451" i="30"/>
  <c r="C1452" i="30" s="1"/>
  <c r="E1451" i="30"/>
  <c r="D1446" i="25"/>
  <c r="C1447" i="25" s="1"/>
  <c r="E1446" i="25"/>
  <c r="A1453" i="25"/>
  <c r="B1453" i="25" s="1"/>
  <c r="F1447" i="39" l="1"/>
  <c r="E1447" i="39"/>
  <c r="D1448" i="39" s="1"/>
  <c r="C1451" i="39"/>
  <c r="A1452" i="39"/>
  <c r="B1452" i="39" s="1"/>
  <c r="B1454" i="30"/>
  <c r="A1455" i="30"/>
  <c r="D1452" i="30"/>
  <c r="C1453" i="30" s="1"/>
  <c r="E1452" i="30"/>
  <c r="D1447" i="25"/>
  <c r="C1448" i="25" s="1"/>
  <c r="E1447" i="25"/>
  <c r="A1454" i="25"/>
  <c r="B1454" i="25" s="1"/>
  <c r="E1448" i="39" l="1"/>
  <c r="D1449" i="39" s="1"/>
  <c r="F1448" i="39"/>
  <c r="C1452" i="39"/>
  <c r="A1453" i="39"/>
  <c r="B1453" i="39" s="1"/>
  <c r="B1455" i="30"/>
  <c r="A1456" i="30"/>
  <c r="D1453" i="30"/>
  <c r="C1454" i="30" s="1"/>
  <c r="E1453" i="30"/>
  <c r="E1448" i="25"/>
  <c r="D1448" i="25"/>
  <c r="C1449" i="25" s="1"/>
  <c r="A1455" i="25"/>
  <c r="B1455" i="25" s="1"/>
  <c r="F1449" i="39" l="1"/>
  <c r="E1449" i="39"/>
  <c r="D1450" i="39" s="1"/>
  <c r="C1453" i="39"/>
  <c r="A1454" i="39"/>
  <c r="B1454" i="39" s="1"/>
  <c r="B1456" i="30"/>
  <c r="A1457" i="30"/>
  <c r="D1454" i="30"/>
  <c r="C1455" i="30" s="1"/>
  <c r="E1454" i="30"/>
  <c r="E1449" i="25"/>
  <c r="D1449" i="25"/>
  <c r="C1450" i="25" s="1"/>
  <c r="A1456" i="25"/>
  <c r="B1456" i="25" s="1"/>
  <c r="F1450" i="39" l="1"/>
  <c r="E1450" i="39"/>
  <c r="D1451" i="39" s="1"/>
  <c r="C1454" i="39"/>
  <c r="A1455" i="39"/>
  <c r="B1455" i="39" s="1"/>
  <c r="B1457" i="30"/>
  <c r="A1458" i="30"/>
  <c r="D1455" i="30"/>
  <c r="C1456" i="30" s="1"/>
  <c r="E1455" i="30"/>
  <c r="D1450" i="25"/>
  <c r="C1451" i="25" s="1"/>
  <c r="E1450" i="25"/>
  <c r="A1457" i="25"/>
  <c r="B1457" i="25" s="1"/>
  <c r="E1451" i="39" l="1"/>
  <c r="D1452" i="39" s="1"/>
  <c r="F1451" i="39"/>
  <c r="C1455" i="39"/>
  <c r="A1456" i="39"/>
  <c r="B1456" i="39" s="1"/>
  <c r="B1458" i="30"/>
  <c r="A1459" i="30"/>
  <c r="D1456" i="30"/>
  <c r="C1457" i="30" s="1"/>
  <c r="E1456" i="30"/>
  <c r="D1451" i="25"/>
  <c r="C1452" i="25" s="1"/>
  <c r="E1451" i="25"/>
  <c r="A1458" i="25"/>
  <c r="B1458" i="25" s="1"/>
  <c r="E1452" i="39" l="1"/>
  <c r="D1453" i="39" s="1"/>
  <c r="F1452" i="39"/>
  <c r="C1456" i="39"/>
  <c r="A1457" i="39"/>
  <c r="B1457" i="39" s="1"/>
  <c r="B1459" i="30"/>
  <c r="A1460" i="30"/>
  <c r="D1457" i="30"/>
  <c r="C1458" i="30" s="1"/>
  <c r="E1457" i="30"/>
  <c r="D1452" i="25"/>
  <c r="C1453" i="25" s="1"/>
  <c r="E1452" i="25"/>
  <c r="A1459" i="25"/>
  <c r="B1459" i="25" s="1"/>
  <c r="E1453" i="39" l="1"/>
  <c r="D1454" i="39" s="1"/>
  <c r="F1453" i="39"/>
  <c r="C1457" i="39"/>
  <c r="A1458" i="39"/>
  <c r="B1458" i="39" s="1"/>
  <c r="B1460" i="30"/>
  <c r="A1461" i="30"/>
  <c r="D1458" i="30"/>
  <c r="C1459" i="30" s="1"/>
  <c r="E1458" i="30"/>
  <c r="D1453" i="25"/>
  <c r="C1454" i="25" s="1"/>
  <c r="E1453" i="25"/>
  <c r="A1460" i="25"/>
  <c r="B1460" i="25" s="1"/>
  <c r="E1454" i="39" l="1"/>
  <c r="D1455" i="39" s="1"/>
  <c r="F1454" i="39"/>
  <c r="C1458" i="39"/>
  <c r="A1459" i="39"/>
  <c r="B1459" i="39" s="1"/>
  <c r="B1461" i="30"/>
  <c r="A1462" i="30"/>
  <c r="D1459" i="30"/>
  <c r="C1460" i="30" s="1"/>
  <c r="E1459" i="30"/>
  <c r="E1454" i="25"/>
  <c r="D1454" i="25"/>
  <c r="C1455" i="25" s="1"/>
  <c r="A1461" i="25"/>
  <c r="B1461" i="25" s="1"/>
  <c r="E1455" i="39" l="1"/>
  <c r="D1456" i="39" s="1"/>
  <c r="F1455" i="39"/>
  <c r="C1459" i="39"/>
  <c r="A1460" i="39"/>
  <c r="B1460" i="39" s="1"/>
  <c r="B1462" i="30"/>
  <c r="A1463" i="30"/>
  <c r="D1460" i="30"/>
  <c r="C1461" i="30" s="1"/>
  <c r="E1460" i="30"/>
  <c r="E1455" i="25"/>
  <c r="D1455" i="25"/>
  <c r="C1456" i="25" s="1"/>
  <c r="A1462" i="25"/>
  <c r="B1462" i="25" s="1"/>
  <c r="F1456" i="39" l="1"/>
  <c r="E1456" i="39"/>
  <c r="D1457" i="39" s="1"/>
  <c r="C1460" i="39"/>
  <c r="A1461" i="39"/>
  <c r="B1461" i="39" s="1"/>
  <c r="B1463" i="30"/>
  <c r="A1464" i="30"/>
  <c r="D1461" i="30"/>
  <c r="C1462" i="30" s="1"/>
  <c r="E1461" i="30"/>
  <c r="D1456" i="25"/>
  <c r="C1457" i="25" s="1"/>
  <c r="E1456" i="25"/>
  <c r="A1463" i="25"/>
  <c r="B1463" i="25" s="1"/>
  <c r="F1457" i="39" l="1"/>
  <c r="E1457" i="39"/>
  <c r="D1458" i="39" s="1"/>
  <c r="C1461" i="39"/>
  <c r="A1462" i="39"/>
  <c r="B1462" i="39" s="1"/>
  <c r="B1464" i="30"/>
  <c r="A1465" i="30"/>
  <c r="D1462" i="30"/>
  <c r="C1463" i="30" s="1"/>
  <c r="E1462" i="30"/>
  <c r="D1457" i="25"/>
  <c r="C1458" i="25" s="1"/>
  <c r="E1457" i="25"/>
  <c r="A1464" i="25"/>
  <c r="B1464" i="25" s="1"/>
  <c r="F1458" i="39" l="1"/>
  <c r="E1458" i="39"/>
  <c r="D1459" i="39" s="1"/>
  <c r="C1462" i="39"/>
  <c r="A1463" i="39"/>
  <c r="B1463" i="39" s="1"/>
  <c r="B1465" i="30"/>
  <c r="A1466" i="30"/>
  <c r="D1463" i="30"/>
  <c r="C1464" i="30" s="1"/>
  <c r="E1463" i="30"/>
  <c r="E1458" i="25"/>
  <c r="D1458" i="25"/>
  <c r="C1459" i="25" s="1"/>
  <c r="A1465" i="25"/>
  <c r="B1465" i="25" s="1"/>
  <c r="F1459" i="39" l="1"/>
  <c r="E1459" i="39"/>
  <c r="D1460" i="39" s="1"/>
  <c r="C1463" i="39"/>
  <c r="A1464" i="39"/>
  <c r="B1464" i="39" s="1"/>
  <c r="B1466" i="30"/>
  <c r="A1467" i="30"/>
  <c r="D1464" i="30"/>
  <c r="C1465" i="30" s="1"/>
  <c r="E1464" i="30"/>
  <c r="D1459" i="25"/>
  <c r="C1460" i="25" s="1"/>
  <c r="E1459" i="25"/>
  <c r="A1466" i="25"/>
  <c r="B1466" i="25" s="1"/>
  <c r="F1460" i="39" l="1"/>
  <c r="E1460" i="39"/>
  <c r="D1461" i="39" s="1"/>
  <c r="C1464" i="39"/>
  <c r="A1465" i="39"/>
  <c r="B1465" i="39" s="1"/>
  <c r="B1467" i="30"/>
  <c r="A1468" i="30"/>
  <c r="D1465" i="30"/>
  <c r="C1466" i="30" s="1"/>
  <c r="E1465" i="30"/>
  <c r="E1460" i="25"/>
  <c r="D1460" i="25"/>
  <c r="C1461" i="25" s="1"/>
  <c r="A1467" i="25"/>
  <c r="B1467" i="25" s="1"/>
  <c r="F1461" i="39" l="1"/>
  <c r="E1461" i="39"/>
  <c r="D1462" i="39" s="1"/>
  <c r="C1465" i="39"/>
  <c r="A1466" i="39"/>
  <c r="B1466" i="39" s="1"/>
  <c r="B1468" i="30"/>
  <c r="A1469" i="30"/>
  <c r="D1466" i="30"/>
  <c r="C1467" i="30" s="1"/>
  <c r="E1466" i="30"/>
  <c r="D1461" i="25"/>
  <c r="C1462" i="25" s="1"/>
  <c r="E1461" i="25"/>
  <c r="A1468" i="25"/>
  <c r="B1468" i="25" s="1"/>
  <c r="E1462" i="39" l="1"/>
  <c r="D1463" i="39" s="1"/>
  <c r="F1462" i="39"/>
  <c r="C1466" i="39"/>
  <c r="A1467" i="39"/>
  <c r="B1467" i="39" s="1"/>
  <c r="B1469" i="30"/>
  <c r="A1470" i="30"/>
  <c r="D1467" i="30"/>
  <c r="C1468" i="30" s="1"/>
  <c r="E1467" i="30"/>
  <c r="D1462" i="25"/>
  <c r="C1463" i="25" s="1"/>
  <c r="E1462" i="25"/>
  <c r="A1469" i="25"/>
  <c r="B1469" i="25" s="1"/>
  <c r="F1463" i="39" l="1"/>
  <c r="E1463" i="39"/>
  <c r="D1464" i="39" s="1"/>
  <c r="C1467" i="39"/>
  <c r="A1468" i="39"/>
  <c r="B1468" i="39" s="1"/>
  <c r="B1470" i="30"/>
  <c r="A1471" i="30"/>
  <c r="D1468" i="30"/>
  <c r="C1469" i="30" s="1"/>
  <c r="E1468" i="30"/>
  <c r="E1463" i="25"/>
  <c r="D1463" i="25"/>
  <c r="C1464" i="25" s="1"/>
  <c r="A1470" i="25"/>
  <c r="B1470" i="25" s="1"/>
  <c r="F1464" i="39" l="1"/>
  <c r="E1464" i="39"/>
  <c r="D1465" i="39" s="1"/>
  <c r="C1468" i="39"/>
  <c r="A1469" i="39"/>
  <c r="B1469" i="39" s="1"/>
  <c r="B1471" i="30"/>
  <c r="A1472" i="30"/>
  <c r="D1469" i="30"/>
  <c r="C1470" i="30" s="1"/>
  <c r="E1469" i="30"/>
  <c r="E1464" i="25"/>
  <c r="D1464" i="25"/>
  <c r="C1465" i="25" s="1"/>
  <c r="A1471" i="25"/>
  <c r="B1471" i="25" s="1"/>
  <c r="E1465" i="39" l="1"/>
  <c r="D1466" i="39" s="1"/>
  <c r="F1465" i="39"/>
  <c r="C1469" i="39"/>
  <c r="A1470" i="39"/>
  <c r="B1470" i="39" s="1"/>
  <c r="B1472" i="30"/>
  <c r="A1473" i="30"/>
  <c r="D1470" i="30"/>
  <c r="C1471" i="30" s="1"/>
  <c r="E1470" i="30"/>
  <c r="D1465" i="25"/>
  <c r="C1466" i="25" s="1"/>
  <c r="E1465" i="25"/>
  <c r="A1472" i="25"/>
  <c r="B1472" i="25" s="1"/>
  <c r="F1466" i="39" l="1"/>
  <c r="E1466" i="39"/>
  <c r="D1467" i="39" s="1"/>
  <c r="C1470" i="39"/>
  <c r="A1471" i="39"/>
  <c r="B1471" i="39" s="1"/>
  <c r="B1473" i="30"/>
  <c r="A1474" i="30"/>
  <c r="D1471" i="30"/>
  <c r="C1472" i="30" s="1"/>
  <c r="E1471" i="30"/>
  <c r="D1466" i="25"/>
  <c r="C1467" i="25" s="1"/>
  <c r="E1466" i="25"/>
  <c r="A1473" i="25"/>
  <c r="B1473" i="25" s="1"/>
  <c r="E1467" i="39" l="1"/>
  <c r="D1468" i="39" s="1"/>
  <c r="F1467" i="39"/>
  <c r="C1471" i="39"/>
  <c r="A1472" i="39"/>
  <c r="B1472" i="39" s="1"/>
  <c r="B1474" i="30"/>
  <c r="A1475" i="30"/>
  <c r="D1472" i="30"/>
  <c r="C1473" i="30" s="1"/>
  <c r="E1472" i="30"/>
  <c r="D1467" i="25"/>
  <c r="C1468" i="25" s="1"/>
  <c r="E1467" i="25"/>
  <c r="A1474" i="25"/>
  <c r="B1474" i="25" s="1"/>
  <c r="E1468" i="39" l="1"/>
  <c r="D1469" i="39" s="1"/>
  <c r="F1468" i="39"/>
  <c r="C1472" i="39"/>
  <c r="A1473" i="39"/>
  <c r="B1473" i="39" s="1"/>
  <c r="B1475" i="30"/>
  <c r="A1476" i="30"/>
  <c r="D1473" i="30"/>
  <c r="C1474" i="30" s="1"/>
  <c r="E1473" i="30"/>
  <c r="D1468" i="25"/>
  <c r="C1469" i="25" s="1"/>
  <c r="E1468" i="25"/>
  <c r="A1475" i="25"/>
  <c r="B1475" i="25" s="1"/>
  <c r="E1469" i="39" l="1"/>
  <c r="D1470" i="39" s="1"/>
  <c r="F1469" i="39"/>
  <c r="C1473" i="39"/>
  <c r="A1474" i="39"/>
  <c r="B1474" i="39" s="1"/>
  <c r="B1476" i="30"/>
  <c r="A1477" i="30"/>
  <c r="D1474" i="30"/>
  <c r="C1475" i="30" s="1"/>
  <c r="E1474" i="30"/>
  <c r="D1469" i="25"/>
  <c r="C1470" i="25" s="1"/>
  <c r="E1469" i="25"/>
  <c r="A1476" i="25"/>
  <c r="B1476" i="25" s="1"/>
  <c r="E1470" i="39" l="1"/>
  <c r="D1471" i="39" s="1"/>
  <c r="F1470" i="39"/>
  <c r="C1474" i="39"/>
  <c r="A1475" i="39"/>
  <c r="B1475" i="39" s="1"/>
  <c r="B1477" i="30"/>
  <c r="A1478" i="30"/>
  <c r="D1475" i="30"/>
  <c r="C1476" i="30" s="1"/>
  <c r="E1475" i="30"/>
  <c r="D1470" i="25"/>
  <c r="C1471" i="25" s="1"/>
  <c r="E1470" i="25"/>
  <c r="A1477" i="25"/>
  <c r="B1477" i="25" s="1"/>
  <c r="E1471" i="39" l="1"/>
  <c r="D1472" i="39" s="1"/>
  <c r="F1471" i="39"/>
  <c r="C1475" i="39"/>
  <c r="A1476" i="39"/>
  <c r="B1476" i="39" s="1"/>
  <c r="B1478" i="30"/>
  <c r="A1479" i="30"/>
  <c r="D1476" i="30"/>
  <c r="C1477" i="30" s="1"/>
  <c r="E1476" i="30"/>
  <c r="E1471" i="25"/>
  <c r="D1471" i="25"/>
  <c r="C1472" i="25" s="1"/>
  <c r="A1478" i="25"/>
  <c r="B1478" i="25" s="1"/>
  <c r="F1472" i="39" l="1"/>
  <c r="E1472" i="39"/>
  <c r="D1473" i="39" s="1"/>
  <c r="C1476" i="39"/>
  <c r="A1477" i="39"/>
  <c r="B1477" i="39" s="1"/>
  <c r="B1479" i="30"/>
  <c r="A1480" i="30"/>
  <c r="D1477" i="30"/>
  <c r="C1478" i="30" s="1"/>
  <c r="E1477" i="30"/>
  <c r="D1472" i="25"/>
  <c r="C1473" i="25" s="1"/>
  <c r="E1472" i="25"/>
  <c r="A1479" i="25"/>
  <c r="B1479" i="25" s="1"/>
  <c r="F1473" i="39" l="1"/>
  <c r="E1473" i="39"/>
  <c r="D1474" i="39" s="1"/>
  <c r="C1477" i="39"/>
  <c r="A1478" i="39"/>
  <c r="B1478" i="39" s="1"/>
  <c r="B1480" i="30"/>
  <c r="A1481" i="30"/>
  <c r="D1478" i="30"/>
  <c r="C1479" i="30" s="1"/>
  <c r="E1478" i="30"/>
  <c r="D1473" i="25"/>
  <c r="C1474" i="25" s="1"/>
  <c r="E1473" i="25"/>
  <c r="A1480" i="25"/>
  <c r="B1480" i="25" s="1"/>
  <c r="E1474" i="39" l="1"/>
  <c r="D1475" i="39" s="1"/>
  <c r="F1474" i="39"/>
  <c r="C1478" i="39"/>
  <c r="A1479" i="39"/>
  <c r="B1479" i="39" s="1"/>
  <c r="B1481" i="30"/>
  <c r="A1482" i="30"/>
  <c r="D1479" i="30"/>
  <c r="C1480" i="30" s="1"/>
  <c r="E1479" i="30"/>
  <c r="D1474" i="25"/>
  <c r="C1475" i="25" s="1"/>
  <c r="E1474" i="25"/>
  <c r="A1481" i="25"/>
  <c r="B1481" i="25" s="1"/>
  <c r="E1475" i="39" l="1"/>
  <c r="D1476" i="39" s="1"/>
  <c r="F1475" i="39"/>
  <c r="C1479" i="39"/>
  <c r="A1480" i="39"/>
  <c r="B1480" i="39" s="1"/>
  <c r="B1482" i="30"/>
  <c r="A1483" i="30"/>
  <c r="D1480" i="30"/>
  <c r="C1481" i="30" s="1"/>
  <c r="E1480" i="30"/>
  <c r="D1475" i="25"/>
  <c r="C1476" i="25" s="1"/>
  <c r="E1475" i="25"/>
  <c r="A1482" i="25"/>
  <c r="B1482" i="25" s="1"/>
  <c r="F1476" i="39" l="1"/>
  <c r="E1476" i="39"/>
  <c r="D1477" i="39" s="1"/>
  <c r="C1480" i="39"/>
  <c r="A1481" i="39"/>
  <c r="B1481" i="39" s="1"/>
  <c r="B1483" i="30"/>
  <c r="A1484" i="30"/>
  <c r="D1481" i="30"/>
  <c r="C1482" i="30" s="1"/>
  <c r="E1481" i="30"/>
  <c r="D1476" i="25"/>
  <c r="C1477" i="25" s="1"/>
  <c r="E1476" i="25"/>
  <c r="A1483" i="25"/>
  <c r="B1483" i="25" s="1"/>
  <c r="E1477" i="39" l="1"/>
  <c r="D1478" i="39" s="1"/>
  <c r="F1477" i="39"/>
  <c r="C1481" i="39"/>
  <c r="A1482" i="39"/>
  <c r="B1482" i="39" s="1"/>
  <c r="B1484" i="30"/>
  <c r="A1485" i="30"/>
  <c r="D1482" i="30"/>
  <c r="C1483" i="30" s="1"/>
  <c r="E1482" i="30"/>
  <c r="D1477" i="25"/>
  <c r="C1478" i="25" s="1"/>
  <c r="E1477" i="25"/>
  <c r="A1484" i="25"/>
  <c r="B1484" i="25" s="1"/>
  <c r="E1478" i="39" l="1"/>
  <c r="D1479" i="39" s="1"/>
  <c r="F1478" i="39"/>
  <c r="C1482" i="39"/>
  <c r="A1483" i="39"/>
  <c r="B1483" i="39" s="1"/>
  <c r="B1485" i="30"/>
  <c r="A1486" i="30"/>
  <c r="D1483" i="30"/>
  <c r="C1484" i="30" s="1"/>
  <c r="E1483" i="30"/>
  <c r="E1478" i="25"/>
  <c r="D1478" i="25"/>
  <c r="C1479" i="25" s="1"/>
  <c r="A1485" i="25"/>
  <c r="B1485" i="25" s="1"/>
  <c r="E1479" i="39" l="1"/>
  <c r="D1480" i="39" s="1"/>
  <c r="F1479" i="39"/>
  <c r="C1483" i="39"/>
  <c r="A1484" i="39"/>
  <c r="B1484" i="39" s="1"/>
  <c r="B1486" i="30"/>
  <c r="A1487" i="30"/>
  <c r="D1484" i="30"/>
  <c r="C1485" i="30" s="1"/>
  <c r="E1484" i="30"/>
  <c r="D1479" i="25"/>
  <c r="C1480" i="25" s="1"/>
  <c r="E1479" i="25"/>
  <c r="A1486" i="25"/>
  <c r="B1486" i="25" s="1"/>
  <c r="E1480" i="39" l="1"/>
  <c r="D1481" i="39" s="1"/>
  <c r="F1480" i="39"/>
  <c r="C1484" i="39"/>
  <c r="A1485" i="39"/>
  <c r="B1485" i="39" s="1"/>
  <c r="B1487" i="30"/>
  <c r="A1488" i="30"/>
  <c r="D1485" i="30"/>
  <c r="C1486" i="30" s="1"/>
  <c r="E1485" i="30"/>
  <c r="E1480" i="25"/>
  <c r="D1480" i="25"/>
  <c r="C1481" i="25" s="1"/>
  <c r="A1487" i="25"/>
  <c r="B1487" i="25" s="1"/>
  <c r="E1481" i="39" l="1"/>
  <c r="D1482" i="39" s="1"/>
  <c r="F1481" i="39"/>
  <c r="C1485" i="39"/>
  <c r="A1486" i="39"/>
  <c r="B1486" i="39" s="1"/>
  <c r="B1488" i="30"/>
  <c r="A1489" i="30"/>
  <c r="D1486" i="30"/>
  <c r="C1487" i="30" s="1"/>
  <c r="E1486" i="30"/>
  <c r="D1481" i="25"/>
  <c r="C1482" i="25" s="1"/>
  <c r="E1481" i="25"/>
  <c r="A1488" i="25"/>
  <c r="B1488" i="25" s="1"/>
  <c r="E1482" i="39" l="1"/>
  <c r="D1483" i="39" s="1"/>
  <c r="F1482" i="39"/>
  <c r="C1486" i="39"/>
  <c r="A1487" i="39"/>
  <c r="B1487" i="39" s="1"/>
  <c r="B1489" i="30"/>
  <c r="A1490" i="30"/>
  <c r="D1487" i="30"/>
  <c r="C1488" i="30" s="1"/>
  <c r="E1487" i="30"/>
  <c r="E1482" i="25"/>
  <c r="D1482" i="25"/>
  <c r="C1483" i="25" s="1"/>
  <c r="A1489" i="25"/>
  <c r="B1489" i="25" s="1"/>
  <c r="E1483" i="39" l="1"/>
  <c r="D1484" i="39" s="1"/>
  <c r="F1483" i="39"/>
  <c r="C1487" i="39"/>
  <c r="A1488" i="39"/>
  <c r="B1488" i="39" s="1"/>
  <c r="B1490" i="30"/>
  <c r="A1491" i="30"/>
  <c r="D1488" i="30"/>
  <c r="C1489" i="30" s="1"/>
  <c r="E1488" i="30"/>
  <c r="D1483" i="25"/>
  <c r="C1484" i="25" s="1"/>
  <c r="E1483" i="25"/>
  <c r="A1490" i="25"/>
  <c r="B1490" i="25" s="1"/>
  <c r="E1484" i="39" l="1"/>
  <c r="D1485" i="39" s="1"/>
  <c r="F1484" i="39"/>
  <c r="C1488" i="39"/>
  <c r="A1489" i="39"/>
  <c r="B1489" i="39" s="1"/>
  <c r="B1491" i="30"/>
  <c r="A1492" i="30"/>
  <c r="D1489" i="30"/>
  <c r="C1490" i="30" s="1"/>
  <c r="E1489" i="30"/>
  <c r="D1484" i="25"/>
  <c r="C1485" i="25" s="1"/>
  <c r="E1484" i="25"/>
  <c r="A1491" i="25"/>
  <c r="B1491" i="25" s="1"/>
  <c r="E1485" i="39" l="1"/>
  <c r="D1486" i="39" s="1"/>
  <c r="F1485" i="39"/>
  <c r="C1489" i="39"/>
  <c r="A1490" i="39"/>
  <c r="B1490" i="39" s="1"/>
  <c r="B1492" i="30"/>
  <c r="A1493" i="30"/>
  <c r="D1490" i="30"/>
  <c r="C1491" i="30" s="1"/>
  <c r="E1490" i="30"/>
  <c r="D1485" i="25"/>
  <c r="C1486" i="25" s="1"/>
  <c r="E1485" i="25"/>
  <c r="A1492" i="25"/>
  <c r="B1492" i="25" s="1"/>
  <c r="E1486" i="39" l="1"/>
  <c r="D1487" i="39" s="1"/>
  <c r="F1486" i="39"/>
  <c r="C1490" i="39"/>
  <c r="A1491" i="39"/>
  <c r="B1491" i="39" s="1"/>
  <c r="B1493" i="30"/>
  <c r="A1494" i="30"/>
  <c r="D1491" i="30"/>
  <c r="C1492" i="30" s="1"/>
  <c r="E1491" i="30"/>
  <c r="D1486" i="25"/>
  <c r="C1487" i="25" s="1"/>
  <c r="E1486" i="25"/>
  <c r="A1493" i="25"/>
  <c r="B1493" i="25" s="1"/>
  <c r="F1487" i="39" l="1"/>
  <c r="E1487" i="39"/>
  <c r="D1488" i="39" s="1"/>
  <c r="C1491" i="39"/>
  <c r="A1492" i="39"/>
  <c r="B1492" i="39" s="1"/>
  <c r="B1494" i="30"/>
  <c r="A1495" i="30"/>
  <c r="D1492" i="30"/>
  <c r="C1493" i="30" s="1"/>
  <c r="E1492" i="30"/>
  <c r="D1487" i="25"/>
  <c r="C1488" i="25" s="1"/>
  <c r="E1487" i="25"/>
  <c r="A1494" i="25"/>
  <c r="B1494" i="25" s="1"/>
  <c r="F1488" i="39" l="1"/>
  <c r="E1488" i="39"/>
  <c r="D1489" i="39" s="1"/>
  <c r="C1492" i="39"/>
  <c r="A1493" i="39"/>
  <c r="B1493" i="39" s="1"/>
  <c r="B1495" i="30"/>
  <c r="A1496" i="30"/>
  <c r="D1493" i="30"/>
  <c r="C1494" i="30" s="1"/>
  <c r="E1493" i="30"/>
  <c r="D1488" i="25"/>
  <c r="C1489" i="25" s="1"/>
  <c r="E1488" i="25"/>
  <c r="A1495" i="25"/>
  <c r="B1495" i="25" s="1"/>
  <c r="E1489" i="39" l="1"/>
  <c r="D1490" i="39" s="1"/>
  <c r="F1489" i="39"/>
  <c r="C1493" i="39"/>
  <c r="A1494" i="39"/>
  <c r="B1494" i="39" s="1"/>
  <c r="B1496" i="30"/>
  <c r="A1497" i="30"/>
  <c r="D1494" i="30"/>
  <c r="C1495" i="30" s="1"/>
  <c r="E1494" i="30"/>
  <c r="D1489" i="25"/>
  <c r="C1490" i="25" s="1"/>
  <c r="E1489" i="25"/>
  <c r="A1496" i="25"/>
  <c r="B1496" i="25" s="1"/>
  <c r="F1490" i="39" l="1"/>
  <c r="E1490" i="39"/>
  <c r="D1491" i="39" s="1"/>
  <c r="C1494" i="39"/>
  <c r="A1495" i="39"/>
  <c r="B1495" i="39" s="1"/>
  <c r="B1497" i="30"/>
  <c r="A1498" i="30"/>
  <c r="D1495" i="30"/>
  <c r="C1496" i="30" s="1"/>
  <c r="E1495" i="30"/>
  <c r="D1490" i="25"/>
  <c r="C1491" i="25" s="1"/>
  <c r="E1490" i="25"/>
  <c r="A1497" i="25"/>
  <c r="B1497" i="25" s="1"/>
  <c r="F1491" i="39" l="1"/>
  <c r="E1491" i="39"/>
  <c r="D1492" i="39" s="1"/>
  <c r="C1495" i="39"/>
  <c r="A1496" i="39"/>
  <c r="B1496" i="39" s="1"/>
  <c r="B1498" i="30"/>
  <c r="A1499" i="30"/>
  <c r="D1496" i="30"/>
  <c r="C1497" i="30" s="1"/>
  <c r="E1496" i="30"/>
  <c r="E1491" i="25"/>
  <c r="D1491" i="25"/>
  <c r="C1492" i="25" s="1"/>
  <c r="A1498" i="25"/>
  <c r="B1498" i="25" s="1"/>
  <c r="F1492" i="39" l="1"/>
  <c r="E1492" i="39"/>
  <c r="D1493" i="39" s="1"/>
  <c r="C1496" i="39"/>
  <c r="A1497" i="39"/>
  <c r="B1497" i="39" s="1"/>
  <c r="B1499" i="30"/>
  <c r="A1500" i="30"/>
  <c r="D1497" i="30"/>
  <c r="C1498" i="30" s="1"/>
  <c r="E1497" i="30"/>
  <c r="D1492" i="25"/>
  <c r="C1493" i="25" s="1"/>
  <c r="E1492" i="25"/>
  <c r="A1499" i="25"/>
  <c r="B1499" i="25" s="1"/>
  <c r="F1493" i="39" l="1"/>
  <c r="E1493" i="39"/>
  <c r="D1494" i="39" s="1"/>
  <c r="C1497" i="39"/>
  <c r="A1498" i="39"/>
  <c r="B1498" i="39" s="1"/>
  <c r="B1500" i="30"/>
  <c r="A1501" i="30"/>
  <c r="D1498" i="30"/>
  <c r="C1499" i="30" s="1"/>
  <c r="E1498" i="30"/>
  <c r="D1493" i="25"/>
  <c r="C1494" i="25" s="1"/>
  <c r="E1493" i="25"/>
  <c r="A1500" i="25"/>
  <c r="B1500" i="25" s="1"/>
  <c r="E1494" i="39" l="1"/>
  <c r="D1495" i="39" s="1"/>
  <c r="F1494" i="39"/>
  <c r="C1498" i="39"/>
  <c r="A1499" i="39"/>
  <c r="B1499" i="39" s="1"/>
  <c r="B1501" i="30"/>
  <c r="A1502" i="30"/>
  <c r="D1499" i="30"/>
  <c r="C1500" i="30" s="1"/>
  <c r="E1499" i="30"/>
  <c r="D1494" i="25"/>
  <c r="C1495" i="25" s="1"/>
  <c r="E1494" i="25"/>
  <c r="A1501" i="25"/>
  <c r="B1501" i="25" s="1"/>
  <c r="E1495" i="39" l="1"/>
  <c r="D1496" i="39" s="1"/>
  <c r="F1495" i="39"/>
  <c r="C1499" i="39"/>
  <c r="A1500" i="39"/>
  <c r="B1500" i="39" s="1"/>
  <c r="B1502" i="30"/>
  <c r="A1503" i="30"/>
  <c r="D1500" i="30"/>
  <c r="C1501" i="30" s="1"/>
  <c r="E1500" i="30"/>
  <c r="D1495" i="25"/>
  <c r="C1496" i="25" s="1"/>
  <c r="E1495" i="25"/>
  <c r="A1502" i="25"/>
  <c r="B1502" i="25" s="1"/>
  <c r="E1496" i="39" l="1"/>
  <c r="D1497" i="39" s="1"/>
  <c r="F1496" i="39"/>
  <c r="C1500" i="39"/>
  <c r="A1501" i="39"/>
  <c r="B1501" i="39" s="1"/>
  <c r="B1503" i="30"/>
  <c r="A1504" i="30"/>
  <c r="D1501" i="30"/>
  <c r="C1502" i="30" s="1"/>
  <c r="E1501" i="30"/>
  <c r="D1496" i="25"/>
  <c r="C1497" i="25" s="1"/>
  <c r="E1496" i="25"/>
  <c r="A1503" i="25"/>
  <c r="B1503" i="25" s="1"/>
  <c r="F1497" i="39" l="1"/>
  <c r="E1497" i="39"/>
  <c r="D1498" i="39" s="1"/>
  <c r="C1501" i="39"/>
  <c r="A1502" i="39"/>
  <c r="B1502" i="39" s="1"/>
  <c r="B1504" i="30"/>
  <c r="A1505" i="30"/>
  <c r="D1502" i="30"/>
  <c r="C1503" i="30" s="1"/>
  <c r="E1502" i="30"/>
  <c r="D1497" i="25"/>
  <c r="C1498" i="25" s="1"/>
  <c r="E1497" i="25"/>
  <c r="A1504" i="25"/>
  <c r="B1504" i="25" s="1"/>
  <c r="F1498" i="39" l="1"/>
  <c r="E1498" i="39"/>
  <c r="D1499" i="39" s="1"/>
  <c r="C1502" i="39"/>
  <c r="A1503" i="39"/>
  <c r="B1503" i="39" s="1"/>
  <c r="B1505" i="30"/>
  <c r="A1506" i="30"/>
  <c r="D1503" i="30"/>
  <c r="C1504" i="30" s="1"/>
  <c r="E1503" i="30"/>
  <c r="D1498" i="25"/>
  <c r="C1499" i="25" s="1"/>
  <c r="E1498" i="25"/>
  <c r="A1505" i="25"/>
  <c r="B1505" i="25" s="1"/>
  <c r="E1499" i="39" l="1"/>
  <c r="D1500" i="39" s="1"/>
  <c r="F1499" i="39"/>
  <c r="C1503" i="39"/>
  <c r="A1504" i="39"/>
  <c r="B1504" i="39" s="1"/>
  <c r="B1506" i="30"/>
  <c r="A1507" i="30"/>
  <c r="D1504" i="30"/>
  <c r="C1505" i="30" s="1"/>
  <c r="E1504" i="30"/>
  <c r="D1499" i="25"/>
  <c r="C1500" i="25" s="1"/>
  <c r="E1499" i="25"/>
  <c r="A1506" i="25"/>
  <c r="B1506" i="25" s="1"/>
  <c r="E1500" i="39" l="1"/>
  <c r="D1501" i="39" s="1"/>
  <c r="F1500" i="39"/>
  <c r="C1504" i="39"/>
  <c r="A1505" i="39"/>
  <c r="B1505" i="39" s="1"/>
  <c r="B1507" i="30"/>
  <c r="A1508" i="30"/>
  <c r="D1505" i="30"/>
  <c r="C1506" i="30" s="1"/>
  <c r="E1505" i="30"/>
  <c r="D1500" i="25"/>
  <c r="C1501" i="25" s="1"/>
  <c r="E1500" i="25"/>
  <c r="A1507" i="25"/>
  <c r="B1507" i="25" s="1"/>
  <c r="F1501" i="39" l="1"/>
  <c r="E1501" i="39"/>
  <c r="D1502" i="39" s="1"/>
  <c r="C1505" i="39"/>
  <c r="A1506" i="39"/>
  <c r="B1506" i="39" s="1"/>
  <c r="B1508" i="30"/>
  <c r="A1509" i="30"/>
  <c r="D1506" i="30"/>
  <c r="C1507" i="30" s="1"/>
  <c r="E1506" i="30"/>
  <c r="D1501" i="25"/>
  <c r="C1502" i="25" s="1"/>
  <c r="E1501" i="25"/>
  <c r="A1508" i="25"/>
  <c r="B1508" i="25" s="1"/>
  <c r="F1502" i="39" l="1"/>
  <c r="E1502" i="39"/>
  <c r="D1503" i="39" s="1"/>
  <c r="C1506" i="39"/>
  <c r="A1507" i="39"/>
  <c r="B1507" i="39" s="1"/>
  <c r="B1509" i="30"/>
  <c r="A1510" i="30"/>
  <c r="D1507" i="30"/>
  <c r="C1508" i="30" s="1"/>
  <c r="E1507" i="30"/>
  <c r="D1502" i="25"/>
  <c r="C1503" i="25" s="1"/>
  <c r="E1502" i="25"/>
  <c r="A1509" i="25"/>
  <c r="B1509" i="25" s="1"/>
  <c r="E1503" i="39" l="1"/>
  <c r="D1504" i="39" s="1"/>
  <c r="F1503" i="39"/>
  <c r="C1507" i="39"/>
  <c r="A1508" i="39"/>
  <c r="B1508" i="39" s="1"/>
  <c r="B1510" i="30"/>
  <c r="A1511" i="30"/>
  <c r="D1508" i="30"/>
  <c r="C1509" i="30" s="1"/>
  <c r="E1508" i="30"/>
  <c r="D1503" i="25"/>
  <c r="C1504" i="25" s="1"/>
  <c r="E1503" i="25"/>
  <c r="A1510" i="25"/>
  <c r="B1510" i="25" s="1"/>
  <c r="E1504" i="39" l="1"/>
  <c r="D1505" i="39" s="1"/>
  <c r="F1504" i="39"/>
  <c r="C1508" i="39"/>
  <c r="A1509" i="39"/>
  <c r="B1509" i="39" s="1"/>
  <c r="B1511" i="30"/>
  <c r="A1512" i="30"/>
  <c r="D1509" i="30"/>
  <c r="C1510" i="30" s="1"/>
  <c r="E1509" i="30"/>
  <c r="D1504" i="25"/>
  <c r="C1505" i="25" s="1"/>
  <c r="E1504" i="25"/>
  <c r="A1511" i="25"/>
  <c r="B1511" i="25" s="1"/>
  <c r="E1505" i="39" l="1"/>
  <c r="D1506" i="39" s="1"/>
  <c r="F1505" i="39"/>
  <c r="C1509" i="39"/>
  <c r="A1510" i="39"/>
  <c r="B1510" i="39" s="1"/>
  <c r="B1512" i="30"/>
  <c r="A1513" i="30"/>
  <c r="D1510" i="30"/>
  <c r="C1511" i="30" s="1"/>
  <c r="E1510" i="30"/>
  <c r="D1505" i="25"/>
  <c r="C1506" i="25" s="1"/>
  <c r="E1505" i="25"/>
  <c r="A1512" i="25"/>
  <c r="B1512" i="25" s="1"/>
  <c r="F1506" i="39" l="1"/>
  <c r="E1506" i="39"/>
  <c r="D1507" i="39" s="1"/>
  <c r="C1510" i="39"/>
  <c r="A1511" i="39"/>
  <c r="B1511" i="39" s="1"/>
  <c r="B1513" i="30"/>
  <c r="A1514" i="30"/>
  <c r="D1511" i="30"/>
  <c r="C1512" i="30" s="1"/>
  <c r="E1511" i="30"/>
  <c r="E1506" i="25"/>
  <c r="D1506" i="25"/>
  <c r="C1507" i="25" s="1"/>
  <c r="A1513" i="25"/>
  <c r="B1513" i="25" s="1"/>
  <c r="E1507" i="39" l="1"/>
  <c r="D1508" i="39" s="1"/>
  <c r="F1507" i="39"/>
  <c r="C1511" i="39"/>
  <c r="A1512" i="39"/>
  <c r="B1512" i="39" s="1"/>
  <c r="B1514" i="30"/>
  <c r="A1515" i="30"/>
  <c r="D1512" i="30"/>
  <c r="C1513" i="30" s="1"/>
  <c r="E1512" i="30"/>
  <c r="D1507" i="25"/>
  <c r="C1508" i="25" s="1"/>
  <c r="E1507" i="25"/>
  <c r="A1514" i="25"/>
  <c r="B1514" i="25" s="1"/>
  <c r="E1508" i="39" l="1"/>
  <c r="D1509" i="39" s="1"/>
  <c r="F1508" i="39"/>
  <c r="C1512" i="39"/>
  <c r="A1513" i="39"/>
  <c r="B1513" i="39" s="1"/>
  <c r="B1515" i="30"/>
  <c r="A1516" i="30"/>
  <c r="D1513" i="30"/>
  <c r="C1514" i="30" s="1"/>
  <c r="E1513" i="30"/>
  <c r="D1508" i="25"/>
  <c r="C1509" i="25" s="1"/>
  <c r="E1508" i="25"/>
  <c r="A1515" i="25"/>
  <c r="B1515" i="25" s="1"/>
  <c r="F1509" i="39" l="1"/>
  <c r="E1509" i="39"/>
  <c r="D1510" i="39" s="1"/>
  <c r="C1513" i="39"/>
  <c r="A1514" i="39"/>
  <c r="B1514" i="39" s="1"/>
  <c r="B1516" i="30"/>
  <c r="A1517" i="30"/>
  <c r="D1514" i="30"/>
  <c r="C1515" i="30" s="1"/>
  <c r="E1514" i="30"/>
  <c r="E1509" i="25"/>
  <c r="D1509" i="25"/>
  <c r="C1510" i="25" s="1"/>
  <c r="A1516" i="25"/>
  <c r="B1516" i="25" s="1"/>
  <c r="E1510" i="39" l="1"/>
  <c r="D1511" i="39" s="1"/>
  <c r="F1510" i="39"/>
  <c r="C1514" i="39"/>
  <c r="A1515" i="39"/>
  <c r="B1515" i="39" s="1"/>
  <c r="B1517" i="30"/>
  <c r="A1518" i="30"/>
  <c r="D1515" i="30"/>
  <c r="C1516" i="30" s="1"/>
  <c r="E1515" i="30"/>
  <c r="D1510" i="25"/>
  <c r="C1511" i="25" s="1"/>
  <c r="E1510" i="25"/>
  <c r="A1517" i="25"/>
  <c r="B1517" i="25" s="1"/>
  <c r="F1511" i="39" l="1"/>
  <c r="E1511" i="39"/>
  <c r="D1512" i="39" s="1"/>
  <c r="C1515" i="39"/>
  <c r="A1516" i="39"/>
  <c r="B1516" i="39" s="1"/>
  <c r="B1518" i="30"/>
  <c r="A1519" i="30"/>
  <c r="D1516" i="30"/>
  <c r="C1517" i="30" s="1"/>
  <c r="E1516" i="30"/>
  <c r="D1511" i="25"/>
  <c r="C1512" i="25" s="1"/>
  <c r="E1511" i="25"/>
  <c r="A1518" i="25"/>
  <c r="B1518" i="25" s="1"/>
  <c r="E1512" i="39" l="1"/>
  <c r="D1513" i="39" s="1"/>
  <c r="F1512" i="39"/>
  <c r="C1516" i="39"/>
  <c r="A1517" i="39"/>
  <c r="B1517" i="39" s="1"/>
  <c r="B1519" i="30"/>
  <c r="A1520" i="30"/>
  <c r="D1517" i="30"/>
  <c r="C1518" i="30" s="1"/>
  <c r="E1517" i="30"/>
  <c r="D1512" i="25"/>
  <c r="C1513" i="25" s="1"/>
  <c r="E1512" i="25"/>
  <c r="A1519" i="25"/>
  <c r="B1519" i="25" s="1"/>
  <c r="F1513" i="39" l="1"/>
  <c r="E1513" i="39"/>
  <c r="D1514" i="39" s="1"/>
  <c r="C1517" i="39"/>
  <c r="A1518" i="39"/>
  <c r="B1518" i="39" s="1"/>
  <c r="B1520" i="30"/>
  <c r="A1521" i="30"/>
  <c r="D1518" i="30"/>
  <c r="C1519" i="30" s="1"/>
  <c r="E1518" i="30"/>
  <c r="D1513" i="25"/>
  <c r="C1514" i="25" s="1"/>
  <c r="E1513" i="25"/>
  <c r="A1520" i="25"/>
  <c r="B1520" i="25" s="1"/>
  <c r="E1514" i="39" l="1"/>
  <c r="D1515" i="39" s="1"/>
  <c r="F1514" i="39"/>
  <c r="C1518" i="39"/>
  <c r="A1519" i="39"/>
  <c r="B1519" i="39" s="1"/>
  <c r="B1521" i="30"/>
  <c r="A1522" i="30"/>
  <c r="D1519" i="30"/>
  <c r="C1520" i="30" s="1"/>
  <c r="E1519" i="30"/>
  <c r="E1514" i="25"/>
  <c r="D1514" i="25"/>
  <c r="C1515" i="25" s="1"/>
  <c r="A1521" i="25"/>
  <c r="B1521" i="25" s="1"/>
  <c r="F1515" i="39" l="1"/>
  <c r="E1515" i="39"/>
  <c r="D1516" i="39" s="1"/>
  <c r="C1519" i="39"/>
  <c r="A1520" i="39"/>
  <c r="B1520" i="39" s="1"/>
  <c r="B1522" i="30"/>
  <c r="A1523" i="30"/>
  <c r="D1520" i="30"/>
  <c r="C1521" i="30" s="1"/>
  <c r="E1520" i="30"/>
  <c r="D1515" i="25"/>
  <c r="C1516" i="25" s="1"/>
  <c r="E1515" i="25"/>
  <c r="A1522" i="25"/>
  <c r="B1522" i="25" s="1"/>
  <c r="E1516" i="39" l="1"/>
  <c r="D1517" i="39" s="1"/>
  <c r="F1516" i="39"/>
  <c r="C1520" i="39"/>
  <c r="A1521" i="39"/>
  <c r="B1521" i="39" s="1"/>
  <c r="B1523" i="30"/>
  <c r="A1524" i="30"/>
  <c r="D1521" i="30"/>
  <c r="C1522" i="30" s="1"/>
  <c r="E1521" i="30"/>
  <c r="D1516" i="25"/>
  <c r="C1517" i="25" s="1"/>
  <c r="E1516" i="25"/>
  <c r="A1523" i="25"/>
  <c r="B1523" i="25" s="1"/>
  <c r="E1517" i="39" l="1"/>
  <c r="D1518" i="39" s="1"/>
  <c r="F1517" i="39"/>
  <c r="C1521" i="39"/>
  <c r="A1522" i="39"/>
  <c r="B1522" i="39" s="1"/>
  <c r="B1524" i="30"/>
  <c r="A1525" i="30"/>
  <c r="D1522" i="30"/>
  <c r="C1523" i="30" s="1"/>
  <c r="E1522" i="30"/>
  <c r="D1517" i="25"/>
  <c r="C1518" i="25" s="1"/>
  <c r="E1517" i="25"/>
  <c r="A1524" i="25"/>
  <c r="B1524" i="25" s="1"/>
  <c r="E1518" i="39" l="1"/>
  <c r="D1519" i="39" s="1"/>
  <c r="F1518" i="39"/>
  <c r="C1522" i="39"/>
  <c r="A1523" i="39"/>
  <c r="B1523" i="39" s="1"/>
  <c r="B1525" i="30"/>
  <c r="A1526" i="30"/>
  <c r="D1523" i="30"/>
  <c r="C1524" i="30" s="1"/>
  <c r="E1523" i="30"/>
  <c r="D1518" i="25"/>
  <c r="C1519" i="25" s="1"/>
  <c r="E1518" i="25"/>
  <c r="A1525" i="25"/>
  <c r="B1525" i="25" s="1"/>
  <c r="F1519" i="39" l="1"/>
  <c r="E1519" i="39"/>
  <c r="D1520" i="39" s="1"/>
  <c r="C1523" i="39"/>
  <c r="A1524" i="39"/>
  <c r="B1524" i="39" s="1"/>
  <c r="B1526" i="30"/>
  <c r="A1527" i="30"/>
  <c r="D1524" i="30"/>
  <c r="C1525" i="30" s="1"/>
  <c r="E1524" i="30"/>
  <c r="D1519" i="25"/>
  <c r="C1520" i="25" s="1"/>
  <c r="E1519" i="25"/>
  <c r="A1526" i="25"/>
  <c r="B1526" i="25" s="1"/>
  <c r="E1520" i="39" l="1"/>
  <c r="D1521" i="39" s="1"/>
  <c r="F1520" i="39"/>
  <c r="C1524" i="39"/>
  <c r="A1525" i="39"/>
  <c r="B1525" i="39" s="1"/>
  <c r="B1527" i="30"/>
  <c r="A1528" i="30"/>
  <c r="D1525" i="30"/>
  <c r="C1526" i="30" s="1"/>
  <c r="E1525" i="30"/>
  <c r="D1520" i="25"/>
  <c r="C1521" i="25" s="1"/>
  <c r="E1520" i="25"/>
  <c r="A1527" i="25"/>
  <c r="B1527" i="25" s="1"/>
  <c r="E1521" i="39" l="1"/>
  <c r="D1522" i="39" s="1"/>
  <c r="F1521" i="39"/>
  <c r="C1525" i="39"/>
  <c r="A1526" i="39"/>
  <c r="B1526" i="39" s="1"/>
  <c r="B1528" i="30"/>
  <c r="A1529" i="30"/>
  <c r="D1526" i="30"/>
  <c r="C1527" i="30" s="1"/>
  <c r="E1526" i="30"/>
  <c r="D1521" i="25"/>
  <c r="C1522" i="25" s="1"/>
  <c r="E1521" i="25"/>
  <c r="A1528" i="25"/>
  <c r="B1528" i="25" s="1"/>
  <c r="F1522" i="39" l="1"/>
  <c r="E1522" i="39"/>
  <c r="D1523" i="39" s="1"/>
  <c r="C1526" i="39"/>
  <c r="A1527" i="39"/>
  <c r="B1527" i="39" s="1"/>
  <c r="B1529" i="30"/>
  <c r="A1530" i="30"/>
  <c r="D1527" i="30"/>
  <c r="C1528" i="30" s="1"/>
  <c r="E1527" i="30"/>
  <c r="D1522" i="25"/>
  <c r="C1523" i="25" s="1"/>
  <c r="E1522" i="25"/>
  <c r="A1529" i="25"/>
  <c r="B1529" i="25" s="1"/>
  <c r="E1523" i="39" l="1"/>
  <c r="D1524" i="39" s="1"/>
  <c r="F1523" i="39"/>
  <c r="C1527" i="39"/>
  <c r="A1528" i="39"/>
  <c r="B1528" i="39" s="1"/>
  <c r="B1530" i="30"/>
  <c r="A1531" i="30"/>
  <c r="D1528" i="30"/>
  <c r="C1529" i="30" s="1"/>
  <c r="E1528" i="30"/>
  <c r="D1523" i="25"/>
  <c r="C1524" i="25" s="1"/>
  <c r="E1523" i="25"/>
  <c r="A1530" i="25"/>
  <c r="B1530" i="25" s="1"/>
  <c r="E1524" i="39" l="1"/>
  <c r="D1525" i="39" s="1"/>
  <c r="F1524" i="39"/>
  <c r="C1528" i="39"/>
  <c r="A1529" i="39"/>
  <c r="B1529" i="39" s="1"/>
  <c r="B1531" i="30"/>
  <c r="A1532" i="30"/>
  <c r="D1529" i="30"/>
  <c r="C1530" i="30" s="1"/>
  <c r="E1529" i="30"/>
  <c r="D1524" i="25"/>
  <c r="C1525" i="25" s="1"/>
  <c r="E1524" i="25"/>
  <c r="A1531" i="25"/>
  <c r="B1531" i="25" s="1"/>
  <c r="F1525" i="39" l="1"/>
  <c r="E1525" i="39"/>
  <c r="D1526" i="39" s="1"/>
  <c r="C1529" i="39"/>
  <c r="A1530" i="39"/>
  <c r="B1530" i="39" s="1"/>
  <c r="B1532" i="30"/>
  <c r="A1533" i="30"/>
  <c r="D1530" i="30"/>
  <c r="C1531" i="30" s="1"/>
  <c r="E1530" i="30"/>
  <c r="D1525" i="25"/>
  <c r="C1526" i="25" s="1"/>
  <c r="E1525" i="25"/>
  <c r="A1532" i="25"/>
  <c r="B1532" i="25" s="1"/>
  <c r="E1526" i="39" l="1"/>
  <c r="D1527" i="39" s="1"/>
  <c r="F1526" i="39"/>
  <c r="C1530" i="39"/>
  <c r="A1531" i="39"/>
  <c r="B1531" i="39" s="1"/>
  <c r="B1533" i="30"/>
  <c r="A1534" i="30"/>
  <c r="D1531" i="30"/>
  <c r="C1532" i="30" s="1"/>
  <c r="E1531" i="30"/>
  <c r="D1526" i="25"/>
  <c r="C1527" i="25" s="1"/>
  <c r="E1526" i="25"/>
  <c r="A1533" i="25"/>
  <c r="B1533" i="25" s="1"/>
  <c r="E1527" i="39" l="1"/>
  <c r="D1528" i="39" s="1"/>
  <c r="F1527" i="39"/>
  <c r="C1531" i="39"/>
  <c r="A1532" i="39"/>
  <c r="B1532" i="39" s="1"/>
  <c r="B1534" i="30"/>
  <c r="A1535" i="30"/>
  <c r="D1532" i="30"/>
  <c r="C1533" i="30" s="1"/>
  <c r="E1532" i="30"/>
  <c r="D1527" i="25"/>
  <c r="C1528" i="25" s="1"/>
  <c r="E1527" i="25"/>
  <c r="A1534" i="25"/>
  <c r="B1534" i="25" s="1"/>
  <c r="E1528" i="39" l="1"/>
  <c r="D1529" i="39" s="1"/>
  <c r="F1528" i="39"/>
  <c r="C1532" i="39"/>
  <c r="A1533" i="39"/>
  <c r="B1533" i="39" s="1"/>
  <c r="B1535" i="30"/>
  <c r="A1536" i="30"/>
  <c r="D1533" i="30"/>
  <c r="C1534" i="30" s="1"/>
  <c r="E1533" i="30"/>
  <c r="D1528" i="25"/>
  <c r="C1529" i="25" s="1"/>
  <c r="E1528" i="25"/>
  <c r="A1535" i="25"/>
  <c r="B1535" i="25" s="1"/>
  <c r="F1529" i="39" l="1"/>
  <c r="E1529" i="39"/>
  <c r="D1530" i="39" s="1"/>
  <c r="C1533" i="39"/>
  <c r="A1534" i="39"/>
  <c r="B1534" i="39" s="1"/>
  <c r="B1536" i="30"/>
  <c r="A1537" i="30"/>
  <c r="D1534" i="30"/>
  <c r="C1535" i="30" s="1"/>
  <c r="E1534" i="30"/>
  <c r="D1529" i="25"/>
  <c r="C1530" i="25" s="1"/>
  <c r="E1529" i="25"/>
  <c r="A1536" i="25"/>
  <c r="B1536" i="25" s="1"/>
  <c r="E1530" i="39" l="1"/>
  <c r="D1531" i="39" s="1"/>
  <c r="F1530" i="39"/>
  <c r="C1534" i="39"/>
  <c r="A1535" i="39"/>
  <c r="B1535" i="39" s="1"/>
  <c r="B1537" i="30"/>
  <c r="A1538" i="30"/>
  <c r="D1535" i="30"/>
  <c r="C1536" i="30" s="1"/>
  <c r="E1535" i="30"/>
  <c r="E1530" i="25"/>
  <c r="D1530" i="25"/>
  <c r="C1531" i="25" s="1"/>
  <c r="A1537" i="25"/>
  <c r="B1537" i="25" s="1"/>
  <c r="E1531" i="39" l="1"/>
  <c r="D1532" i="39" s="1"/>
  <c r="F1531" i="39"/>
  <c r="C1535" i="39"/>
  <c r="A1536" i="39"/>
  <c r="B1536" i="39" s="1"/>
  <c r="B1538" i="30"/>
  <c r="A1539" i="30"/>
  <c r="D1536" i="30"/>
  <c r="C1537" i="30" s="1"/>
  <c r="E1536" i="30"/>
  <c r="D1531" i="25"/>
  <c r="C1532" i="25" s="1"/>
  <c r="E1531" i="25"/>
  <c r="A1538" i="25"/>
  <c r="B1538" i="25" s="1"/>
  <c r="E1532" i="39" l="1"/>
  <c r="D1533" i="39" s="1"/>
  <c r="F1532" i="39"/>
  <c r="C1536" i="39"/>
  <c r="A1537" i="39"/>
  <c r="B1537" i="39" s="1"/>
  <c r="B1539" i="30"/>
  <c r="A1540" i="30"/>
  <c r="D1537" i="30"/>
  <c r="C1538" i="30" s="1"/>
  <c r="E1537" i="30"/>
  <c r="E1532" i="25"/>
  <c r="D1532" i="25"/>
  <c r="C1533" i="25" s="1"/>
  <c r="A1539" i="25"/>
  <c r="B1539" i="25" s="1"/>
  <c r="F1533" i="39" l="1"/>
  <c r="E1533" i="39"/>
  <c r="D1534" i="39" s="1"/>
  <c r="C1537" i="39"/>
  <c r="A1538" i="39"/>
  <c r="B1538" i="39" s="1"/>
  <c r="B1540" i="30"/>
  <c r="A1541" i="30"/>
  <c r="D1538" i="30"/>
  <c r="C1539" i="30" s="1"/>
  <c r="E1538" i="30"/>
  <c r="D1533" i="25"/>
  <c r="C1534" i="25" s="1"/>
  <c r="E1533" i="25"/>
  <c r="A1540" i="25"/>
  <c r="B1540" i="25" s="1"/>
  <c r="F1534" i="39" l="1"/>
  <c r="E1534" i="39"/>
  <c r="D1535" i="39" s="1"/>
  <c r="C1538" i="39"/>
  <c r="A1539" i="39"/>
  <c r="B1539" i="39" s="1"/>
  <c r="B1541" i="30"/>
  <c r="A1542" i="30"/>
  <c r="D1539" i="30"/>
  <c r="C1540" i="30" s="1"/>
  <c r="E1539" i="30"/>
  <c r="D1534" i="25"/>
  <c r="C1535" i="25" s="1"/>
  <c r="E1534" i="25"/>
  <c r="A1541" i="25"/>
  <c r="B1541" i="25" s="1"/>
  <c r="F1535" i="39" l="1"/>
  <c r="E1535" i="39"/>
  <c r="D1536" i="39" s="1"/>
  <c r="C1539" i="39"/>
  <c r="A1540" i="39"/>
  <c r="B1540" i="39" s="1"/>
  <c r="B1542" i="30"/>
  <c r="A1543" i="30"/>
  <c r="D1540" i="30"/>
  <c r="C1541" i="30" s="1"/>
  <c r="E1540" i="30"/>
  <c r="E1535" i="25"/>
  <c r="D1535" i="25"/>
  <c r="C1536" i="25" s="1"/>
  <c r="A1542" i="25"/>
  <c r="B1542" i="25" s="1"/>
  <c r="F1536" i="39" l="1"/>
  <c r="E1536" i="39"/>
  <c r="D1537" i="39" s="1"/>
  <c r="C1540" i="39"/>
  <c r="A1541" i="39"/>
  <c r="B1541" i="39" s="1"/>
  <c r="B1543" i="30"/>
  <c r="A1544" i="30"/>
  <c r="D1541" i="30"/>
  <c r="C1542" i="30" s="1"/>
  <c r="E1541" i="30"/>
  <c r="D1536" i="25"/>
  <c r="C1537" i="25" s="1"/>
  <c r="E1536" i="25"/>
  <c r="A1543" i="25"/>
  <c r="B1543" i="25" s="1"/>
  <c r="F1537" i="39" l="1"/>
  <c r="E1537" i="39"/>
  <c r="D1538" i="39" s="1"/>
  <c r="C1541" i="39"/>
  <c r="A1542" i="39"/>
  <c r="B1542" i="39" s="1"/>
  <c r="B1544" i="30"/>
  <c r="A1545" i="30"/>
  <c r="D1542" i="30"/>
  <c r="C1543" i="30" s="1"/>
  <c r="E1542" i="30"/>
  <c r="D1537" i="25"/>
  <c r="C1538" i="25" s="1"/>
  <c r="E1537" i="25"/>
  <c r="A1544" i="25"/>
  <c r="B1544" i="25" s="1"/>
  <c r="E1538" i="39" l="1"/>
  <c r="D1539" i="39" s="1"/>
  <c r="F1538" i="39"/>
  <c r="C1542" i="39"/>
  <c r="A1543" i="39"/>
  <c r="B1543" i="39" s="1"/>
  <c r="B1545" i="30"/>
  <c r="A1546" i="30"/>
  <c r="D1543" i="30"/>
  <c r="C1544" i="30" s="1"/>
  <c r="E1543" i="30"/>
  <c r="D1538" i="25"/>
  <c r="C1539" i="25" s="1"/>
  <c r="E1538" i="25"/>
  <c r="A1545" i="25"/>
  <c r="B1545" i="25" s="1"/>
  <c r="F1539" i="39" l="1"/>
  <c r="E1539" i="39"/>
  <c r="D1540" i="39" s="1"/>
  <c r="C1543" i="39"/>
  <c r="A1544" i="39"/>
  <c r="B1544" i="39" s="1"/>
  <c r="B1546" i="30"/>
  <c r="A1547" i="30"/>
  <c r="D1544" i="30"/>
  <c r="C1545" i="30" s="1"/>
  <c r="E1544" i="30"/>
  <c r="D1539" i="25"/>
  <c r="C1540" i="25" s="1"/>
  <c r="E1539" i="25"/>
  <c r="A1546" i="25"/>
  <c r="B1546" i="25" s="1"/>
  <c r="F1540" i="39" l="1"/>
  <c r="E1540" i="39"/>
  <c r="D1541" i="39" s="1"/>
  <c r="C1544" i="39"/>
  <c r="A1545" i="39"/>
  <c r="B1545" i="39" s="1"/>
  <c r="B1547" i="30"/>
  <c r="A1548" i="30"/>
  <c r="D1545" i="30"/>
  <c r="C1546" i="30" s="1"/>
  <c r="E1545" i="30"/>
  <c r="D1540" i="25"/>
  <c r="C1541" i="25" s="1"/>
  <c r="E1540" i="25"/>
  <c r="A1547" i="25"/>
  <c r="B1547" i="25" s="1"/>
  <c r="E1541" i="39" l="1"/>
  <c r="D1542" i="39" s="1"/>
  <c r="F1541" i="39"/>
  <c r="C1545" i="39"/>
  <c r="A1546" i="39"/>
  <c r="B1546" i="39" s="1"/>
  <c r="B1548" i="30"/>
  <c r="A1549" i="30"/>
  <c r="D1546" i="30"/>
  <c r="C1547" i="30" s="1"/>
  <c r="E1546" i="30"/>
  <c r="D1541" i="25"/>
  <c r="C1542" i="25" s="1"/>
  <c r="E1541" i="25"/>
  <c r="A1548" i="25"/>
  <c r="B1548" i="25" s="1"/>
  <c r="E1542" i="39" l="1"/>
  <c r="D1543" i="39" s="1"/>
  <c r="F1542" i="39"/>
  <c r="C1546" i="39"/>
  <c r="A1547" i="39"/>
  <c r="B1547" i="39" s="1"/>
  <c r="B1549" i="30"/>
  <c r="A1550" i="30"/>
  <c r="D1547" i="30"/>
  <c r="C1548" i="30" s="1"/>
  <c r="E1547" i="30"/>
  <c r="D1542" i="25"/>
  <c r="C1543" i="25" s="1"/>
  <c r="E1542" i="25"/>
  <c r="A1549" i="25"/>
  <c r="B1549" i="25" s="1"/>
  <c r="E1543" i="39" l="1"/>
  <c r="D1544" i="39" s="1"/>
  <c r="F1543" i="39"/>
  <c r="C1547" i="39"/>
  <c r="A1548" i="39"/>
  <c r="B1548" i="39" s="1"/>
  <c r="B1550" i="30"/>
  <c r="A1551" i="30"/>
  <c r="D1548" i="30"/>
  <c r="C1549" i="30" s="1"/>
  <c r="E1548" i="30"/>
  <c r="D1543" i="25"/>
  <c r="C1544" i="25" s="1"/>
  <c r="E1543" i="25"/>
  <c r="A1550" i="25"/>
  <c r="B1550" i="25" s="1"/>
  <c r="E1544" i="39" l="1"/>
  <c r="D1545" i="39" s="1"/>
  <c r="F1544" i="39"/>
  <c r="C1548" i="39"/>
  <c r="A1549" i="39"/>
  <c r="B1549" i="39" s="1"/>
  <c r="B1551" i="30"/>
  <c r="A1552" i="30"/>
  <c r="D1549" i="30"/>
  <c r="C1550" i="30" s="1"/>
  <c r="E1549" i="30"/>
  <c r="D1544" i="25"/>
  <c r="C1545" i="25" s="1"/>
  <c r="E1544" i="25"/>
  <c r="A1551" i="25"/>
  <c r="B1551" i="25" s="1"/>
  <c r="F1545" i="39" l="1"/>
  <c r="E1545" i="39"/>
  <c r="D1546" i="39" s="1"/>
  <c r="C1549" i="39"/>
  <c r="A1550" i="39"/>
  <c r="B1550" i="39" s="1"/>
  <c r="B1552" i="30"/>
  <c r="A1553" i="30"/>
  <c r="D1550" i="30"/>
  <c r="C1551" i="30" s="1"/>
  <c r="E1550" i="30"/>
  <c r="D1545" i="25"/>
  <c r="C1546" i="25" s="1"/>
  <c r="E1545" i="25"/>
  <c r="A1552" i="25"/>
  <c r="B1552" i="25" s="1"/>
  <c r="F1546" i="39" l="1"/>
  <c r="E1546" i="39"/>
  <c r="D1547" i="39" s="1"/>
  <c r="C1550" i="39"/>
  <c r="A1551" i="39"/>
  <c r="B1551" i="39" s="1"/>
  <c r="B1553" i="30"/>
  <c r="A1554" i="30"/>
  <c r="D1551" i="30"/>
  <c r="C1552" i="30" s="1"/>
  <c r="E1551" i="30"/>
  <c r="E1546" i="25"/>
  <c r="D1546" i="25"/>
  <c r="C1547" i="25" s="1"/>
  <c r="A1553" i="25"/>
  <c r="B1553" i="25" s="1"/>
  <c r="E1547" i="39" l="1"/>
  <c r="D1548" i="39" s="1"/>
  <c r="F1547" i="39"/>
  <c r="C1551" i="39"/>
  <c r="A1552" i="39"/>
  <c r="B1552" i="39" s="1"/>
  <c r="B1554" i="30"/>
  <c r="A1555" i="30"/>
  <c r="D1552" i="30"/>
  <c r="C1553" i="30" s="1"/>
  <c r="E1552" i="30"/>
  <c r="D1547" i="25"/>
  <c r="C1548" i="25" s="1"/>
  <c r="E1547" i="25"/>
  <c r="A1554" i="25"/>
  <c r="B1554" i="25" s="1"/>
  <c r="E1548" i="39" l="1"/>
  <c r="D1549" i="39" s="1"/>
  <c r="F1548" i="39"/>
  <c r="C1552" i="39"/>
  <c r="A1553" i="39"/>
  <c r="B1553" i="39" s="1"/>
  <c r="B1555" i="30"/>
  <c r="A1556" i="30"/>
  <c r="D1553" i="30"/>
  <c r="C1554" i="30" s="1"/>
  <c r="E1553" i="30"/>
  <c r="E1548" i="25"/>
  <c r="D1548" i="25"/>
  <c r="C1549" i="25" s="1"/>
  <c r="A1555" i="25"/>
  <c r="B1555" i="25" s="1"/>
  <c r="F1549" i="39" l="1"/>
  <c r="E1549" i="39"/>
  <c r="D1550" i="39" s="1"/>
  <c r="C1553" i="39"/>
  <c r="A1554" i="39"/>
  <c r="B1554" i="39" s="1"/>
  <c r="B1556" i="30"/>
  <c r="A1557" i="30"/>
  <c r="D1554" i="30"/>
  <c r="C1555" i="30" s="1"/>
  <c r="E1554" i="30"/>
  <c r="D1549" i="25"/>
  <c r="C1550" i="25" s="1"/>
  <c r="E1549" i="25"/>
  <c r="A1556" i="25"/>
  <c r="B1556" i="25" s="1"/>
  <c r="E1550" i="39" l="1"/>
  <c r="D1551" i="39" s="1"/>
  <c r="F1550" i="39"/>
  <c r="C1554" i="39"/>
  <c r="A1555" i="39"/>
  <c r="B1555" i="39" s="1"/>
  <c r="B1557" i="30"/>
  <c r="A1558" i="30"/>
  <c r="D1555" i="30"/>
  <c r="C1556" i="30" s="1"/>
  <c r="E1555" i="30"/>
  <c r="E1550" i="25"/>
  <c r="D1550" i="25"/>
  <c r="C1551" i="25" s="1"/>
  <c r="A1557" i="25"/>
  <c r="B1557" i="25" s="1"/>
  <c r="E1551" i="39" l="1"/>
  <c r="D1552" i="39" s="1"/>
  <c r="F1551" i="39"/>
  <c r="C1555" i="39"/>
  <c r="A1556" i="39"/>
  <c r="B1556" i="39" s="1"/>
  <c r="B1558" i="30"/>
  <c r="A1559" i="30"/>
  <c r="D1556" i="30"/>
  <c r="C1557" i="30" s="1"/>
  <c r="E1556" i="30"/>
  <c r="D1551" i="25"/>
  <c r="C1552" i="25" s="1"/>
  <c r="E1551" i="25"/>
  <c r="A1558" i="25"/>
  <c r="B1558" i="25" s="1"/>
  <c r="E1552" i="39" l="1"/>
  <c r="D1553" i="39" s="1"/>
  <c r="F1552" i="39"/>
  <c r="C1556" i="39"/>
  <c r="A1557" i="39"/>
  <c r="B1557" i="39" s="1"/>
  <c r="B1559" i="30"/>
  <c r="A1560" i="30"/>
  <c r="D1557" i="30"/>
  <c r="C1558" i="30" s="1"/>
  <c r="E1557" i="30"/>
  <c r="D1552" i="25"/>
  <c r="C1553" i="25" s="1"/>
  <c r="E1552" i="25"/>
  <c r="A1559" i="25"/>
  <c r="B1559" i="25" s="1"/>
  <c r="F1553" i="39" l="1"/>
  <c r="E1553" i="39"/>
  <c r="D1554" i="39" s="1"/>
  <c r="C1557" i="39"/>
  <c r="A1558" i="39"/>
  <c r="B1558" i="39" s="1"/>
  <c r="B1560" i="30"/>
  <c r="A1561" i="30"/>
  <c r="D1558" i="30"/>
  <c r="C1559" i="30" s="1"/>
  <c r="E1558" i="30"/>
  <c r="D1553" i="25"/>
  <c r="C1554" i="25" s="1"/>
  <c r="E1553" i="25"/>
  <c r="A1560" i="25"/>
  <c r="B1560" i="25" s="1"/>
  <c r="E1554" i="39" l="1"/>
  <c r="D1555" i="39" s="1"/>
  <c r="F1554" i="39"/>
  <c r="C1558" i="39"/>
  <c r="A1559" i="39"/>
  <c r="B1559" i="39" s="1"/>
  <c r="B1561" i="30"/>
  <c r="A1562" i="30"/>
  <c r="D1559" i="30"/>
  <c r="C1560" i="30" s="1"/>
  <c r="E1559" i="30"/>
  <c r="D1554" i="25"/>
  <c r="C1555" i="25" s="1"/>
  <c r="E1554" i="25"/>
  <c r="A1561" i="25"/>
  <c r="B1561" i="25" s="1"/>
  <c r="E1555" i="39" l="1"/>
  <c r="D1556" i="39" s="1"/>
  <c r="F1555" i="39"/>
  <c r="C1559" i="39"/>
  <c r="A1560" i="39"/>
  <c r="B1560" i="39" s="1"/>
  <c r="B1562" i="30"/>
  <c r="A1563" i="30"/>
  <c r="D1560" i="30"/>
  <c r="C1561" i="30" s="1"/>
  <c r="E1560" i="30"/>
  <c r="D1555" i="25"/>
  <c r="C1556" i="25" s="1"/>
  <c r="E1555" i="25"/>
  <c r="A1562" i="25"/>
  <c r="B1562" i="25" s="1"/>
  <c r="E1556" i="39" l="1"/>
  <c r="D1557" i="39" s="1"/>
  <c r="F1556" i="39"/>
  <c r="C1560" i="39"/>
  <c r="A1561" i="39"/>
  <c r="B1561" i="39" s="1"/>
  <c r="B1563" i="30"/>
  <c r="A1564" i="30"/>
  <c r="D1561" i="30"/>
  <c r="C1562" i="30" s="1"/>
  <c r="E1561" i="30"/>
  <c r="D1556" i="25"/>
  <c r="C1557" i="25" s="1"/>
  <c r="E1556" i="25"/>
  <c r="A1563" i="25"/>
  <c r="B1563" i="25" s="1"/>
  <c r="F1557" i="39" l="1"/>
  <c r="E1557" i="39"/>
  <c r="D1558" i="39" s="1"/>
  <c r="C1561" i="39"/>
  <c r="A1562" i="39"/>
  <c r="B1562" i="39" s="1"/>
  <c r="B1564" i="30"/>
  <c r="A1565" i="30"/>
  <c r="D1562" i="30"/>
  <c r="C1563" i="30" s="1"/>
  <c r="E1562" i="30"/>
  <c r="D1557" i="25"/>
  <c r="C1558" i="25" s="1"/>
  <c r="E1557" i="25"/>
  <c r="A1564" i="25"/>
  <c r="B1564" i="25" s="1"/>
  <c r="E1558" i="39" l="1"/>
  <c r="D1559" i="39" s="1"/>
  <c r="F1558" i="39"/>
  <c r="C1562" i="39"/>
  <c r="A1563" i="39"/>
  <c r="B1563" i="39" s="1"/>
  <c r="B1565" i="30"/>
  <c r="A1566" i="30"/>
  <c r="D1563" i="30"/>
  <c r="C1564" i="30" s="1"/>
  <c r="E1563" i="30"/>
  <c r="D1558" i="25"/>
  <c r="C1559" i="25" s="1"/>
  <c r="E1558" i="25"/>
  <c r="A1565" i="25"/>
  <c r="B1565" i="25" s="1"/>
  <c r="E1559" i="39" l="1"/>
  <c r="D1560" i="39" s="1"/>
  <c r="F1559" i="39"/>
  <c r="C1563" i="39"/>
  <c r="A1564" i="39"/>
  <c r="B1564" i="39" s="1"/>
  <c r="B1566" i="30"/>
  <c r="A1567" i="30"/>
  <c r="D1564" i="30"/>
  <c r="C1565" i="30" s="1"/>
  <c r="E1564" i="30"/>
  <c r="D1559" i="25"/>
  <c r="C1560" i="25" s="1"/>
  <c r="E1559" i="25"/>
  <c r="A1566" i="25"/>
  <c r="B1566" i="25" s="1"/>
  <c r="E1560" i="39" l="1"/>
  <c r="D1561" i="39" s="1"/>
  <c r="F1560" i="39"/>
  <c r="C1564" i="39"/>
  <c r="A1565" i="39"/>
  <c r="B1565" i="39" s="1"/>
  <c r="B1567" i="30"/>
  <c r="A1568" i="30"/>
  <c r="D1565" i="30"/>
  <c r="C1566" i="30" s="1"/>
  <c r="E1565" i="30"/>
  <c r="D1560" i="25"/>
  <c r="C1561" i="25" s="1"/>
  <c r="E1560" i="25"/>
  <c r="A1567" i="25"/>
  <c r="B1567" i="25" s="1"/>
  <c r="F1561" i="39" l="1"/>
  <c r="E1561" i="39"/>
  <c r="D1562" i="39" s="1"/>
  <c r="C1565" i="39"/>
  <c r="A1566" i="39"/>
  <c r="B1566" i="39" s="1"/>
  <c r="B1568" i="30"/>
  <c r="A1569" i="30"/>
  <c r="D1566" i="30"/>
  <c r="C1567" i="30" s="1"/>
  <c r="E1566" i="30"/>
  <c r="D1561" i="25"/>
  <c r="C1562" i="25" s="1"/>
  <c r="E1561" i="25"/>
  <c r="A1568" i="25"/>
  <c r="B1568" i="25" s="1"/>
  <c r="F1562" i="39" l="1"/>
  <c r="E1562" i="39"/>
  <c r="D1563" i="39" s="1"/>
  <c r="C1566" i="39"/>
  <c r="A1567" i="39"/>
  <c r="B1567" i="39" s="1"/>
  <c r="B1569" i="30"/>
  <c r="A1570" i="30"/>
  <c r="D1567" i="30"/>
  <c r="C1568" i="30" s="1"/>
  <c r="E1567" i="30"/>
  <c r="D1562" i="25"/>
  <c r="C1563" i="25" s="1"/>
  <c r="E1562" i="25"/>
  <c r="A1569" i="25"/>
  <c r="B1569" i="25" s="1"/>
  <c r="E1563" i="39" l="1"/>
  <c r="D1564" i="39" s="1"/>
  <c r="F1563" i="39"/>
  <c r="C1567" i="39"/>
  <c r="A1568" i="39"/>
  <c r="B1568" i="39" s="1"/>
  <c r="B1570" i="30"/>
  <c r="A1571" i="30"/>
  <c r="D1568" i="30"/>
  <c r="C1569" i="30" s="1"/>
  <c r="E1568" i="30"/>
  <c r="D1563" i="25"/>
  <c r="C1564" i="25" s="1"/>
  <c r="E1563" i="25"/>
  <c r="A1570" i="25"/>
  <c r="B1570" i="25" s="1"/>
  <c r="F1564" i="39" l="1"/>
  <c r="E1564" i="39"/>
  <c r="D1565" i="39" s="1"/>
  <c r="C1568" i="39"/>
  <c r="A1569" i="39"/>
  <c r="B1569" i="39" s="1"/>
  <c r="B1571" i="30"/>
  <c r="A1572" i="30"/>
  <c r="D1569" i="30"/>
  <c r="C1570" i="30" s="1"/>
  <c r="E1569" i="30"/>
  <c r="D1564" i="25"/>
  <c r="C1565" i="25" s="1"/>
  <c r="E1564" i="25"/>
  <c r="A1571" i="25"/>
  <c r="B1571" i="25" s="1"/>
  <c r="E1565" i="39" l="1"/>
  <c r="D1566" i="39" s="1"/>
  <c r="F1565" i="39"/>
  <c r="C1569" i="39"/>
  <c r="A1570" i="39"/>
  <c r="B1570" i="39" s="1"/>
  <c r="B1572" i="30"/>
  <c r="A1573" i="30"/>
  <c r="D1570" i="30"/>
  <c r="C1571" i="30" s="1"/>
  <c r="E1570" i="30"/>
  <c r="D1565" i="25"/>
  <c r="C1566" i="25" s="1"/>
  <c r="E1565" i="25"/>
  <c r="A1572" i="25"/>
  <c r="B1572" i="25" s="1"/>
  <c r="F1566" i="39" l="1"/>
  <c r="E1566" i="39"/>
  <c r="D1567" i="39" s="1"/>
  <c r="C1570" i="39"/>
  <c r="A1571" i="39"/>
  <c r="B1571" i="39" s="1"/>
  <c r="B1573" i="30"/>
  <c r="A1574" i="30"/>
  <c r="D1571" i="30"/>
  <c r="C1572" i="30" s="1"/>
  <c r="E1571" i="30"/>
  <c r="D1566" i="25"/>
  <c r="C1567" i="25" s="1"/>
  <c r="E1566" i="25"/>
  <c r="A1573" i="25"/>
  <c r="B1573" i="25" s="1"/>
  <c r="E1567" i="39" l="1"/>
  <c r="D1568" i="39" s="1"/>
  <c r="F1567" i="39"/>
  <c r="C1571" i="39"/>
  <c r="A1572" i="39"/>
  <c r="B1572" i="39" s="1"/>
  <c r="B1574" i="30"/>
  <c r="A1575" i="30"/>
  <c r="D1572" i="30"/>
  <c r="C1573" i="30" s="1"/>
  <c r="E1572" i="30"/>
  <c r="D1567" i="25"/>
  <c r="C1568" i="25" s="1"/>
  <c r="E1567" i="25"/>
  <c r="A1574" i="25"/>
  <c r="B1574" i="25" s="1"/>
  <c r="E1568" i="39" l="1"/>
  <c r="D1569" i="39" s="1"/>
  <c r="F1568" i="39"/>
  <c r="C1572" i="39"/>
  <c r="A1573" i="39"/>
  <c r="B1573" i="39" s="1"/>
  <c r="B1575" i="30"/>
  <c r="A1576" i="30"/>
  <c r="D1573" i="30"/>
  <c r="C1574" i="30" s="1"/>
  <c r="E1573" i="30"/>
  <c r="D1568" i="25"/>
  <c r="C1569" i="25" s="1"/>
  <c r="E1568" i="25"/>
  <c r="A1575" i="25"/>
  <c r="B1575" i="25" s="1"/>
  <c r="F1569" i="39" l="1"/>
  <c r="E1569" i="39"/>
  <c r="D1570" i="39" s="1"/>
  <c r="C1573" i="39"/>
  <c r="A1574" i="39"/>
  <c r="B1574" i="39" s="1"/>
  <c r="B1576" i="30"/>
  <c r="A1577" i="30"/>
  <c r="D1574" i="30"/>
  <c r="C1575" i="30" s="1"/>
  <c r="E1574" i="30"/>
  <c r="D1569" i="25"/>
  <c r="C1570" i="25" s="1"/>
  <c r="E1569" i="25"/>
  <c r="A1576" i="25"/>
  <c r="B1576" i="25" s="1"/>
  <c r="F1570" i="39" l="1"/>
  <c r="E1570" i="39"/>
  <c r="D1571" i="39" s="1"/>
  <c r="C1574" i="39"/>
  <c r="A1575" i="39"/>
  <c r="B1575" i="39" s="1"/>
  <c r="B1577" i="30"/>
  <c r="A1578" i="30"/>
  <c r="D1575" i="30"/>
  <c r="C1576" i="30" s="1"/>
  <c r="E1575" i="30"/>
  <c r="D1570" i="25"/>
  <c r="C1571" i="25" s="1"/>
  <c r="E1570" i="25"/>
  <c r="A1577" i="25"/>
  <c r="B1577" i="25" s="1"/>
  <c r="F1571" i="39" l="1"/>
  <c r="E1571" i="39"/>
  <c r="D1572" i="39" s="1"/>
  <c r="C1575" i="39"/>
  <c r="A1576" i="39"/>
  <c r="B1576" i="39" s="1"/>
  <c r="B1578" i="30"/>
  <c r="A1579" i="30"/>
  <c r="D1576" i="30"/>
  <c r="C1577" i="30" s="1"/>
  <c r="E1576" i="30"/>
  <c r="D1571" i="25"/>
  <c r="C1572" i="25" s="1"/>
  <c r="E1571" i="25"/>
  <c r="A1578" i="25"/>
  <c r="B1578" i="25" s="1"/>
  <c r="F1572" i="39" l="1"/>
  <c r="E1572" i="39"/>
  <c r="D1573" i="39" s="1"/>
  <c r="C1576" i="39"/>
  <c r="A1577" i="39"/>
  <c r="B1577" i="39" s="1"/>
  <c r="B1579" i="30"/>
  <c r="A1580" i="30"/>
  <c r="D1577" i="30"/>
  <c r="C1578" i="30" s="1"/>
  <c r="E1577" i="30"/>
  <c r="D1572" i="25"/>
  <c r="C1573" i="25" s="1"/>
  <c r="E1572" i="25"/>
  <c r="A1579" i="25"/>
  <c r="B1579" i="25" s="1"/>
  <c r="E1573" i="39" l="1"/>
  <c r="D1574" i="39" s="1"/>
  <c r="F1573" i="39"/>
  <c r="C1577" i="39"/>
  <c r="A1578" i="39"/>
  <c r="B1578" i="39" s="1"/>
  <c r="B1580" i="30"/>
  <c r="A1581" i="30"/>
  <c r="D1578" i="30"/>
  <c r="C1579" i="30" s="1"/>
  <c r="E1578" i="30"/>
  <c r="D1573" i="25"/>
  <c r="C1574" i="25" s="1"/>
  <c r="E1573" i="25"/>
  <c r="A1580" i="25"/>
  <c r="B1580" i="25" s="1"/>
  <c r="F1574" i="39" l="1"/>
  <c r="E1574" i="39"/>
  <c r="D1575" i="39" s="1"/>
  <c r="C1578" i="39"/>
  <c r="A1579" i="39"/>
  <c r="B1579" i="39" s="1"/>
  <c r="B1581" i="30"/>
  <c r="A1582" i="30"/>
  <c r="D1579" i="30"/>
  <c r="C1580" i="30" s="1"/>
  <c r="E1579" i="30"/>
  <c r="E1574" i="25"/>
  <c r="D1574" i="25"/>
  <c r="C1575" i="25" s="1"/>
  <c r="A1581" i="25"/>
  <c r="B1581" i="25" s="1"/>
  <c r="E1575" i="39" l="1"/>
  <c r="D1576" i="39" s="1"/>
  <c r="F1575" i="39"/>
  <c r="C1579" i="39"/>
  <c r="A1580" i="39"/>
  <c r="B1580" i="39" s="1"/>
  <c r="B1582" i="30"/>
  <c r="A1583" i="30"/>
  <c r="D1580" i="30"/>
  <c r="C1581" i="30" s="1"/>
  <c r="E1580" i="30"/>
  <c r="D1575" i="25"/>
  <c r="C1576" i="25" s="1"/>
  <c r="E1575" i="25"/>
  <c r="A1582" i="25"/>
  <c r="B1582" i="25" s="1"/>
  <c r="F1576" i="39" l="1"/>
  <c r="E1576" i="39"/>
  <c r="D1577" i="39" s="1"/>
  <c r="C1580" i="39"/>
  <c r="A1581" i="39"/>
  <c r="B1581" i="39" s="1"/>
  <c r="B1583" i="30"/>
  <c r="A1584" i="30"/>
  <c r="D1581" i="30"/>
  <c r="C1582" i="30" s="1"/>
  <c r="E1581" i="30"/>
  <c r="D1576" i="25"/>
  <c r="C1577" i="25" s="1"/>
  <c r="E1576" i="25"/>
  <c r="A1583" i="25"/>
  <c r="B1583" i="25" s="1"/>
  <c r="E1577" i="39" l="1"/>
  <c r="D1578" i="39" s="1"/>
  <c r="F1577" i="39"/>
  <c r="C1581" i="39"/>
  <c r="A1582" i="39"/>
  <c r="B1582" i="39" s="1"/>
  <c r="B1584" i="30"/>
  <c r="A1585" i="30"/>
  <c r="D1582" i="30"/>
  <c r="C1583" i="30" s="1"/>
  <c r="E1582" i="30"/>
  <c r="E1577" i="25"/>
  <c r="D1577" i="25"/>
  <c r="C1578" i="25" s="1"/>
  <c r="A1584" i="25"/>
  <c r="B1584" i="25" s="1"/>
  <c r="E1578" i="39" l="1"/>
  <c r="D1579" i="39" s="1"/>
  <c r="F1578" i="39"/>
  <c r="C1582" i="39"/>
  <c r="A1583" i="39"/>
  <c r="B1583" i="39" s="1"/>
  <c r="B1585" i="30"/>
  <c r="A1586" i="30"/>
  <c r="D1583" i="30"/>
  <c r="C1584" i="30" s="1"/>
  <c r="E1583" i="30"/>
  <c r="D1578" i="25"/>
  <c r="C1579" i="25" s="1"/>
  <c r="E1578" i="25"/>
  <c r="A1585" i="25"/>
  <c r="B1585" i="25" s="1"/>
  <c r="E1579" i="39" l="1"/>
  <c r="D1580" i="39" s="1"/>
  <c r="F1579" i="39"/>
  <c r="C1583" i="39"/>
  <c r="A1584" i="39"/>
  <c r="B1584" i="39" s="1"/>
  <c r="B1586" i="30"/>
  <c r="A1587" i="30"/>
  <c r="D1584" i="30"/>
  <c r="C1585" i="30" s="1"/>
  <c r="E1584" i="30"/>
  <c r="D1579" i="25"/>
  <c r="C1580" i="25" s="1"/>
  <c r="E1579" i="25"/>
  <c r="A1586" i="25"/>
  <c r="B1586" i="25" s="1"/>
  <c r="F1580" i="39" l="1"/>
  <c r="E1580" i="39"/>
  <c r="D1581" i="39" s="1"/>
  <c r="C1584" i="39"/>
  <c r="A1585" i="39"/>
  <c r="B1585" i="39" s="1"/>
  <c r="B1587" i="30"/>
  <c r="A1588" i="30"/>
  <c r="D1585" i="30"/>
  <c r="C1586" i="30" s="1"/>
  <c r="E1585" i="30"/>
  <c r="E1580" i="25"/>
  <c r="D1580" i="25"/>
  <c r="C1581" i="25" s="1"/>
  <c r="A1587" i="25"/>
  <c r="B1587" i="25" s="1"/>
  <c r="F1581" i="39" l="1"/>
  <c r="E1581" i="39"/>
  <c r="D1582" i="39" s="1"/>
  <c r="C1585" i="39"/>
  <c r="A1586" i="39"/>
  <c r="B1586" i="39" s="1"/>
  <c r="B1588" i="30"/>
  <c r="A1589" i="30"/>
  <c r="D1586" i="30"/>
  <c r="C1587" i="30" s="1"/>
  <c r="E1586" i="30"/>
  <c r="E1581" i="25"/>
  <c r="D1581" i="25"/>
  <c r="C1582" i="25" s="1"/>
  <c r="A1588" i="25"/>
  <c r="B1588" i="25" s="1"/>
  <c r="F1582" i="39" l="1"/>
  <c r="E1582" i="39"/>
  <c r="D1583" i="39" s="1"/>
  <c r="C1586" i="39"/>
  <c r="A1587" i="39"/>
  <c r="B1587" i="39" s="1"/>
  <c r="B1589" i="30"/>
  <c r="A1590" i="30"/>
  <c r="D1587" i="30"/>
  <c r="C1588" i="30" s="1"/>
  <c r="E1587" i="30"/>
  <c r="D1582" i="25"/>
  <c r="C1583" i="25" s="1"/>
  <c r="E1582" i="25"/>
  <c r="A1589" i="25"/>
  <c r="B1589" i="25" s="1"/>
  <c r="F1583" i="39" l="1"/>
  <c r="E1583" i="39"/>
  <c r="D1584" i="39" s="1"/>
  <c r="C1587" i="39"/>
  <c r="A1588" i="39"/>
  <c r="B1588" i="39" s="1"/>
  <c r="B1590" i="30"/>
  <c r="A1591" i="30"/>
  <c r="D1588" i="30"/>
  <c r="C1589" i="30" s="1"/>
  <c r="E1588" i="30"/>
  <c r="D1583" i="25"/>
  <c r="C1584" i="25" s="1"/>
  <c r="E1583" i="25"/>
  <c r="A1590" i="25"/>
  <c r="B1590" i="25" s="1"/>
  <c r="F1584" i="39" l="1"/>
  <c r="E1584" i="39"/>
  <c r="D1585" i="39" s="1"/>
  <c r="C1588" i="39"/>
  <c r="A1589" i="39"/>
  <c r="B1589" i="39" s="1"/>
  <c r="B1591" i="30"/>
  <c r="A1592" i="30"/>
  <c r="D1589" i="30"/>
  <c r="C1590" i="30" s="1"/>
  <c r="E1589" i="30"/>
  <c r="D1584" i="25"/>
  <c r="C1585" i="25" s="1"/>
  <c r="E1584" i="25"/>
  <c r="A1591" i="25"/>
  <c r="B1591" i="25" s="1"/>
  <c r="F1585" i="39" l="1"/>
  <c r="E1585" i="39"/>
  <c r="D1586" i="39" s="1"/>
  <c r="C1589" i="39"/>
  <c r="A1590" i="39"/>
  <c r="B1590" i="39" s="1"/>
  <c r="B1592" i="30"/>
  <c r="A1593" i="30"/>
  <c r="D1590" i="30"/>
  <c r="C1591" i="30" s="1"/>
  <c r="E1590" i="30"/>
  <c r="E1585" i="25"/>
  <c r="D1585" i="25"/>
  <c r="C1586" i="25" s="1"/>
  <c r="A1592" i="25"/>
  <c r="B1592" i="25" s="1"/>
  <c r="E1586" i="39" l="1"/>
  <c r="D1587" i="39" s="1"/>
  <c r="F1586" i="39"/>
  <c r="C1590" i="39"/>
  <c r="A1591" i="39"/>
  <c r="B1591" i="39" s="1"/>
  <c r="B1593" i="30"/>
  <c r="A1594" i="30"/>
  <c r="D1591" i="30"/>
  <c r="C1592" i="30" s="1"/>
  <c r="E1591" i="30"/>
  <c r="E1586" i="25"/>
  <c r="D1586" i="25"/>
  <c r="C1587" i="25" s="1"/>
  <c r="A1593" i="25"/>
  <c r="B1593" i="25" s="1"/>
  <c r="F1587" i="39" l="1"/>
  <c r="E1587" i="39"/>
  <c r="D1588" i="39" s="1"/>
  <c r="C1591" i="39"/>
  <c r="A1592" i="39"/>
  <c r="B1592" i="39" s="1"/>
  <c r="B1594" i="30"/>
  <c r="A1595" i="30"/>
  <c r="D1592" i="30"/>
  <c r="C1593" i="30" s="1"/>
  <c r="E1592" i="30"/>
  <c r="D1587" i="25"/>
  <c r="C1588" i="25" s="1"/>
  <c r="E1587" i="25"/>
  <c r="A1594" i="25"/>
  <c r="B1594" i="25" s="1"/>
  <c r="E1588" i="39" l="1"/>
  <c r="D1589" i="39" s="1"/>
  <c r="F1588" i="39"/>
  <c r="C1592" i="39"/>
  <c r="A1593" i="39"/>
  <c r="B1593" i="39" s="1"/>
  <c r="B1595" i="30"/>
  <c r="A1596" i="30"/>
  <c r="D1593" i="30"/>
  <c r="C1594" i="30" s="1"/>
  <c r="E1593" i="30"/>
  <c r="D1588" i="25"/>
  <c r="C1589" i="25" s="1"/>
  <c r="E1588" i="25"/>
  <c r="A1595" i="25"/>
  <c r="B1595" i="25" s="1"/>
  <c r="E1589" i="39" l="1"/>
  <c r="D1590" i="39" s="1"/>
  <c r="F1589" i="39"/>
  <c r="C1593" i="39"/>
  <c r="A1594" i="39"/>
  <c r="B1594" i="39" s="1"/>
  <c r="B1596" i="30"/>
  <c r="A1597" i="30"/>
  <c r="D1594" i="30"/>
  <c r="C1595" i="30" s="1"/>
  <c r="E1594" i="30"/>
  <c r="D1589" i="25"/>
  <c r="C1590" i="25" s="1"/>
  <c r="E1589" i="25"/>
  <c r="A1596" i="25"/>
  <c r="B1596" i="25" s="1"/>
  <c r="E1590" i="39" l="1"/>
  <c r="D1591" i="39" s="1"/>
  <c r="F1590" i="39"/>
  <c r="C1594" i="39"/>
  <c r="A1595" i="39"/>
  <c r="B1595" i="39" s="1"/>
  <c r="B1597" i="30"/>
  <c r="A1598" i="30"/>
  <c r="D1595" i="30"/>
  <c r="C1596" i="30" s="1"/>
  <c r="E1595" i="30"/>
  <c r="D1590" i="25"/>
  <c r="C1591" i="25" s="1"/>
  <c r="E1590" i="25"/>
  <c r="A1597" i="25"/>
  <c r="B1597" i="25" s="1"/>
  <c r="F1591" i="39" l="1"/>
  <c r="E1591" i="39"/>
  <c r="D1592" i="39" s="1"/>
  <c r="C1595" i="39"/>
  <c r="A1596" i="39"/>
  <c r="B1596" i="39" s="1"/>
  <c r="B1598" i="30"/>
  <c r="A1599" i="30"/>
  <c r="D1596" i="30"/>
  <c r="C1597" i="30" s="1"/>
  <c r="E1596" i="30"/>
  <c r="D1591" i="25"/>
  <c r="C1592" i="25" s="1"/>
  <c r="E1591" i="25"/>
  <c r="A1598" i="25"/>
  <c r="B1598" i="25" s="1"/>
  <c r="F1592" i="39" l="1"/>
  <c r="E1592" i="39"/>
  <c r="D1593" i="39" s="1"/>
  <c r="C1596" i="39"/>
  <c r="A1597" i="39"/>
  <c r="B1597" i="39" s="1"/>
  <c r="B1599" i="30"/>
  <c r="A1600" i="30"/>
  <c r="D1597" i="30"/>
  <c r="C1598" i="30" s="1"/>
  <c r="E1597" i="30"/>
  <c r="D1592" i="25"/>
  <c r="C1593" i="25" s="1"/>
  <c r="E1592" i="25"/>
  <c r="A1599" i="25"/>
  <c r="B1599" i="25" s="1"/>
  <c r="F1593" i="39" l="1"/>
  <c r="E1593" i="39"/>
  <c r="D1594" i="39" s="1"/>
  <c r="C1597" i="39"/>
  <c r="A1598" i="39"/>
  <c r="B1598" i="39" s="1"/>
  <c r="B1600" i="30"/>
  <c r="A1601" i="30"/>
  <c r="D1598" i="30"/>
  <c r="C1599" i="30" s="1"/>
  <c r="E1598" i="30"/>
  <c r="D1593" i="25"/>
  <c r="C1594" i="25" s="1"/>
  <c r="E1593" i="25"/>
  <c r="A1600" i="25"/>
  <c r="B1600" i="25" s="1"/>
  <c r="F1594" i="39" l="1"/>
  <c r="E1594" i="39"/>
  <c r="D1595" i="39" s="1"/>
  <c r="C1598" i="39"/>
  <c r="A1599" i="39"/>
  <c r="B1599" i="39" s="1"/>
  <c r="B1601" i="30"/>
  <c r="A1602" i="30"/>
  <c r="D1599" i="30"/>
  <c r="C1600" i="30" s="1"/>
  <c r="E1599" i="30"/>
  <c r="D1594" i="25"/>
  <c r="C1595" i="25" s="1"/>
  <c r="E1594" i="25"/>
  <c r="A1601" i="25"/>
  <c r="B1601" i="25" s="1"/>
  <c r="E1595" i="39" l="1"/>
  <c r="D1596" i="39" s="1"/>
  <c r="F1595" i="39"/>
  <c r="C1599" i="39"/>
  <c r="A1600" i="39"/>
  <c r="B1600" i="39" s="1"/>
  <c r="B1602" i="30"/>
  <c r="A1603" i="30"/>
  <c r="D1600" i="30"/>
  <c r="C1601" i="30" s="1"/>
  <c r="E1600" i="30"/>
  <c r="D1595" i="25"/>
  <c r="C1596" i="25" s="1"/>
  <c r="E1595" i="25"/>
  <c r="A1602" i="25"/>
  <c r="B1602" i="25" s="1"/>
  <c r="E1596" i="39" l="1"/>
  <c r="D1597" i="39" s="1"/>
  <c r="F1596" i="39"/>
  <c r="C1600" i="39"/>
  <c r="A1601" i="39"/>
  <c r="B1601" i="39" s="1"/>
  <c r="B1603" i="30"/>
  <c r="A1604" i="30"/>
  <c r="D1601" i="30"/>
  <c r="C1602" i="30" s="1"/>
  <c r="E1601" i="30"/>
  <c r="D1596" i="25"/>
  <c r="C1597" i="25" s="1"/>
  <c r="E1596" i="25"/>
  <c r="A1603" i="25"/>
  <c r="B1603" i="25" s="1"/>
  <c r="F1597" i="39" l="1"/>
  <c r="E1597" i="39"/>
  <c r="D1598" i="39" s="1"/>
  <c r="C1601" i="39"/>
  <c r="A1602" i="39"/>
  <c r="B1602" i="39" s="1"/>
  <c r="B1604" i="30"/>
  <c r="A1605" i="30"/>
  <c r="D1602" i="30"/>
  <c r="C1603" i="30" s="1"/>
  <c r="E1602" i="30"/>
  <c r="D1597" i="25"/>
  <c r="C1598" i="25" s="1"/>
  <c r="E1597" i="25"/>
  <c r="A1604" i="25"/>
  <c r="B1604" i="25" s="1"/>
  <c r="E1598" i="39" l="1"/>
  <c r="D1599" i="39" s="1"/>
  <c r="F1598" i="39"/>
  <c r="C1602" i="39"/>
  <c r="A1603" i="39"/>
  <c r="B1603" i="39" s="1"/>
  <c r="B1605" i="30"/>
  <c r="A1606" i="30"/>
  <c r="D1603" i="30"/>
  <c r="C1604" i="30" s="1"/>
  <c r="E1603" i="30"/>
  <c r="D1598" i="25"/>
  <c r="C1599" i="25" s="1"/>
  <c r="E1598" i="25"/>
  <c r="A1605" i="25"/>
  <c r="B1605" i="25" s="1"/>
  <c r="E1599" i="39" l="1"/>
  <c r="D1600" i="39" s="1"/>
  <c r="F1599" i="39"/>
  <c r="C1603" i="39"/>
  <c r="A1604" i="39"/>
  <c r="B1604" i="39" s="1"/>
  <c r="B1606" i="30"/>
  <c r="A1607" i="30"/>
  <c r="D1604" i="30"/>
  <c r="C1605" i="30" s="1"/>
  <c r="E1604" i="30"/>
  <c r="D1599" i="25"/>
  <c r="C1600" i="25" s="1"/>
  <c r="E1599" i="25"/>
  <c r="A1606" i="25"/>
  <c r="B1606" i="25" s="1"/>
  <c r="E1600" i="39" l="1"/>
  <c r="D1601" i="39" s="1"/>
  <c r="F1600" i="39"/>
  <c r="C1604" i="39"/>
  <c r="A1605" i="39"/>
  <c r="B1605" i="39" s="1"/>
  <c r="B1607" i="30"/>
  <c r="A1608" i="30"/>
  <c r="D1605" i="30"/>
  <c r="C1606" i="30" s="1"/>
  <c r="E1605" i="30"/>
  <c r="D1600" i="25"/>
  <c r="C1601" i="25" s="1"/>
  <c r="E1600" i="25"/>
  <c r="A1607" i="25"/>
  <c r="B1607" i="25" s="1"/>
  <c r="F1601" i="39" l="1"/>
  <c r="E1601" i="39"/>
  <c r="D1602" i="39" s="1"/>
  <c r="C1605" i="39"/>
  <c r="A1606" i="39"/>
  <c r="B1606" i="39" s="1"/>
  <c r="B1608" i="30"/>
  <c r="A1609" i="30"/>
  <c r="D1606" i="30"/>
  <c r="C1607" i="30" s="1"/>
  <c r="E1606" i="30"/>
  <c r="D1601" i="25"/>
  <c r="C1602" i="25" s="1"/>
  <c r="E1601" i="25"/>
  <c r="A1608" i="25"/>
  <c r="B1608" i="25" s="1"/>
  <c r="E1602" i="39" l="1"/>
  <c r="D1603" i="39" s="1"/>
  <c r="F1602" i="39"/>
  <c r="C1606" i="39"/>
  <c r="A1607" i="39"/>
  <c r="B1607" i="39" s="1"/>
  <c r="B1609" i="30"/>
  <c r="A1610" i="30"/>
  <c r="D1607" i="30"/>
  <c r="C1608" i="30" s="1"/>
  <c r="E1607" i="30"/>
  <c r="D1602" i="25"/>
  <c r="C1603" i="25" s="1"/>
  <c r="E1602" i="25"/>
  <c r="A1609" i="25"/>
  <c r="B1609" i="25" s="1"/>
  <c r="F1603" i="39" l="1"/>
  <c r="E1603" i="39"/>
  <c r="D1604" i="39" s="1"/>
  <c r="C1607" i="39"/>
  <c r="A1608" i="39"/>
  <c r="B1608" i="39" s="1"/>
  <c r="B1610" i="30"/>
  <c r="A1611" i="30"/>
  <c r="D1608" i="30"/>
  <c r="C1609" i="30" s="1"/>
  <c r="E1608" i="30"/>
  <c r="D1603" i="25"/>
  <c r="C1604" i="25" s="1"/>
  <c r="E1603" i="25"/>
  <c r="A1610" i="25"/>
  <c r="B1610" i="25" s="1"/>
  <c r="F1604" i="39" l="1"/>
  <c r="E1604" i="39"/>
  <c r="D1605" i="39" s="1"/>
  <c r="C1608" i="39"/>
  <c r="A1609" i="39"/>
  <c r="B1609" i="39" s="1"/>
  <c r="B1611" i="30"/>
  <c r="A1612" i="30"/>
  <c r="D1609" i="30"/>
  <c r="C1610" i="30" s="1"/>
  <c r="E1609" i="30"/>
  <c r="D1604" i="25"/>
  <c r="C1605" i="25" s="1"/>
  <c r="E1604" i="25"/>
  <c r="A1611" i="25"/>
  <c r="B1611" i="25" s="1"/>
  <c r="E1605" i="39" l="1"/>
  <c r="D1606" i="39" s="1"/>
  <c r="F1605" i="39"/>
  <c r="C1609" i="39"/>
  <c r="A1610" i="39"/>
  <c r="B1610" i="39" s="1"/>
  <c r="B1612" i="30"/>
  <c r="A1613" i="30"/>
  <c r="D1610" i="30"/>
  <c r="C1611" i="30" s="1"/>
  <c r="E1610" i="30"/>
  <c r="E1605" i="25"/>
  <c r="D1605" i="25"/>
  <c r="C1606" i="25" s="1"/>
  <c r="A1612" i="25"/>
  <c r="B1612" i="25" s="1"/>
  <c r="E1606" i="39" l="1"/>
  <c r="D1607" i="39" s="1"/>
  <c r="F1606" i="39"/>
  <c r="C1610" i="39"/>
  <c r="A1611" i="39"/>
  <c r="B1611" i="39" s="1"/>
  <c r="B1613" i="30"/>
  <c r="A1614" i="30"/>
  <c r="D1611" i="30"/>
  <c r="C1612" i="30" s="1"/>
  <c r="E1611" i="30"/>
  <c r="D1606" i="25"/>
  <c r="C1607" i="25" s="1"/>
  <c r="E1606" i="25"/>
  <c r="A1613" i="25"/>
  <c r="B1613" i="25" s="1"/>
  <c r="F1607" i="39" l="1"/>
  <c r="E1607" i="39"/>
  <c r="D1608" i="39" s="1"/>
  <c r="C1611" i="39"/>
  <c r="A1612" i="39"/>
  <c r="B1612" i="39" s="1"/>
  <c r="B1614" i="30"/>
  <c r="A1615" i="30"/>
  <c r="D1612" i="30"/>
  <c r="C1613" i="30" s="1"/>
  <c r="E1612" i="30"/>
  <c r="E1607" i="25"/>
  <c r="D1607" i="25"/>
  <c r="C1608" i="25" s="1"/>
  <c r="A1614" i="25"/>
  <c r="B1614" i="25" s="1"/>
  <c r="E1608" i="39" l="1"/>
  <c r="D1609" i="39" s="1"/>
  <c r="F1608" i="39"/>
  <c r="C1612" i="39"/>
  <c r="A1613" i="39"/>
  <c r="B1613" i="39" s="1"/>
  <c r="B1615" i="30"/>
  <c r="A1616" i="30"/>
  <c r="D1613" i="30"/>
  <c r="C1614" i="30" s="1"/>
  <c r="E1613" i="30"/>
  <c r="E1608" i="25"/>
  <c r="D1608" i="25"/>
  <c r="C1609" i="25" s="1"/>
  <c r="A1615" i="25"/>
  <c r="B1615" i="25" s="1"/>
  <c r="F1609" i="39" l="1"/>
  <c r="E1609" i="39"/>
  <c r="D1610" i="39" s="1"/>
  <c r="C1613" i="39"/>
  <c r="A1614" i="39"/>
  <c r="B1614" i="39" s="1"/>
  <c r="B1616" i="30"/>
  <c r="A1617" i="30"/>
  <c r="D1614" i="30"/>
  <c r="C1615" i="30" s="1"/>
  <c r="E1614" i="30"/>
  <c r="D1609" i="25"/>
  <c r="C1610" i="25" s="1"/>
  <c r="E1609" i="25"/>
  <c r="A1616" i="25"/>
  <c r="B1616" i="25" s="1"/>
  <c r="F1610" i="39" l="1"/>
  <c r="E1610" i="39"/>
  <c r="D1611" i="39" s="1"/>
  <c r="C1614" i="39"/>
  <c r="A1615" i="39"/>
  <c r="B1615" i="39" s="1"/>
  <c r="B1617" i="30"/>
  <c r="A1618" i="30"/>
  <c r="D1615" i="30"/>
  <c r="C1616" i="30" s="1"/>
  <c r="E1615" i="30"/>
  <c r="D1610" i="25"/>
  <c r="C1611" i="25" s="1"/>
  <c r="E1610" i="25"/>
  <c r="A1617" i="25"/>
  <c r="B1617" i="25" s="1"/>
  <c r="F1611" i="39" l="1"/>
  <c r="E1611" i="39"/>
  <c r="D1612" i="39" s="1"/>
  <c r="C1615" i="39"/>
  <c r="A1616" i="39"/>
  <c r="B1616" i="39" s="1"/>
  <c r="B1618" i="30"/>
  <c r="A1619" i="30"/>
  <c r="D1616" i="30"/>
  <c r="C1617" i="30" s="1"/>
  <c r="E1616" i="30"/>
  <c r="E1611" i="25"/>
  <c r="D1611" i="25"/>
  <c r="C1612" i="25" s="1"/>
  <c r="A1618" i="25"/>
  <c r="B1618" i="25" s="1"/>
  <c r="E1612" i="39" l="1"/>
  <c r="D1613" i="39" s="1"/>
  <c r="F1612" i="39"/>
  <c r="C1616" i="39"/>
  <c r="A1617" i="39"/>
  <c r="B1617" i="39" s="1"/>
  <c r="B1619" i="30"/>
  <c r="A1620" i="30"/>
  <c r="D1617" i="30"/>
  <c r="C1618" i="30" s="1"/>
  <c r="E1617" i="30"/>
  <c r="D1612" i="25"/>
  <c r="C1613" i="25" s="1"/>
  <c r="E1612" i="25"/>
  <c r="A1619" i="25"/>
  <c r="B1619" i="25" s="1"/>
  <c r="F1613" i="39" l="1"/>
  <c r="E1613" i="39"/>
  <c r="D1614" i="39" s="1"/>
  <c r="C1617" i="39"/>
  <c r="A1618" i="39"/>
  <c r="B1618" i="39" s="1"/>
  <c r="B1620" i="30"/>
  <c r="A1621" i="30"/>
  <c r="D1618" i="30"/>
  <c r="C1619" i="30" s="1"/>
  <c r="E1618" i="30"/>
  <c r="D1613" i="25"/>
  <c r="C1614" i="25" s="1"/>
  <c r="E1613" i="25"/>
  <c r="A1620" i="25"/>
  <c r="B1620" i="25" s="1"/>
  <c r="E1614" i="39" l="1"/>
  <c r="D1615" i="39" s="1"/>
  <c r="F1614" i="39"/>
  <c r="C1618" i="39"/>
  <c r="A1619" i="39"/>
  <c r="B1619" i="39" s="1"/>
  <c r="B1621" i="30"/>
  <c r="A1622" i="30"/>
  <c r="D1619" i="30"/>
  <c r="C1620" i="30" s="1"/>
  <c r="E1619" i="30"/>
  <c r="E1614" i="25"/>
  <c r="D1614" i="25"/>
  <c r="C1615" i="25" s="1"/>
  <c r="A1621" i="25"/>
  <c r="B1621" i="25" s="1"/>
  <c r="E1615" i="39" l="1"/>
  <c r="D1616" i="39" s="1"/>
  <c r="F1615" i="39"/>
  <c r="C1619" i="39"/>
  <c r="A1620" i="39"/>
  <c r="B1620" i="39" s="1"/>
  <c r="B1622" i="30"/>
  <c r="A1623" i="30"/>
  <c r="D1620" i="30"/>
  <c r="C1621" i="30" s="1"/>
  <c r="E1620" i="30"/>
  <c r="E1615" i="25"/>
  <c r="D1615" i="25"/>
  <c r="C1616" i="25" s="1"/>
  <c r="A1622" i="25"/>
  <c r="B1622" i="25" s="1"/>
  <c r="E1616" i="39" l="1"/>
  <c r="D1617" i="39" s="1"/>
  <c r="F1616" i="39"/>
  <c r="C1620" i="39"/>
  <c r="A1621" i="39"/>
  <c r="B1621" i="39" s="1"/>
  <c r="B1623" i="30"/>
  <c r="A1624" i="30"/>
  <c r="D1621" i="30"/>
  <c r="C1622" i="30" s="1"/>
  <c r="E1621" i="30"/>
  <c r="D1616" i="25"/>
  <c r="C1617" i="25" s="1"/>
  <c r="E1616" i="25"/>
  <c r="A1623" i="25"/>
  <c r="B1623" i="25" s="1"/>
  <c r="E1617" i="39" l="1"/>
  <c r="D1618" i="39" s="1"/>
  <c r="F1617" i="39"/>
  <c r="C1621" i="39"/>
  <c r="A1622" i="39"/>
  <c r="B1622" i="39" s="1"/>
  <c r="B1624" i="30"/>
  <c r="A1625" i="30"/>
  <c r="D1622" i="30"/>
  <c r="C1623" i="30" s="1"/>
  <c r="E1622" i="30"/>
  <c r="D1617" i="25"/>
  <c r="C1618" i="25" s="1"/>
  <c r="E1617" i="25"/>
  <c r="A1624" i="25"/>
  <c r="B1624" i="25" s="1"/>
  <c r="E1618" i="39" l="1"/>
  <c r="D1619" i="39" s="1"/>
  <c r="F1618" i="39"/>
  <c r="C1622" i="39"/>
  <c r="A1623" i="39"/>
  <c r="B1623" i="39" s="1"/>
  <c r="B1625" i="30"/>
  <c r="A1626" i="30"/>
  <c r="D1623" i="30"/>
  <c r="C1624" i="30" s="1"/>
  <c r="E1623" i="30"/>
  <c r="E1618" i="25"/>
  <c r="D1618" i="25"/>
  <c r="C1619" i="25" s="1"/>
  <c r="A1625" i="25"/>
  <c r="B1625" i="25" s="1"/>
  <c r="F1619" i="39" l="1"/>
  <c r="E1619" i="39"/>
  <c r="D1620" i="39" s="1"/>
  <c r="C1623" i="39"/>
  <c r="A1624" i="39"/>
  <c r="B1624" i="39" s="1"/>
  <c r="B1626" i="30"/>
  <c r="A1627" i="30"/>
  <c r="D1624" i="30"/>
  <c r="C1625" i="30" s="1"/>
  <c r="E1624" i="30"/>
  <c r="D1619" i="25"/>
  <c r="C1620" i="25" s="1"/>
  <c r="E1619" i="25"/>
  <c r="A1626" i="25"/>
  <c r="B1626" i="25" s="1"/>
  <c r="F1620" i="39" l="1"/>
  <c r="E1620" i="39"/>
  <c r="D1621" i="39" s="1"/>
  <c r="C1624" i="39"/>
  <c r="A1625" i="39"/>
  <c r="B1625" i="39" s="1"/>
  <c r="B1627" i="30"/>
  <c r="A1628" i="30"/>
  <c r="D1625" i="30"/>
  <c r="C1626" i="30" s="1"/>
  <c r="E1625" i="30"/>
  <c r="D1620" i="25"/>
  <c r="C1621" i="25" s="1"/>
  <c r="E1620" i="25"/>
  <c r="A1627" i="25"/>
  <c r="B1627" i="25" s="1"/>
  <c r="F1621" i="39" l="1"/>
  <c r="E1621" i="39"/>
  <c r="D1622" i="39" s="1"/>
  <c r="C1625" i="39"/>
  <c r="A1626" i="39"/>
  <c r="B1626" i="39" s="1"/>
  <c r="B1628" i="30"/>
  <c r="A1629" i="30"/>
  <c r="D1626" i="30"/>
  <c r="C1627" i="30" s="1"/>
  <c r="E1626" i="30"/>
  <c r="D1621" i="25"/>
  <c r="C1622" i="25" s="1"/>
  <c r="E1621" i="25"/>
  <c r="A1628" i="25"/>
  <c r="B1628" i="25" s="1"/>
  <c r="F1622" i="39" l="1"/>
  <c r="E1622" i="39"/>
  <c r="D1623" i="39" s="1"/>
  <c r="C1626" i="39"/>
  <c r="A1627" i="39"/>
  <c r="B1627" i="39" s="1"/>
  <c r="B1629" i="30"/>
  <c r="A1630" i="30"/>
  <c r="D1627" i="30"/>
  <c r="C1628" i="30" s="1"/>
  <c r="E1627" i="30"/>
  <c r="D1622" i="25"/>
  <c r="C1623" i="25" s="1"/>
  <c r="E1622" i="25"/>
  <c r="A1629" i="25"/>
  <c r="B1629" i="25" s="1"/>
  <c r="E1623" i="39" l="1"/>
  <c r="D1624" i="39" s="1"/>
  <c r="F1623" i="39"/>
  <c r="C1627" i="39"/>
  <c r="A1628" i="39"/>
  <c r="B1628" i="39" s="1"/>
  <c r="B1630" i="30"/>
  <c r="A1631" i="30"/>
  <c r="D1628" i="30"/>
  <c r="C1629" i="30" s="1"/>
  <c r="E1628" i="30"/>
  <c r="D1623" i="25"/>
  <c r="C1624" i="25" s="1"/>
  <c r="E1623" i="25"/>
  <c r="A1630" i="25"/>
  <c r="B1630" i="25" s="1"/>
  <c r="F1624" i="39" l="1"/>
  <c r="E1624" i="39"/>
  <c r="D1625" i="39" s="1"/>
  <c r="C1628" i="39"/>
  <c r="A1629" i="39"/>
  <c r="B1629" i="39" s="1"/>
  <c r="B1631" i="30"/>
  <c r="A1632" i="30"/>
  <c r="D1629" i="30"/>
  <c r="C1630" i="30" s="1"/>
  <c r="E1629" i="30"/>
  <c r="D1624" i="25"/>
  <c r="C1625" i="25" s="1"/>
  <c r="E1624" i="25"/>
  <c r="A1631" i="25"/>
  <c r="B1631" i="25" s="1"/>
  <c r="F1625" i="39" l="1"/>
  <c r="E1625" i="39"/>
  <c r="D1626" i="39" s="1"/>
  <c r="C1629" i="39"/>
  <c r="A1630" i="39"/>
  <c r="B1630" i="39" s="1"/>
  <c r="B1632" i="30"/>
  <c r="A1633" i="30"/>
  <c r="D1630" i="30"/>
  <c r="C1631" i="30" s="1"/>
  <c r="E1630" i="30"/>
  <c r="D1625" i="25"/>
  <c r="C1626" i="25" s="1"/>
  <c r="E1625" i="25"/>
  <c r="A1632" i="25"/>
  <c r="B1632" i="25" s="1"/>
  <c r="E1626" i="39" l="1"/>
  <c r="D1627" i="39" s="1"/>
  <c r="F1626" i="39"/>
  <c r="C1630" i="39"/>
  <c r="A1631" i="39"/>
  <c r="B1631" i="39" s="1"/>
  <c r="B1633" i="30"/>
  <c r="A1634" i="30"/>
  <c r="D1631" i="30"/>
  <c r="C1632" i="30" s="1"/>
  <c r="E1631" i="30"/>
  <c r="D1626" i="25"/>
  <c r="C1627" i="25" s="1"/>
  <c r="E1626" i="25"/>
  <c r="A1633" i="25"/>
  <c r="B1633" i="25" s="1"/>
  <c r="E1627" i="39" l="1"/>
  <c r="D1628" i="39" s="1"/>
  <c r="F1627" i="39"/>
  <c r="C1631" i="39"/>
  <c r="A1632" i="39"/>
  <c r="B1632" i="39" s="1"/>
  <c r="B1634" i="30"/>
  <c r="A1635" i="30"/>
  <c r="D1632" i="30"/>
  <c r="C1633" i="30" s="1"/>
  <c r="E1632" i="30"/>
  <c r="D1627" i="25"/>
  <c r="C1628" i="25" s="1"/>
  <c r="E1627" i="25"/>
  <c r="A1634" i="25"/>
  <c r="B1634" i="25" s="1"/>
  <c r="F1628" i="39" l="1"/>
  <c r="E1628" i="39"/>
  <c r="D1629" i="39" s="1"/>
  <c r="C1632" i="39"/>
  <c r="A1633" i="39"/>
  <c r="B1633" i="39" s="1"/>
  <c r="B1635" i="30"/>
  <c r="A1636" i="30"/>
  <c r="D1633" i="30"/>
  <c r="C1634" i="30" s="1"/>
  <c r="E1633" i="30"/>
  <c r="D1628" i="25"/>
  <c r="C1629" i="25" s="1"/>
  <c r="E1628" i="25"/>
  <c r="A1635" i="25"/>
  <c r="B1635" i="25" s="1"/>
  <c r="E1629" i="39" l="1"/>
  <c r="D1630" i="39" s="1"/>
  <c r="F1629" i="39"/>
  <c r="C1633" i="39"/>
  <c r="A1634" i="39"/>
  <c r="B1634" i="39" s="1"/>
  <c r="B1636" i="30"/>
  <c r="A1637" i="30"/>
  <c r="D1634" i="30"/>
  <c r="C1635" i="30" s="1"/>
  <c r="E1634" i="30"/>
  <c r="D1629" i="25"/>
  <c r="C1630" i="25" s="1"/>
  <c r="E1629" i="25"/>
  <c r="A1636" i="25"/>
  <c r="B1636" i="25" s="1"/>
  <c r="E1630" i="39" l="1"/>
  <c r="D1631" i="39" s="1"/>
  <c r="F1630" i="39"/>
  <c r="C1634" i="39"/>
  <c r="A1635" i="39"/>
  <c r="B1635" i="39" s="1"/>
  <c r="B1637" i="30"/>
  <c r="A1638" i="30"/>
  <c r="D1635" i="30"/>
  <c r="C1636" i="30" s="1"/>
  <c r="E1635" i="30"/>
  <c r="D1630" i="25"/>
  <c r="C1631" i="25" s="1"/>
  <c r="E1630" i="25"/>
  <c r="A1637" i="25"/>
  <c r="B1637" i="25" s="1"/>
  <c r="E1631" i="39" l="1"/>
  <c r="D1632" i="39" s="1"/>
  <c r="F1631" i="39"/>
  <c r="C1635" i="39"/>
  <c r="A1636" i="39"/>
  <c r="B1636" i="39" s="1"/>
  <c r="B1638" i="30"/>
  <c r="A1639" i="30"/>
  <c r="D1636" i="30"/>
  <c r="C1637" i="30" s="1"/>
  <c r="E1636" i="30"/>
  <c r="D1631" i="25"/>
  <c r="C1632" i="25" s="1"/>
  <c r="E1631" i="25"/>
  <c r="A1638" i="25"/>
  <c r="B1638" i="25" s="1"/>
  <c r="F1632" i="39" l="1"/>
  <c r="E1632" i="39"/>
  <c r="D1633" i="39" s="1"/>
  <c r="C1636" i="39"/>
  <c r="A1637" i="39"/>
  <c r="B1637" i="39" s="1"/>
  <c r="B1639" i="30"/>
  <c r="A1640" i="30"/>
  <c r="D1637" i="30"/>
  <c r="C1638" i="30" s="1"/>
  <c r="E1637" i="30"/>
  <c r="D1632" i="25"/>
  <c r="C1633" i="25" s="1"/>
  <c r="E1632" i="25"/>
  <c r="A1639" i="25"/>
  <c r="B1639" i="25" s="1"/>
  <c r="E1633" i="39" l="1"/>
  <c r="D1634" i="39" s="1"/>
  <c r="F1633" i="39"/>
  <c r="C1637" i="39"/>
  <c r="A1638" i="39"/>
  <c r="B1638" i="39" s="1"/>
  <c r="B1640" i="30"/>
  <c r="A1641" i="30"/>
  <c r="D1638" i="30"/>
  <c r="C1639" i="30" s="1"/>
  <c r="E1638" i="30"/>
  <c r="E1633" i="25"/>
  <c r="D1633" i="25"/>
  <c r="C1634" i="25" s="1"/>
  <c r="A1640" i="25"/>
  <c r="B1640" i="25" s="1"/>
  <c r="E1634" i="39" l="1"/>
  <c r="D1635" i="39" s="1"/>
  <c r="F1634" i="39"/>
  <c r="C1638" i="39"/>
  <c r="A1639" i="39"/>
  <c r="B1639" i="39" s="1"/>
  <c r="B1641" i="30"/>
  <c r="A1642" i="30"/>
  <c r="D1639" i="30"/>
  <c r="C1640" i="30" s="1"/>
  <c r="E1639" i="30"/>
  <c r="D1634" i="25"/>
  <c r="C1635" i="25" s="1"/>
  <c r="E1634" i="25"/>
  <c r="A1641" i="25"/>
  <c r="B1641" i="25" s="1"/>
  <c r="E1635" i="39" l="1"/>
  <c r="D1636" i="39" s="1"/>
  <c r="F1635" i="39"/>
  <c r="C1639" i="39"/>
  <c r="A1640" i="39"/>
  <c r="B1640" i="39" s="1"/>
  <c r="B1642" i="30"/>
  <c r="A1643" i="30"/>
  <c r="D1640" i="30"/>
  <c r="C1641" i="30" s="1"/>
  <c r="E1640" i="30"/>
  <c r="D1635" i="25"/>
  <c r="C1636" i="25" s="1"/>
  <c r="E1635" i="25"/>
  <c r="A1642" i="25"/>
  <c r="B1642" i="25" s="1"/>
  <c r="E1636" i="39" l="1"/>
  <c r="D1637" i="39" s="1"/>
  <c r="F1636" i="39"/>
  <c r="C1640" i="39"/>
  <c r="A1641" i="39"/>
  <c r="B1641" i="39" s="1"/>
  <c r="B1643" i="30"/>
  <c r="A1644" i="30"/>
  <c r="D1641" i="30"/>
  <c r="C1642" i="30" s="1"/>
  <c r="E1641" i="30"/>
  <c r="D1636" i="25"/>
  <c r="C1637" i="25" s="1"/>
  <c r="E1636" i="25"/>
  <c r="A1643" i="25"/>
  <c r="B1643" i="25" s="1"/>
  <c r="F1637" i="39" l="1"/>
  <c r="E1637" i="39"/>
  <c r="D1638" i="39" s="1"/>
  <c r="C1641" i="39"/>
  <c r="A1642" i="39"/>
  <c r="B1642" i="39" s="1"/>
  <c r="B1644" i="30"/>
  <c r="A1645" i="30"/>
  <c r="D1642" i="30"/>
  <c r="C1643" i="30" s="1"/>
  <c r="E1642" i="30"/>
  <c r="D1637" i="25"/>
  <c r="C1638" i="25" s="1"/>
  <c r="E1637" i="25"/>
  <c r="A1644" i="25"/>
  <c r="B1644" i="25" s="1"/>
  <c r="E1638" i="39" l="1"/>
  <c r="D1639" i="39" s="1"/>
  <c r="F1638" i="39"/>
  <c r="C1642" i="39"/>
  <c r="A1643" i="39"/>
  <c r="B1643" i="39" s="1"/>
  <c r="B1645" i="30"/>
  <c r="A1646" i="30"/>
  <c r="D1643" i="30"/>
  <c r="C1644" i="30" s="1"/>
  <c r="E1643" i="30"/>
  <c r="D1638" i="25"/>
  <c r="C1639" i="25" s="1"/>
  <c r="E1638" i="25"/>
  <c r="A1645" i="25"/>
  <c r="B1645" i="25" s="1"/>
  <c r="F1639" i="39" l="1"/>
  <c r="E1639" i="39"/>
  <c r="D1640" i="39" s="1"/>
  <c r="C1643" i="39"/>
  <c r="A1644" i="39"/>
  <c r="B1644" i="39" s="1"/>
  <c r="B1646" i="30"/>
  <c r="A1647" i="30"/>
  <c r="D1644" i="30"/>
  <c r="C1645" i="30" s="1"/>
  <c r="E1644" i="30"/>
  <c r="E1639" i="25"/>
  <c r="D1639" i="25"/>
  <c r="C1640" i="25" s="1"/>
  <c r="A1646" i="25"/>
  <c r="B1646" i="25" s="1"/>
  <c r="E1640" i="39" l="1"/>
  <c r="D1641" i="39" s="1"/>
  <c r="F1640" i="39"/>
  <c r="C1644" i="39"/>
  <c r="A1645" i="39"/>
  <c r="B1645" i="39" s="1"/>
  <c r="B1647" i="30"/>
  <c r="A1648" i="30"/>
  <c r="D1645" i="30"/>
  <c r="C1646" i="30" s="1"/>
  <c r="E1645" i="30"/>
  <c r="D1640" i="25"/>
  <c r="C1641" i="25" s="1"/>
  <c r="E1640" i="25"/>
  <c r="A1647" i="25"/>
  <c r="B1647" i="25" s="1"/>
  <c r="E1641" i="39" l="1"/>
  <c r="D1642" i="39" s="1"/>
  <c r="F1641" i="39"/>
  <c r="C1645" i="39"/>
  <c r="A1646" i="39"/>
  <c r="B1646" i="39" s="1"/>
  <c r="B1648" i="30"/>
  <c r="A1649" i="30"/>
  <c r="D1646" i="30"/>
  <c r="C1647" i="30" s="1"/>
  <c r="E1646" i="30"/>
  <c r="D1641" i="25"/>
  <c r="C1642" i="25" s="1"/>
  <c r="E1641" i="25"/>
  <c r="A1648" i="25"/>
  <c r="B1648" i="25" s="1"/>
  <c r="E1642" i="39" l="1"/>
  <c r="D1643" i="39" s="1"/>
  <c r="F1642" i="39"/>
  <c r="C1646" i="39"/>
  <c r="A1647" i="39"/>
  <c r="B1647" i="39" s="1"/>
  <c r="B1649" i="30"/>
  <c r="A1650" i="30"/>
  <c r="D1647" i="30"/>
  <c r="C1648" i="30" s="1"/>
  <c r="E1647" i="30"/>
  <c r="E1642" i="25"/>
  <c r="D1642" i="25"/>
  <c r="C1643" i="25" s="1"/>
  <c r="A1649" i="25"/>
  <c r="B1649" i="25" s="1"/>
  <c r="E1643" i="39" l="1"/>
  <c r="D1644" i="39" s="1"/>
  <c r="F1643" i="39"/>
  <c r="C1647" i="39"/>
  <c r="A1648" i="39"/>
  <c r="B1648" i="39" s="1"/>
  <c r="B1650" i="30"/>
  <c r="A1651" i="30"/>
  <c r="D1648" i="30"/>
  <c r="C1649" i="30" s="1"/>
  <c r="E1648" i="30"/>
  <c r="E1643" i="25"/>
  <c r="D1643" i="25"/>
  <c r="C1644" i="25" s="1"/>
  <c r="A1650" i="25"/>
  <c r="B1650" i="25" s="1"/>
  <c r="E1644" i="39" l="1"/>
  <c r="D1645" i="39" s="1"/>
  <c r="F1644" i="39"/>
  <c r="C1648" i="39"/>
  <c r="A1649" i="39"/>
  <c r="B1649" i="39" s="1"/>
  <c r="B1651" i="30"/>
  <c r="A1652" i="30"/>
  <c r="D1649" i="30"/>
  <c r="C1650" i="30" s="1"/>
  <c r="E1649" i="30"/>
  <c r="D1644" i="25"/>
  <c r="C1645" i="25" s="1"/>
  <c r="E1644" i="25"/>
  <c r="A1651" i="25"/>
  <c r="B1651" i="25" s="1"/>
  <c r="E1645" i="39" l="1"/>
  <c r="D1646" i="39" s="1"/>
  <c r="F1645" i="39"/>
  <c r="C1649" i="39"/>
  <c r="A1650" i="39"/>
  <c r="B1650" i="39" s="1"/>
  <c r="B1652" i="30"/>
  <c r="A1653" i="30"/>
  <c r="D1650" i="30"/>
  <c r="C1651" i="30" s="1"/>
  <c r="E1650" i="30"/>
  <c r="E1645" i="25"/>
  <c r="D1645" i="25"/>
  <c r="C1646" i="25" s="1"/>
  <c r="A1652" i="25"/>
  <c r="B1652" i="25" s="1"/>
  <c r="E1646" i="39" l="1"/>
  <c r="D1647" i="39" s="1"/>
  <c r="F1646" i="39"/>
  <c r="C1650" i="39"/>
  <c r="A1651" i="39"/>
  <c r="B1651" i="39" s="1"/>
  <c r="B1653" i="30"/>
  <c r="A1654" i="30"/>
  <c r="D1651" i="30"/>
  <c r="C1652" i="30" s="1"/>
  <c r="E1651" i="30"/>
  <c r="D1646" i="25"/>
  <c r="C1647" i="25" s="1"/>
  <c r="E1646" i="25"/>
  <c r="A1653" i="25"/>
  <c r="B1653" i="25" s="1"/>
  <c r="E1647" i="39" l="1"/>
  <c r="D1648" i="39" s="1"/>
  <c r="F1647" i="39"/>
  <c r="C1651" i="39"/>
  <c r="A1652" i="39"/>
  <c r="B1652" i="39" s="1"/>
  <c r="B1654" i="30"/>
  <c r="A1655" i="30"/>
  <c r="D1652" i="30"/>
  <c r="C1653" i="30" s="1"/>
  <c r="E1652" i="30"/>
  <c r="D1647" i="25"/>
  <c r="C1648" i="25" s="1"/>
  <c r="E1647" i="25"/>
  <c r="A1654" i="25"/>
  <c r="B1654" i="25" s="1"/>
  <c r="E1648" i="39" l="1"/>
  <c r="D1649" i="39" s="1"/>
  <c r="F1648" i="39"/>
  <c r="C1652" i="39"/>
  <c r="A1653" i="39"/>
  <c r="B1653" i="39" s="1"/>
  <c r="B1655" i="30"/>
  <c r="A1656" i="30"/>
  <c r="D1653" i="30"/>
  <c r="C1654" i="30" s="1"/>
  <c r="E1653" i="30"/>
  <c r="D1648" i="25"/>
  <c r="C1649" i="25" s="1"/>
  <c r="E1648" i="25"/>
  <c r="A1655" i="25"/>
  <c r="B1655" i="25" s="1"/>
  <c r="E1649" i="39" l="1"/>
  <c r="D1650" i="39" s="1"/>
  <c r="F1649" i="39"/>
  <c r="C1653" i="39"/>
  <c r="A1654" i="39"/>
  <c r="B1654" i="39" s="1"/>
  <c r="B1656" i="30"/>
  <c r="A1657" i="30"/>
  <c r="D1654" i="30"/>
  <c r="C1655" i="30" s="1"/>
  <c r="E1654" i="30"/>
  <c r="D1649" i="25"/>
  <c r="C1650" i="25" s="1"/>
  <c r="E1649" i="25"/>
  <c r="A1656" i="25"/>
  <c r="B1656" i="25" s="1"/>
  <c r="E1650" i="39" l="1"/>
  <c r="D1651" i="39" s="1"/>
  <c r="F1650" i="39"/>
  <c r="C1654" i="39"/>
  <c r="A1655" i="39"/>
  <c r="B1655" i="39" s="1"/>
  <c r="B1657" i="30"/>
  <c r="A1658" i="30"/>
  <c r="D1655" i="30"/>
  <c r="C1656" i="30" s="1"/>
  <c r="E1655" i="30"/>
  <c r="D1650" i="25"/>
  <c r="C1651" i="25" s="1"/>
  <c r="E1650" i="25"/>
  <c r="A1657" i="25"/>
  <c r="B1657" i="25" s="1"/>
  <c r="F1651" i="39" l="1"/>
  <c r="E1651" i="39"/>
  <c r="D1652" i="39" s="1"/>
  <c r="C1655" i="39"/>
  <c r="A1656" i="39"/>
  <c r="B1656" i="39" s="1"/>
  <c r="B1658" i="30"/>
  <c r="A1659" i="30"/>
  <c r="D1656" i="30"/>
  <c r="C1657" i="30" s="1"/>
  <c r="E1656" i="30"/>
  <c r="D1651" i="25"/>
  <c r="C1652" i="25" s="1"/>
  <c r="E1651" i="25"/>
  <c r="A1658" i="25"/>
  <c r="B1658" i="25" s="1"/>
  <c r="E1652" i="39" l="1"/>
  <c r="D1653" i="39" s="1"/>
  <c r="F1652" i="39"/>
  <c r="C1656" i="39"/>
  <c r="A1657" i="39"/>
  <c r="B1657" i="39" s="1"/>
  <c r="B1659" i="30"/>
  <c r="A1660" i="30"/>
  <c r="D1657" i="30"/>
  <c r="C1658" i="30" s="1"/>
  <c r="E1657" i="30"/>
  <c r="D1652" i="25"/>
  <c r="C1653" i="25" s="1"/>
  <c r="E1652" i="25"/>
  <c r="A1659" i="25"/>
  <c r="B1659" i="25" s="1"/>
  <c r="E1653" i="39" l="1"/>
  <c r="D1654" i="39" s="1"/>
  <c r="F1653" i="39"/>
  <c r="C1657" i="39"/>
  <c r="A1658" i="39"/>
  <c r="B1658" i="39" s="1"/>
  <c r="B1660" i="30"/>
  <c r="A1661" i="30"/>
  <c r="D1658" i="30"/>
  <c r="C1659" i="30" s="1"/>
  <c r="E1658" i="30"/>
  <c r="E1653" i="25"/>
  <c r="D1653" i="25"/>
  <c r="C1654" i="25" s="1"/>
  <c r="A1660" i="25"/>
  <c r="B1660" i="25" s="1"/>
  <c r="E1654" i="39" l="1"/>
  <c r="D1655" i="39" s="1"/>
  <c r="F1654" i="39"/>
  <c r="C1658" i="39"/>
  <c r="A1659" i="39"/>
  <c r="B1659" i="39" s="1"/>
  <c r="B1661" i="30"/>
  <c r="A1662" i="30"/>
  <c r="D1659" i="30"/>
  <c r="C1660" i="30" s="1"/>
  <c r="E1659" i="30"/>
  <c r="E1654" i="25"/>
  <c r="D1654" i="25"/>
  <c r="C1655" i="25" s="1"/>
  <c r="A1661" i="25"/>
  <c r="B1661" i="25" s="1"/>
  <c r="E1655" i="39" l="1"/>
  <c r="D1656" i="39" s="1"/>
  <c r="F1655" i="39"/>
  <c r="C1659" i="39"/>
  <c r="A1660" i="39"/>
  <c r="B1660" i="39" s="1"/>
  <c r="B1662" i="30"/>
  <c r="A1663" i="30"/>
  <c r="D1660" i="30"/>
  <c r="C1661" i="30" s="1"/>
  <c r="E1660" i="30"/>
  <c r="E1655" i="25"/>
  <c r="D1655" i="25"/>
  <c r="C1656" i="25" s="1"/>
  <c r="A1662" i="25"/>
  <c r="B1662" i="25" s="1"/>
  <c r="E1656" i="39" l="1"/>
  <c r="D1657" i="39" s="1"/>
  <c r="F1656" i="39"/>
  <c r="C1660" i="39"/>
  <c r="A1661" i="39"/>
  <c r="B1661" i="39" s="1"/>
  <c r="B1663" i="30"/>
  <c r="A1664" i="30"/>
  <c r="D1661" i="30"/>
  <c r="C1662" i="30" s="1"/>
  <c r="E1661" i="30"/>
  <c r="D1656" i="25"/>
  <c r="C1657" i="25" s="1"/>
  <c r="E1656" i="25"/>
  <c r="A1663" i="25"/>
  <c r="B1663" i="25" s="1"/>
  <c r="F1657" i="39" l="1"/>
  <c r="E1657" i="39"/>
  <c r="D1658" i="39" s="1"/>
  <c r="C1661" i="39"/>
  <c r="A1662" i="39"/>
  <c r="B1662" i="39" s="1"/>
  <c r="B1664" i="30"/>
  <c r="A1665" i="30"/>
  <c r="D1662" i="30"/>
  <c r="C1663" i="30" s="1"/>
  <c r="E1662" i="30"/>
  <c r="D1657" i="25"/>
  <c r="C1658" i="25" s="1"/>
  <c r="E1657" i="25"/>
  <c r="A1664" i="25"/>
  <c r="B1664" i="25" s="1"/>
  <c r="E1658" i="39" l="1"/>
  <c r="D1659" i="39" s="1"/>
  <c r="F1658" i="39"/>
  <c r="C1662" i="39"/>
  <c r="A1663" i="39"/>
  <c r="B1663" i="39" s="1"/>
  <c r="B1665" i="30"/>
  <c r="A1666" i="30"/>
  <c r="D1663" i="30"/>
  <c r="C1664" i="30" s="1"/>
  <c r="E1663" i="30"/>
  <c r="D1658" i="25"/>
  <c r="C1659" i="25" s="1"/>
  <c r="E1658" i="25"/>
  <c r="A1665" i="25"/>
  <c r="B1665" i="25" s="1"/>
  <c r="F1659" i="39" l="1"/>
  <c r="E1659" i="39"/>
  <c r="D1660" i="39" s="1"/>
  <c r="C1663" i="39"/>
  <c r="A1664" i="39"/>
  <c r="B1664" i="39" s="1"/>
  <c r="B1666" i="30"/>
  <c r="A1667" i="30"/>
  <c r="D1664" i="30"/>
  <c r="C1665" i="30" s="1"/>
  <c r="E1664" i="30"/>
  <c r="D1659" i="25"/>
  <c r="C1660" i="25" s="1"/>
  <c r="E1659" i="25"/>
  <c r="A1666" i="25"/>
  <c r="B1666" i="25" s="1"/>
  <c r="E1660" i="39" l="1"/>
  <c r="D1661" i="39" s="1"/>
  <c r="F1660" i="39"/>
  <c r="C1664" i="39"/>
  <c r="A1665" i="39"/>
  <c r="B1665" i="39" s="1"/>
  <c r="B1667" i="30"/>
  <c r="A1668" i="30"/>
  <c r="D1665" i="30"/>
  <c r="C1666" i="30" s="1"/>
  <c r="E1665" i="30"/>
  <c r="D1660" i="25"/>
  <c r="C1661" i="25" s="1"/>
  <c r="E1660" i="25"/>
  <c r="A1667" i="25"/>
  <c r="B1667" i="25" s="1"/>
  <c r="E1661" i="39" l="1"/>
  <c r="D1662" i="39" s="1"/>
  <c r="F1661" i="39"/>
  <c r="C1665" i="39"/>
  <c r="A1666" i="39"/>
  <c r="B1666" i="39" s="1"/>
  <c r="B1668" i="30"/>
  <c r="A1669" i="30"/>
  <c r="D1666" i="30"/>
  <c r="C1667" i="30" s="1"/>
  <c r="E1666" i="30"/>
  <c r="D1661" i="25"/>
  <c r="C1662" i="25" s="1"/>
  <c r="E1661" i="25"/>
  <c r="A1668" i="25"/>
  <c r="B1668" i="25" s="1"/>
  <c r="F1662" i="39" l="1"/>
  <c r="E1662" i="39"/>
  <c r="D1663" i="39" s="1"/>
  <c r="C1666" i="39"/>
  <c r="A1667" i="39"/>
  <c r="B1667" i="39" s="1"/>
  <c r="B1669" i="30"/>
  <c r="A1670" i="30"/>
  <c r="D1667" i="30"/>
  <c r="C1668" i="30" s="1"/>
  <c r="E1667" i="30"/>
  <c r="E1662" i="25"/>
  <c r="D1662" i="25"/>
  <c r="C1663" i="25" s="1"/>
  <c r="A1669" i="25"/>
  <c r="B1669" i="25" s="1"/>
  <c r="E1663" i="39" l="1"/>
  <c r="D1664" i="39" s="1"/>
  <c r="F1663" i="39"/>
  <c r="C1667" i="39"/>
  <c r="A1668" i="39"/>
  <c r="B1668" i="39" s="1"/>
  <c r="B1670" i="30"/>
  <c r="A1671" i="30"/>
  <c r="D1668" i="30"/>
  <c r="C1669" i="30" s="1"/>
  <c r="E1668" i="30"/>
  <c r="E1663" i="25"/>
  <c r="D1663" i="25"/>
  <c r="C1664" i="25" s="1"/>
  <c r="A1670" i="25"/>
  <c r="B1670" i="25" s="1"/>
  <c r="E1664" i="39" l="1"/>
  <c r="D1665" i="39" s="1"/>
  <c r="F1664" i="39"/>
  <c r="C1668" i="39"/>
  <c r="A1669" i="39"/>
  <c r="B1669" i="39" s="1"/>
  <c r="B1671" i="30"/>
  <c r="A1672" i="30"/>
  <c r="D1669" i="30"/>
  <c r="C1670" i="30" s="1"/>
  <c r="E1669" i="30"/>
  <c r="D1664" i="25"/>
  <c r="C1665" i="25" s="1"/>
  <c r="E1664" i="25"/>
  <c r="A1671" i="25"/>
  <c r="B1671" i="25" s="1"/>
  <c r="E1665" i="39" l="1"/>
  <c r="D1666" i="39" s="1"/>
  <c r="F1665" i="39"/>
  <c r="C1669" i="39"/>
  <c r="A1670" i="39"/>
  <c r="B1670" i="39" s="1"/>
  <c r="B1672" i="30"/>
  <c r="A1673" i="30"/>
  <c r="D1670" i="30"/>
  <c r="C1671" i="30" s="1"/>
  <c r="E1670" i="30"/>
  <c r="D1665" i="25"/>
  <c r="C1666" i="25" s="1"/>
  <c r="E1665" i="25"/>
  <c r="A1672" i="25"/>
  <c r="B1672" i="25" s="1"/>
  <c r="E1666" i="39" l="1"/>
  <c r="D1667" i="39" s="1"/>
  <c r="F1666" i="39"/>
  <c r="C1670" i="39"/>
  <c r="A1671" i="39"/>
  <c r="B1671" i="39" s="1"/>
  <c r="B1673" i="30"/>
  <c r="A1674" i="30"/>
  <c r="D1671" i="30"/>
  <c r="C1672" i="30" s="1"/>
  <c r="E1671" i="30"/>
  <c r="D1666" i="25"/>
  <c r="C1667" i="25" s="1"/>
  <c r="E1666" i="25"/>
  <c r="A1673" i="25"/>
  <c r="B1673" i="25" s="1"/>
  <c r="E1667" i="39" l="1"/>
  <c r="D1668" i="39" s="1"/>
  <c r="F1667" i="39"/>
  <c r="C1671" i="39"/>
  <c r="A1672" i="39"/>
  <c r="B1672" i="39" s="1"/>
  <c r="B1674" i="30"/>
  <c r="A1675" i="30"/>
  <c r="D1672" i="30"/>
  <c r="C1673" i="30" s="1"/>
  <c r="E1672" i="30"/>
  <c r="D1667" i="25"/>
  <c r="C1668" i="25" s="1"/>
  <c r="E1667" i="25"/>
  <c r="A1674" i="25"/>
  <c r="B1674" i="25" s="1"/>
  <c r="F1668" i="39" l="1"/>
  <c r="E1668" i="39"/>
  <c r="D1669" i="39" s="1"/>
  <c r="C1672" i="39"/>
  <c r="A1673" i="39"/>
  <c r="B1673" i="39" s="1"/>
  <c r="B1675" i="30"/>
  <c r="A1676" i="30"/>
  <c r="D1673" i="30"/>
  <c r="C1674" i="30" s="1"/>
  <c r="E1673" i="30"/>
  <c r="D1668" i="25"/>
  <c r="C1669" i="25" s="1"/>
  <c r="E1668" i="25"/>
  <c r="A1675" i="25"/>
  <c r="B1675" i="25" s="1"/>
  <c r="E1669" i="39" l="1"/>
  <c r="D1670" i="39" s="1"/>
  <c r="F1669" i="39"/>
  <c r="C1673" i="39"/>
  <c r="A1674" i="39"/>
  <c r="B1674" i="39" s="1"/>
  <c r="B1676" i="30"/>
  <c r="A1677" i="30"/>
  <c r="D1674" i="30"/>
  <c r="C1675" i="30" s="1"/>
  <c r="E1674" i="30"/>
  <c r="D1669" i="25"/>
  <c r="C1670" i="25" s="1"/>
  <c r="E1669" i="25"/>
  <c r="A1676" i="25"/>
  <c r="B1676" i="25" s="1"/>
  <c r="E1670" i="39" l="1"/>
  <c r="D1671" i="39" s="1"/>
  <c r="F1670" i="39"/>
  <c r="C1674" i="39"/>
  <c r="A1675" i="39"/>
  <c r="B1675" i="39" s="1"/>
  <c r="B1677" i="30"/>
  <c r="A1678" i="30"/>
  <c r="D1675" i="30"/>
  <c r="C1676" i="30" s="1"/>
  <c r="E1675" i="30"/>
  <c r="D1670" i="25"/>
  <c r="C1671" i="25" s="1"/>
  <c r="E1670" i="25"/>
  <c r="A1677" i="25"/>
  <c r="B1677" i="25" s="1"/>
  <c r="E1671" i="39" l="1"/>
  <c r="D1672" i="39" s="1"/>
  <c r="F1671" i="39"/>
  <c r="C1675" i="39"/>
  <c r="A1676" i="39"/>
  <c r="B1676" i="39" s="1"/>
  <c r="B1678" i="30"/>
  <c r="A1679" i="30"/>
  <c r="D1676" i="30"/>
  <c r="C1677" i="30" s="1"/>
  <c r="E1676" i="30"/>
  <c r="D1671" i="25"/>
  <c r="C1672" i="25" s="1"/>
  <c r="E1671" i="25"/>
  <c r="A1678" i="25"/>
  <c r="B1678" i="25" s="1"/>
  <c r="E1672" i="39" l="1"/>
  <c r="D1673" i="39" s="1"/>
  <c r="F1672" i="39"/>
  <c r="C1676" i="39"/>
  <c r="A1677" i="39"/>
  <c r="B1677" i="39" s="1"/>
  <c r="B1679" i="30"/>
  <c r="A1680" i="30"/>
  <c r="D1677" i="30"/>
  <c r="C1678" i="30" s="1"/>
  <c r="E1677" i="30"/>
  <c r="D1672" i="25"/>
  <c r="C1673" i="25" s="1"/>
  <c r="E1672" i="25"/>
  <c r="A1679" i="25"/>
  <c r="B1679" i="25" s="1"/>
  <c r="F1673" i="39" l="1"/>
  <c r="E1673" i="39"/>
  <c r="D1674" i="39" s="1"/>
  <c r="C1677" i="39"/>
  <c r="A1678" i="39"/>
  <c r="B1678" i="39" s="1"/>
  <c r="B1680" i="30"/>
  <c r="A1681" i="30"/>
  <c r="D1678" i="30"/>
  <c r="C1679" i="30" s="1"/>
  <c r="E1678" i="30"/>
  <c r="E1673" i="25"/>
  <c r="D1673" i="25"/>
  <c r="C1674" i="25" s="1"/>
  <c r="A1680" i="25"/>
  <c r="B1680" i="25" s="1"/>
  <c r="F1674" i="39" l="1"/>
  <c r="E1674" i="39"/>
  <c r="D1675" i="39" s="1"/>
  <c r="C1678" i="39"/>
  <c r="A1679" i="39"/>
  <c r="B1679" i="39" s="1"/>
  <c r="B1681" i="30"/>
  <c r="A1682" i="30"/>
  <c r="D1679" i="30"/>
  <c r="C1680" i="30" s="1"/>
  <c r="E1679" i="30"/>
  <c r="D1674" i="25"/>
  <c r="C1675" i="25" s="1"/>
  <c r="E1674" i="25"/>
  <c r="A1681" i="25"/>
  <c r="B1681" i="25" s="1"/>
  <c r="F1675" i="39" l="1"/>
  <c r="E1675" i="39"/>
  <c r="D1676" i="39" s="1"/>
  <c r="C1679" i="39"/>
  <c r="A1680" i="39"/>
  <c r="B1680" i="39" s="1"/>
  <c r="B1682" i="30"/>
  <c r="A1683" i="30"/>
  <c r="D1680" i="30"/>
  <c r="C1681" i="30" s="1"/>
  <c r="E1680" i="30"/>
  <c r="D1675" i="25"/>
  <c r="C1676" i="25" s="1"/>
  <c r="E1675" i="25"/>
  <c r="A1682" i="25"/>
  <c r="B1682" i="25" s="1"/>
  <c r="E1676" i="39" l="1"/>
  <c r="D1677" i="39" s="1"/>
  <c r="F1676" i="39"/>
  <c r="C1680" i="39"/>
  <c r="A1681" i="39"/>
  <c r="B1681" i="39" s="1"/>
  <c r="B1683" i="30"/>
  <c r="A1684" i="30"/>
  <c r="D1681" i="30"/>
  <c r="C1682" i="30" s="1"/>
  <c r="E1681" i="30"/>
  <c r="D1676" i="25"/>
  <c r="C1677" i="25" s="1"/>
  <c r="E1676" i="25"/>
  <c r="A1683" i="25"/>
  <c r="B1683" i="25" s="1"/>
  <c r="F1677" i="39" l="1"/>
  <c r="E1677" i="39"/>
  <c r="D1678" i="39" s="1"/>
  <c r="C1681" i="39"/>
  <c r="A1682" i="39"/>
  <c r="B1682" i="39" s="1"/>
  <c r="B1684" i="30"/>
  <c r="A1685" i="30"/>
  <c r="D1682" i="30"/>
  <c r="C1683" i="30" s="1"/>
  <c r="E1682" i="30"/>
  <c r="D1677" i="25"/>
  <c r="C1678" i="25" s="1"/>
  <c r="E1677" i="25"/>
  <c r="A1684" i="25"/>
  <c r="B1684" i="25" s="1"/>
  <c r="E1678" i="39" l="1"/>
  <c r="D1679" i="39" s="1"/>
  <c r="F1678" i="39"/>
  <c r="C1682" i="39"/>
  <c r="A1683" i="39"/>
  <c r="B1683" i="39" s="1"/>
  <c r="B1685" i="30"/>
  <c r="A1686" i="30"/>
  <c r="D1683" i="30"/>
  <c r="C1684" i="30" s="1"/>
  <c r="E1683" i="30"/>
  <c r="D1678" i="25"/>
  <c r="C1679" i="25" s="1"/>
  <c r="E1678" i="25"/>
  <c r="A1685" i="25"/>
  <c r="B1685" i="25" s="1"/>
  <c r="E1679" i="39" l="1"/>
  <c r="D1680" i="39" s="1"/>
  <c r="F1679" i="39"/>
  <c r="C1683" i="39"/>
  <c r="A1684" i="39"/>
  <c r="B1684" i="39" s="1"/>
  <c r="B1686" i="30"/>
  <c r="A1687" i="30"/>
  <c r="D1684" i="30"/>
  <c r="C1685" i="30" s="1"/>
  <c r="E1684" i="30"/>
  <c r="D1679" i="25"/>
  <c r="C1680" i="25" s="1"/>
  <c r="E1679" i="25"/>
  <c r="A1686" i="25"/>
  <c r="B1686" i="25" s="1"/>
  <c r="E1680" i="39" l="1"/>
  <c r="D1681" i="39" s="1"/>
  <c r="F1680" i="39"/>
  <c r="C1684" i="39"/>
  <c r="A1685" i="39"/>
  <c r="B1685" i="39" s="1"/>
  <c r="B1687" i="30"/>
  <c r="A1688" i="30"/>
  <c r="D1685" i="30"/>
  <c r="C1686" i="30" s="1"/>
  <c r="E1685" i="30"/>
  <c r="E1680" i="25"/>
  <c r="D1680" i="25"/>
  <c r="C1681" i="25" s="1"/>
  <c r="A1687" i="25"/>
  <c r="B1687" i="25" s="1"/>
  <c r="E1681" i="39" l="1"/>
  <c r="D1682" i="39" s="1"/>
  <c r="F1681" i="39"/>
  <c r="C1685" i="39"/>
  <c r="A1686" i="39"/>
  <c r="B1686" i="39" s="1"/>
  <c r="B1688" i="30"/>
  <c r="A1689" i="30"/>
  <c r="D1686" i="30"/>
  <c r="C1687" i="30" s="1"/>
  <c r="E1686" i="30"/>
  <c r="E1681" i="25"/>
  <c r="D1681" i="25"/>
  <c r="C1682" i="25" s="1"/>
  <c r="A1688" i="25"/>
  <c r="B1688" i="25" s="1"/>
  <c r="E1682" i="39" l="1"/>
  <c r="D1683" i="39" s="1"/>
  <c r="F1682" i="39"/>
  <c r="C1686" i="39"/>
  <c r="A1687" i="39"/>
  <c r="B1687" i="39" s="1"/>
  <c r="B1689" i="30"/>
  <c r="A1690" i="30"/>
  <c r="D1687" i="30"/>
  <c r="C1688" i="30" s="1"/>
  <c r="E1687" i="30"/>
  <c r="D1682" i="25"/>
  <c r="C1683" i="25" s="1"/>
  <c r="E1682" i="25"/>
  <c r="A1689" i="25"/>
  <c r="B1689" i="25" s="1"/>
  <c r="E1683" i="39" l="1"/>
  <c r="D1684" i="39" s="1"/>
  <c r="F1683" i="39"/>
  <c r="C1687" i="39"/>
  <c r="A1688" i="39"/>
  <c r="B1688" i="39" s="1"/>
  <c r="B1690" i="30"/>
  <c r="A1691" i="30"/>
  <c r="D1688" i="30"/>
  <c r="C1689" i="30" s="1"/>
  <c r="E1688" i="30"/>
  <c r="E1683" i="25"/>
  <c r="D1683" i="25"/>
  <c r="C1684" i="25" s="1"/>
  <c r="A1690" i="25"/>
  <c r="B1690" i="25" s="1"/>
  <c r="F1684" i="39" l="1"/>
  <c r="E1684" i="39"/>
  <c r="D1685" i="39" s="1"/>
  <c r="C1688" i="39"/>
  <c r="A1689" i="39"/>
  <c r="B1689" i="39" s="1"/>
  <c r="B1691" i="30"/>
  <c r="A1692" i="30"/>
  <c r="D1689" i="30"/>
  <c r="C1690" i="30" s="1"/>
  <c r="E1689" i="30"/>
  <c r="D1684" i="25"/>
  <c r="C1685" i="25" s="1"/>
  <c r="E1684" i="25"/>
  <c r="A1691" i="25"/>
  <c r="B1691" i="25" s="1"/>
  <c r="E1685" i="39" l="1"/>
  <c r="D1686" i="39" s="1"/>
  <c r="F1685" i="39"/>
  <c r="C1689" i="39"/>
  <c r="A1690" i="39"/>
  <c r="B1690" i="39" s="1"/>
  <c r="B1692" i="30"/>
  <c r="A1693" i="30"/>
  <c r="D1690" i="30"/>
  <c r="C1691" i="30" s="1"/>
  <c r="E1690" i="30"/>
  <c r="D1685" i="25"/>
  <c r="C1686" i="25" s="1"/>
  <c r="E1685" i="25"/>
  <c r="A1692" i="25"/>
  <c r="B1692" i="25" s="1"/>
  <c r="E1686" i="39" l="1"/>
  <c r="D1687" i="39" s="1"/>
  <c r="F1686" i="39"/>
  <c r="C1690" i="39"/>
  <c r="A1691" i="39"/>
  <c r="B1691" i="39" s="1"/>
  <c r="B1693" i="30"/>
  <c r="A1694" i="30"/>
  <c r="D1691" i="30"/>
  <c r="C1692" i="30" s="1"/>
  <c r="E1691" i="30"/>
  <c r="D1686" i="25"/>
  <c r="C1687" i="25" s="1"/>
  <c r="E1686" i="25"/>
  <c r="A1693" i="25"/>
  <c r="B1693" i="25" s="1"/>
  <c r="E1687" i="39" l="1"/>
  <c r="D1688" i="39" s="1"/>
  <c r="F1687" i="39"/>
  <c r="C1691" i="39"/>
  <c r="A1692" i="39"/>
  <c r="B1692" i="39" s="1"/>
  <c r="B1694" i="30"/>
  <c r="A1695" i="30"/>
  <c r="D1692" i="30"/>
  <c r="C1693" i="30" s="1"/>
  <c r="E1692" i="30"/>
  <c r="E1687" i="25"/>
  <c r="D1687" i="25"/>
  <c r="C1688" i="25" s="1"/>
  <c r="A1694" i="25"/>
  <c r="B1694" i="25" s="1"/>
  <c r="F1688" i="39" l="1"/>
  <c r="E1688" i="39"/>
  <c r="D1689" i="39" s="1"/>
  <c r="C1692" i="39"/>
  <c r="A1693" i="39"/>
  <c r="B1693" i="39" s="1"/>
  <c r="B1695" i="30"/>
  <c r="A1696" i="30"/>
  <c r="D1693" i="30"/>
  <c r="C1694" i="30" s="1"/>
  <c r="E1693" i="30"/>
  <c r="D1688" i="25"/>
  <c r="C1689" i="25" s="1"/>
  <c r="E1688" i="25"/>
  <c r="A1695" i="25"/>
  <c r="B1695" i="25" s="1"/>
  <c r="F1689" i="39" l="1"/>
  <c r="E1689" i="39"/>
  <c r="D1690" i="39" s="1"/>
  <c r="C1693" i="39"/>
  <c r="A1694" i="39"/>
  <c r="B1694" i="39" s="1"/>
  <c r="B1696" i="30"/>
  <c r="A1697" i="30"/>
  <c r="D1694" i="30"/>
  <c r="C1695" i="30" s="1"/>
  <c r="E1694" i="30"/>
  <c r="D1689" i="25"/>
  <c r="C1690" i="25" s="1"/>
  <c r="E1689" i="25"/>
  <c r="A1696" i="25"/>
  <c r="B1696" i="25" s="1"/>
  <c r="E1690" i="39" l="1"/>
  <c r="D1691" i="39" s="1"/>
  <c r="F1690" i="39"/>
  <c r="C1694" i="39"/>
  <c r="A1695" i="39"/>
  <c r="B1695" i="39" s="1"/>
  <c r="B1697" i="30"/>
  <c r="A1698" i="30"/>
  <c r="D1695" i="30"/>
  <c r="C1696" i="30" s="1"/>
  <c r="E1695" i="30"/>
  <c r="D1690" i="25"/>
  <c r="C1691" i="25" s="1"/>
  <c r="E1690" i="25"/>
  <c r="A1697" i="25"/>
  <c r="B1697" i="25" s="1"/>
  <c r="E1691" i="39" l="1"/>
  <c r="D1692" i="39" s="1"/>
  <c r="F1691" i="39"/>
  <c r="C1695" i="39"/>
  <c r="A1696" i="39"/>
  <c r="B1696" i="39" s="1"/>
  <c r="B1698" i="30"/>
  <c r="A1699" i="30"/>
  <c r="D1696" i="30"/>
  <c r="C1697" i="30" s="1"/>
  <c r="E1696" i="30"/>
  <c r="D1691" i="25"/>
  <c r="C1692" i="25" s="1"/>
  <c r="E1691" i="25"/>
  <c r="A1698" i="25"/>
  <c r="B1698" i="25" s="1"/>
  <c r="E1692" i="39" l="1"/>
  <c r="D1693" i="39" s="1"/>
  <c r="F1692" i="39"/>
  <c r="C1696" i="39"/>
  <c r="A1697" i="39"/>
  <c r="B1697" i="39" s="1"/>
  <c r="B1699" i="30"/>
  <c r="A1700" i="30"/>
  <c r="D1697" i="30"/>
  <c r="C1698" i="30" s="1"/>
  <c r="E1697" i="30"/>
  <c r="E1692" i="25"/>
  <c r="D1692" i="25"/>
  <c r="C1693" i="25" s="1"/>
  <c r="A1699" i="25"/>
  <c r="B1699" i="25" s="1"/>
  <c r="F1693" i="39" l="1"/>
  <c r="E1693" i="39"/>
  <c r="D1694" i="39" s="1"/>
  <c r="C1697" i="39"/>
  <c r="A1698" i="39"/>
  <c r="B1698" i="39" s="1"/>
  <c r="B1700" i="30"/>
  <c r="A1701" i="30"/>
  <c r="D1698" i="30"/>
  <c r="C1699" i="30" s="1"/>
  <c r="E1698" i="30"/>
  <c r="E1693" i="25"/>
  <c r="D1693" i="25"/>
  <c r="C1694" i="25" s="1"/>
  <c r="A1700" i="25"/>
  <c r="B1700" i="25" s="1"/>
  <c r="E1694" i="39" l="1"/>
  <c r="D1695" i="39" s="1"/>
  <c r="F1694" i="39"/>
  <c r="C1698" i="39"/>
  <c r="A1699" i="39"/>
  <c r="B1699" i="39" s="1"/>
  <c r="B1701" i="30"/>
  <c r="A1702" i="30"/>
  <c r="D1699" i="30"/>
  <c r="C1700" i="30" s="1"/>
  <c r="E1699" i="30"/>
  <c r="D1694" i="25"/>
  <c r="C1695" i="25" s="1"/>
  <c r="E1694" i="25"/>
  <c r="A1701" i="25"/>
  <c r="B1701" i="25" s="1"/>
  <c r="E1695" i="39" l="1"/>
  <c r="D1696" i="39" s="1"/>
  <c r="F1695" i="39"/>
  <c r="C1699" i="39"/>
  <c r="A1700" i="39"/>
  <c r="B1700" i="39" s="1"/>
  <c r="B1702" i="30"/>
  <c r="A1703" i="30"/>
  <c r="D1700" i="30"/>
  <c r="C1701" i="30" s="1"/>
  <c r="E1700" i="30"/>
  <c r="D1695" i="25"/>
  <c r="C1696" i="25" s="1"/>
  <c r="E1695" i="25"/>
  <c r="A1702" i="25"/>
  <c r="B1702" i="25" s="1"/>
  <c r="E1696" i="39" l="1"/>
  <c r="D1697" i="39" s="1"/>
  <c r="F1696" i="39"/>
  <c r="C1700" i="39"/>
  <c r="A1701" i="39"/>
  <c r="B1701" i="39" s="1"/>
  <c r="B1703" i="30"/>
  <c r="A1704" i="30"/>
  <c r="D1701" i="30"/>
  <c r="C1702" i="30" s="1"/>
  <c r="E1701" i="30"/>
  <c r="D1696" i="25"/>
  <c r="C1697" i="25" s="1"/>
  <c r="E1696" i="25"/>
  <c r="A1703" i="25"/>
  <c r="B1703" i="25" s="1"/>
  <c r="E1697" i="39" l="1"/>
  <c r="D1698" i="39" s="1"/>
  <c r="F1697" i="39"/>
  <c r="C1701" i="39"/>
  <c r="A1702" i="39"/>
  <c r="B1702" i="39" s="1"/>
  <c r="B1704" i="30"/>
  <c r="A1705" i="30"/>
  <c r="D1702" i="30"/>
  <c r="C1703" i="30" s="1"/>
  <c r="E1702" i="30"/>
  <c r="D1697" i="25"/>
  <c r="C1698" i="25" s="1"/>
  <c r="E1697" i="25"/>
  <c r="A1704" i="25"/>
  <c r="B1704" i="25" s="1"/>
  <c r="F1698" i="39" l="1"/>
  <c r="E1698" i="39"/>
  <c r="D1699" i="39" s="1"/>
  <c r="C1702" i="39"/>
  <c r="A1703" i="39"/>
  <c r="B1703" i="39" s="1"/>
  <c r="B1705" i="30"/>
  <c r="A1706" i="30"/>
  <c r="D1703" i="30"/>
  <c r="C1704" i="30" s="1"/>
  <c r="E1703" i="30"/>
  <c r="E1698" i="25"/>
  <c r="D1698" i="25"/>
  <c r="C1699" i="25" s="1"/>
  <c r="A1705" i="25"/>
  <c r="B1705" i="25" s="1"/>
  <c r="E1699" i="39" l="1"/>
  <c r="D1700" i="39" s="1"/>
  <c r="F1699" i="39"/>
  <c r="C1703" i="39"/>
  <c r="A1704" i="39"/>
  <c r="B1704" i="39" s="1"/>
  <c r="B1706" i="30"/>
  <c r="A1707" i="30"/>
  <c r="D1704" i="30"/>
  <c r="C1705" i="30" s="1"/>
  <c r="E1704" i="30"/>
  <c r="E1699" i="25"/>
  <c r="D1699" i="25"/>
  <c r="C1700" i="25" s="1"/>
  <c r="A1706" i="25"/>
  <c r="B1706" i="25" s="1"/>
  <c r="E1700" i="39" l="1"/>
  <c r="D1701" i="39" s="1"/>
  <c r="F1700" i="39"/>
  <c r="C1704" i="39"/>
  <c r="A1705" i="39"/>
  <c r="B1705" i="39" s="1"/>
  <c r="B1707" i="30"/>
  <c r="A1708" i="30"/>
  <c r="D1705" i="30"/>
  <c r="C1706" i="30" s="1"/>
  <c r="E1705" i="30"/>
  <c r="D1700" i="25"/>
  <c r="C1701" i="25" s="1"/>
  <c r="E1700" i="25"/>
  <c r="A1707" i="25"/>
  <c r="B1707" i="25" s="1"/>
  <c r="E1701" i="39" l="1"/>
  <c r="D1702" i="39" s="1"/>
  <c r="F1701" i="39"/>
  <c r="C1705" i="39"/>
  <c r="A1706" i="39"/>
  <c r="B1706" i="39" s="1"/>
  <c r="B1708" i="30"/>
  <c r="A1709" i="30"/>
  <c r="D1706" i="30"/>
  <c r="C1707" i="30" s="1"/>
  <c r="E1706" i="30"/>
  <c r="D1701" i="25"/>
  <c r="C1702" i="25" s="1"/>
  <c r="E1701" i="25"/>
  <c r="A1708" i="25"/>
  <c r="B1708" i="25" s="1"/>
  <c r="E1702" i="39" l="1"/>
  <c r="D1703" i="39" s="1"/>
  <c r="F1702" i="39"/>
  <c r="C1706" i="39"/>
  <c r="A1707" i="39"/>
  <c r="B1707" i="39" s="1"/>
  <c r="B1709" i="30"/>
  <c r="A1710" i="30"/>
  <c r="D1707" i="30"/>
  <c r="C1708" i="30" s="1"/>
  <c r="E1707" i="30"/>
  <c r="D1702" i="25"/>
  <c r="C1703" i="25" s="1"/>
  <c r="E1702" i="25"/>
  <c r="A1709" i="25"/>
  <c r="B1709" i="25" s="1"/>
  <c r="E1703" i="39" l="1"/>
  <c r="D1704" i="39" s="1"/>
  <c r="F1703" i="39"/>
  <c r="C1707" i="39"/>
  <c r="A1708" i="39"/>
  <c r="B1708" i="39" s="1"/>
  <c r="B1710" i="30"/>
  <c r="A1711" i="30"/>
  <c r="D1708" i="30"/>
  <c r="C1709" i="30" s="1"/>
  <c r="E1708" i="30"/>
  <c r="E1703" i="25"/>
  <c r="D1703" i="25"/>
  <c r="C1704" i="25" s="1"/>
  <c r="A1710" i="25"/>
  <c r="B1710" i="25" s="1"/>
  <c r="E1704" i="39" l="1"/>
  <c r="D1705" i="39" s="1"/>
  <c r="F1704" i="39"/>
  <c r="C1708" i="39"/>
  <c r="A1709" i="39"/>
  <c r="B1709" i="39" s="1"/>
  <c r="B1711" i="30"/>
  <c r="A1712" i="30"/>
  <c r="D1709" i="30"/>
  <c r="C1710" i="30" s="1"/>
  <c r="E1709" i="30"/>
  <c r="D1704" i="25"/>
  <c r="C1705" i="25" s="1"/>
  <c r="E1704" i="25"/>
  <c r="A1711" i="25"/>
  <c r="B1711" i="25" s="1"/>
  <c r="E1705" i="39" l="1"/>
  <c r="D1706" i="39" s="1"/>
  <c r="F1705" i="39"/>
  <c r="C1709" i="39"/>
  <c r="A1710" i="39"/>
  <c r="B1710" i="39" s="1"/>
  <c r="B1712" i="30"/>
  <c r="A1713" i="30"/>
  <c r="D1710" i="30"/>
  <c r="C1711" i="30" s="1"/>
  <c r="E1710" i="30"/>
  <c r="D1705" i="25"/>
  <c r="C1706" i="25" s="1"/>
  <c r="E1705" i="25"/>
  <c r="A1712" i="25"/>
  <c r="B1712" i="25" s="1"/>
  <c r="E1706" i="39" l="1"/>
  <c r="D1707" i="39" s="1"/>
  <c r="F1706" i="39"/>
  <c r="C1710" i="39"/>
  <c r="A1711" i="39"/>
  <c r="B1711" i="39" s="1"/>
  <c r="B1713" i="30"/>
  <c r="A1714" i="30"/>
  <c r="D1711" i="30"/>
  <c r="C1712" i="30" s="1"/>
  <c r="E1711" i="30"/>
  <c r="D1706" i="25"/>
  <c r="C1707" i="25" s="1"/>
  <c r="E1706" i="25"/>
  <c r="A1713" i="25"/>
  <c r="B1713" i="25" s="1"/>
  <c r="E1707" i="39" l="1"/>
  <c r="D1708" i="39" s="1"/>
  <c r="F1707" i="39"/>
  <c r="C1711" i="39"/>
  <c r="A1712" i="39"/>
  <c r="B1712" i="39" s="1"/>
  <c r="B1714" i="30"/>
  <c r="A1715" i="30"/>
  <c r="D1712" i="30"/>
  <c r="C1713" i="30" s="1"/>
  <c r="E1712" i="30"/>
  <c r="D1707" i="25"/>
  <c r="C1708" i="25" s="1"/>
  <c r="E1707" i="25"/>
  <c r="A1714" i="25"/>
  <c r="B1714" i="25" s="1"/>
  <c r="F1708" i="39" l="1"/>
  <c r="E1708" i="39"/>
  <c r="D1709" i="39" s="1"/>
  <c r="C1712" i="39"/>
  <c r="A1713" i="39"/>
  <c r="B1713" i="39" s="1"/>
  <c r="B1715" i="30"/>
  <c r="A1716" i="30"/>
  <c r="D1713" i="30"/>
  <c r="C1714" i="30" s="1"/>
  <c r="E1713" i="30"/>
  <c r="D1708" i="25"/>
  <c r="C1709" i="25" s="1"/>
  <c r="E1708" i="25"/>
  <c r="A1715" i="25"/>
  <c r="B1715" i="25" s="1"/>
  <c r="E1709" i="39" l="1"/>
  <c r="D1710" i="39" s="1"/>
  <c r="F1709" i="39"/>
  <c r="C1713" i="39"/>
  <c r="A1714" i="39"/>
  <c r="B1714" i="39" s="1"/>
  <c r="B1716" i="30"/>
  <c r="A1717" i="30"/>
  <c r="D1714" i="30"/>
  <c r="C1715" i="30" s="1"/>
  <c r="E1714" i="30"/>
  <c r="D1709" i="25"/>
  <c r="C1710" i="25" s="1"/>
  <c r="E1709" i="25"/>
  <c r="A1716" i="25"/>
  <c r="B1716" i="25" s="1"/>
  <c r="E1710" i="39" l="1"/>
  <c r="D1711" i="39" s="1"/>
  <c r="F1710" i="39"/>
  <c r="C1714" i="39"/>
  <c r="A1715" i="39"/>
  <c r="B1715" i="39" s="1"/>
  <c r="B1717" i="30"/>
  <c r="A1718" i="30"/>
  <c r="D1715" i="30"/>
  <c r="C1716" i="30" s="1"/>
  <c r="E1715" i="30"/>
  <c r="D1710" i="25"/>
  <c r="C1711" i="25" s="1"/>
  <c r="E1710" i="25"/>
  <c r="A1717" i="25"/>
  <c r="B1717" i="25" s="1"/>
  <c r="E1711" i="39" l="1"/>
  <c r="D1712" i="39" s="1"/>
  <c r="F1711" i="39"/>
  <c r="C1715" i="39"/>
  <c r="A1716" i="39"/>
  <c r="B1716" i="39" s="1"/>
  <c r="B1718" i="30"/>
  <c r="A1719" i="30"/>
  <c r="D1716" i="30"/>
  <c r="C1717" i="30" s="1"/>
  <c r="E1716" i="30"/>
  <c r="E1711" i="25"/>
  <c r="D1711" i="25"/>
  <c r="C1712" i="25" s="1"/>
  <c r="A1718" i="25"/>
  <c r="B1718" i="25" s="1"/>
  <c r="F1712" i="39" l="1"/>
  <c r="E1712" i="39"/>
  <c r="D1713" i="39" s="1"/>
  <c r="C1716" i="39"/>
  <c r="A1717" i="39"/>
  <c r="B1717" i="39" s="1"/>
  <c r="B1719" i="30"/>
  <c r="A1720" i="30"/>
  <c r="D1717" i="30"/>
  <c r="C1718" i="30" s="1"/>
  <c r="E1717" i="30"/>
  <c r="D1712" i="25"/>
  <c r="C1713" i="25" s="1"/>
  <c r="E1712" i="25"/>
  <c r="A1719" i="25"/>
  <c r="B1719" i="25" s="1"/>
  <c r="F1713" i="39" l="1"/>
  <c r="E1713" i="39"/>
  <c r="D1714" i="39" s="1"/>
  <c r="C1717" i="39"/>
  <c r="A1718" i="39"/>
  <c r="B1718" i="39" s="1"/>
  <c r="B1720" i="30"/>
  <c r="A1721" i="30"/>
  <c r="D1718" i="30"/>
  <c r="C1719" i="30" s="1"/>
  <c r="E1718" i="30"/>
  <c r="D1713" i="25"/>
  <c r="C1714" i="25" s="1"/>
  <c r="E1713" i="25"/>
  <c r="A1720" i="25"/>
  <c r="B1720" i="25" s="1"/>
  <c r="F1714" i="39" l="1"/>
  <c r="E1714" i="39"/>
  <c r="D1715" i="39" s="1"/>
  <c r="C1718" i="39"/>
  <c r="A1719" i="39"/>
  <c r="B1719" i="39" s="1"/>
  <c r="B1721" i="30"/>
  <c r="A1722" i="30"/>
  <c r="D1719" i="30"/>
  <c r="C1720" i="30" s="1"/>
  <c r="E1719" i="30"/>
  <c r="D1714" i="25"/>
  <c r="C1715" i="25" s="1"/>
  <c r="E1714" i="25"/>
  <c r="A1721" i="25"/>
  <c r="B1721" i="25" s="1"/>
  <c r="F1715" i="39" l="1"/>
  <c r="E1715" i="39"/>
  <c r="D1716" i="39" s="1"/>
  <c r="C1719" i="39"/>
  <c r="A1720" i="39"/>
  <c r="B1720" i="39" s="1"/>
  <c r="B1722" i="30"/>
  <c r="A1723" i="30"/>
  <c r="D1720" i="30"/>
  <c r="C1721" i="30" s="1"/>
  <c r="E1720" i="30"/>
  <c r="E1715" i="25"/>
  <c r="D1715" i="25"/>
  <c r="C1716" i="25" s="1"/>
  <c r="A1722" i="25"/>
  <c r="B1722" i="25" s="1"/>
  <c r="F1716" i="39" l="1"/>
  <c r="E1716" i="39"/>
  <c r="D1717" i="39" s="1"/>
  <c r="C1720" i="39"/>
  <c r="A1721" i="39"/>
  <c r="B1721" i="39" s="1"/>
  <c r="B1723" i="30"/>
  <c r="A1724" i="30"/>
  <c r="D1721" i="30"/>
  <c r="C1722" i="30" s="1"/>
  <c r="E1721" i="30"/>
  <c r="E1716" i="25"/>
  <c r="D1716" i="25"/>
  <c r="C1717" i="25" s="1"/>
  <c r="A1723" i="25"/>
  <c r="B1723" i="25" s="1"/>
  <c r="F1717" i="39" l="1"/>
  <c r="E1717" i="39"/>
  <c r="D1718" i="39" s="1"/>
  <c r="C1721" i="39"/>
  <c r="A1722" i="39"/>
  <c r="B1722" i="39" s="1"/>
  <c r="B1724" i="30"/>
  <c r="A1725" i="30"/>
  <c r="D1722" i="30"/>
  <c r="C1723" i="30" s="1"/>
  <c r="E1722" i="30"/>
  <c r="E1717" i="25"/>
  <c r="D1717" i="25"/>
  <c r="C1718" i="25" s="1"/>
  <c r="A1724" i="25"/>
  <c r="B1724" i="25" s="1"/>
  <c r="E1718" i="39" l="1"/>
  <c r="D1719" i="39" s="1"/>
  <c r="F1718" i="39"/>
  <c r="C1722" i="39"/>
  <c r="A1723" i="39"/>
  <c r="B1723" i="39" s="1"/>
  <c r="B1725" i="30"/>
  <c r="A1726" i="30"/>
  <c r="D1723" i="30"/>
  <c r="C1724" i="30" s="1"/>
  <c r="E1723" i="30"/>
  <c r="D1718" i="25"/>
  <c r="C1719" i="25" s="1"/>
  <c r="E1718" i="25"/>
  <c r="A1725" i="25"/>
  <c r="B1725" i="25" s="1"/>
  <c r="F1719" i="39" l="1"/>
  <c r="E1719" i="39"/>
  <c r="D1720" i="39" s="1"/>
  <c r="C1723" i="39"/>
  <c r="A1724" i="39"/>
  <c r="B1724" i="39" s="1"/>
  <c r="B1726" i="30"/>
  <c r="A1727" i="30"/>
  <c r="D1724" i="30"/>
  <c r="C1725" i="30" s="1"/>
  <c r="E1724" i="30"/>
  <c r="D1719" i="25"/>
  <c r="C1720" i="25" s="1"/>
  <c r="E1719" i="25"/>
  <c r="A1726" i="25"/>
  <c r="B1726" i="25" s="1"/>
  <c r="E1720" i="39" l="1"/>
  <c r="D1721" i="39" s="1"/>
  <c r="F1720" i="39"/>
  <c r="C1724" i="39"/>
  <c r="A1725" i="39"/>
  <c r="B1725" i="39" s="1"/>
  <c r="B1727" i="30"/>
  <c r="A1728" i="30"/>
  <c r="D1725" i="30"/>
  <c r="C1726" i="30" s="1"/>
  <c r="E1725" i="30"/>
  <c r="D1720" i="25"/>
  <c r="C1721" i="25" s="1"/>
  <c r="E1720" i="25"/>
  <c r="A1727" i="25"/>
  <c r="B1727" i="25" s="1"/>
  <c r="E1721" i="39" l="1"/>
  <c r="D1722" i="39" s="1"/>
  <c r="F1721" i="39"/>
  <c r="C1725" i="39"/>
  <c r="A1726" i="39"/>
  <c r="B1726" i="39" s="1"/>
  <c r="B1728" i="30"/>
  <c r="A1729" i="30"/>
  <c r="D1726" i="30"/>
  <c r="C1727" i="30" s="1"/>
  <c r="E1726" i="30"/>
  <c r="D1721" i="25"/>
  <c r="C1722" i="25" s="1"/>
  <c r="E1721" i="25"/>
  <c r="A1728" i="25"/>
  <c r="B1728" i="25" s="1"/>
  <c r="F1722" i="39" l="1"/>
  <c r="E1722" i="39"/>
  <c r="D1723" i="39" s="1"/>
  <c r="C1726" i="39"/>
  <c r="A1727" i="39"/>
  <c r="B1727" i="39" s="1"/>
  <c r="B1729" i="30"/>
  <c r="A1730" i="30"/>
  <c r="D1727" i="30"/>
  <c r="C1728" i="30" s="1"/>
  <c r="E1727" i="30"/>
  <c r="D1722" i="25"/>
  <c r="C1723" i="25" s="1"/>
  <c r="E1722" i="25"/>
  <c r="A1729" i="25"/>
  <c r="B1729" i="25" s="1"/>
  <c r="E1723" i="39" l="1"/>
  <c r="D1724" i="39" s="1"/>
  <c r="F1723" i="39"/>
  <c r="C1727" i="39"/>
  <c r="A1728" i="39"/>
  <c r="B1728" i="39" s="1"/>
  <c r="B1730" i="30"/>
  <c r="A1731" i="30"/>
  <c r="D1728" i="30"/>
  <c r="C1729" i="30" s="1"/>
  <c r="E1728" i="30"/>
  <c r="D1723" i="25"/>
  <c r="C1724" i="25" s="1"/>
  <c r="E1723" i="25"/>
  <c r="A1730" i="25"/>
  <c r="B1730" i="25" s="1"/>
  <c r="F1724" i="39" l="1"/>
  <c r="E1724" i="39"/>
  <c r="D1725" i="39" s="1"/>
  <c r="C1728" i="39"/>
  <c r="A1729" i="39"/>
  <c r="B1729" i="39" s="1"/>
  <c r="B1731" i="30"/>
  <c r="A1732" i="30"/>
  <c r="D1729" i="30"/>
  <c r="C1730" i="30" s="1"/>
  <c r="E1729" i="30"/>
  <c r="D1724" i="25"/>
  <c r="C1725" i="25" s="1"/>
  <c r="E1724" i="25"/>
  <c r="A1731" i="25"/>
  <c r="B1731" i="25" s="1"/>
  <c r="F1725" i="39" l="1"/>
  <c r="E1725" i="39"/>
  <c r="D1726" i="39" s="1"/>
  <c r="C1729" i="39"/>
  <c r="A1730" i="39"/>
  <c r="B1730" i="39" s="1"/>
  <c r="B1732" i="30"/>
  <c r="A1733" i="30"/>
  <c r="D1730" i="30"/>
  <c r="C1731" i="30" s="1"/>
  <c r="E1730" i="30"/>
  <c r="D1725" i="25"/>
  <c r="C1726" i="25" s="1"/>
  <c r="E1725" i="25"/>
  <c r="A1732" i="25"/>
  <c r="B1732" i="25" s="1"/>
  <c r="E1726" i="39" l="1"/>
  <c r="D1727" i="39" s="1"/>
  <c r="F1726" i="39"/>
  <c r="C1730" i="39"/>
  <c r="A1731" i="39"/>
  <c r="B1731" i="39" s="1"/>
  <c r="B1733" i="30"/>
  <c r="A1734" i="30"/>
  <c r="D1731" i="30"/>
  <c r="C1732" i="30" s="1"/>
  <c r="E1731" i="30"/>
  <c r="E1726" i="25"/>
  <c r="D1726" i="25"/>
  <c r="C1727" i="25" s="1"/>
  <c r="A1733" i="25"/>
  <c r="B1733" i="25" s="1"/>
  <c r="F1727" i="39" l="1"/>
  <c r="E1727" i="39"/>
  <c r="D1728" i="39" s="1"/>
  <c r="C1731" i="39"/>
  <c r="A1732" i="39"/>
  <c r="B1732" i="39" s="1"/>
  <c r="B1734" i="30"/>
  <c r="A1735" i="30"/>
  <c r="D1732" i="30"/>
  <c r="C1733" i="30" s="1"/>
  <c r="E1732" i="30"/>
  <c r="D1727" i="25"/>
  <c r="C1728" i="25" s="1"/>
  <c r="E1727" i="25"/>
  <c r="A1734" i="25"/>
  <c r="B1734" i="25" s="1"/>
  <c r="F1728" i="39" l="1"/>
  <c r="E1728" i="39"/>
  <c r="D1729" i="39" s="1"/>
  <c r="C1732" i="39"/>
  <c r="A1733" i="39"/>
  <c r="B1733" i="39" s="1"/>
  <c r="B1735" i="30"/>
  <c r="A1736" i="30"/>
  <c r="D1733" i="30"/>
  <c r="C1734" i="30" s="1"/>
  <c r="E1733" i="30"/>
  <c r="D1728" i="25"/>
  <c r="C1729" i="25" s="1"/>
  <c r="E1728" i="25"/>
  <c r="A1735" i="25"/>
  <c r="B1735" i="25" s="1"/>
  <c r="F1729" i="39" l="1"/>
  <c r="E1729" i="39"/>
  <c r="D1730" i="39" s="1"/>
  <c r="C1733" i="39"/>
  <c r="A1734" i="39"/>
  <c r="B1734" i="39" s="1"/>
  <c r="B1736" i="30"/>
  <c r="A1737" i="30"/>
  <c r="D1734" i="30"/>
  <c r="C1735" i="30" s="1"/>
  <c r="E1734" i="30"/>
  <c r="D1729" i="25"/>
  <c r="C1730" i="25" s="1"/>
  <c r="E1729" i="25"/>
  <c r="A1736" i="25"/>
  <c r="B1736" i="25" s="1"/>
  <c r="F1730" i="39" l="1"/>
  <c r="E1730" i="39"/>
  <c r="D1731" i="39" s="1"/>
  <c r="C1734" i="39"/>
  <c r="A1735" i="39"/>
  <c r="B1735" i="39" s="1"/>
  <c r="B1737" i="30"/>
  <c r="A1738" i="30"/>
  <c r="D1735" i="30"/>
  <c r="C1736" i="30" s="1"/>
  <c r="E1735" i="30"/>
  <c r="D1730" i="25"/>
  <c r="C1731" i="25" s="1"/>
  <c r="E1730" i="25"/>
  <c r="A1737" i="25"/>
  <c r="B1737" i="25" s="1"/>
  <c r="E1731" i="39" l="1"/>
  <c r="D1732" i="39" s="1"/>
  <c r="F1731" i="39"/>
  <c r="C1735" i="39"/>
  <c r="A1736" i="39"/>
  <c r="B1736" i="39" s="1"/>
  <c r="B1738" i="30"/>
  <c r="A1739" i="30"/>
  <c r="D1736" i="30"/>
  <c r="C1737" i="30" s="1"/>
  <c r="E1736" i="30"/>
  <c r="D1731" i="25"/>
  <c r="C1732" i="25" s="1"/>
  <c r="E1731" i="25"/>
  <c r="A1738" i="25"/>
  <c r="B1738" i="25" s="1"/>
  <c r="F1732" i="39" l="1"/>
  <c r="E1732" i="39"/>
  <c r="D1733" i="39" s="1"/>
  <c r="C1736" i="39"/>
  <c r="A1737" i="39"/>
  <c r="B1737" i="39" s="1"/>
  <c r="B1739" i="30"/>
  <c r="A1740" i="30"/>
  <c r="D1737" i="30"/>
  <c r="C1738" i="30" s="1"/>
  <c r="E1737" i="30"/>
  <c r="D1732" i="25"/>
  <c r="C1733" i="25" s="1"/>
  <c r="E1732" i="25"/>
  <c r="A1739" i="25"/>
  <c r="B1739" i="25" s="1"/>
  <c r="E1733" i="39" l="1"/>
  <c r="D1734" i="39" s="1"/>
  <c r="F1733" i="39"/>
  <c r="C1737" i="39"/>
  <c r="A1738" i="39"/>
  <c r="B1738" i="39" s="1"/>
  <c r="B1740" i="30"/>
  <c r="A1741" i="30"/>
  <c r="D1738" i="30"/>
  <c r="C1739" i="30" s="1"/>
  <c r="E1738" i="30"/>
  <c r="D1733" i="25"/>
  <c r="C1734" i="25" s="1"/>
  <c r="E1733" i="25"/>
  <c r="A1740" i="25"/>
  <c r="B1740" i="25" s="1"/>
  <c r="F1734" i="39" l="1"/>
  <c r="E1734" i="39"/>
  <c r="D1735" i="39" s="1"/>
  <c r="C1738" i="39"/>
  <c r="A1739" i="39"/>
  <c r="B1739" i="39" s="1"/>
  <c r="B1741" i="30"/>
  <c r="A1742" i="30"/>
  <c r="D1739" i="30"/>
  <c r="C1740" i="30" s="1"/>
  <c r="E1739" i="30"/>
  <c r="D1734" i="25"/>
  <c r="C1735" i="25" s="1"/>
  <c r="E1734" i="25"/>
  <c r="A1741" i="25"/>
  <c r="B1741" i="25" s="1"/>
  <c r="E1735" i="39" l="1"/>
  <c r="D1736" i="39" s="1"/>
  <c r="F1735" i="39"/>
  <c r="C1739" i="39"/>
  <c r="A1740" i="39"/>
  <c r="B1740" i="39" s="1"/>
  <c r="B1742" i="30"/>
  <c r="A1743" i="30"/>
  <c r="D1740" i="30"/>
  <c r="C1741" i="30" s="1"/>
  <c r="E1740" i="30"/>
  <c r="E1735" i="25"/>
  <c r="D1735" i="25"/>
  <c r="C1736" i="25" s="1"/>
  <c r="A1742" i="25"/>
  <c r="B1742" i="25" s="1"/>
  <c r="F1736" i="39" l="1"/>
  <c r="E1736" i="39"/>
  <c r="D1737" i="39" s="1"/>
  <c r="C1740" i="39"/>
  <c r="A1741" i="39"/>
  <c r="B1741" i="39" s="1"/>
  <c r="B1743" i="30"/>
  <c r="A1744" i="30"/>
  <c r="D1741" i="30"/>
  <c r="C1742" i="30" s="1"/>
  <c r="E1741" i="30"/>
  <c r="D1736" i="25"/>
  <c r="C1737" i="25" s="1"/>
  <c r="E1736" i="25"/>
  <c r="A1743" i="25"/>
  <c r="B1743" i="25" s="1"/>
  <c r="E1737" i="39" l="1"/>
  <c r="D1738" i="39" s="1"/>
  <c r="F1737" i="39"/>
  <c r="C1741" i="39"/>
  <c r="A1742" i="39"/>
  <c r="B1742" i="39" s="1"/>
  <c r="B1744" i="30"/>
  <c r="A1745" i="30"/>
  <c r="D1742" i="30"/>
  <c r="C1743" i="30" s="1"/>
  <c r="E1742" i="30"/>
  <c r="D1737" i="25"/>
  <c r="C1738" i="25" s="1"/>
  <c r="E1737" i="25"/>
  <c r="A1744" i="25"/>
  <c r="B1744" i="25" s="1"/>
  <c r="F1738" i="39" l="1"/>
  <c r="E1738" i="39"/>
  <c r="D1739" i="39" s="1"/>
  <c r="C1742" i="39"/>
  <c r="A1743" i="39"/>
  <c r="B1743" i="39" s="1"/>
  <c r="B1745" i="30"/>
  <c r="A1746" i="30"/>
  <c r="D1743" i="30"/>
  <c r="C1744" i="30" s="1"/>
  <c r="E1743" i="30"/>
  <c r="D1738" i="25"/>
  <c r="C1739" i="25" s="1"/>
  <c r="E1738" i="25"/>
  <c r="A1745" i="25"/>
  <c r="B1745" i="25" s="1"/>
  <c r="F1739" i="39" l="1"/>
  <c r="E1739" i="39"/>
  <c r="D1740" i="39" s="1"/>
  <c r="C1743" i="39"/>
  <c r="A1744" i="39"/>
  <c r="B1744" i="39" s="1"/>
  <c r="B1746" i="30"/>
  <c r="A1747" i="30"/>
  <c r="D1744" i="30"/>
  <c r="C1745" i="30" s="1"/>
  <c r="E1744" i="30"/>
  <c r="D1739" i="25"/>
  <c r="C1740" i="25" s="1"/>
  <c r="E1739" i="25"/>
  <c r="A1746" i="25"/>
  <c r="B1746" i="25" s="1"/>
  <c r="F1740" i="39" l="1"/>
  <c r="E1740" i="39"/>
  <c r="D1741" i="39" s="1"/>
  <c r="C1744" i="39"/>
  <c r="A1745" i="39"/>
  <c r="B1745" i="39" s="1"/>
  <c r="B1747" i="30"/>
  <c r="A1748" i="30"/>
  <c r="D1745" i="30"/>
  <c r="C1746" i="30" s="1"/>
  <c r="E1745" i="30"/>
  <c r="E1740" i="25"/>
  <c r="D1740" i="25"/>
  <c r="C1741" i="25" s="1"/>
  <c r="A1747" i="25"/>
  <c r="B1747" i="25" s="1"/>
  <c r="E1741" i="39" l="1"/>
  <c r="D1742" i="39" s="1"/>
  <c r="F1741" i="39"/>
  <c r="C1745" i="39"/>
  <c r="A1746" i="39"/>
  <c r="B1746" i="39" s="1"/>
  <c r="B1748" i="30"/>
  <c r="A1749" i="30"/>
  <c r="D1746" i="30"/>
  <c r="C1747" i="30" s="1"/>
  <c r="E1746" i="30"/>
  <c r="E1741" i="25"/>
  <c r="D1741" i="25"/>
  <c r="C1742" i="25" s="1"/>
  <c r="A1748" i="25"/>
  <c r="B1748" i="25" s="1"/>
  <c r="F1742" i="39" l="1"/>
  <c r="E1742" i="39"/>
  <c r="D1743" i="39" s="1"/>
  <c r="C1746" i="39"/>
  <c r="A1747" i="39"/>
  <c r="B1747" i="39" s="1"/>
  <c r="B1749" i="30"/>
  <c r="A1750" i="30"/>
  <c r="D1747" i="30"/>
  <c r="C1748" i="30" s="1"/>
  <c r="E1747" i="30"/>
  <c r="D1742" i="25"/>
  <c r="C1743" i="25" s="1"/>
  <c r="E1742" i="25"/>
  <c r="A1749" i="25"/>
  <c r="B1749" i="25" s="1"/>
  <c r="F1743" i="39" l="1"/>
  <c r="E1743" i="39"/>
  <c r="D1744" i="39" s="1"/>
  <c r="C1747" i="39"/>
  <c r="A1748" i="39"/>
  <c r="B1748" i="39" s="1"/>
  <c r="B1750" i="30"/>
  <c r="A1751" i="30"/>
  <c r="D1748" i="30"/>
  <c r="C1749" i="30" s="1"/>
  <c r="E1748" i="30"/>
  <c r="D1743" i="25"/>
  <c r="C1744" i="25" s="1"/>
  <c r="E1743" i="25"/>
  <c r="A1750" i="25"/>
  <c r="B1750" i="25" s="1"/>
  <c r="F1744" i="39" l="1"/>
  <c r="E1744" i="39"/>
  <c r="D1745" i="39" s="1"/>
  <c r="C1748" i="39"/>
  <c r="A1749" i="39"/>
  <c r="B1749" i="39" s="1"/>
  <c r="B1751" i="30"/>
  <c r="A1752" i="30"/>
  <c r="D1749" i="30"/>
  <c r="C1750" i="30" s="1"/>
  <c r="E1749" i="30"/>
  <c r="D1744" i="25"/>
  <c r="C1745" i="25" s="1"/>
  <c r="E1744" i="25"/>
  <c r="A1751" i="25"/>
  <c r="B1751" i="25" s="1"/>
  <c r="E1745" i="39" l="1"/>
  <c r="D1746" i="39" s="1"/>
  <c r="F1745" i="39"/>
  <c r="C1749" i="39"/>
  <c r="A1750" i="39"/>
  <c r="B1750" i="39" s="1"/>
  <c r="B1752" i="30"/>
  <c r="A1753" i="30"/>
  <c r="D1750" i="30"/>
  <c r="C1751" i="30" s="1"/>
  <c r="E1750" i="30"/>
  <c r="E1745" i="25"/>
  <c r="D1745" i="25"/>
  <c r="C1746" i="25" s="1"/>
  <c r="A1752" i="25"/>
  <c r="B1752" i="25" s="1"/>
  <c r="F1746" i="39" l="1"/>
  <c r="E1746" i="39"/>
  <c r="D1747" i="39" s="1"/>
  <c r="C1750" i="39"/>
  <c r="A1751" i="39"/>
  <c r="B1751" i="39" s="1"/>
  <c r="B1753" i="30"/>
  <c r="A1754" i="30"/>
  <c r="D1751" i="30"/>
  <c r="C1752" i="30" s="1"/>
  <c r="E1751" i="30"/>
  <c r="D1746" i="25"/>
  <c r="C1747" i="25" s="1"/>
  <c r="E1746" i="25"/>
  <c r="A1753" i="25"/>
  <c r="B1753" i="25" s="1"/>
  <c r="E1747" i="39" l="1"/>
  <c r="D1748" i="39" s="1"/>
  <c r="F1747" i="39"/>
  <c r="C1751" i="39"/>
  <c r="A1752" i="39"/>
  <c r="B1752" i="39" s="1"/>
  <c r="B1754" i="30"/>
  <c r="A1755" i="30"/>
  <c r="D1752" i="30"/>
  <c r="C1753" i="30" s="1"/>
  <c r="E1752" i="30"/>
  <c r="E1747" i="25"/>
  <c r="D1747" i="25"/>
  <c r="C1748" i="25" s="1"/>
  <c r="A1754" i="25"/>
  <c r="B1754" i="25" s="1"/>
  <c r="F1748" i="39" l="1"/>
  <c r="E1748" i="39"/>
  <c r="D1749" i="39" s="1"/>
  <c r="C1752" i="39"/>
  <c r="A1753" i="39"/>
  <c r="B1753" i="39" s="1"/>
  <c r="B1755" i="30"/>
  <c r="A1756" i="30"/>
  <c r="D1753" i="30"/>
  <c r="C1754" i="30" s="1"/>
  <c r="E1753" i="30"/>
  <c r="E1748" i="25"/>
  <c r="D1748" i="25"/>
  <c r="C1749" i="25" s="1"/>
  <c r="A1755" i="25"/>
  <c r="B1755" i="25" s="1"/>
  <c r="E1749" i="39" l="1"/>
  <c r="D1750" i="39" s="1"/>
  <c r="F1749" i="39"/>
  <c r="C1753" i="39"/>
  <c r="A1754" i="39"/>
  <c r="B1754" i="39" s="1"/>
  <c r="B1756" i="30"/>
  <c r="A1757" i="30"/>
  <c r="D1754" i="30"/>
  <c r="C1755" i="30" s="1"/>
  <c r="E1754" i="30"/>
  <c r="E1749" i="25"/>
  <c r="D1749" i="25"/>
  <c r="C1750" i="25" s="1"/>
  <c r="A1756" i="25"/>
  <c r="B1756" i="25" s="1"/>
  <c r="F1750" i="39" l="1"/>
  <c r="E1750" i="39"/>
  <c r="D1751" i="39" s="1"/>
  <c r="C1754" i="39"/>
  <c r="A1755" i="39"/>
  <c r="B1755" i="39" s="1"/>
  <c r="B1757" i="30"/>
  <c r="A1758" i="30"/>
  <c r="D1755" i="30"/>
  <c r="C1756" i="30" s="1"/>
  <c r="E1755" i="30"/>
  <c r="D1750" i="25"/>
  <c r="C1751" i="25" s="1"/>
  <c r="E1750" i="25"/>
  <c r="A1757" i="25"/>
  <c r="B1757" i="25" s="1"/>
  <c r="F1751" i="39" l="1"/>
  <c r="E1751" i="39"/>
  <c r="D1752" i="39" s="1"/>
  <c r="C1755" i="39"/>
  <c r="A1756" i="39"/>
  <c r="B1756" i="39" s="1"/>
  <c r="B1758" i="30"/>
  <c r="A1759" i="30"/>
  <c r="D1756" i="30"/>
  <c r="C1757" i="30" s="1"/>
  <c r="E1756" i="30"/>
  <c r="E1751" i="25"/>
  <c r="D1751" i="25"/>
  <c r="C1752" i="25" s="1"/>
  <c r="A1758" i="25"/>
  <c r="B1758" i="25" s="1"/>
  <c r="E1752" i="39" l="1"/>
  <c r="D1753" i="39" s="1"/>
  <c r="F1752" i="39"/>
  <c r="C1756" i="39"/>
  <c r="A1757" i="39"/>
  <c r="B1757" i="39" s="1"/>
  <c r="B1759" i="30"/>
  <c r="A1760" i="30"/>
  <c r="D1757" i="30"/>
  <c r="C1758" i="30" s="1"/>
  <c r="E1757" i="30"/>
  <c r="E1752" i="25"/>
  <c r="D1752" i="25"/>
  <c r="C1753" i="25" s="1"/>
  <c r="A1759" i="25"/>
  <c r="B1759" i="25" s="1"/>
  <c r="E1753" i="39" l="1"/>
  <c r="D1754" i="39" s="1"/>
  <c r="F1753" i="39"/>
  <c r="C1757" i="39"/>
  <c r="A1758" i="39"/>
  <c r="B1758" i="39" s="1"/>
  <c r="B1760" i="30"/>
  <c r="A1761" i="30"/>
  <c r="D1758" i="30"/>
  <c r="C1759" i="30" s="1"/>
  <c r="E1758" i="30"/>
  <c r="E1753" i="25"/>
  <c r="D1753" i="25"/>
  <c r="C1754" i="25" s="1"/>
  <c r="A1760" i="25"/>
  <c r="B1760" i="25" s="1"/>
  <c r="F1754" i="39" l="1"/>
  <c r="E1754" i="39"/>
  <c r="D1755" i="39" s="1"/>
  <c r="C1758" i="39"/>
  <c r="A1759" i="39"/>
  <c r="B1759" i="39" s="1"/>
  <c r="B1761" i="30"/>
  <c r="A1762" i="30"/>
  <c r="D1759" i="30"/>
  <c r="C1760" i="30" s="1"/>
  <c r="E1759" i="30"/>
  <c r="E1754" i="25"/>
  <c r="D1754" i="25"/>
  <c r="C1755" i="25" s="1"/>
  <c r="A1761" i="25"/>
  <c r="B1761" i="25" s="1"/>
  <c r="E1755" i="39" l="1"/>
  <c r="D1756" i="39" s="1"/>
  <c r="F1755" i="39"/>
  <c r="C1759" i="39"/>
  <c r="A1760" i="39"/>
  <c r="B1760" i="39" s="1"/>
  <c r="B1762" i="30"/>
  <c r="A1763" i="30"/>
  <c r="D1760" i="30"/>
  <c r="C1761" i="30" s="1"/>
  <c r="E1760" i="30"/>
  <c r="E1755" i="25"/>
  <c r="D1755" i="25"/>
  <c r="C1756" i="25" s="1"/>
  <c r="A1762" i="25"/>
  <c r="B1762" i="25" s="1"/>
  <c r="F1756" i="39" l="1"/>
  <c r="E1756" i="39"/>
  <c r="D1757" i="39" s="1"/>
  <c r="C1760" i="39"/>
  <c r="A1761" i="39"/>
  <c r="B1761" i="39" s="1"/>
  <c r="B1763" i="30"/>
  <c r="A1764" i="30"/>
  <c r="D1761" i="30"/>
  <c r="C1762" i="30" s="1"/>
  <c r="E1761" i="30"/>
  <c r="D1756" i="25"/>
  <c r="C1757" i="25" s="1"/>
  <c r="E1756" i="25"/>
  <c r="A1763" i="25"/>
  <c r="B1763" i="25" s="1"/>
  <c r="E1757" i="39" l="1"/>
  <c r="D1758" i="39" s="1"/>
  <c r="F1757" i="39"/>
  <c r="C1761" i="39"/>
  <c r="A1762" i="39"/>
  <c r="B1762" i="39" s="1"/>
  <c r="B1764" i="30"/>
  <c r="A1765" i="30"/>
  <c r="D1762" i="30"/>
  <c r="C1763" i="30" s="1"/>
  <c r="E1762" i="30"/>
  <c r="D1757" i="25"/>
  <c r="C1758" i="25" s="1"/>
  <c r="E1757" i="25"/>
  <c r="A1764" i="25"/>
  <c r="B1764" i="25" s="1"/>
  <c r="F1758" i="39" l="1"/>
  <c r="E1758" i="39"/>
  <c r="D1759" i="39" s="1"/>
  <c r="C1762" i="39"/>
  <c r="A1763" i="39"/>
  <c r="B1763" i="39" s="1"/>
  <c r="B1765" i="30"/>
  <c r="A1766" i="30"/>
  <c r="D1763" i="30"/>
  <c r="C1764" i="30" s="1"/>
  <c r="E1763" i="30"/>
  <c r="D1758" i="25"/>
  <c r="C1759" i="25" s="1"/>
  <c r="E1758" i="25"/>
  <c r="A1765" i="25"/>
  <c r="B1765" i="25" s="1"/>
  <c r="E1759" i="39" l="1"/>
  <c r="D1760" i="39" s="1"/>
  <c r="F1759" i="39"/>
  <c r="C1763" i="39"/>
  <c r="A1764" i="39"/>
  <c r="B1764" i="39" s="1"/>
  <c r="B1766" i="30"/>
  <c r="A1767" i="30"/>
  <c r="D1764" i="30"/>
  <c r="C1765" i="30" s="1"/>
  <c r="E1764" i="30"/>
  <c r="E1759" i="25"/>
  <c r="D1759" i="25"/>
  <c r="C1760" i="25" s="1"/>
  <c r="A1766" i="25"/>
  <c r="B1766" i="25" s="1"/>
  <c r="F1760" i="39" l="1"/>
  <c r="E1760" i="39"/>
  <c r="D1761" i="39" s="1"/>
  <c r="C1764" i="39"/>
  <c r="A1765" i="39"/>
  <c r="B1765" i="39" s="1"/>
  <c r="B1767" i="30"/>
  <c r="A1768" i="30"/>
  <c r="D1765" i="30"/>
  <c r="C1766" i="30" s="1"/>
  <c r="E1765" i="30"/>
  <c r="E1760" i="25"/>
  <c r="D1760" i="25"/>
  <c r="C1761" i="25" s="1"/>
  <c r="A1767" i="25"/>
  <c r="B1767" i="25" s="1"/>
  <c r="E1761" i="39" l="1"/>
  <c r="D1762" i="39" s="1"/>
  <c r="F1761" i="39"/>
  <c r="C1765" i="39"/>
  <c r="A1766" i="39"/>
  <c r="B1766" i="39" s="1"/>
  <c r="B1768" i="30"/>
  <c r="A1769" i="30"/>
  <c r="D1766" i="30"/>
  <c r="C1767" i="30" s="1"/>
  <c r="E1766" i="30"/>
  <c r="D1761" i="25"/>
  <c r="C1762" i="25" s="1"/>
  <c r="E1761" i="25"/>
  <c r="A1768" i="25"/>
  <c r="B1768" i="25" s="1"/>
  <c r="F1762" i="39" l="1"/>
  <c r="E1762" i="39"/>
  <c r="D1763" i="39" s="1"/>
  <c r="C1766" i="39"/>
  <c r="A1767" i="39"/>
  <c r="B1767" i="39" s="1"/>
  <c r="B1769" i="30"/>
  <c r="A1770" i="30"/>
  <c r="D1767" i="30"/>
  <c r="C1768" i="30" s="1"/>
  <c r="E1767" i="30"/>
  <c r="D1762" i="25"/>
  <c r="C1763" i="25" s="1"/>
  <c r="E1762" i="25"/>
  <c r="A1769" i="25"/>
  <c r="B1769" i="25" s="1"/>
  <c r="F1763" i="39" l="1"/>
  <c r="E1763" i="39"/>
  <c r="D1764" i="39" s="1"/>
  <c r="C1767" i="39"/>
  <c r="A1768" i="39"/>
  <c r="B1768" i="39" s="1"/>
  <c r="B1770" i="30"/>
  <c r="A1771" i="30"/>
  <c r="D1768" i="30"/>
  <c r="C1769" i="30" s="1"/>
  <c r="E1768" i="30"/>
  <c r="D1763" i="25"/>
  <c r="C1764" i="25" s="1"/>
  <c r="E1763" i="25"/>
  <c r="A1770" i="25"/>
  <c r="B1770" i="25" s="1"/>
  <c r="F1764" i="39" l="1"/>
  <c r="E1764" i="39"/>
  <c r="D1765" i="39" s="1"/>
  <c r="C1768" i="39"/>
  <c r="A1769" i="39"/>
  <c r="B1769" i="39" s="1"/>
  <c r="B1771" i="30"/>
  <c r="A1772" i="30"/>
  <c r="D1769" i="30"/>
  <c r="C1770" i="30" s="1"/>
  <c r="E1769" i="30"/>
  <c r="E1764" i="25"/>
  <c r="D1764" i="25"/>
  <c r="C1765" i="25" s="1"/>
  <c r="A1771" i="25"/>
  <c r="B1771" i="25" s="1"/>
  <c r="F1765" i="39" l="1"/>
  <c r="E1765" i="39"/>
  <c r="D1766" i="39" s="1"/>
  <c r="C1769" i="39"/>
  <c r="A1770" i="39"/>
  <c r="B1770" i="39" s="1"/>
  <c r="B1772" i="30"/>
  <c r="A1773" i="30"/>
  <c r="D1770" i="30"/>
  <c r="C1771" i="30" s="1"/>
  <c r="E1770" i="30"/>
  <c r="E1765" i="25"/>
  <c r="D1765" i="25"/>
  <c r="C1766" i="25" s="1"/>
  <c r="A1772" i="25"/>
  <c r="B1772" i="25" s="1"/>
  <c r="E1766" i="39" l="1"/>
  <c r="D1767" i="39" s="1"/>
  <c r="F1766" i="39"/>
  <c r="C1770" i="39"/>
  <c r="A1771" i="39"/>
  <c r="B1771" i="39" s="1"/>
  <c r="B1773" i="30"/>
  <c r="A1774" i="30"/>
  <c r="D1771" i="30"/>
  <c r="C1772" i="30" s="1"/>
  <c r="E1771" i="30"/>
  <c r="E1766" i="25"/>
  <c r="D1766" i="25"/>
  <c r="C1767" i="25" s="1"/>
  <c r="A1773" i="25"/>
  <c r="B1773" i="25" s="1"/>
  <c r="E1767" i="39" l="1"/>
  <c r="D1768" i="39" s="1"/>
  <c r="F1767" i="39"/>
  <c r="C1771" i="39"/>
  <c r="A1772" i="39"/>
  <c r="B1772" i="39" s="1"/>
  <c r="B1774" i="30"/>
  <c r="A1775" i="30"/>
  <c r="D1772" i="30"/>
  <c r="C1773" i="30" s="1"/>
  <c r="E1772" i="30"/>
  <c r="D1767" i="25"/>
  <c r="C1768" i="25" s="1"/>
  <c r="E1767" i="25"/>
  <c r="A1774" i="25"/>
  <c r="B1774" i="25" s="1"/>
  <c r="F1768" i="39" l="1"/>
  <c r="E1768" i="39"/>
  <c r="D1769" i="39" s="1"/>
  <c r="C1772" i="39"/>
  <c r="A1773" i="39"/>
  <c r="B1773" i="39" s="1"/>
  <c r="B1775" i="30"/>
  <c r="A1776" i="30"/>
  <c r="D1773" i="30"/>
  <c r="C1774" i="30" s="1"/>
  <c r="E1773" i="30"/>
  <c r="D1768" i="25"/>
  <c r="C1769" i="25" s="1"/>
  <c r="E1768" i="25"/>
  <c r="A1775" i="25"/>
  <c r="B1775" i="25" s="1"/>
  <c r="F1769" i="39" l="1"/>
  <c r="E1769" i="39"/>
  <c r="D1770" i="39" s="1"/>
  <c r="C1773" i="39"/>
  <c r="A1774" i="39"/>
  <c r="B1774" i="39" s="1"/>
  <c r="B1776" i="30"/>
  <c r="A1777" i="30"/>
  <c r="D1774" i="30"/>
  <c r="C1775" i="30" s="1"/>
  <c r="E1774" i="30"/>
  <c r="D1769" i="25"/>
  <c r="C1770" i="25" s="1"/>
  <c r="E1769" i="25"/>
  <c r="A1776" i="25"/>
  <c r="B1776" i="25" s="1"/>
  <c r="F1770" i="39" l="1"/>
  <c r="E1770" i="39"/>
  <c r="D1771" i="39" s="1"/>
  <c r="C1774" i="39"/>
  <c r="A1775" i="39"/>
  <c r="B1775" i="39" s="1"/>
  <c r="B1777" i="30"/>
  <c r="A1778" i="30"/>
  <c r="D1775" i="30"/>
  <c r="C1776" i="30" s="1"/>
  <c r="E1775" i="30"/>
  <c r="E1770" i="25"/>
  <c r="D1770" i="25"/>
  <c r="C1771" i="25" s="1"/>
  <c r="A1777" i="25"/>
  <c r="B1777" i="25" s="1"/>
  <c r="E1771" i="39" l="1"/>
  <c r="D1772" i="39" s="1"/>
  <c r="F1771" i="39"/>
  <c r="C1775" i="39"/>
  <c r="A1776" i="39"/>
  <c r="B1776" i="39" s="1"/>
  <c r="B1778" i="30"/>
  <c r="A1779" i="30"/>
  <c r="D1776" i="30"/>
  <c r="C1777" i="30" s="1"/>
  <c r="E1776" i="30"/>
  <c r="E1771" i="25"/>
  <c r="D1771" i="25"/>
  <c r="C1772" i="25" s="1"/>
  <c r="A1778" i="25"/>
  <c r="B1778" i="25" s="1"/>
  <c r="F1772" i="39" l="1"/>
  <c r="E1772" i="39"/>
  <c r="D1773" i="39" s="1"/>
  <c r="C1776" i="39"/>
  <c r="A1777" i="39"/>
  <c r="B1777" i="39" s="1"/>
  <c r="B1779" i="30"/>
  <c r="A1780" i="30"/>
  <c r="D1777" i="30"/>
  <c r="C1778" i="30" s="1"/>
  <c r="E1777" i="30"/>
  <c r="D1772" i="25"/>
  <c r="C1773" i="25" s="1"/>
  <c r="E1772" i="25"/>
  <c r="A1779" i="25"/>
  <c r="B1779" i="25" s="1"/>
  <c r="E1773" i="39" l="1"/>
  <c r="D1774" i="39" s="1"/>
  <c r="F1773" i="39"/>
  <c r="C1777" i="39"/>
  <c r="A1778" i="39"/>
  <c r="B1778" i="39" s="1"/>
  <c r="B1780" i="30"/>
  <c r="A1781" i="30"/>
  <c r="D1778" i="30"/>
  <c r="C1779" i="30" s="1"/>
  <c r="E1778" i="30"/>
  <c r="D1773" i="25"/>
  <c r="C1774" i="25" s="1"/>
  <c r="E1773" i="25"/>
  <c r="A1780" i="25"/>
  <c r="B1780" i="25" s="1"/>
  <c r="F1774" i="39" l="1"/>
  <c r="E1774" i="39"/>
  <c r="D1775" i="39" s="1"/>
  <c r="C1778" i="39"/>
  <c r="A1779" i="39"/>
  <c r="B1779" i="39" s="1"/>
  <c r="B1781" i="30"/>
  <c r="A1782" i="30"/>
  <c r="D1779" i="30"/>
  <c r="C1780" i="30" s="1"/>
  <c r="E1779" i="30"/>
  <c r="E1774" i="25"/>
  <c r="D1774" i="25"/>
  <c r="C1775" i="25" s="1"/>
  <c r="A1781" i="25"/>
  <c r="B1781" i="25" s="1"/>
  <c r="F1775" i="39" l="1"/>
  <c r="E1775" i="39"/>
  <c r="D1776" i="39" s="1"/>
  <c r="C1779" i="39"/>
  <c r="A1780" i="39"/>
  <c r="B1780" i="39" s="1"/>
  <c r="B1782" i="30"/>
  <c r="A1783" i="30"/>
  <c r="D1780" i="30"/>
  <c r="C1781" i="30" s="1"/>
  <c r="E1780" i="30"/>
  <c r="D1775" i="25"/>
  <c r="C1776" i="25" s="1"/>
  <c r="E1775" i="25"/>
  <c r="A1782" i="25"/>
  <c r="B1782" i="25" s="1"/>
  <c r="F1776" i="39" l="1"/>
  <c r="E1776" i="39"/>
  <c r="D1777" i="39" s="1"/>
  <c r="C1780" i="39"/>
  <c r="A1781" i="39"/>
  <c r="B1781" i="39" s="1"/>
  <c r="B1783" i="30"/>
  <c r="A1784" i="30"/>
  <c r="D1781" i="30"/>
  <c r="C1782" i="30" s="1"/>
  <c r="E1781" i="30"/>
  <c r="E1776" i="25"/>
  <c r="D1776" i="25"/>
  <c r="C1777" i="25" s="1"/>
  <c r="A1783" i="25"/>
  <c r="B1783" i="25" s="1"/>
  <c r="E1777" i="39" l="1"/>
  <c r="D1778" i="39" s="1"/>
  <c r="F1777" i="39"/>
  <c r="C1781" i="39"/>
  <c r="A1782" i="39"/>
  <c r="B1782" i="39" s="1"/>
  <c r="B1784" i="30"/>
  <c r="A1785" i="30"/>
  <c r="D1782" i="30"/>
  <c r="C1783" i="30" s="1"/>
  <c r="E1782" i="30"/>
  <c r="D1777" i="25"/>
  <c r="C1778" i="25" s="1"/>
  <c r="E1777" i="25"/>
  <c r="A1784" i="25"/>
  <c r="B1784" i="25" s="1"/>
  <c r="F1778" i="39" l="1"/>
  <c r="E1778" i="39"/>
  <c r="D1779" i="39" s="1"/>
  <c r="C1782" i="39"/>
  <c r="A1783" i="39"/>
  <c r="B1783" i="39" s="1"/>
  <c r="B1785" i="30"/>
  <c r="A1786" i="30"/>
  <c r="D1783" i="30"/>
  <c r="C1784" i="30" s="1"/>
  <c r="E1783" i="30"/>
  <c r="D1778" i="25"/>
  <c r="C1779" i="25" s="1"/>
  <c r="E1778" i="25"/>
  <c r="A1785" i="25"/>
  <c r="B1785" i="25" s="1"/>
  <c r="E1779" i="39" l="1"/>
  <c r="D1780" i="39" s="1"/>
  <c r="F1779" i="39"/>
  <c r="C1783" i="39"/>
  <c r="A1784" i="39"/>
  <c r="B1784" i="39" s="1"/>
  <c r="B1786" i="30"/>
  <c r="A1787" i="30"/>
  <c r="D1784" i="30"/>
  <c r="C1785" i="30" s="1"/>
  <c r="E1784" i="30"/>
  <c r="E1779" i="25"/>
  <c r="D1779" i="25"/>
  <c r="C1780" i="25" s="1"/>
  <c r="A1786" i="25"/>
  <c r="B1786" i="25" s="1"/>
  <c r="E1780" i="39" l="1"/>
  <c r="D1781" i="39" s="1"/>
  <c r="F1780" i="39"/>
  <c r="C1784" i="39"/>
  <c r="A1785" i="39"/>
  <c r="B1785" i="39" s="1"/>
  <c r="B1787" i="30"/>
  <c r="A1788" i="30"/>
  <c r="D1785" i="30"/>
  <c r="C1786" i="30" s="1"/>
  <c r="E1785" i="30"/>
  <c r="E1780" i="25"/>
  <c r="D1780" i="25"/>
  <c r="C1781" i="25" s="1"/>
  <c r="A1787" i="25"/>
  <c r="B1787" i="25" s="1"/>
  <c r="F1781" i="39" l="1"/>
  <c r="E1781" i="39"/>
  <c r="D1782" i="39" s="1"/>
  <c r="C1785" i="39"/>
  <c r="A1786" i="39"/>
  <c r="B1786" i="39" s="1"/>
  <c r="B1788" i="30"/>
  <c r="A1789" i="30"/>
  <c r="D1786" i="30"/>
  <c r="C1787" i="30" s="1"/>
  <c r="E1786" i="30"/>
  <c r="D1781" i="25"/>
  <c r="C1782" i="25" s="1"/>
  <c r="E1781" i="25"/>
  <c r="A1788" i="25"/>
  <c r="B1788" i="25" s="1"/>
  <c r="E1782" i="39" l="1"/>
  <c r="D1783" i="39" s="1"/>
  <c r="F1782" i="39"/>
  <c r="C1786" i="39"/>
  <c r="A1787" i="39"/>
  <c r="B1787" i="39" s="1"/>
  <c r="B1789" i="30"/>
  <c r="A1790" i="30"/>
  <c r="D1787" i="30"/>
  <c r="C1788" i="30" s="1"/>
  <c r="E1787" i="30"/>
  <c r="E1782" i="25"/>
  <c r="D1782" i="25"/>
  <c r="C1783" i="25" s="1"/>
  <c r="A1789" i="25"/>
  <c r="B1789" i="25" s="1"/>
  <c r="F1783" i="39" l="1"/>
  <c r="E1783" i="39"/>
  <c r="D1784" i="39" s="1"/>
  <c r="C1787" i="39"/>
  <c r="A1788" i="39"/>
  <c r="B1788" i="39" s="1"/>
  <c r="B1790" i="30"/>
  <c r="A1791" i="30"/>
  <c r="D1788" i="30"/>
  <c r="C1789" i="30" s="1"/>
  <c r="E1788" i="30"/>
  <c r="D1783" i="25"/>
  <c r="C1784" i="25" s="1"/>
  <c r="E1783" i="25"/>
  <c r="A1790" i="25"/>
  <c r="B1790" i="25" s="1"/>
  <c r="E1784" i="39" l="1"/>
  <c r="D1785" i="39" s="1"/>
  <c r="F1784" i="39"/>
  <c r="C1788" i="39"/>
  <c r="A1789" i="39"/>
  <c r="B1789" i="39" s="1"/>
  <c r="B1791" i="30"/>
  <c r="A1792" i="30"/>
  <c r="D1789" i="30"/>
  <c r="C1790" i="30" s="1"/>
  <c r="E1789" i="30"/>
  <c r="D1784" i="25"/>
  <c r="C1785" i="25" s="1"/>
  <c r="E1784" i="25"/>
  <c r="A1791" i="25"/>
  <c r="B1791" i="25" s="1"/>
  <c r="E1785" i="39" l="1"/>
  <c r="D1786" i="39" s="1"/>
  <c r="F1785" i="39"/>
  <c r="C1789" i="39"/>
  <c r="A1790" i="39"/>
  <c r="B1790" i="39" s="1"/>
  <c r="B1792" i="30"/>
  <c r="A1793" i="30"/>
  <c r="D1790" i="30"/>
  <c r="C1791" i="30" s="1"/>
  <c r="E1790" i="30"/>
  <c r="D1785" i="25"/>
  <c r="C1786" i="25" s="1"/>
  <c r="E1785" i="25"/>
  <c r="A1792" i="25"/>
  <c r="B1792" i="25" s="1"/>
  <c r="E1786" i="39" l="1"/>
  <c r="D1787" i="39" s="1"/>
  <c r="F1786" i="39"/>
  <c r="C1790" i="39"/>
  <c r="A1791" i="39"/>
  <c r="B1791" i="39" s="1"/>
  <c r="B1793" i="30"/>
  <c r="A1794" i="30"/>
  <c r="D1791" i="30"/>
  <c r="C1792" i="30" s="1"/>
  <c r="E1791" i="30"/>
  <c r="E1786" i="25"/>
  <c r="D1786" i="25"/>
  <c r="C1787" i="25" s="1"/>
  <c r="A1793" i="25"/>
  <c r="B1793" i="25" s="1"/>
  <c r="E1787" i="39" l="1"/>
  <c r="D1788" i="39" s="1"/>
  <c r="F1787" i="39"/>
  <c r="C1791" i="39"/>
  <c r="A1792" i="39"/>
  <c r="B1792" i="39" s="1"/>
  <c r="B1794" i="30"/>
  <c r="A1795" i="30"/>
  <c r="D1792" i="30"/>
  <c r="C1793" i="30" s="1"/>
  <c r="E1792" i="30"/>
  <c r="D1787" i="25"/>
  <c r="C1788" i="25" s="1"/>
  <c r="E1787" i="25"/>
  <c r="A1794" i="25"/>
  <c r="B1794" i="25" s="1"/>
  <c r="F1788" i="39" l="1"/>
  <c r="E1788" i="39"/>
  <c r="D1789" i="39" s="1"/>
  <c r="C1792" i="39"/>
  <c r="A1793" i="39"/>
  <c r="B1793" i="39" s="1"/>
  <c r="B1795" i="30"/>
  <c r="A1796" i="30"/>
  <c r="D1793" i="30"/>
  <c r="C1794" i="30" s="1"/>
  <c r="E1793" i="30"/>
  <c r="D1788" i="25"/>
  <c r="C1789" i="25" s="1"/>
  <c r="E1788" i="25"/>
  <c r="A1795" i="25"/>
  <c r="B1795" i="25" s="1"/>
  <c r="E1789" i="39" l="1"/>
  <c r="D1790" i="39" s="1"/>
  <c r="F1789" i="39"/>
  <c r="C1793" i="39"/>
  <c r="A1794" i="39"/>
  <c r="B1794" i="39" s="1"/>
  <c r="B1796" i="30"/>
  <c r="A1797" i="30"/>
  <c r="D1794" i="30"/>
  <c r="C1795" i="30" s="1"/>
  <c r="E1794" i="30"/>
  <c r="D1789" i="25"/>
  <c r="C1790" i="25" s="1"/>
  <c r="E1789" i="25"/>
  <c r="A1796" i="25"/>
  <c r="B1796" i="25" s="1"/>
  <c r="F1790" i="39" l="1"/>
  <c r="E1790" i="39"/>
  <c r="D1791" i="39" s="1"/>
  <c r="C1794" i="39"/>
  <c r="A1795" i="39"/>
  <c r="B1795" i="39" s="1"/>
  <c r="B1797" i="30"/>
  <c r="A1798" i="30"/>
  <c r="D1795" i="30"/>
  <c r="C1796" i="30" s="1"/>
  <c r="E1795" i="30"/>
  <c r="E1790" i="25"/>
  <c r="D1790" i="25"/>
  <c r="C1791" i="25" s="1"/>
  <c r="A1797" i="25"/>
  <c r="B1797" i="25" s="1"/>
  <c r="F1791" i="39" l="1"/>
  <c r="E1791" i="39"/>
  <c r="D1792" i="39" s="1"/>
  <c r="C1795" i="39"/>
  <c r="A1796" i="39"/>
  <c r="B1796" i="39" s="1"/>
  <c r="B1798" i="30"/>
  <c r="A1799" i="30"/>
  <c r="D1796" i="30"/>
  <c r="C1797" i="30" s="1"/>
  <c r="E1796" i="30"/>
  <c r="D1791" i="25"/>
  <c r="C1792" i="25" s="1"/>
  <c r="E1791" i="25"/>
  <c r="A1798" i="25"/>
  <c r="B1798" i="25" s="1"/>
  <c r="F1792" i="39" l="1"/>
  <c r="E1792" i="39"/>
  <c r="D1793" i="39" s="1"/>
  <c r="C1796" i="39"/>
  <c r="A1797" i="39"/>
  <c r="B1797" i="39" s="1"/>
  <c r="B1799" i="30"/>
  <c r="A1800" i="30"/>
  <c r="D1797" i="30"/>
  <c r="C1798" i="30" s="1"/>
  <c r="E1797" i="30"/>
  <c r="D1792" i="25"/>
  <c r="C1793" i="25" s="1"/>
  <c r="E1792" i="25"/>
  <c r="A1799" i="25"/>
  <c r="B1799" i="25" s="1"/>
  <c r="E1793" i="39" l="1"/>
  <c r="D1794" i="39" s="1"/>
  <c r="F1793" i="39"/>
  <c r="C1797" i="39"/>
  <c r="A1798" i="39"/>
  <c r="B1798" i="39" s="1"/>
  <c r="B1800" i="30"/>
  <c r="A1801" i="30"/>
  <c r="D1798" i="30"/>
  <c r="C1799" i="30" s="1"/>
  <c r="E1798" i="30"/>
  <c r="E1793" i="25"/>
  <c r="D1793" i="25"/>
  <c r="C1794" i="25" s="1"/>
  <c r="A1800" i="25"/>
  <c r="B1800" i="25" s="1"/>
  <c r="E1794" i="39" l="1"/>
  <c r="D1795" i="39" s="1"/>
  <c r="F1794" i="39"/>
  <c r="C1798" i="39"/>
  <c r="A1799" i="39"/>
  <c r="B1799" i="39" s="1"/>
  <c r="B1801" i="30"/>
  <c r="A1802" i="30"/>
  <c r="D1799" i="30"/>
  <c r="C1800" i="30" s="1"/>
  <c r="E1799" i="30"/>
  <c r="A1801" i="25"/>
  <c r="D1794" i="25"/>
  <c r="C1795" i="25" s="1"/>
  <c r="E1794" i="25"/>
  <c r="E1795" i="39" l="1"/>
  <c r="D1796" i="39" s="1"/>
  <c r="F1795" i="39"/>
  <c r="C1799" i="39"/>
  <c r="A1800" i="39"/>
  <c r="B1800" i="39" s="1"/>
  <c r="B1802" i="30"/>
  <c r="A1803" i="30"/>
  <c r="D1800" i="30"/>
  <c r="C1801" i="30" s="1"/>
  <c r="E1800" i="30"/>
  <c r="A1802" i="25"/>
  <c r="B1802" i="25" s="1"/>
  <c r="B1801" i="25"/>
  <c r="D1795" i="25"/>
  <c r="C1796" i="25" s="1"/>
  <c r="E1795" i="25"/>
  <c r="F1796" i="39" l="1"/>
  <c r="E1796" i="39"/>
  <c r="D1797" i="39" s="1"/>
  <c r="C1800" i="39"/>
  <c r="A1801" i="39"/>
  <c r="B1801" i="39" s="1"/>
  <c r="A1803" i="25"/>
  <c r="B1803" i="25" s="1"/>
  <c r="B1803" i="30"/>
  <c r="A1804" i="30"/>
  <c r="D1801" i="30"/>
  <c r="C1802" i="30" s="1"/>
  <c r="E1801" i="30"/>
  <c r="D1796" i="25"/>
  <c r="C1797" i="25" s="1"/>
  <c r="E1796" i="25"/>
  <c r="E1797" i="39" l="1"/>
  <c r="D1798" i="39" s="1"/>
  <c r="F1797" i="39"/>
  <c r="C1801" i="39"/>
  <c r="A1802" i="39"/>
  <c r="B1802" i="39" s="1"/>
  <c r="A1804" i="25"/>
  <c r="B1804" i="25" s="1"/>
  <c r="B1804" i="30"/>
  <c r="A1805" i="30"/>
  <c r="D1802" i="30"/>
  <c r="C1803" i="30" s="1"/>
  <c r="E1802" i="30"/>
  <c r="E1797" i="25"/>
  <c r="D1797" i="25"/>
  <c r="C1798" i="25" s="1"/>
  <c r="F1798" i="39" l="1"/>
  <c r="E1798" i="39"/>
  <c r="D1799" i="39" s="1"/>
  <c r="A1805" i="25"/>
  <c r="B1805" i="25" s="1"/>
  <c r="C1802" i="39"/>
  <c r="A1803" i="39"/>
  <c r="B1803" i="39" s="1"/>
  <c r="B1805" i="30"/>
  <c r="A1806" i="30"/>
  <c r="D1803" i="30"/>
  <c r="C1804" i="30" s="1"/>
  <c r="E1803" i="30"/>
  <c r="D1798" i="25"/>
  <c r="C1799" i="25" s="1"/>
  <c r="E1798" i="25"/>
  <c r="F1799" i="39" l="1"/>
  <c r="E1799" i="39"/>
  <c r="D1800" i="39" s="1"/>
  <c r="A1806" i="25"/>
  <c r="B1806" i="25" s="1"/>
  <c r="C1803" i="39"/>
  <c r="A1804" i="39"/>
  <c r="B1804" i="39" s="1"/>
  <c r="B1806" i="30"/>
  <c r="A1807" i="30"/>
  <c r="D1804" i="30"/>
  <c r="C1805" i="30" s="1"/>
  <c r="E1804" i="30"/>
  <c r="E1799" i="25"/>
  <c r="D1799" i="25"/>
  <c r="C1800" i="25" s="1"/>
  <c r="E1800" i="39" l="1"/>
  <c r="D1801" i="39" s="1"/>
  <c r="F1800" i="39"/>
  <c r="A1807" i="25"/>
  <c r="B1807" i="25" s="1"/>
  <c r="C1804" i="39"/>
  <c r="A1805" i="39"/>
  <c r="B1805" i="39" s="1"/>
  <c r="B1807" i="30"/>
  <c r="A1808" i="30"/>
  <c r="D1805" i="30"/>
  <c r="C1806" i="30" s="1"/>
  <c r="E1805" i="30"/>
  <c r="D1800" i="25"/>
  <c r="C1801" i="25" s="1"/>
  <c r="E1800" i="25"/>
  <c r="E1801" i="39" l="1"/>
  <c r="D1802" i="39" s="1"/>
  <c r="F1801" i="39"/>
  <c r="A1808" i="25"/>
  <c r="B1808" i="25" s="1"/>
  <c r="C1805" i="39"/>
  <c r="A1806" i="39"/>
  <c r="B1806" i="39" s="1"/>
  <c r="B1808" i="30"/>
  <c r="A1809" i="30"/>
  <c r="D1806" i="30"/>
  <c r="C1807" i="30" s="1"/>
  <c r="E1806" i="30"/>
  <c r="D1801" i="25"/>
  <c r="C1802" i="25" s="1"/>
  <c r="E1801" i="25"/>
  <c r="F1802" i="39" l="1"/>
  <c r="E1802" i="39"/>
  <c r="D1803" i="39" s="1"/>
  <c r="A1809" i="25"/>
  <c r="B1809" i="25" s="1"/>
  <c r="C1806" i="39"/>
  <c r="A1807" i="39"/>
  <c r="B1807" i="39" s="1"/>
  <c r="B1809" i="30"/>
  <c r="A1810" i="30"/>
  <c r="D1807" i="30"/>
  <c r="C1808" i="30" s="1"/>
  <c r="E1807" i="30"/>
  <c r="D1802" i="25"/>
  <c r="C1803" i="25" s="1"/>
  <c r="E1802" i="25"/>
  <c r="E1803" i="39" l="1"/>
  <c r="D1804" i="39" s="1"/>
  <c r="F1803" i="39"/>
  <c r="A1810" i="25"/>
  <c r="B1810" i="25" s="1"/>
  <c r="C1807" i="39"/>
  <c r="A1808" i="39"/>
  <c r="B1808" i="39" s="1"/>
  <c r="B1810" i="30"/>
  <c r="A1811" i="30"/>
  <c r="D1808" i="30"/>
  <c r="C1809" i="30" s="1"/>
  <c r="E1808" i="30"/>
  <c r="D1803" i="25"/>
  <c r="C1804" i="25" s="1"/>
  <c r="E1803" i="25"/>
  <c r="F1804" i="39" l="1"/>
  <c r="E1804" i="39"/>
  <c r="D1805" i="39" s="1"/>
  <c r="A1811" i="25"/>
  <c r="B1811" i="25" s="1"/>
  <c r="C1808" i="39"/>
  <c r="A1809" i="39"/>
  <c r="B1809" i="39" s="1"/>
  <c r="B1811" i="30"/>
  <c r="A1812" i="30"/>
  <c r="D1809" i="30"/>
  <c r="C1810" i="30" s="1"/>
  <c r="E1809" i="30"/>
  <c r="E1804" i="25"/>
  <c r="D1804" i="25"/>
  <c r="C1805" i="25" s="1"/>
  <c r="E1805" i="39" l="1"/>
  <c r="D1806" i="39" s="1"/>
  <c r="F1805" i="39"/>
  <c r="A1812" i="25"/>
  <c r="B1812" i="25" s="1"/>
  <c r="C1809" i="39"/>
  <c r="A1810" i="39"/>
  <c r="B1810" i="39" s="1"/>
  <c r="B1812" i="30"/>
  <c r="A1813" i="30"/>
  <c r="D1810" i="30"/>
  <c r="C1811" i="30" s="1"/>
  <c r="E1810" i="30"/>
  <c r="D1805" i="25"/>
  <c r="C1806" i="25" s="1"/>
  <c r="E1805" i="25"/>
  <c r="F1806" i="39" l="1"/>
  <c r="E1806" i="39"/>
  <c r="D1807" i="39" s="1"/>
  <c r="A1813" i="25"/>
  <c r="B1813" i="25" s="1"/>
  <c r="C1810" i="39"/>
  <c r="A1811" i="39"/>
  <c r="B1811" i="39" s="1"/>
  <c r="B1813" i="30"/>
  <c r="A1814" i="30"/>
  <c r="D1811" i="30"/>
  <c r="C1812" i="30" s="1"/>
  <c r="E1811" i="30"/>
  <c r="E1806" i="25"/>
  <c r="D1806" i="25"/>
  <c r="C1807" i="25" s="1"/>
  <c r="F1807" i="39" l="1"/>
  <c r="E1807" i="39"/>
  <c r="D1808" i="39" s="1"/>
  <c r="A1814" i="25"/>
  <c r="B1814" i="25" s="1"/>
  <c r="C1811" i="39"/>
  <c r="A1812" i="39"/>
  <c r="B1812" i="39" s="1"/>
  <c r="B1814" i="30"/>
  <c r="A1815" i="30"/>
  <c r="D1812" i="30"/>
  <c r="C1813" i="30" s="1"/>
  <c r="E1812" i="30"/>
  <c r="D1807" i="25"/>
  <c r="C1808" i="25" s="1"/>
  <c r="E1807" i="25"/>
  <c r="E1808" i="39" l="1"/>
  <c r="D1809" i="39" s="1"/>
  <c r="F1808" i="39"/>
  <c r="A1815" i="25"/>
  <c r="B1815" i="25" s="1"/>
  <c r="C1812" i="39"/>
  <c r="A1813" i="39"/>
  <c r="B1813" i="39" s="1"/>
  <c r="B1815" i="30"/>
  <c r="A1816" i="30"/>
  <c r="D1813" i="30"/>
  <c r="C1814" i="30" s="1"/>
  <c r="E1813" i="30"/>
  <c r="E1808" i="25"/>
  <c r="D1808" i="25"/>
  <c r="C1809" i="25" s="1"/>
  <c r="F1809" i="39" l="1"/>
  <c r="E1809" i="39"/>
  <c r="D1810" i="39" s="1"/>
  <c r="A1816" i="25"/>
  <c r="B1816" i="25" s="1"/>
  <c r="C1813" i="39"/>
  <c r="A1814" i="39"/>
  <c r="B1814" i="39" s="1"/>
  <c r="B1816" i="30"/>
  <c r="A1817" i="30"/>
  <c r="D1814" i="30"/>
  <c r="C1815" i="30" s="1"/>
  <c r="E1814" i="30"/>
  <c r="D1809" i="25"/>
  <c r="C1810" i="25" s="1"/>
  <c r="E1809" i="25"/>
  <c r="E1810" i="39" l="1"/>
  <c r="D1811" i="39" s="1"/>
  <c r="F1810" i="39"/>
  <c r="A1817" i="25"/>
  <c r="B1817" i="25" s="1"/>
  <c r="C1814" i="39"/>
  <c r="A1815" i="39"/>
  <c r="B1815" i="39" s="1"/>
  <c r="B1817" i="30"/>
  <c r="A1818" i="30"/>
  <c r="D1815" i="30"/>
  <c r="C1816" i="30" s="1"/>
  <c r="E1815" i="30"/>
  <c r="E1810" i="25"/>
  <c r="D1810" i="25"/>
  <c r="C1811" i="25" s="1"/>
  <c r="E1811" i="39" l="1"/>
  <c r="D1812" i="39" s="1"/>
  <c r="F1811" i="39"/>
  <c r="A1818" i="25"/>
  <c r="B1818" i="25" s="1"/>
  <c r="C1815" i="39"/>
  <c r="A1816" i="39"/>
  <c r="B1816" i="39" s="1"/>
  <c r="B1818" i="30"/>
  <c r="A1819" i="30"/>
  <c r="D1816" i="30"/>
  <c r="C1817" i="30" s="1"/>
  <c r="E1816" i="30"/>
  <c r="E1811" i="25"/>
  <c r="D1811" i="25"/>
  <c r="C1812" i="25" s="1"/>
  <c r="F1812" i="39" l="1"/>
  <c r="E1812" i="39"/>
  <c r="D1813" i="39" s="1"/>
  <c r="A1819" i="25"/>
  <c r="B1819" i="25" s="1"/>
  <c r="C1816" i="39"/>
  <c r="A1817" i="39"/>
  <c r="B1817" i="39" s="1"/>
  <c r="B1819" i="30"/>
  <c r="A1820" i="30"/>
  <c r="D1817" i="30"/>
  <c r="C1818" i="30" s="1"/>
  <c r="E1817" i="30"/>
  <c r="E1812" i="25"/>
  <c r="D1812" i="25"/>
  <c r="C1813" i="25" s="1"/>
  <c r="E1813" i="39" l="1"/>
  <c r="D1814" i="39" s="1"/>
  <c r="F1813" i="39"/>
  <c r="A1820" i="25"/>
  <c r="B1820" i="25" s="1"/>
  <c r="C1817" i="39"/>
  <c r="A1818" i="39"/>
  <c r="B1818" i="39" s="1"/>
  <c r="B1820" i="30"/>
  <c r="A1821" i="30"/>
  <c r="D1818" i="30"/>
  <c r="C1819" i="30" s="1"/>
  <c r="E1818" i="30"/>
  <c r="D1813" i="25"/>
  <c r="C1814" i="25" s="1"/>
  <c r="E1813" i="25"/>
  <c r="F1814" i="39" l="1"/>
  <c r="E1814" i="39"/>
  <c r="D1815" i="39" s="1"/>
  <c r="A1821" i="25"/>
  <c r="B1821" i="25" s="1"/>
  <c r="C1818" i="39"/>
  <c r="A1819" i="39"/>
  <c r="B1819" i="39" s="1"/>
  <c r="B1821" i="30"/>
  <c r="A1822" i="30"/>
  <c r="D1819" i="30"/>
  <c r="C1820" i="30" s="1"/>
  <c r="E1819" i="30"/>
  <c r="E1814" i="25"/>
  <c r="D1814" i="25"/>
  <c r="C1815" i="25" s="1"/>
  <c r="E1815" i="39" l="1"/>
  <c r="D1816" i="39" s="1"/>
  <c r="F1815" i="39"/>
  <c r="A1822" i="25"/>
  <c r="B1822" i="25" s="1"/>
  <c r="C1819" i="39"/>
  <c r="A1820" i="39"/>
  <c r="B1820" i="39" s="1"/>
  <c r="B1822" i="30"/>
  <c r="A1823" i="30"/>
  <c r="D1820" i="30"/>
  <c r="C1821" i="30" s="1"/>
  <c r="E1820" i="30"/>
  <c r="E1815" i="25"/>
  <c r="D1815" i="25"/>
  <c r="C1816" i="25" s="1"/>
  <c r="F1816" i="39" l="1"/>
  <c r="E1816" i="39"/>
  <c r="D1817" i="39" s="1"/>
  <c r="A1823" i="25"/>
  <c r="B1823" i="25" s="1"/>
  <c r="C1820" i="39"/>
  <c r="A1821" i="39"/>
  <c r="B1821" i="39" s="1"/>
  <c r="B1823" i="30"/>
  <c r="A1824" i="30"/>
  <c r="D1821" i="30"/>
  <c r="C1822" i="30" s="1"/>
  <c r="E1821" i="30"/>
  <c r="E1816" i="25"/>
  <c r="D1816" i="25"/>
  <c r="C1817" i="25" s="1"/>
  <c r="F1817" i="39" l="1"/>
  <c r="E1817" i="39"/>
  <c r="D1818" i="39" s="1"/>
  <c r="A1824" i="25"/>
  <c r="B1824" i="25" s="1"/>
  <c r="C1821" i="39"/>
  <c r="A1822" i="39"/>
  <c r="B1822" i="39" s="1"/>
  <c r="B1824" i="30"/>
  <c r="A1825" i="30"/>
  <c r="D1822" i="30"/>
  <c r="C1823" i="30" s="1"/>
  <c r="E1822" i="30"/>
  <c r="D1817" i="25"/>
  <c r="C1818" i="25" s="1"/>
  <c r="E1817" i="25"/>
  <c r="E1818" i="39" l="1"/>
  <c r="D1819" i="39" s="1"/>
  <c r="F1818" i="39"/>
  <c r="A1825" i="25"/>
  <c r="B1825" i="25" s="1"/>
  <c r="C1822" i="39"/>
  <c r="A1823" i="39"/>
  <c r="B1823" i="39" s="1"/>
  <c r="B1825" i="30"/>
  <c r="A1826" i="30"/>
  <c r="D1823" i="30"/>
  <c r="C1824" i="30" s="1"/>
  <c r="E1823" i="30"/>
  <c r="E1818" i="25"/>
  <c r="D1818" i="25"/>
  <c r="C1819" i="25" s="1"/>
  <c r="E1819" i="39" l="1"/>
  <c r="D1820" i="39" s="1"/>
  <c r="F1819" i="39"/>
  <c r="A1826" i="25"/>
  <c r="B1826" i="25" s="1"/>
  <c r="C1823" i="39"/>
  <c r="A1824" i="39"/>
  <c r="B1824" i="39" s="1"/>
  <c r="B1826" i="30"/>
  <c r="A1827" i="30"/>
  <c r="D1824" i="30"/>
  <c r="C1825" i="30" s="1"/>
  <c r="E1824" i="30"/>
  <c r="D1819" i="25"/>
  <c r="C1820" i="25" s="1"/>
  <c r="E1819" i="25"/>
  <c r="F1820" i="39" l="1"/>
  <c r="E1820" i="39"/>
  <c r="D1821" i="39" s="1"/>
  <c r="A1827" i="25"/>
  <c r="B1827" i="25" s="1"/>
  <c r="C1824" i="39"/>
  <c r="A1825" i="39"/>
  <c r="B1825" i="39" s="1"/>
  <c r="B1827" i="30"/>
  <c r="A1828" i="30"/>
  <c r="D1825" i="30"/>
  <c r="C1826" i="30" s="1"/>
  <c r="E1825" i="30"/>
  <c r="E1820" i="25"/>
  <c r="D1820" i="25"/>
  <c r="C1821" i="25" s="1"/>
  <c r="E1821" i="39" l="1"/>
  <c r="D1822" i="39" s="1"/>
  <c r="F1821" i="39"/>
  <c r="A1828" i="25"/>
  <c r="B1828" i="25" s="1"/>
  <c r="C1825" i="39"/>
  <c r="A1826" i="39"/>
  <c r="B1826" i="39" s="1"/>
  <c r="B1828" i="30"/>
  <c r="A1829" i="30"/>
  <c r="D1826" i="30"/>
  <c r="C1827" i="30" s="1"/>
  <c r="E1826" i="30"/>
  <c r="D1821" i="25"/>
  <c r="C1822" i="25" s="1"/>
  <c r="E1821" i="25"/>
  <c r="E1822" i="39" l="1"/>
  <c r="D1823" i="39" s="1"/>
  <c r="F1822" i="39"/>
  <c r="A1829" i="25"/>
  <c r="B1829" i="25" s="1"/>
  <c r="C1826" i="39"/>
  <c r="A1827" i="39"/>
  <c r="B1827" i="39" s="1"/>
  <c r="B1829" i="30"/>
  <c r="A1830" i="30"/>
  <c r="D1827" i="30"/>
  <c r="C1828" i="30" s="1"/>
  <c r="E1827" i="30"/>
  <c r="E1822" i="25"/>
  <c r="D1822" i="25"/>
  <c r="C1823" i="25" s="1"/>
  <c r="E1823" i="39" l="1"/>
  <c r="D1824" i="39" s="1"/>
  <c r="F1823" i="39"/>
  <c r="A1830" i="25"/>
  <c r="B1830" i="25" s="1"/>
  <c r="H13" i="26" s="1"/>
  <c r="C1827" i="39"/>
  <c r="A1828" i="39"/>
  <c r="B1828" i="39" s="1"/>
  <c r="H13" i="31"/>
  <c r="B1830" i="30"/>
  <c r="D1828" i="30"/>
  <c r="C1829" i="30" s="1"/>
  <c r="E1828" i="30"/>
  <c r="E1823" i="25"/>
  <c r="D1823" i="25"/>
  <c r="C1824" i="25" s="1"/>
  <c r="E1824" i="39" l="1"/>
  <c r="D1825" i="39" s="1"/>
  <c r="F1824" i="39"/>
  <c r="C1828" i="39"/>
  <c r="A1829" i="39"/>
  <c r="B1829" i="39" s="1"/>
  <c r="D1829" i="30"/>
  <c r="C1830" i="30" s="1"/>
  <c r="E1829" i="30"/>
  <c r="E1824" i="25"/>
  <c r="D1824" i="25"/>
  <c r="C1825" i="25" s="1"/>
  <c r="E1825" i="39" l="1"/>
  <c r="D1826" i="39" s="1"/>
  <c r="F1825" i="39"/>
  <c r="C1829" i="39"/>
  <c r="A1830" i="39"/>
  <c r="D1830" i="30"/>
  <c r="E1830" i="30"/>
  <c r="H18" i="31"/>
  <c r="H17" i="31"/>
  <c r="E1825" i="25"/>
  <c r="D1825" i="25"/>
  <c r="C1826" i="25" s="1"/>
  <c r="E1826" i="39" l="1"/>
  <c r="D1827" i="39" s="1"/>
  <c r="F1826" i="39"/>
  <c r="B1830" i="39"/>
  <c r="H22" i="38" s="1"/>
  <c r="I2" i="39"/>
  <c r="H19" i="38" s="1"/>
  <c r="C1830" i="39"/>
  <c r="H27" i="38"/>
  <c r="E1826" i="25"/>
  <c r="D1826" i="25"/>
  <c r="C1827" i="25" s="1"/>
  <c r="F1827" i="39" l="1"/>
  <c r="E1827" i="39"/>
  <c r="D1828" i="39" s="1"/>
  <c r="E1827" i="25"/>
  <c r="D1827" i="25"/>
  <c r="C1828" i="25" s="1"/>
  <c r="F1828" i="39" l="1"/>
  <c r="E1828" i="39"/>
  <c r="D1829" i="39" s="1"/>
  <c r="E1828" i="25"/>
  <c r="D1828" i="25"/>
  <c r="C1829" i="25" s="1"/>
  <c r="E1829" i="39" l="1"/>
  <c r="D1830" i="39" s="1"/>
  <c r="F1829" i="39"/>
  <c r="E1829" i="25"/>
  <c r="D1829" i="25"/>
  <c r="C1830" i="25" s="1"/>
  <c r="E1830" i="39" l="1"/>
  <c r="H26" i="38" s="1"/>
  <c r="H28" i="38" s="1"/>
  <c r="F1830" i="39"/>
  <c r="E1830" i="25"/>
  <c r="D1830" i="25"/>
  <c r="H15" i="26" l="1"/>
  <c r="H16" i="26"/>
  <c r="H17" i="26" l="1"/>
  <c r="H19" i="31"/>
  <c r="G16" i="19" l="1"/>
  <c r="H16" i="19" s="1"/>
  <c r="G15" i="19"/>
  <c r="H15" i="19" s="1"/>
  <c r="G14" i="19"/>
  <c r="H14" i="19" s="1"/>
  <c r="G13" i="19"/>
  <c r="H13" i="19" s="1"/>
  <c r="G12" i="19"/>
  <c r="H12" i="19" s="1"/>
  <c r="G16" i="14"/>
  <c r="H16" i="14" s="1"/>
  <c r="G15" i="14"/>
  <c r="H15" i="14" s="1"/>
  <c r="G14" i="14"/>
  <c r="H14" i="14" s="1"/>
  <c r="G13" i="14"/>
  <c r="H13" i="14" s="1"/>
  <c r="G12" i="14"/>
  <c r="H12" i="14" s="1"/>
  <c r="H7" i="14"/>
  <c r="F18" i="13"/>
  <c r="F17" i="13"/>
  <c r="F16" i="13"/>
  <c r="F15" i="13"/>
  <c r="F14" i="13"/>
  <c r="F13" i="13"/>
  <c r="G13" i="13" s="1"/>
  <c r="H13" i="13" s="1"/>
  <c r="I13" i="13" s="1"/>
  <c r="H7" i="13"/>
  <c r="H7" i="11"/>
  <c r="F20" i="11"/>
  <c r="F19" i="11"/>
  <c r="F18" i="11"/>
  <c r="F17" i="11"/>
  <c r="G17" i="11" s="1"/>
  <c r="F16" i="11"/>
  <c r="F15" i="11"/>
  <c r="F14" i="11"/>
  <c r="F13" i="11"/>
  <c r="G13" i="11" s="1"/>
  <c r="F18" i="10"/>
  <c r="F17" i="10"/>
  <c r="F16" i="10"/>
  <c r="F15" i="10"/>
  <c r="F14" i="10"/>
  <c r="F13" i="10"/>
  <c r="H7" i="10"/>
  <c r="G18" i="11" l="1"/>
  <c r="H18" i="11" s="1"/>
  <c r="I18" i="11" s="1"/>
  <c r="G14" i="11"/>
  <c r="H14" i="11" s="1"/>
  <c r="I14" i="11" s="1"/>
  <c r="G19" i="11"/>
  <c r="H19" i="11" s="1"/>
  <c r="I19" i="11" s="1"/>
  <c r="G15" i="11"/>
  <c r="H15" i="11" s="1"/>
  <c r="I15" i="11" s="1"/>
  <c r="G20" i="11"/>
  <c r="H20" i="11" s="1"/>
  <c r="I20" i="11" s="1"/>
  <c r="G16" i="11"/>
  <c r="H16" i="11" s="1"/>
  <c r="I16" i="11" s="1"/>
  <c r="G16" i="13"/>
  <c r="H16" i="13" s="1"/>
  <c r="G17" i="13"/>
  <c r="H17" i="13" s="1"/>
  <c r="I17" i="13" s="1"/>
  <c r="G15" i="13"/>
  <c r="H15" i="13" s="1"/>
  <c r="I15" i="13" s="1"/>
  <c r="G14" i="13"/>
  <c r="H14" i="13" s="1"/>
  <c r="I14" i="13" s="1"/>
  <c r="G18" i="13"/>
  <c r="H18" i="13" s="1"/>
  <c r="I18" i="13" s="1"/>
  <c r="H13" i="11"/>
  <c r="I13" i="11" s="1"/>
  <c r="H17" i="11"/>
  <c r="I17" i="11" s="1"/>
  <c r="G18" i="10"/>
  <c r="H18" i="10" s="1"/>
  <c r="I18" i="10" s="1"/>
  <c r="G14" i="10"/>
  <c r="G17" i="10"/>
  <c r="H17" i="10" s="1"/>
  <c r="I17" i="10" s="1"/>
  <c r="G16" i="10"/>
  <c r="H16" i="10" s="1"/>
  <c r="I16" i="10" s="1"/>
  <c r="G15" i="10"/>
  <c r="H15" i="10" s="1"/>
  <c r="G13" i="10"/>
  <c r="J17" i="13" l="1"/>
  <c r="J14" i="13"/>
  <c r="J15" i="13"/>
  <c r="J18" i="13"/>
  <c r="J13" i="13"/>
  <c r="I16" i="13"/>
  <c r="J16" i="13" s="1"/>
  <c r="J15" i="11"/>
  <c r="J13" i="11"/>
  <c r="J19" i="11"/>
  <c r="J18" i="11"/>
  <c r="J16" i="11"/>
  <c r="J14" i="11"/>
  <c r="J17" i="11"/>
  <c r="J20" i="11"/>
  <c r="I15" i="10"/>
  <c r="J15" i="10" s="1"/>
  <c r="H13" i="10"/>
  <c r="I13" i="10" s="1"/>
  <c r="J17" i="10"/>
  <c r="J16" i="10"/>
  <c r="H14" i="10"/>
  <c r="J18" i="10"/>
  <c r="I14" i="10" l="1"/>
  <c r="J14" i="10" s="1"/>
  <c r="J13" i="10"/>
  <c r="C120" i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</calcChain>
</file>

<file path=xl/sharedStrings.xml><?xml version="1.0" encoding="utf-8"?>
<sst xmlns="http://schemas.openxmlformats.org/spreadsheetml/2006/main" count="241" uniqueCount="118">
  <si>
    <t>Desde</t>
  </si>
  <si>
    <t>Hasta</t>
  </si>
  <si>
    <t>Monto de inversión</t>
  </si>
  <si>
    <t>Tipo de cuenta</t>
  </si>
  <si>
    <t>Saldo promedio de la cuenta</t>
  </si>
  <si>
    <t>Cuenta Xperta</t>
  </si>
  <si>
    <t>Tasa</t>
  </si>
  <si>
    <t>Plazo meses</t>
  </si>
  <si>
    <t>Interés ganado USD</t>
  </si>
  <si>
    <t>Tipo de inversión</t>
  </si>
  <si>
    <t>Tipo de inversiones</t>
  </si>
  <si>
    <t>Armadólar</t>
  </si>
  <si>
    <t>Plazo dólar</t>
  </si>
  <si>
    <t>Plazo días</t>
  </si>
  <si>
    <t>más</t>
  </si>
  <si>
    <t>Retención del Impuesto a la Renta</t>
  </si>
  <si>
    <t>Tasa de interés anual</t>
  </si>
  <si>
    <t>Interés ganado</t>
  </si>
  <si>
    <t>Comisión</t>
  </si>
  <si>
    <t>Mantenimientos del tarifario cuentas e inversiones</t>
  </si>
  <si>
    <t>Rango Cuenta de ahorros</t>
  </si>
  <si>
    <t>Total a recibir por intereses</t>
  </si>
  <si>
    <t>Plazo en días</t>
  </si>
  <si>
    <t>Tipo de cliente</t>
  </si>
  <si>
    <t>Décimo cuarto</t>
  </si>
  <si>
    <t>Año de simulación</t>
  </si>
  <si>
    <t>Bono ganado</t>
  </si>
  <si>
    <t>Saldo</t>
  </si>
  <si>
    <t>Interés</t>
  </si>
  <si>
    <t>Bono</t>
  </si>
  <si>
    <t>Meses</t>
  </si>
  <si>
    <t>Cuenta Electrónica</t>
  </si>
  <si>
    <t>Ahorro Microcrédito</t>
  </si>
  <si>
    <t>Ahorro Compatriota</t>
  </si>
  <si>
    <t>Ahorro Euro</t>
  </si>
  <si>
    <t>Simulador de Ahorros</t>
  </si>
  <si>
    <t>Europlazo</t>
  </si>
  <si>
    <t>Armadólar - Ahorro Renta Mensual</t>
  </si>
  <si>
    <t>Descripción</t>
  </si>
  <si>
    <t>Euro Plazo - Rango en dólares</t>
  </si>
  <si>
    <t>Ahorros Euros</t>
  </si>
  <si>
    <t>* Esta cuenta no paga intereses</t>
  </si>
  <si>
    <t>Ahorro Futuro Genérico</t>
  </si>
  <si>
    <t>Ahorro Futuro Reservas</t>
  </si>
  <si>
    <t>Ahorro Futuro Joven</t>
  </si>
  <si>
    <t>Ahorro bienes productivos</t>
  </si>
  <si>
    <t>Ahorro Futuro Crecer</t>
  </si>
  <si>
    <t>Ahorro Futuro Décimos</t>
  </si>
  <si>
    <t>Ahorro Futuro Empleados</t>
  </si>
  <si>
    <t>Cuenta de Ahorro Plazo</t>
  </si>
  <si>
    <t>Planes Ahorro Futuro</t>
  </si>
  <si>
    <t>Planes Ahorro Futuro Reservas</t>
  </si>
  <si>
    <t xml:space="preserve">Tasa </t>
  </si>
  <si>
    <t>Ahorro Bienes Productivos</t>
  </si>
  <si>
    <t>Periodo días</t>
  </si>
  <si>
    <t>Ahorro futuro Reservas</t>
  </si>
  <si>
    <t>Plazo (meses)</t>
  </si>
  <si>
    <t>Fecha de inicio</t>
  </si>
  <si>
    <t>Ahorro meta</t>
  </si>
  <si>
    <t>Tasa de interés</t>
  </si>
  <si>
    <t>Aporte Ahorro mensual</t>
  </si>
  <si>
    <t>Fecha fin</t>
  </si>
  <si>
    <t>Total ganado</t>
  </si>
  <si>
    <t>mes</t>
  </si>
  <si>
    <t>(Seleccione el plazo)</t>
  </si>
  <si>
    <t>Retiro programado</t>
  </si>
  <si>
    <t>Saldo antes del retiro programado</t>
  </si>
  <si>
    <t>Texto en simulaciones</t>
  </si>
  <si>
    <t>Cuentas e inversiones</t>
  </si>
  <si>
    <t>Planes de ahorro futuro</t>
  </si>
  <si>
    <t>(Seleccione el tipo de cliente)</t>
  </si>
  <si>
    <t>Cuenta Corriente</t>
  </si>
  <si>
    <t>Diversifique la manera de invertir sus ahorros, mediante una inversión en euros; y obtenga al final del periodo contratado, los intereses acumulados por la inversión realizada.</t>
  </si>
  <si>
    <t>2.0</t>
  </si>
  <si>
    <t xml:space="preserve">(*) El valor del interés ganado se calcula en función de la tasa vigente publicada en el tarifario.
</t>
  </si>
  <si>
    <t>Persona Natural</t>
  </si>
  <si>
    <t>Persona Jurídica</t>
  </si>
  <si>
    <t xml:space="preserve">Es la alternativa que le permite invertir excedentes de liquidez en forma segura y rentable, a un plazo determinado con un monto mínimo de inversión inicial usted recibirá el pago de intereses de manera inmediata, AL INICIO de la inversión. </t>
  </si>
  <si>
    <r>
      <t xml:space="preserve">(Ingrese el monto de inversión, </t>
    </r>
    <r>
      <rPr>
        <b/>
        <i/>
        <sz val="10"/>
        <rFont val="Arial"/>
        <family val="2"/>
      </rPr>
      <t>mínimo 500 USD</t>
    </r>
    <r>
      <rPr>
        <i/>
        <sz val="10"/>
        <rFont val="Arial"/>
        <family val="2"/>
      </rPr>
      <t>)</t>
    </r>
  </si>
  <si>
    <r>
      <t xml:space="preserve">(Ingrese el monto de inversión, </t>
    </r>
    <r>
      <rPr>
        <b/>
        <i/>
        <sz val="10"/>
        <rFont val="Arial"/>
        <family val="2"/>
      </rPr>
      <t>mínimo 5000 EUR</t>
    </r>
    <r>
      <rPr>
        <i/>
        <sz val="10"/>
        <rFont val="Arial"/>
        <family val="2"/>
      </rPr>
      <t>)</t>
    </r>
  </si>
  <si>
    <t>Cuenta de Ahorros</t>
  </si>
  <si>
    <t>Con este producto de ahorros usted acumula sus fondos y ganar intereses mensuales, con la facilidad de realizar depósitos y retiros en cualquier momento y lugar a través de nuestros canales habilitados para el efecto .</t>
  </si>
  <si>
    <t>(Ingrese el saldo promedio USD)</t>
  </si>
  <si>
    <r>
      <t xml:space="preserve">(Ingrese el saldo promedio, </t>
    </r>
    <r>
      <rPr>
        <b/>
        <sz val="10"/>
        <rFont val="Arial"/>
        <family val="2"/>
      </rPr>
      <t>mínimo 5000 EUR</t>
    </r>
    <r>
      <rPr>
        <sz val="10"/>
        <rFont val="Arial"/>
        <family val="2"/>
      </rPr>
      <t>)</t>
    </r>
  </si>
  <si>
    <t>Con este producto de ahorros usted acumula sus fondos y ganar intereses mensuales en euros, con la facilidad de realizar depósitos y retiros en cualquier momento a través de las agencias  habilitadas para el efecto .</t>
  </si>
  <si>
    <t>Interés ganado EUR</t>
  </si>
  <si>
    <t>Es la cuenta de más fácil adquisición, diseñada como una primera cuenta transaccional que le permite realizar sus gestiones bancarias a través de la red de Corresponsales No Bancarios y los canales electrónicos.</t>
  </si>
  <si>
    <t>Es la cuenta de ahorro programado con la cual le apoyamos a cumplir sus objetivos de ahorro a largo plazo, con un ahorro constante y programado. Esta cuenta tiene un plazo mínimo de permanencia desde 12 meses.</t>
  </si>
  <si>
    <t>(*) El valor del interés ganado se calcula en función de la tasa vigente publicada en el tarifario.</t>
  </si>
  <si>
    <t>(Ingrese el ahorro mensual USD)</t>
  </si>
  <si>
    <t>Es la cuenta de ahorro programado que está dirigido a clientes dependientes que recibirán sus fondos de reserva directamente en el rol de pagos y que deseen ahorrarlos independientemente. Al ahorrar un valor constante y programado, le apoyamos a cumplir sus objetivos. Esta cuenta tiene un plazo mínimo de permanencia desde 36 meses.</t>
  </si>
  <si>
    <t>Ahorro Futuro</t>
  </si>
  <si>
    <t>(Ingrese la fecha inicial dd/mm/aaaa)</t>
  </si>
  <si>
    <t>Es la cuenta de ahorro programado que está dirigido a clientes dependientes que recibirán sus mensualmente los valores de sus décimos tercero y cuarto sueldos, aproveche esta oportunidad para ahorrar ese dinero con una tasa preferencial y la posibilidad de disponer de él en aquellos momentos en los que más lo necesite.</t>
  </si>
  <si>
    <t>Monto aproximado de ahorro</t>
  </si>
  <si>
    <t>Usted puede invertir su dinero y recibir el pago de los interese generados en su inversión de manera periódica: mensual, trimestral o semestral. Usted decide cuándo quiere recibir su rentabilidad.</t>
  </si>
  <si>
    <t>EL RESULTADO DEL SIMULADOR es un valor estrictamente referencial y calculado sobre el monto de la inversión, bajo las condiciones y tarifas vigentes en la fecha de consulta, las cuales pueden cambiar en el tiempo.</t>
  </si>
  <si>
    <t>Este producto le permite invertir los excedentes de liquidez en forma segura y rentable, a un plazo determinado,  con un monto mínimo de inversión inicial. Al final del período pactado usted recibirá intereses.</t>
  </si>
  <si>
    <t>Certificado de depósito con pago anticipado</t>
  </si>
  <si>
    <t>Fecha de retiro programado:</t>
  </si>
  <si>
    <t>Monto de retiro programado:</t>
  </si>
  <si>
    <t>Año actual</t>
  </si>
  <si>
    <t>Año Siguiente</t>
  </si>
  <si>
    <t>Décimo año retiro programado</t>
  </si>
  <si>
    <t>Sueldo mensual:</t>
  </si>
  <si>
    <t>Monto del ahorro mensual:</t>
  </si>
  <si>
    <t>Ahorro meta (capital)</t>
  </si>
  <si>
    <r>
      <t xml:space="preserve">Cálculo décimo tercero </t>
    </r>
    <r>
      <rPr>
        <b/>
        <sz val="10"/>
        <rFont val="Arial"/>
        <family val="2"/>
      </rPr>
      <t>mensual:</t>
    </r>
  </si>
  <si>
    <r>
      <t xml:space="preserve">Cálculo décimo cuarto </t>
    </r>
    <r>
      <rPr>
        <b/>
        <sz val="10"/>
        <rFont val="Arial"/>
        <family val="2"/>
      </rPr>
      <t>mensual:</t>
    </r>
  </si>
  <si>
    <t>Monto de ahorro sugerido mensual:</t>
  </si>
  <si>
    <t>Fecha inicio del ahorro:</t>
  </si>
  <si>
    <t>Fecha fin del ahorro:</t>
  </si>
  <si>
    <t>Opcional - dd/mm/aaaa (un solo retiro en el período de ahorro)</t>
  </si>
  <si>
    <t>Opcional - (máximo el valor de un salario mínimo vital vigente)</t>
  </si>
  <si>
    <t>Monto que desea ahorrar</t>
  </si>
  <si>
    <t>dd/mm/aaaa</t>
  </si>
  <si>
    <t>Saldo ahorrado a la fecha de retiro:</t>
  </si>
  <si>
    <t>EL RESULTADO DEL SIMULADOR es un valor estrictamente referencial y calculado sobre el monto del ahorro, bajo las condiciones y tarifas vigentes en la fecha de consulta, las cuales pueden cambiar en el tiempo.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</si>
</sst>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.00_);_(* \(#,##0.00\);_(* &quot;-&quot;??_);_(@_)"/>
    <numFmt numFmtId="165" formatCode="_(* #,##0_);_(* \(#,##0\);_(* &quot;-&quot;??_);_(@_)"/>
    <numFmt numFmtId="166" formatCode="_(* #,##0.0000_);_(* \(#,##0.0000\);_(* &quot;-&quot;??_);_(@_)"/>
    <numFmt numFmtId="167" formatCode="_-* #,##0.00\ [$USD]_-;\-* #,##0.00\ [$USD]_-;_-* &quot;-&quot;??\ [$USD]_-;_-@_-"/>
    <numFmt numFmtId="168" formatCode="_(* #,##0.00000_);_(* \(#,##0.00000\);_(* &quot;-&quot;??_);_(@_)"/>
    <numFmt numFmtId="169" formatCode="_-* #,##0.00\ [$EUR]_-;\-* #,##0.00\ [$EUR]_-;_-* &quot;-&quot;??\ [$EUR]_-;_-@_-"/>
    <numFmt numFmtId="170" formatCode="_ [$USD]\ * #,##0.00_ ;_ [$USD]\ * \-#,##0.00_ ;_ [$USD]\ * &quot;-&quot;??_ ;_ @_ "/>
    <numFmt numFmtId="171" formatCode="0.000%"/>
  </numFmts>
  <fonts count="26">
    <font>
      <sz val="10"/>
      <name val="Book Antiqua"/>
      <family val="1"/>
      <scheme val="minor"/>
    </font>
    <font>
      <sz val="11"/>
      <color theme="1"/>
      <name val="Segoe UI"/>
      <family val="2"/>
    </font>
    <font>
      <sz val="11"/>
      <color theme="1"/>
      <name val="Agency FB"/>
      <family val="2"/>
    </font>
    <font>
      <sz val="10"/>
      <name val="Book Antiqua"/>
      <family val="1"/>
      <scheme val="minor"/>
    </font>
    <font>
      <b/>
      <sz val="10"/>
      <color theme="1"/>
      <name val="Book Antiqua"/>
      <family val="1"/>
      <scheme val="minor"/>
    </font>
    <font>
      <b/>
      <sz val="10"/>
      <name val="Book Antiqua"/>
      <family val="1"/>
      <scheme val="minor"/>
    </font>
    <font>
      <u/>
      <sz val="10"/>
      <name val="Book Antiqua"/>
      <family val="1"/>
      <scheme val="minor"/>
    </font>
    <font>
      <b/>
      <sz val="12"/>
      <name val="Book Antiqua"/>
      <family val="1"/>
      <scheme val="minor"/>
    </font>
    <font>
      <b/>
      <sz val="10"/>
      <color theme="0"/>
      <name val="Book Antiqua"/>
      <family val="1"/>
      <scheme val="minor"/>
    </font>
    <font>
      <b/>
      <sz val="10"/>
      <name val="Arial"/>
      <family val="2"/>
    </font>
    <font>
      <sz val="11"/>
      <name val="Book Antiqua"/>
      <family val="1"/>
      <scheme val="minor"/>
    </font>
    <font>
      <sz val="10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Book Antiqua"/>
      <family val="1"/>
      <scheme val="minor"/>
    </font>
    <font>
      <sz val="8"/>
      <name val="Arial"/>
      <family val="2"/>
    </font>
    <font>
      <i/>
      <sz val="8"/>
      <name val="Arial"/>
      <family val="2"/>
    </font>
    <font>
      <sz val="10"/>
      <color rgb="FFFF0000"/>
      <name val="Arial"/>
      <family val="2"/>
    </font>
    <font>
      <sz val="11"/>
      <name val="Arial"/>
      <family val="2"/>
    </font>
    <font>
      <b/>
      <sz val="14"/>
      <color theme="1"/>
      <name val="Arial"/>
      <family val="2"/>
    </font>
    <font>
      <b/>
      <i/>
      <sz val="10"/>
      <name val="Arial"/>
      <family val="2"/>
    </font>
    <font>
      <sz val="11"/>
      <color theme="0"/>
      <name val="Arial"/>
      <family val="2"/>
    </font>
    <font>
      <b/>
      <sz val="11"/>
      <color theme="1"/>
      <name val="Segoe UI"/>
      <family val="2"/>
    </font>
    <font>
      <sz val="10"/>
      <color theme="0"/>
      <name val="Book Antiqua"/>
      <family val="1"/>
      <scheme val="minor"/>
    </font>
    <font>
      <sz val="10"/>
      <color theme="0"/>
      <name val="Arial"/>
      <family val="2"/>
    </font>
    <font>
      <b/>
      <sz val="11"/>
      <color rgb="FFFF6600"/>
      <name val="Book Antiqua"/>
      <family val="1"/>
    </font>
  </fonts>
  <fills count="22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799981688894314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theme="6" tint="0.79998168889431442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theme="6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theme="6" tint="0.79998168889431442"/>
      </patternFill>
    </fill>
    <fill>
      <patternFill patternType="solid">
        <fgColor theme="0" tint="-0.249977111117893"/>
        <bgColor theme="6" tint="0.79998168889431442"/>
      </patternFill>
    </fill>
    <fill>
      <patternFill patternType="solid">
        <fgColor theme="0" tint="-0.14999847407452621"/>
        <bgColor theme="6" tint="0.79998168889431442"/>
      </patternFill>
    </fill>
    <fill>
      <patternFill patternType="solid">
        <fgColor rgb="FFFECB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E5E2DF"/>
        <bgColor indexed="64"/>
      </patternFill>
    </fill>
    <fill>
      <patternFill patternType="solid">
        <fgColor rgb="FFFFF3C1"/>
        <bgColor indexed="64"/>
      </patternFill>
    </fill>
    <fill>
      <patternFill patternType="solid">
        <fgColor rgb="FFFFCC00"/>
        <bgColor theme="6" tint="0.79998168889431442"/>
      </patternFill>
    </fill>
    <fill>
      <patternFill patternType="solid">
        <fgColor rgb="FF675C53"/>
        <bgColor indexed="64"/>
      </patternFill>
    </fill>
  </fills>
  <borders count="122">
    <border>
      <left/>
      <right/>
      <top/>
      <bottom/>
      <diagonal/>
    </border>
    <border>
      <left style="hair">
        <color indexed="16"/>
      </left>
      <right/>
      <top style="hair">
        <color indexed="16"/>
      </top>
      <bottom style="hair">
        <color indexed="16"/>
      </bottom>
      <diagonal/>
    </border>
    <border>
      <left style="hair">
        <color indexed="16"/>
      </left>
      <right style="hair">
        <color indexed="16"/>
      </right>
      <top style="hair">
        <color indexed="16"/>
      </top>
      <bottom style="hair">
        <color indexed="16"/>
      </bottom>
      <diagonal/>
    </border>
    <border>
      <left style="hair">
        <color indexed="16"/>
      </left>
      <right/>
      <top/>
      <bottom style="hair">
        <color indexed="16"/>
      </bottom>
      <diagonal/>
    </border>
    <border>
      <left/>
      <right/>
      <top/>
      <bottom style="thick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ck">
        <color theme="0" tint="-0.34998626667073579"/>
      </left>
      <right style="thick">
        <color theme="0" tint="-0.34998626667073579"/>
      </right>
      <top style="thick">
        <color theme="0" tint="-0.34998626667073579"/>
      </top>
      <bottom style="thick">
        <color theme="0" tint="-0.34998626667073579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 style="thick">
        <color theme="0" tint="-0.34998626667073579"/>
      </bottom>
      <diagonal/>
    </border>
    <border>
      <left/>
      <right/>
      <top style="thick">
        <color theme="0" tint="-0.34998626667073579"/>
      </top>
      <bottom style="thick">
        <color theme="0" tint="-0.34998626667073579"/>
      </bottom>
      <diagonal/>
    </border>
    <border>
      <left/>
      <right style="thick">
        <color theme="0" tint="-0.34998626667073579"/>
      </right>
      <top style="thick">
        <color theme="0" tint="-0.34998626667073579"/>
      </top>
      <bottom style="thick">
        <color theme="0" tint="-0.34998626667073579"/>
      </bottom>
      <diagonal/>
    </border>
    <border>
      <left style="thick">
        <color theme="0" tint="-0.34998626667073579"/>
      </left>
      <right style="hair">
        <color theme="0" tint="-0.34998626667073579"/>
      </right>
      <top style="thick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thick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thick">
        <color theme="0" tint="-0.34998626667073579"/>
      </right>
      <top style="thick">
        <color theme="0" tint="-0.34998626667073579"/>
      </top>
      <bottom style="hair">
        <color theme="0" tint="-0.34998626667073579"/>
      </bottom>
      <diagonal/>
    </border>
    <border>
      <left style="thick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thick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ck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thick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thick">
        <color theme="0" tint="-0.34998626667073579"/>
      </bottom>
      <diagonal/>
    </border>
    <border>
      <left style="hair">
        <color theme="0" tint="-0.34998626667073579"/>
      </left>
      <right style="thick">
        <color theme="0" tint="-0.34998626667073579"/>
      </right>
      <top style="hair">
        <color theme="0" tint="-0.34998626667073579"/>
      </top>
      <bottom style="thick">
        <color theme="0" tint="-0.34998626667073579"/>
      </bottom>
      <diagonal/>
    </border>
    <border>
      <left style="thick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thick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thick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thick">
        <color theme="0" tint="-0.34998626667073579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thick">
        <color theme="0" tint="-0.34998626667073579"/>
      </left>
      <right style="thick">
        <color theme="0" tint="-0.34998626667073579"/>
      </right>
      <top style="thick">
        <color theme="0" tint="-0.34998626667073579"/>
      </top>
      <bottom style="hair">
        <color theme="0" tint="-0.34998626667073579"/>
      </bottom>
      <diagonal/>
    </border>
    <border>
      <left style="thick">
        <color theme="0" tint="-0.34998626667073579"/>
      </left>
      <right style="thick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ck">
        <color theme="0" tint="-0.34998626667073579"/>
      </left>
      <right style="thick">
        <color theme="0" tint="-0.34998626667073579"/>
      </right>
      <top style="hair">
        <color theme="0" tint="-0.34998626667073579"/>
      </top>
      <bottom style="thick">
        <color theme="0" tint="-0.34998626667073579"/>
      </bottom>
      <diagonal/>
    </border>
    <border>
      <left/>
      <right style="thick">
        <color theme="0" tint="-0.34998626667073579"/>
      </right>
      <top style="thick">
        <color theme="0" tint="-0.34998626667073579"/>
      </top>
      <bottom style="hair">
        <color theme="0" tint="-0.34998626667073579"/>
      </bottom>
      <diagonal/>
    </border>
    <border>
      <left/>
      <right style="thick">
        <color theme="0" tint="-0.34998626667073579"/>
      </right>
      <top style="hair">
        <color theme="0" tint="-0.34998626667073579"/>
      </top>
      <bottom style="thick">
        <color theme="0" tint="-0.34998626667073579"/>
      </bottom>
      <diagonal/>
    </border>
    <border>
      <left/>
      <right/>
      <top style="thick">
        <color theme="0" tint="-0.34998626667073579"/>
      </top>
      <bottom style="hair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 style="hair">
        <color theme="0" tint="-0.34998626667073579"/>
      </bottom>
      <diagonal/>
    </border>
    <border>
      <left style="thick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thick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ck">
        <color theme="0" tint="-0.34998626667073579"/>
      </left>
      <right/>
      <top style="hair">
        <color theme="0" tint="-0.34998626667073579"/>
      </top>
      <bottom style="thick">
        <color theme="0" tint="-0.34998626667073579"/>
      </bottom>
      <diagonal/>
    </border>
    <border>
      <left/>
      <right/>
      <top style="hair">
        <color theme="0" tint="-0.34998626667073579"/>
      </top>
      <bottom style="thick">
        <color theme="0" tint="-0.34998626667073579"/>
      </bottom>
      <diagonal/>
    </border>
    <border>
      <left style="thick">
        <color theme="0" tint="-0.34998626667073579"/>
      </left>
      <right style="thick">
        <color theme="0" tint="-0.34998626667073579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 style="thick">
        <color theme="0" tint="-0.34998626667073579"/>
      </right>
      <top/>
      <bottom style="thick">
        <color theme="0" tint="-0.34998626667073579"/>
      </bottom>
      <diagonal/>
    </border>
    <border>
      <left/>
      <right style="medium">
        <color auto="1"/>
      </right>
      <top style="hair">
        <color theme="0" tint="-0.34998626667073579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hair">
        <color theme="6" tint="-0.499984740745262"/>
      </left>
      <right style="medium">
        <color theme="1"/>
      </right>
      <top style="hair">
        <color theme="6" tint="-0.499984740745262"/>
      </top>
      <bottom style="hair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-0.499984740745262"/>
      </top>
      <bottom style="medium">
        <color theme="1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medium">
        <color theme="1"/>
      </bottom>
      <diagonal/>
    </border>
    <border>
      <left style="hair">
        <color theme="6" tint="-0.499984740745262"/>
      </left>
      <right style="medium">
        <color theme="1"/>
      </right>
      <top style="hair">
        <color theme="6" tint="-0.499984740745262"/>
      </top>
      <bottom style="medium">
        <color theme="1"/>
      </bottom>
      <diagonal/>
    </border>
    <border>
      <left/>
      <right style="hair">
        <color theme="6" tint="-0.499984740745262"/>
      </right>
      <top/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/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1"/>
      </right>
      <top/>
      <bottom style="hair">
        <color theme="6" tint="-0.499984740745262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hair">
        <color theme="6" tint="-0.499984740745262"/>
      </bottom>
      <diagonal/>
    </border>
    <border>
      <left style="medium">
        <color theme="1"/>
      </left>
      <right style="medium">
        <color theme="1"/>
      </right>
      <top style="hair">
        <color theme="6" tint="-0.499984740745262"/>
      </top>
      <bottom style="hair">
        <color theme="6" tint="-0.499984740745262"/>
      </bottom>
      <diagonal/>
    </border>
    <border>
      <left style="medium">
        <color theme="1"/>
      </left>
      <right style="medium">
        <color theme="1"/>
      </right>
      <top style="hair">
        <color theme="6" tint="-0.499984740745262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hair">
        <color indexed="16"/>
      </bottom>
      <diagonal/>
    </border>
    <border>
      <left/>
      <right/>
      <top style="medium">
        <color theme="1"/>
      </top>
      <bottom style="hair">
        <color indexed="16"/>
      </bottom>
      <diagonal/>
    </border>
    <border>
      <left style="medium">
        <color theme="1"/>
      </left>
      <right style="hair">
        <color indexed="16"/>
      </right>
      <top/>
      <bottom style="hair">
        <color indexed="16"/>
      </bottom>
      <diagonal/>
    </border>
    <border>
      <left style="medium">
        <color theme="1"/>
      </left>
      <right style="hair">
        <color indexed="16"/>
      </right>
      <top style="hair">
        <color indexed="16"/>
      </top>
      <bottom style="hair">
        <color indexed="16"/>
      </bottom>
      <diagonal/>
    </border>
    <border>
      <left style="medium">
        <color theme="1"/>
      </left>
      <right style="hair">
        <color indexed="16"/>
      </right>
      <top style="hair">
        <color indexed="16"/>
      </top>
      <bottom style="medium">
        <color theme="1"/>
      </bottom>
      <diagonal/>
    </border>
    <border>
      <left style="hair">
        <color indexed="16"/>
      </left>
      <right/>
      <top style="hair">
        <color indexed="16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hair">
        <color indexed="16"/>
      </bottom>
      <diagonal/>
    </border>
    <border>
      <left style="medium">
        <color theme="1"/>
      </left>
      <right style="medium">
        <color theme="1"/>
      </right>
      <top style="hair">
        <color indexed="16"/>
      </top>
      <bottom style="hair">
        <color indexed="16"/>
      </bottom>
      <diagonal/>
    </border>
    <border>
      <left style="medium">
        <color theme="1"/>
      </left>
      <right style="medium">
        <color theme="1"/>
      </right>
      <top style="hair">
        <color indexed="16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hair">
        <color theme="6" tint="-0.499984740745262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theme="0" tint="-0.34998626667073579"/>
      </right>
      <top style="medium">
        <color auto="1"/>
      </top>
      <bottom style="hair">
        <color theme="0" tint="-0.34998626667073579"/>
      </bottom>
      <diagonal/>
    </border>
    <border>
      <left style="medium">
        <color auto="1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auto="1"/>
      </left>
      <right style="hair">
        <color theme="0" tint="-0.34998626667073579"/>
      </right>
      <top style="hair">
        <color theme="0" tint="-0.34998626667073579"/>
      </top>
      <bottom style="medium">
        <color auto="1"/>
      </bottom>
      <diagonal/>
    </border>
    <border>
      <left/>
      <right style="medium">
        <color auto="1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auto="1"/>
      </right>
      <top style="medium">
        <color auto="1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auto="1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auto="1"/>
      </right>
      <top style="hair">
        <color theme="0" tint="-0.34998626667073579"/>
      </top>
      <bottom style="medium">
        <color auto="1"/>
      </bottom>
      <diagonal/>
    </border>
    <border>
      <left style="medium">
        <color auto="1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auto="1"/>
      </right>
      <top/>
      <bottom style="hair">
        <color theme="0" tint="-0.34998626667073579"/>
      </bottom>
      <diagonal/>
    </border>
    <border>
      <left/>
      <right style="medium">
        <color auto="1"/>
      </right>
      <top/>
      <bottom style="hair">
        <color theme="0" tint="-0.34998626667073579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hair">
        <color theme="1"/>
      </top>
      <bottom style="medium">
        <color theme="1"/>
      </bottom>
      <diagonal/>
    </border>
    <border>
      <left/>
      <right/>
      <top style="hair">
        <color theme="1"/>
      </top>
      <bottom style="medium">
        <color theme="1"/>
      </bottom>
      <diagonal/>
    </border>
    <border>
      <left/>
      <right style="medium">
        <color theme="1"/>
      </right>
      <top style="hair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medium">
        <color theme="1"/>
      </right>
      <top style="hair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dotted">
        <color theme="0" tint="-0.34998626667073579"/>
      </left>
      <right style="dotted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theme="0" tint="-0.499984740745262"/>
      </left>
      <right style="dotted">
        <color theme="0" tint="-0.34998626667073579"/>
      </right>
      <top style="thin">
        <color theme="0" tint="-0.499984740745262"/>
      </top>
      <bottom style="dotted">
        <color theme="0" tint="-0.34998626667073579"/>
      </bottom>
      <diagonal/>
    </border>
    <border>
      <left style="dotted">
        <color theme="0" tint="-0.34998626667073579"/>
      </left>
      <right style="dotted">
        <color theme="0" tint="-0.34998626667073579"/>
      </right>
      <top style="thin">
        <color theme="0" tint="-0.499984740745262"/>
      </top>
      <bottom style="dotted">
        <color theme="0" tint="-0.34998626667073579"/>
      </bottom>
      <diagonal/>
    </border>
    <border>
      <left style="dotted">
        <color theme="0" tint="-0.34998626667073579"/>
      </left>
      <right style="thin">
        <color theme="0" tint="-0.499984740745262"/>
      </right>
      <top style="thin">
        <color theme="0" tint="-0.499984740745262"/>
      </top>
      <bottom style="dotted">
        <color theme="0" tint="-0.34998626667073579"/>
      </bottom>
      <diagonal/>
    </border>
    <border>
      <left style="thin">
        <color theme="0" tint="-0.499984740745262"/>
      </left>
      <right style="dotted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 style="dotted">
        <color theme="0" tint="-0.34998626667073579"/>
      </left>
      <right style="thin">
        <color theme="0" tint="-0.499984740745262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theme="0" tint="-0.499984740745262"/>
      </left>
      <right style="dotted">
        <color theme="0" tint="-0.34998626667073579"/>
      </right>
      <top style="dotted">
        <color theme="0" tint="-0.34998626667073579"/>
      </top>
      <bottom style="thin">
        <color theme="0" tint="-0.499984740745262"/>
      </bottom>
      <diagonal/>
    </border>
    <border>
      <left style="dotted">
        <color theme="0" tint="-0.34998626667073579"/>
      </left>
      <right style="dotted">
        <color theme="0" tint="-0.34998626667073579"/>
      </right>
      <top style="dotted">
        <color theme="0" tint="-0.34998626667073579"/>
      </top>
      <bottom style="thin">
        <color theme="0" tint="-0.499984740745262"/>
      </bottom>
      <diagonal/>
    </border>
    <border>
      <left style="dotted">
        <color theme="0" tint="-0.34998626667073579"/>
      </left>
      <right style="thin">
        <color theme="0" tint="-0.499984740745262"/>
      </right>
      <top style="dotted">
        <color theme="0" tint="-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 style="dotted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dotted">
        <color theme="0" tint="-0.34998626667073579"/>
      </left>
      <right style="dotted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dotted">
        <color theme="0" tint="-0.34998626667073579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dotted">
        <color theme="0" tint="-0.34998626667073579"/>
      </right>
      <top style="thin">
        <color theme="0" tint="-0.34998626667073579"/>
      </top>
      <bottom style="dotted">
        <color theme="0" tint="-0.34998626667073579"/>
      </bottom>
      <diagonal/>
    </border>
    <border>
      <left style="dotted">
        <color theme="0" tint="-0.34998626667073579"/>
      </left>
      <right style="dotted">
        <color theme="0" tint="-0.34998626667073579"/>
      </right>
      <top style="thin">
        <color theme="0" tint="-0.34998626667073579"/>
      </top>
      <bottom style="dotted">
        <color theme="0" tint="-0.34998626667073579"/>
      </bottom>
      <diagonal/>
    </border>
    <border>
      <left style="dotted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tted">
        <color theme="0" tint="-0.34998626667073579"/>
      </bottom>
      <diagonal/>
    </border>
    <border>
      <left style="thin">
        <color theme="0" tint="-0.34998626667073579"/>
      </left>
      <right style="dotted">
        <color theme="0" tint="-0.34998626667073579"/>
      </right>
      <top style="dotted">
        <color theme="0" tint="-0.34998626667073579"/>
      </top>
      <bottom style="thin">
        <color theme="0" tint="-0.34998626667073579"/>
      </bottom>
      <diagonal/>
    </border>
    <border>
      <left style="dotted">
        <color theme="0" tint="-0.34998626667073579"/>
      </left>
      <right style="dotted">
        <color theme="0" tint="-0.34998626667073579"/>
      </right>
      <top style="dotted">
        <color theme="0" tint="-0.34998626667073579"/>
      </top>
      <bottom style="thin">
        <color theme="0" tint="-0.34998626667073579"/>
      </bottom>
      <diagonal/>
    </border>
    <border>
      <left style="dotted">
        <color theme="0" tint="-0.34998626667073579"/>
      </left>
      <right style="thin">
        <color theme="0" tint="-0.34998626667073579"/>
      </right>
      <top style="dotted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/>
      </top>
      <bottom/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2" fillId="2" borderId="0" applyNumberFormat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324">
    <xf numFmtId="0" fontId="0" fillId="0" borderId="0" xfId="0"/>
    <xf numFmtId="0" fontId="3" fillId="0" borderId="0" xfId="0" applyFont="1" applyBorder="1" applyProtection="1"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3" fillId="6" borderId="0" xfId="0" applyFont="1" applyFill="1" applyBorder="1" applyProtection="1">
      <protection hidden="1"/>
    </xf>
    <xf numFmtId="0" fontId="3" fillId="6" borderId="0" xfId="0" applyFont="1" applyFill="1" applyBorder="1" applyAlignment="1" applyProtection="1">
      <alignment horizontal="center"/>
      <protection hidden="1"/>
    </xf>
    <xf numFmtId="0" fontId="7" fillId="6" borderId="4" xfId="0" applyFont="1" applyFill="1" applyBorder="1" applyAlignment="1" applyProtection="1">
      <alignment horizontal="left"/>
      <protection hidden="1"/>
    </xf>
    <xf numFmtId="0" fontId="6" fillId="6" borderId="4" xfId="0" applyFont="1" applyFill="1" applyBorder="1" applyProtection="1">
      <protection hidden="1"/>
    </xf>
    <xf numFmtId="0" fontId="3" fillId="6" borderId="4" xfId="0" applyFont="1" applyFill="1" applyBorder="1" applyProtection="1">
      <protection hidden="1"/>
    </xf>
    <xf numFmtId="165" fontId="5" fillId="6" borderId="0" xfId="2" applyNumberFormat="1" applyFont="1" applyFill="1" applyBorder="1" applyAlignment="1" applyProtection="1">
      <protection hidden="1"/>
    </xf>
    <xf numFmtId="165" fontId="5" fillId="6" borderId="0" xfId="2" applyNumberFormat="1" applyFont="1" applyFill="1" applyBorder="1" applyAlignment="1" applyProtection="1">
      <alignment horizontal="right"/>
      <protection hidden="1"/>
    </xf>
    <xf numFmtId="164" fontId="0" fillId="6" borderId="0" xfId="3" applyNumberFormat="1" applyFont="1" applyFill="1" applyBorder="1" applyProtection="1">
      <protection hidden="1"/>
    </xf>
    <xf numFmtId="164" fontId="3" fillId="6" borderId="0" xfId="0" applyNumberFormat="1" applyFont="1" applyFill="1" applyBorder="1" applyAlignment="1" applyProtection="1">
      <alignment horizontal="center"/>
      <protection hidden="1"/>
    </xf>
    <xf numFmtId="164" fontId="0" fillId="7" borderId="2" xfId="2" applyFont="1" applyFill="1" applyBorder="1" applyProtection="1">
      <protection hidden="1"/>
    </xf>
    <xf numFmtId="0" fontId="3" fillId="10" borderId="0" xfId="0" applyFont="1" applyFill="1" applyBorder="1" applyProtection="1">
      <protection hidden="1"/>
    </xf>
    <xf numFmtId="0" fontId="3" fillId="10" borderId="0" xfId="0" applyFont="1" applyFill="1" applyBorder="1" applyAlignment="1" applyProtection="1">
      <alignment horizontal="center"/>
      <protection hidden="1"/>
    </xf>
    <xf numFmtId="164" fontId="3" fillId="0" borderId="1" xfId="2" applyNumberFormat="1" applyFont="1" applyFill="1" applyBorder="1" applyAlignment="1" applyProtection="1">
      <alignment horizontal="right"/>
      <protection locked="0"/>
    </xf>
    <xf numFmtId="164" fontId="3" fillId="0" borderId="3" xfId="2" applyNumberFormat="1" applyFont="1" applyFill="1" applyBorder="1" applyAlignment="1" applyProtection="1">
      <alignment horizontal="right"/>
      <protection locked="0"/>
    </xf>
    <xf numFmtId="0" fontId="3" fillId="12" borderId="0" xfId="0" applyFont="1" applyFill="1" applyBorder="1" applyProtection="1">
      <protection hidden="1"/>
    </xf>
    <xf numFmtId="0" fontId="3" fillId="12" borderId="0" xfId="0" applyFont="1" applyFill="1" applyBorder="1" applyAlignment="1" applyProtection="1">
      <alignment horizontal="center"/>
      <protection hidden="1"/>
    </xf>
    <xf numFmtId="0" fontId="5" fillId="13" borderId="2" xfId="1" applyFont="1" applyFill="1" applyBorder="1" applyAlignment="1" applyProtection="1">
      <protection hidden="1"/>
    </xf>
    <xf numFmtId="0" fontId="8" fillId="11" borderId="2" xfId="1" applyFont="1" applyFill="1" applyBorder="1" applyAlignment="1" applyProtection="1">
      <protection hidden="1"/>
    </xf>
    <xf numFmtId="165" fontId="0" fillId="7" borderId="2" xfId="2" applyNumberFormat="1" applyFont="1" applyFill="1" applyBorder="1" applyProtection="1">
      <protection hidden="1"/>
    </xf>
    <xf numFmtId="165" fontId="3" fillId="6" borderId="0" xfId="0" applyNumberFormat="1" applyFont="1" applyFill="1" applyBorder="1" applyProtection="1">
      <protection hidden="1"/>
    </xf>
    <xf numFmtId="166" fontId="0" fillId="0" borderId="2" xfId="2" applyNumberFormat="1" applyFont="1" applyFill="1" applyBorder="1" applyProtection="1">
      <protection locked="0"/>
    </xf>
    <xf numFmtId="165" fontId="0" fillId="0" borderId="2" xfId="2" applyNumberFormat="1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0" xfId="0" applyFont="1" applyFill="1" applyBorder="1" applyProtection="1">
      <protection hidden="1"/>
    </xf>
    <xf numFmtId="0" fontId="10" fillId="0" borderId="0" xfId="0" applyFont="1" applyFill="1" applyBorder="1" applyAlignment="1" applyProtection="1">
      <alignment horizontal="center"/>
      <protection hidden="1"/>
    </xf>
    <xf numFmtId="0" fontId="11" fillId="0" borderId="0" xfId="0" applyFont="1" applyFill="1" applyBorder="1" applyProtection="1">
      <protection hidden="1"/>
    </xf>
    <xf numFmtId="0" fontId="11" fillId="0" borderId="0" xfId="0" applyFont="1" applyBorder="1" applyProtection="1">
      <protection hidden="1"/>
    </xf>
    <xf numFmtId="0" fontId="12" fillId="0" borderId="0" xfId="0" applyFont="1" applyBorder="1" applyProtection="1">
      <protection hidden="1"/>
    </xf>
    <xf numFmtId="0" fontId="11" fillId="0" borderId="0" xfId="0" applyFont="1" applyBorder="1" applyAlignment="1" applyProtection="1">
      <alignment horizontal="center"/>
      <protection hidden="1"/>
    </xf>
    <xf numFmtId="165" fontId="5" fillId="12" borderId="9" xfId="2" applyNumberFormat="1" applyFont="1" applyFill="1" applyBorder="1" applyAlignment="1" applyProtection="1">
      <protection hidden="1"/>
    </xf>
    <xf numFmtId="165" fontId="5" fillId="12" borderId="10" xfId="2" applyNumberFormat="1" applyFont="1" applyFill="1" applyBorder="1" applyAlignment="1" applyProtection="1">
      <protection hidden="1"/>
    </xf>
    <xf numFmtId="165" fontId="5" fillId="12" borderId="11" xfId="2" applyNumberFormat="1" applyFont="1" applyFill="1" applyBorder="1" applyAlignment="1" applyProtection="1">
      <protection hidden="1"/>
    </xf>
    <xf numFmtId="165" fontId="5" fillId="0" borderId="13" xfId="2" applyNumberFormat="1" applyFont="1" applyFill="1" applyBorder="1" applyAlignment="1" applyProtection="1">
      <alignment horizontal="right"/>
      <protection locked="0"/>
    </xf>
    <xf numFmtId="165" fontId="5" fillId="0" borderId="14" xfId="2" applyNumberFormat="1" applyFont="1" applyFill="1" applyBorder="1" applyAlignment="1" applyProtection="1">
      <alignment horizontal="right"/>
      <protection locked="0"/>
    </xf>
    <xf numFmtId="164" fontId="3" fillId="0" borderId="15" xfId="2" applyFont="1" applyFill="1" applyBorder="1" applyAlignment="1" applyProtection="1">
      <alignment horizontal="left"/>
      <protection locked="0"/>
    </xf>
    <xf numFmtId="10" fontId="0" fillId="0" borderId="6" xfId="2" applyNumberFormat="1" applyFont="1" applyFill="1" applyBorder="1" applyProtection="1">
      <protection locked="0"/>
    </xf>
    <xf numFmtId="10" fontId="0" fillId="0" borderId="6" xfId="3" applyNumberFormat="1" applyFont="1" applyFill="1" applyBorder="1" applyProtection="1">
      <protection locked="0"/>
    </xf>
    <xf numFmtId="10" fontId="0" fillId="0" borderId="16" xfId="3" applyNumberFormat="1" applyFont="1" applyFill="1" applyBorder="1" applyProtection="1">
      <protection locked="0"/>
    </xf>
    <xf numFmtId="164" fontId="3" fillId="0" borderId="17" xfId="2" applyFont="1" applyFill="1" applyBorder="1" applyAlignment="1" applyProtection="1">
      <alignment horizontal="left"/>
      <protection locked="0"/>
    </xf>
    <xf numFmtId="10" fontId="0" fillId="0" borderId="18" xfId="2" applyNumberFormat="1" applyFont="1" applyFill="1" applyBorder="1" applyProtection="1">
      <protection locked="0"/>
    </xf>
    <xf numFmtId="10" fontId="0" fillId="0" borderId="18" xfId="3" applyNumberFormat="1" applyFont="1" applyFill="1" applyBorder="1" applyProtection="1">
      <protection locked="0"/>
    </xf>
    <xf numFmtId="10" fontId="0" fillId="0" borderId="19" xfId="3" applyNumberFormat="1" applyFont="1" applyFill="1" applyBorder="1" applyProtection="1">
      <protection locked="0"/>
    </xf>
    <xf numFmtId="164" fontId="3" fillId="0" borderId="20" xfId="2" applyFont="1" applyFill="1" applyBorder="1" applyAlignment="1" applyProtection="1">
      <alignment horizontal="left"/>
      <protection locked="0"/>
    </xf>
    <xf numFmtId="10" fontId="0" fillId="0" borderId="21" xfId="3" applyNumberFormat="1" applyFont="1" applyFill="1" applyBorder="1" applyProtection="1">
      <protection locked="0"/>
    </xf>
    <xf numFmtId="10" fontId="0" fillId="0" borderId="22" xfId="3" applyNumberFormat="1" applyFont="1" applyFill="1" applyBorder="1" applyProtection="1">
      <protection locked="0"/>
    </xf>
    <xf numFmtId="0" fontId="4" fillId="13" borderId="17" xfId="1" applyFont="1" applyFill="1" applyBorder="1" applyAlignment="1" applyProtection="1">
      <protection hidden="1"/>
    </xf>
    <xf numFmtId="165" fontId="5" fillId="0" borderId="18" xfId="2" applyNumberFormat="1" applyFont="1" applyFill="1" applyBorder="1" applyAlignment="1" applyProtection="1">
      <alignment horizontal="right"/>
      <protection locked="0"/>
    </xf>
    <xf numFmtId="165" fontId="5" fillId="0" borderId="19" xfId="2" applyNumberFormat="1" applyFont="1" applyFill="1" applyBorder="1" applyAlignment="1" applyProtection="1">
      <alignment horizontal="right"/>
      <protection locked="0"/>
    </xf>
    <xf numFmtId="165" fontId="5" fillId="0" borderId="23" xfId="2" applyNumberFormat="1" applyFont="1" applyFill="1" applyBorder="1" applyAlignment="1" applyProtection="1">
      <alignment horizontal="right"/>
      <protection locked="0"/>
    </xf>
    <xf numFmtId="165" fontId="5" fillId="0" borderId="24" xfId="2" applyNumberFormat="1" applyFont="1" applyFill="1" applyBorder="1" applyAlignment="1" applyProtection="1">
      <alignment horizontal="right"/>
      <protection locked="0"/>
    </xf>
    <xf numFmtId="10" fontId="0" fillId="0" borderId="25" xfId="2" applyNumberFormat="1" applyFont="1" applyFill="1" applyBorder="1" applyProtection="1">
      <protection locked="0"/>
    </xf>
    <xf numFmtId="10" fontId="0" fillId="0" borderId="7" xfId="2" applyNumberFormat="1" applyFont="1" applyFill="1" applyBorder="1" applyProtection="1">
      <protection locked="0"/>
    </xf>
    <xf numFmtId="10" fontId="0" fillId="0" borderId="24" xfId="2" applyNumberFormat="1" applyFont="1" applyFill="1" applyBorder="1" applyProtection="1">
      <protection locked="0"/>
    </xf>
    <xf numFmtId="0" fontId="4" fillId="13" borderId="19" xfId="1" applyFont="1" applyFill="1" applyBorder="1" applyAlignment="1" applyProtection="1">
      <protection hidden="1"/>
    </xf>
    <xf numFmtId="164" fontId="3" fillId="0" borderId="22" xfId="2" applyFont="1" applyFill="1" applyBorder="1" applyAlignment="1" applyProtection="1">
      <alignment horizontal="right"/>
      <protection locked="0"/>
    </xf>
    <xf numFmtId="164" fontId="3" fillId="0" borderId="16" xfId="2" applyFont="1" applyFill="1" applyBorder="1" applyAlignment="1" applyProtection="1">
      <alignment horizontal="right"/>
      <protection locked="0"/>
    </xf>
    <xf numFmtId="164" fontId="3" fillId="0" borderId="19" xfId="2" applyFont="1" applyFill="1" applyBorder="1" applyAlignment="1" applyProtection="1">
      <alignment horizontal="right"/>
      <protection locked="0"/>
    </xf>
    <xf numFmtId="0" fontId="5" fillId="13" borderId="8" xfId="1" applyFont="1" applyFill="1" applyBorder="1" applyAlignment="1" applyProtection="1">
      <protection hidden="1"/>
    </xf>
    <xf numFmtId="164" fontId="3" fillId="0" borderId="12" xfId="2" applyFont="1" applyFill="1" applyBorder="1" applyAlignment="1" applyProtection="1">
      <alignment horizontal="left"/>
      <protection locked="0"/>
    </xf>
    <xf numFmtId="10" fontId="0" fillId="0" borderId="13" xfId="2" applyNumberFormat="1" applyFont="1" applyFill="1" applyBorder="1" applyProtection="1">
      <protection locked="0"/>
    </xf>
    <xf numFmtId="10" fontId="0" fillId="0" borderId="14" xfId="2" applyNumberFormat="1" applyFont="1" applyFill="1" applyBorder="1" applyProtection="1">
      <protection locked="0"/>
    </xf>
    <xf numFmtId="10" fontId="0" fillId="0" borderId="16" xfId="2" applyNumberFormat="1" applyFont="1" applyFill="1" applyBorder="1" applyProtection="1">
      <protection locked="0"/>
    </xf>
    <xf numFmtId="10" fontId="0" fillId="0" borderId="19" xfId="2" applyNumberFormat="1" applyFont="1" applyFill="1" applyBorder="1" applyProtection="1">
      <protection locked="0"/>
    </xf>
    <xf numFmtId="10" fontId="0" fillId="0" borderId="23" xfId="2" applyNumberFormat="1" applyFont="1" applyFill="1" applyBorder="1" applyProtection="1">
      <protection locked="0"/>
    </xf>
    <xf numFmtId="164" fontId="3" fillId="0" borderId="14" xfId="2" applyFont="1" applyFill="1" applyBorder="1" applyAlignment="1" applyProtection="1">
      <alignment horizontal="right"/>
      <protection locked="0"/>
    </xf>
    <xf numFmtId="10" fontId="0" fillId="0" borderId="13" xfId="3" applyNumberFormat="1" applyFont="1" applyFill="1" applyBorder="1" applyProtection="1">
      <protection locked="0"/>
    </xf>
    <xf numFmtId="10" fontId="0" fillId="0" borderId="14" xfId="3" applyNumberFormat="1" applyFont="1" applyFill="1" applyBorder="1" applyProtection="1">
      <protection locked="0"/>
    </xf>
    <xf numFmtId="10" fontId="0" fillId="0" borderId="26" xfId="2" applyNumberFormat="1" applyFont="1" applyFill="1" applyBorder="1" applyProtection="1">
      <protection locked="0"/>
    </xf>
    <xf numFmtId="10" fontId="0" fillId="0" borderId="27" xfId="2" applyNumberFormat="1" applyFont="1" applyFill="1" applyBorder="1" applyProtection="1">
      <protection locked="0"/>
    </xf>
    <xf numFmtId="10" fontId="0" fillId="0" borderId="28" xfId="2" applyNumberFormat="1" applyFont="1" applyFill="1" applyBorder="1" applyProtection="1">
      <protection locked="0"/>
    </xf>
    <xf numFmtId="164" fontId="0" fillId="9" borderId="26" xfId="2" applyFont="1" applyFill="1" applyBorder="1" applyAlignment="1" applyProtection="1">
      <alignment horizontal="left" vertical="top" wrapText="1"/>
      <protection hidden="1"/>
    </xf>
    <xf numFmtId="164" fontId="0" fillId="9" borderId="27" xfId="2" applyFont="1" applyFill="1" applyBorder="1" applyAlignment="1" applyProtection="1">
      <alignment horizontal="left" vertical="top" wrapText="1"/>
      <protection hidden="1"/>
    </xf>
    <xf numFmtId="164" fontId="0" fillId="9" borderId="28" xfId="2" applyFont="1" applyFill="1" applyBorder="1" applyAlignment="1" applyProtection="1">
      <alignment horizontal="left" vertical="top" wrapText="1"/>
      <protection hidden="1"/>
    </xf>
    <xf numFmtId="0" fontId="4" fillId="14" borderId="53" xfId="1" applyFont="1" applyFill="1" applyBorder="1" applyAlignment="1" applyProtection="1">
      <protection hidden="1"/>
    </xf>
    <xf numFmtId="164" fontId="0" fillId="7" borderId="63" xfId="2" applyFont="1" applyFill="1" applyBorder="1" applyAlignment="1" applyProtection="1">
      <alignment horizontal="left" vertical="top" wrapText="1"/>
      <protection hidden="1"/>
    </xf>
    <xf numFmtId="164" fontId="0" fillId="7" borderId="64" xfId="2" applyFont="1" applyFill="1" applyBorder="1" applyAlignment="1" applyProtection="1">
      <alignment horizontal="left" vertical="top" wrapText="1"/>
      <protection hidden="1"/>
    </xf>
    <xf numFmtId="164" fontId="0" fillId="7" borderId="65" xfId="2" applyFont="1" applyFill="1" applyBorder="1" applyAlignment="1" applyProtection="1">
      <alignment horizontal="left" vertical="top" wrapText="1"/>
      <protection hidden="1"/>
    </xf>
    <xf numFmtId="164" fontId="3" fillId="0" borderId="68" xfId="2" applyNumberFormat="1" applyFont="1" applyFill="1" applyBorder="1" applyAlignment="1" applyProtection="1">
      <alignment horizontal="left"/>
      <protection locked="0"/>
    </xf>
    <xf numFmtId="164" fontId="3" fillId="0" borderId="69" xfId="2" applyNumberFormat="1" applyFont="1" applyFill="1" applyBorder="1" applyAlignment="1" applyProtection="1">
      <alignment horizontal="left"/>
      <protection locked="0"/>
    </xf>
    <xf numFmtId="164" fontId="3" fillId="0" borderId="70" xfId="2" applyNumberFormat="1" applyFont="1" applyFill="1" applyBorder="1" applyAlignment="1" applyProtection="1">
      <alignment horizontal="left"/>
      <protection locked="0"/>
    </xf>
    <xf numFmtId="164" fontId="3" fillId="0" borderId="71" xfId="2" applyNumberFormat="1" applyFont="1" applyFill="1" applyBorder="1" applyAlignment="1" applyProtection="1">
      <alignment horizontal="right"/>
      <protection locked="0"/>
    </xf>
    <xf numFmtId="0" fontId="4" fillId="15" borderId="70" xfId="1" applyFont="1" applyFill="1" applyBorder="1" applyAlignment="1" applyProtection="1">
      <protection hidden="1"/>
    </xf>
    <xf numFmtId="0" fontId="4" fillId="15" borderId="71" xfId="1" applyFont="1" applyFill="1" applyBorder="1" applyAlignment="1" applyProtection="1">
      <protection hidden="1"/>
    </xf>
    <xf numFmtId="10" fontId="0" fillId="0" borderId="74" xfId="3" applyNumberFormat="1" applyFont="1" applyFill="1" applyBorder="1" applyProtection="1">
      <protection locked="0"/>
    </xf>
    <xf numFmtId="10" fontId="0" fillId="0" borderId="75" xfId="3" applyNumberFormat="1" applyFont="1" applyFill="1" applyBorder="1" applyProtection="1">
      <protection locked="0"/>
    </xf>
    <xf numFmtId="10" fontId="0" fillId="0" borderId="76" xfId="3" applyNumberFormat="1" applyFont="1" applyFill="1" applyBorder="1" applyProtection="1">
      <protection locked="0"/>
    </xf>
    <xf numFmtId="0" fontId="4" fillId="14" borderId="17" xfId="1" applyFont="1" applyFill="1" applyBorder="1" applyAlignment="1" applyProtection="1">
      <protection hidden="1"/>
    </xf>
    <xf numFmtId="0" fontId="4" fillId="14" borderId="19" xfId="1" applyFont="1" applyFill="1" applyBorder="1" applyAlignment="1" applyProtection="1">
      <protection hidden="1"/>
    </xf>
    <xf numFmtId="0" fontId="3" fillId="5" borderId="0" xfId="0" applyFont="1" applyFill="1" applyBorder="1" applyProtection="1">
      <protection hidden="1"/>
    </xf>
    <xf numFmtId="0" fontId="3" fillId="5" borderId="0" xfId="0" applyFont="1" applyFill="1" applyBorder="1" applyAlignment="1" applyProtection="1">
      <alignment horizontal="center"/>
      <protection hidden="1"/>
    </xf>
    <xf numFmtId="0" fontId="4" fillId="8" borderId="53" xfId="1" applyFont="1" applyFill="1" applyBorder="1" applyAlignment="1" applyProtection="1">
      <protection hidden="1"/>
    </xf>
    <xf numFmtId="164" fontId="0" fillId="4" borderId="63" xfId="2" applyFont="1" applyFill="1" applyBorder="1" applyAlignment="1" applyProtection="1">
      <alignment horizontal="left" vertical="top" wrapText="1"/>
      <protection hidden="1"/>
    </xf>
    <xf numFmtId="164" fontId="0" fillId="4" borderId="64" xfId="2" applyFont="1" applyFill="1" applyBorder="1" applyAlignment="1" applyProtection="1">
      <alignment horizontal="left" vertical="top" wrapText="1"/>
      <protection hidden="1"/>
    </xf>
    <xf numFmtId="164" fontId="0" fillId="4" borderId="77" xfId="2" applyFont="1" applyFill="1" applyBorder="1" applyAlignment="1" applyProtection="1">
      <alignment horizontal="left" vertical="top" wrapText="1"/>
      <protection hidden="1"/>
    </xf>
    <xf numFmtId="164" fontId="0" fillId="4" borderId="65" xfId="2" applyFont="1" applyFill="1" applyBorder="1" applyAlignment="1" applyProtection="1">
      <alignment horizontal="left" vertical="top" wrapText="1"/>
      <protection hidden="1"/>
    </xf>
    <xf numFmtId="0" fontId="4" fillId="8" borderId="32" xfId="1" applyFont="1" applyFill="1" applyBorder="1" applyAlignment="1" applyProtection="1">
      <protection hidden="1"/>
    </xf>
    <xf numFmtId="10" fontId="0" fillId="0" borderId="43" xfId="3" applyNumberFormat="1" applyFont="1" applyFill="1" applyBorder="1" applyProtection="1">
      <protection locked="0"/>
    </xf>
    <xf numFmtId="10" fontId="0" fillId="0" borderId="46" xfId="3" applyNumberFormat="1" applyFont="1" applyFill="1" applyBorder="1" applyProtection="1">
      <protection locked="0"/>
    </xf>
    <xf numFmtId="10" fontId="0" fillId="0" borderId="49" xfId="3" applyNumberFormat="1" applyFont="1" applyFill="1" applyBorder="1" applyProtection="1">
      <protection locked="0"/>
    </xf>
    <xf numFmtId="0" fontId="4" fillId="8" borderId="5" xfId="1" applyFont="1" applyFill="1" applyBorder="1" applyAlignment="1" applyProtection="1">
      <alignment horizontal="right"/>
      <protection hidden="1"/>
    </xf>
    <xf numFmtId="10" fontId="0" fillId="0" borderId="44" xfId="3" applyNumberFormat="1" applyFont="1" applyFill="1" applyBorder="1" applyProtection="1">
      <protection locked="0"/>
    </xf>
    <xf numFmtId="10" fontId="0" fillId="0" borderId="47" xfId="3" applyNumberFormat="1" applyFont="1" applyFill="1" applyBorder="1" applyProtection="1">
      <protection locked="0"/>
    </xf>
    <xf numFmtId="10" fontId="0" fillId="0" borderId="50" xfId="3" applyNumberFormat="1" applyFont="1" applyFill="1" applyBorder="1" applyProtection="1">
      <protection locked="0"/>
    </xf>
    <xf numFmtId="0" fontId="14" fillId="3" borderId="42" xfId="1" applyFont="1" applyFill="1" applyBorder="1" applyAlignment="1" applyProtection="1">
      <protection hidden="1"/>
    </xf>
    <xf numFmtId="0" fontId="14" fillId="3" borderId="45" xfId="1" applyFont="1" applyFill="1" applyBorder="1" applyAlignment="1" applyProtection="1">
      <alignment horizontal="left"/>
      <protection hidden="1"/>
    </xf>
    <xf numFmtId="0" fontId="14" fillId="3" borderId="48" xfId="1" applyFont="1" applyFill="1" applyBorder="1" applyAlignment="1" applyProtection="1">
      <alignment horizontal="left"/>
      <protection hidden="1"/>
    </xf>
    <xf numFmtId="164" fontId="3" fillId="0" borderId="81" xfId="2" applyFont="1" applyFill="1" applyBorder="1" applyAlignment="1" applyProtection="1">
      <alignment horizontal="left"/>
      <protection locked="0"/>
    </xf>
    <xf numFmtId="164" fontId="3" fillId="0" borderId="82" xfId="2" applyFont="1" applyFill="1" applyBorder="1" applyAlignment="1" applyProtection="1">
      <alignment horizontal="left"/>
      <protection locked="0"/>
    </xf>
    <xf numFmtId="10" fontId="0" fillId="0" borderId="83" xfId="2" applyNumberFormat="1" applyFont="1" applyFill="1" applyBorder="1" applyProtection="1">
      <protection locked="0"/>
    </xf>
    <xf numFmtId="10" fontId="0" fillId="0" borderId="41" xfId="2" applyNumberFormat="1" applyFont="1" applyFill="1" applyBorder="1" applyProtection="1">
      <protection locked="0"/>
    </xf>
    <xf numFmtId="164" fontId="3" fillId="0" borderId="85" xfId="2" applyFont="1" applyFill="1" applyBorder="1" applyAlignment="1" applyProtection="1">
      <alignment horizontal="right"/>
      <protection locked="0"/>
    </xf>
    <xf numFmtId="164" fontId="3" fillId="0" borderId="86" xfId="2" applyFont="1" applyFill="1" applyBorder="1" applyAlignment="1" applyProtection="1">
      <alignment horizontal="right"/>
      <protection locked="0"/>
    </xf>
    <xf numFmtId="164" fontId="3" fillId="0" borderId="87" xfId="2" applyFont="1" applyFill="1" applyBorder="1" applyAlignment="1" applyProtection="1">
      <alignment horizontal="left"/>
      <protection locked="0"/>
    </xf>
    <xf numFmtId="164" fontId="3" fillId="0" borderId="88" xfId="2" applyFont="1" applyFill="1" applyBorder="1" applyAlignment="1" applyProtection="1">
      <alignment horizontal="right"/>
      <protection locked="0"/>
    </xf>
    <xf numFmtId="10" fontId="0" fillId="0" borderId="89" xfId="2" applyNumberFormat="1" applyFont="1" applyFill="1" applyBorder="1" applyProtection="1">
      <protection locked="0"/>
    </xf>
    <xf numFmtId="0" fontId="5" fillId="8" borderId="82" xfId="1" applyFont="1" applyFill="1" applyBorder="1" applyAlignment="1" applyProtection="1">
      <protection hidden="1"/>
    </xf>
    <xf numFmtId="0" fontId="5" fillId="8" borderId="86" xfId="1" applyFont="1" applyFill="1" applyBorder="1" applyAlignment="1" applyProtection="1">
      <protection hidden="1"/>
    </xf>
    <xf numFmtId="0" fontId="0" fillId="5" borderId="0" xfId="0" applyFill="1"/>
    <xf numFmtId="168" fontId="0" fillId="0" borderId="0" xfId="2" applyNumberFormat="1" applyFont="1"/>
    <xf numFmtId="164" fontId="0" fillId="0" borderId="0" xfId="2" applyNumberFormat="1" applyFont="1"/>
    <xf numFmtId="14" fontId="0" fillId="0" borderId="0" xfId="0" applyNumberFormat="1"/>
    <xf numFmtId="0" fontId="5" fillId="5" borderId="0" xfId="0" applyFont="1" applyFill="1"/>
    <xf numFmtId="0" fontId="5" fillId="0" borderId="0" xfId="0" applyFont="1"/>
    <xf numFmtId="0" fontId="17" fillId="0" borderId="0" xfId="0" applyFont="1" applyFill="1" applyBorder="1" applyProtection="1">
      <protection hidden="1"/>
    </xf>
    <xf numFmtId="164" fontId="11" fillId="0" borderId="0" xfId="2" applyFont="1" applyBorder="1" applyProtection="1">
      <protection hidden="1"/>
    </xf>
    <xf numFmtId="10" fontId="11" fillId="0" borderId="0" xfId="3" applyNumberFormat="1" applyFont="1" applyFill="1" applyBorder="1" applyProtection="1">
      <protection hidden="1"/>
    </xf>
    <xf numFmtId="0" fontId="11" fillId="0" borderId="0" xfId="0" applyFont="1" applyFill="1" applyBorder="1" applyAlignment="1" applyProtection="1">
      <alignment vertical="center"/>
      <protection hidden="1"/>
    </xf>
    <xf numFmtId="164" fontId="11" fillId="0" borderId="0" xfId="2" applyFont="1" applyFill="1" applyBorder="1" applyProtection="1">
      <protection hidden="1"/>
    </xf>
    <xf numFmtId="0" fontId="15" fillId="0" borderId="0" xfId="0" applyFont="1" applyFill="1" applyBorder="1" applyProtection="1">
      <protection hidden="1"/>
    </xf>
    <xf numFmtId="0" fontId="0" fillId="6" borderId="0" xfId="0" applyFont="1" applyFill="1" applyBorder="1" applyProtection="1">
      <protection hidden="1"/>
    </xf>
    <xf numFmtId="0" fontId="1" fillId="16" borderId="0" xfId="4" applyFill="1"/>
    <xf numFmtId="0" fontId="1" fillId="16" borderId="0" xfId="4" applyFill="1" applyBorder="1"/>
    <xf numFmtId="0" fontId="1" fillId="0" borderId="0" xfId="4" applyFill="1" applyBorder="1"/>
    <xf numFmtId="0" fontId="1" fillId="0" borderId="0" xfId="4"/>
    <xf numFmtId="0" fontId="1" fillId="0" borderId="0" xfId="4" applyBorder="1"/>
    <xf numFmtId="0" fontId="3" fillId="16" borderId="0" xfId="0" applyFont="1" applyFill="1" applyBorder="1" applyAlignment="1" applyProtection="1">
      <alignment horizontal="center"/>
      <protection hidden="1"/>
    </xf>
    <xf numFmtId="0" fontId="11" fillId="16" borderId="0" xfId="0" applyFont="1" applyFill="1" applyBorder="1" applyProtection="1">
      <protection hidden="1"/>
    </xf>
    <xf numFmtId="0" fontId="3" fillId="16" borderId="0" xfId="0" applyFont="1" applyFill="1" applyBorder="1" applyProtection="1">
      <protection hidden="1"/>
    </xf>
    <xf numFmtId="0" fontId="3" fillId="17" borderId="0" xfId="0" applyFont="1" applyFill="1" applyBorder="1" applyProtection="1">
      <protection hidden="1"/>
    </xf>
    <xf numFmtId="0" fontId="11" fillId="17" borderId="0" xfId="0" applyFont="1" applyFill="1" applyBorder="1" applyProtection="1">
      <protection hidden="1"/>
    </xf>
    <xf numFmtId="0" fontId="11" fillId="0" borderId="0" xfId="0" applyFont="1" applyBorder="1" applyAlignment="1" applyProtection="1">
      <alignment horizontal="left" vertical="center"/>
      <protection hidden="1"/>
    </xf>
    <xf numFmtId="0" fontId="12" fillId="0" borderId="0" xfId="0" applyFont="1" applyBorder="1" applyAlignment="1" applyProtection="1">
      <alignment horizontal="left" vertical="center"/>
      <protection hidden="1"/>
    </xf>
    <xf numFmtId="0" fontId="22" fillId="16" borderId="0" xfId="4" applyFont="1" applyFill="1"/>
    <xf numFmtId="0" fontId="23" fillId="0" borderId="0" xfId="0" applyFont="1" applyFill="1" applyBorder="1" applyProtection="1">
      <protection hidden="1"/>
    </xf>
    <xf numFmtId="0" fontId="24" fillId="0" borderId="0" xfId="0" applyFont="1" applyFill="1" applyBorder="1" applyProtection="1">
      <protection hidden="1"/>
    </xf>
    <xf numFmtId="14" fontId="11" fillId="0" borderId="0" xfId="0" applyNumberFormat="1" applyFont="1" applyFill="1" applyBorder="1" applyProtection="1">
      <protection hidden="1"/>
    </xf>
    <xf numFmtId="164" fontId="12" fillId="0" borderId="0" xfId="2" applyFont="1" applyBorder="1" applyAlignment="1" applyProtection="1">
      <alignment horizontal="left" vertical="center" indent="1"/>
      <protection hidden="1"/>
    </xf>
    <xf numFmtId="0" fontId="15" fillId="0" borderId="0" xfId="0" applyFont="1" applyFill="1" applyBorder="1" applyAlignment="1" applyProtection="1">
      <alignment horizontal="left" indent="1"/>
      <protection hidden="1"/>
    </xf>
    <xf numFmtId="164" fontId="16" fillId="0" borderId="0" xfId="2" applyFont="1" applyBorder="1" applyAlignment="1" applyProtection="1">
      <alignment horizontal="left" indent="1"/>
      <protection hidden="1"/>
    </xf>
    <xf numFmtId="14" fontId="11" fillId="18" borderId="108" xfId="2" applyNumberFormat="1" applyFont="1" applyFill="1" applyBorder="1" applyAlignment="1" applyProtection="1">
      <alignment vertical="center"/>
      <protection locked="0"/>
    </xf>
    <xf numFmtId="167" fontId="9" fillId="0" borderId="106" xfId="2" applyNumberFormat="1" applyFont="1" applyFill="1" applyBorder="1" applyAlignment="1" applyProtection="1">
      <alignment vertical="center"/>
      <protection hidden="1"/>
    </xf>
    <xf numFmtId="14" fontId="11" fillId="0" borderId="111" xfId="2" applyNumberFormat="1" applyFont="1" applyFill="1" applyBorder="1" applyAlignment="1" applyProtection="1">
      <alignment vertical="center"/>
      <protection hidden="1"/>
    </xf>
    <xf numFmtId="0" fontId="0" fillId="6" borderId="0" xfId="0" applyFont="1" applyFill="1" applyBorder="1" applyAlignment="1" applyProtection="1">
      <alignment horizontal="center"/>
      <protection hidden="1"/>
    </xf>
    <xf numFmtId="167" fontId="9" fillId="0" borderId="108" xfId="2" applyNumberFormat="1" applyFont="1" applyFill="1" applyBorder="1" applyAlignment="1" applyProtection="1">
      <alignment vertical="center"/>
      <protection hidden="1"/>
    </xf>
    <xf numFmtId="170" fontId="11" fillId="0" borderId="0" xfId="0" applyNumberFormat="1" applyFont="1" applyFill="1" applyBorder="1" applyProtection="1">
      <protection hidden="1"/>
    </xf>
    <xf numFmtId="10" fontId="11" fillId="0" borderId="103" xfId="3" applyNumberFormat="1" applyFont="1" applyBorder="1" applyAlignment="1" applyProtection="1">
      <alignment horizontal="right" vertical="center"/>
      <protection hidden="1"/>
    </xf>
    <xf numFmtId="167" fontId="11" fillId="0" borderId="103" xfId="2" applyNumberFormat="1" applyFont="1" applyBorder="1" applyAlignment="1" applyProtection="1">
      <alignment horizontal="right" vertical="center"/>
      <protection hidden="1"/>
    </xf>
    <xf numFmtId="0" fontId="13" fillId="20" borderId="104" xfId="1" applyFont="1" applyFill="1" applyBorder="1" applyAlignment="1" applyProtection="1">
      <alignment horizontal="center" vertical="center" wrapText="1"/>
      <protection hidden="1"/>
    </xf>
    <xf numFmtId="0" fontId="13" fillId="20" borderId="105" xfId="1" applyFont="1" applyFill="1" applyBorder="1" applyAlignment="1" applyProtection="1">
      <alignment horizontal="center" vertical="center" wrapText="1"/>
      <protection hidden="1"/>
    </xf>
    <xf numFmtId="0" fontId="13" fillId="20" borderId="106" xfId="1" applyFont="1" applyFill="1" applyBorder="1" applyAlignment="1" applyProtection="1">
      <alignment horizontal="center" vertical="center" wrapText="1"/>
      <protection hidden="1"/>
    </xf>
    <xf numFmtId="165" fontId="11" fillId="0" borderId="107" xfId="2" applyNumberFormat="1" applyFont="1" applyBorder="1" applyAlignment="1" applyProtection="1">
      <alignment horizontal="right" vertical="center"/>
      <protection hidden="1"/>
    </xf>
    <xf numFmtId="167" fontId="11" fillId="0" borderId="108" xfId="2" applyNumberFormat="1" applyFont="1" applyBorder="1" applyAlignment="1" applyProtection="1">
      <alignment horizontal="right" vertical="center"/>
      <protection hidden="1"/>
    </xf>
    <xf numFmtId="165" fontId="11" fillId="0" borderId="109" xfId="2" applyNumberFormat="1" applyFont="1" applyBorder="1" applyAlignment="1" applyProtection="1">
      <alignment horizontal="right" vertical="center"/>
      <protection hidden="1"/>
    </xf>
    <xf numFmtId="10" fontId="11" fillId="0" borderId="110" xfId="3" applyNumberFormat="1" applyFont="1" applyBorder="1" applyAlignment="1" applyProtection="1">
      <alignment horizontal="right" vertical="center"/>
      <protection hidden="1"/>
    </xf>
    <xf numFmtId="167" fontId="11" fillId="0" borderId="110" xfId="2" applyNumberFormat="1" applyFont="1" applyBorder="1" applyAlignment="1" applyProtection="1">
      <alignment horizontal="right" vertical="center"/>
      <protection hidden="1"/>
    </xf>
    <xf numFmtId="167" fontId="11" fillId="0" borderId="111" xfId="2" applyNumberFormat="1" applyFont="1" applyBorder="1" applyAlignment="1" applyProtection="1">
      <alignment horizontal="right" vertical="center"/>
      <protection hidden="1"/>
    </xf>
    <xf numFmtId="169" fontId="11" fillId="0" borderId="103" xfId="2" applyNumberFormat="1" applyFont="1" applyBorder="1" applyAlignment="1" applyProtection="1">
      <alignment horizontal="right" vertical="center"/>
      <protection hidden="1"/>
    </xf>
    <xf numFmtId="169" fontId="11" fillId="0" borderId="110" xfId="2" applyNumberFormat="1" applyFont="1" applyBorder="1" applyAlignment="1" applyProtection="1">
      <alignment horizontal="right" vertical="center"/>
      <protection hidden="1"/>
    </xf>
    <xf numFmtId="169" fontId="11" fillId="0" borderId="108" xfId="2" applyNumberFormat="1" applyFont="1" applyBorder="1" applyAlignment="1" applyProtection="1">
      <alignment horizontal="right" vertical="center"/>
      <protection hidden="1"/>
    </xf>
    <xf numFmtId="169" fontId="11" fillId="0" borderId="111" xfId="2" applyNumberFormat="1" applyFont="1" applyBorder="1" applyAlignment="1" applyProtection="1">
      <alignment horizontal="right" vertical="center"/>
      <protection hidden="1"/>
    </xf>
    <xf numFmtId="10" fontId="11" fillId="0" borderId="103" xfId="3" applyNumberFormat="1" applyFont="1" applyFill="1" applyBorder="1" applyAlignment="1" applyProtection="1">
      <alignment horizontal="right" vertical="center"/>
      <protection hidden="1"/>
    </xf>
    <xf numFmtId="10" fontId="11" fillId="0" borderId="110" xfId="3" applyNumberFormat="1" applyFont="1" applyFill="1" applyBorder="1" applyAlignment="1" applyProtection="1">
      <alignment horizontal="right" vertical="center"/>
      <protection hidden="1"/>
    </xf>
    <xf numFmtId="167" fontId="11" fillId="0" borderId="108" xfId="2" applyNumberFormat="1" applyFont="1" applyFill="1" applyBorder="1" applyAlignment="1" applyProtection="1">
      <alignment horizontal="right" vertical="center"/>
      <protection hidden="1"/>
    </xf>
    <xf numFmtId="167" fontId="11" fillId="0" borderId="111" xfId="2" applyNumberFormat="1" applyFont="1" applyFill="1" applyBorder="1" applyAlignment="1" applyProtection="1">
      <alignment horizontal="right" vertical="center"/>
      <protection hidden="1"/>
    </xf>
    <xf numFmtId="14" fontId="11" fillId="0" borderId="108" xfId="2" applyNumberFormat="1" applyFont="1" applyFill="1" applyBorder="1" applyAlignment="1" applyProtection="1">
      <alignment horizontal="right" vertical="center"/>
      <protection hidden="1"/>
    </xf>
    <xf numFmtId="10" fontId="11" fillId="0" borderId="108" xfId="2" applyNumberFormat="1" applyFont="1" applyFill="1" applyBorder="1" applyAlignment="1" applyProtection="1">
      <alignment horizontal="right" vertical="center"/>
      <protection hidden="1"/>
    </xf>
    <xf numFmtId="10" fontId="11" fillId="0" borderId="111" xfId="2" applyNumberFormat="1" applyFont="1" applyFill="1" applyBorder="1" applyAlignment="1" applyProtection="1">
      <alignment horizontal="right" vertical="center"/>
      <protection hidden="1"/>
    </xf>
    <xf numFmtId="167" fontId="11" fillId="18" borderId="106" xfId="2" applyNumberFormat="1" applyFont="1" applyFill="1" applyBorder="1" applyAlignment="1" applyProtection="1">
      <alignment vertical="center"/>
      <protection locked="0"/>
    </xf>
    <xf numFmtId="14" fontId="11" fillId="0" borderId="108" xfId="2" applyNumberFormat="1" applyFont="1" applyFill="1" applyBorder="1" applyAlignment="1" applyProtection="1">
      <alignment vertical="center"/>
      <protection hidden="1"/>
    </xf>
    <xf numFmtId="167" fontId="11" fillId="0" borderId="111" xfId="2" applyNumberFormat="1" applyFont="1" applyFill="1" applyBorder="1" applyAlignment="1" applyProtection="1">
      <alignment vertical="center"/>
      <protection hidden="1"/>
    </xf>
    <xf numFmtId="167" fontId="11" fillId="0" borderId="106" xfId="2" applyNumberFormat="1" applyFont="1" applyFill="1" applyBorder="1" applyAlignment="1" applyProtection="1">
      <alignment vertical="center"/>
      <protection hidden="1"/>
    </xf>
    <xf numFmtId="167" fontId="11" fillId="0" borderId="108" xfId="2" applyNumberFormat="1" applyFont="1" applyFill="1" applyBorder="1" applyAlignment="1" applyProtection="1">
      <alignment vertical="center"/>
      <protection hidden="1"/>
    </xf>
    <xf numFmtId="167" fontId="9" fillId="0" borderId="111" xfId="2" applyNumberFormat="1" applyFont="1" applyFill="1" applyBorder="1" applyAlignment="1" applyProtection="1">
      <alignment vertical="center"/>
      <protection hidden="1"/>
    </xf>
    <xf numFmtId="167" fontId="11" fillId="0" borderId="106" xfId="2" applyNumberFormat="1" applyFont="1" applyFill="1" applyBorder="1" applyAlignment="1" applyProtection="1">
      <alignment horizontal="right" vertical="center"/>
      <protection hidden="1"/>
    </xf>
    <xf numFmtId="167" fontId="9" fillId="0" borderId="111" xfId="2" applyNumberFormat="1" applyFont="1" applyFill="1" applyBorder="1" applyAlignment="1" applyProtection="1">
      <alignment horizontal="right" vertical="center"/>
      <protection hidden="1"/>
    </xf>
    <xf numFmtId="10" fontId="11" fillId="0" borderId="108" xfId="2" applyNumberFormat="1" applyFont="1" applyFill="1" applyBorder="1" applyAlignment="1" applyProtection="1">
      <alignment vertical="center"/>
      <protection hidden="1"/>
    </xf>
    <xf numFmtId="10" fontId="11" fillId="0" borderId="111" xfId="2" applyNumberFormat="1" applyFont="1" applyFill="1" applyBorder="1" applyAlignment="1" applyProtection="1">
      <alignment vertical="center"/>
      <protection hidden="1"/>
    </xf>
    <xf numFmtId="0" fontId="1" fillId="0" borderId="121" xfId="4" applyBorder="1"/>
    <xf numFmtId="0" fontId="18" fillId="0" borderId="0" xfId="0" applyFont="1" applyFill="1" applyBorder="1" applyAlignment="1" applyProtection="1">
      <alignment horizontal="left" vertical="justify"/>
      <protection hidden="1"/>
    </xf>
    <xf numFmtId="0" fontId="18" fillId="0" borderId="0" xfId="0" applyFont="1" applyFill="1" applyBorder="1" applyAlignment="1" applyProtection="1">
      <alignment vertical="center" wrapText="1"/>
      <protection hidden="1"/>
    </xf>
    <xf numFmtId="164" fontId="12" fillId="0" borderId="0" xfId="2" applyFont="1" applyBorder="1" applyAlignment="1" applyProtection="1">
      <alignment vertical="center" wrapText="1"/>
      <protection hidden="1"/>
    </xf>
    <xf numFmtId="164" fontId="12" fillId="0" borderId="0" xfId="2" applyFont="1" applyBorder="1" applyAlignment="1" applyProtection="1">
      <alignment horizontal="justify" vertical="center" wrapText="1"/>
      <protection hidden="1"/>
    </xf>
    <xf numFmtId="164" fontId="9" fillId="19" borderId="114" xfId="2" applyFont="1" applyFill="1" applyBorder="1" applyAlignment="1" applyProtection="1">
      <alignment horizontal="center" vertical="center"/>
      <protection hidden="1"/>
    </xf>
    <xf numFmtId="171" fontId="0" fillId="0" borderId="26" xfId="2" applyNumberFormat="1" applyFont="1" applyFill="1" applyBorder="1" applyProtection="1">
      <protection locked="0"/>
    </xf>
    <xf numFmtId="171" fontId="0" fillId="0" borderId="27" xfId="2" applyNumberFormat="1" applyFont="1" applyFill="1" applyBorder="1" applyProtection="1">
      <protection locked="0"/>
    </xf>
    <xf numFmtId="171" fontId="0" fillId="0" borderId="28" xfId="2" applyNumberFormat="1" applyFont="1" applyFill="1" applyBorder="1" applyProtection="1">
      <protection locked="0"/>
    </xf>
    <xf numFmtId="164" fontId="12" fillId="0" borderId="0" xfId="2" applyFont="1" applyBorder="1" applyAlignment="1" applyProtection="1">
      <alignment horizontal="justify" vertical="center" wrapText="1"/>
      <protection hidden="1"/>
    </xf>
    <xf numFmtId="164" fontId="9" fillId="19" borderId="114" xfId="2" applyFont="1" applyFill="1" applyBorder="1" applyAlignment="1" applyProtection="1">
      <alignment horizontal="center" vertical="center"/>
      <protection hidden="1"/>
    </xf>
    <xf numFmtId="164" fontId="12" fillId="0" borderId="0" xfId="2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9" fontId="3" fillId="0" borderId="0" xfId="0" applyNumberFormat="1" applyFont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167" fontId="11" fillId="18" borderId="117" xfId="2" applyNumberFormat="1" applyFont="1" applyFill="1" applyBorder="1" applyAlignment="1" applyProtection="1">
      <alignment horizontal="right" vertical="center"/>
      <protection locked="0" hidden="1"/>
    </xf>
    <xf numFmtId="165" fontId="11" fillId="18" borderId="120" xfId="2" applyNumberFormat="1" applyFont="1" applyFill="1" applyBorder="1" applyAlignment="1" applyProtection="1">
      <alignment horizontal="center" vertical="center"/>
      <protection locked="0" hidden="1"/>
    </xf>
    <xf numFmtId="167" fontId="11" fillId="18" borderId="106" xfId="2" applyNumberFormat="1" applyFont="1" applyFill="1" applyBorder="1" applyAlignment="1" applyProtection="1">
      <alignment horizontal="right" vertical="center"/>
      <protection locked="0" hidden="1"/>
    </xf>
    <xf numFmtId="165" fontId="11" fillId="18" borderId="111" xfId="2" applyNumberFormat="1" applyFont="1" applyFill="1" applyBorder="1" applyAlignment="1" applyProtection="1">
      <alignment horizontal="right" vertical="center"/>
      <protection locked="0" hidden="1"/>
    </xf>
    <xf numFmtId="169" fontId="11" fillId="18" borderId="106" xfId="2" applyNumberFormat="1" applyFont="1" applyFill="1" applyBorder="1" applyAlignment="1" applyProtection="1">
      <alignment horizontal="right" vertical="center"/>
      <protection locked="0" hidden="1"/>
    </xf>
    <xf numFmtId="167" fontId="11" fillId="18" borderId="114" xfId="2" applyNumberFormat="1" applyFont="1" applyFill="1" applyBorder="1" applyAlignment="1" applyProtection="1">
      <alignment horizontal="right" vertical="center"/>
      <protection locked="0" hidden="1"/>
    </xf>
    <xf numFmtId="169" fontId="11" fillId="18" borderId="114" xfId="2" applyNumberFormat="1" applyFont="1" applyFill="1" applyBorder="1" applyAlignment="1" applyProtection="1">
      <alignment horizontal="right" vertical="center"/>
      <protection locked="0" hidden="1"/>
    </xf>
    <xf numFmtId="165" fontId="11" fillId="18" borderId="108" xfId="2" applyNumberFormat="1" applyFont="1" applyFill="1" applyBorder="1" applyAlignment="1" applyProtection="1">
      <alignment horizontal="right" vertical="center"/>
      <protection locked="0" hidden="1"/>
    </xf>
    <xf numFmtId="14" fontId="11" fillId="18" borderId="108" xfId="2" applyNumberFormat="1" applyFont="1" applyFill="1" applyBorder="1" applyAlignment="1" applyProtection="1">
      <alignment horizontal="right" vertical="center"/>
      <protection locked="0" hidden="1"/>
    </xf>
    <xf numFmtId="0" fontId="0" fillId="0" borderId="0" xfId="0" applyProtection="1"/>
    <xf numFmtId="165" fontId="11" fillId="18" borderId="108" xfId="2" applyNumberFormat="1" applyFont="1" applyFill="1" applyBorder="1" applyAlignment="1" applyProtection="1">
      <alignment vertical="center"/>
      <protection locked="0" hidden="1"/>
    </xf>
    <xf numFmtId="0" fontId="0" fillId="0" borderId="0" xfId="0" applyAlignment="1" applyProtection="1">
      <alignment horizontal="left" indent="1"/>
      <protection hidden="1"/>
    </xf>
    <xf numFmtId="167" fontId="11" fillId="18" borderId="106" xfId="2" applyNumberFormat="1" applyFont="1" applyFill="1" applyBorder="1" applyAlignment="1" applyProtection="1">
      <alignment vertical="center"/>
      <protection locked="0" hidden="1"/>
    </xf>
    <xf numFmtId="167" fontId="9" fillId="18" borderId="106" xfId="2" applyNumberFormat="1" applyFont="1" applyFill="1" applyBorder="1" applyAlignment="1" applyProtection="1">
      <alignment vertical="center"/>
      <protection locked="0" hidden="1"/>
    </xf>
    <xf numFmtId="14" fontId="11" fillId="18" borderId="108" xfId="2" applyNumberFormat="1" applyFont="1" applyFill="1" applyBorder="1" applyAlignment="1" applyProtection="1">
      <alignment vertical="center"/>
      <protection locked="0" hidden="1"/>
    </xf>
    <xf numFmtId="14" fontId="11" fillId="18" borderId="106" xfId="2" applyNumberFormat="1" applyFont="1" applyFill="1" applyBorder="1" applyAlignment="1" applyProtection="1">
      <alignment vertical="center"/>
      <protection locked="0" hidden="1"/>
    </xf>
    <xf numFmtId="167" fontId="11" fillId="18" borderId="111" xfId="2" applyNumberFormat="1" applyFont="1" applyFill="1" applyBorder="1" applyAlignment="1" applyProtection="1">
      <alignment vertical="center"/>
      <protection locked="0" hidden="1"/>
    </xf>
    <xf numFmtId="164" fontId="12" fillId="0" borderId="0" xfId="2" applyFont="1" applyBorder="1" applyAlignment="1" applyProtection="1">
      <alignment horizontal="justify" vertical="center" wrapText="1"/>
      <protection hidden="1"/>
    </xf>
    <xf numFmtId="164" fontId="21" fillId="21" borderId="0" xfId="2" applyFont="1" applyFill="1" applyBorder="1" applyAlignment="1" applyProtection="1">
      <alignment horizontal="left" vertical="center" wrapText="1"/>
      <protection hidden="1"/>
    </xf>
    <xf numFmtId="10" fontId="11" fillId="0" borderId="115" xfId="3" applyNumberFormat="1" applyFont="1" applyFill="1" applyBorder="1" applyAlignment="1" applyProtection="1">
      <alignment horizontal="left" vertical="center"/>
      <protection hidden="1"/>
    </xf>
    <xf numFmtId="10" fontId="11" fillId="0" borderId="116" xfId="3" applyNumberFormat="1" applyFont="1" applyFill="1" applyBorder="1" applyAlignment="1" applyProtection="1">
      <alignment horizontal="left" vertical="center"/>
      <protection hidden="1"/>
    </xf>
    <xf numFmtId="10" fontId="9" fillId="0" borderId="112" xfId="3" applyNumberFormat="1" applyFont="1" applyFill="1" applyBorder="1" applyAlignment="1" applyProtection="1">
      <alignment horizontal="center" vertical="center"/>
      <protection hidden="1"/>
    </xf>
    <xf numFmtId="10" fontId="9" fillId="0" borderId="113" xfId="3" applyNumberFormat="1" applyFont="1" applyFill="1" applyBorder="1" applyAlignment="1" applyProtection="1">
      <alignment horizontal="center" vertical="center"/>
      <protection hidden="1"/>
    </xf>
    <xf numFmtId="10" fontId="11" fillId="0" borderId="118" xfId="3" applyNumberFormat="1" applyFont="1" applyFill="1" applyBorder="1" applyAlignment="1" applyProtection="1">
      <alignment horizontal="left" vertical="center"/>
      <protection hidden="1"/>
    </xf>
    <xf numFmtId="10" fontId="11" fillId="0" borderId="119" xfId="3" applyNumberFormat="1" applyFont="1" applyFill="1" applyBorder="1" applyAlignment="1" applyProtection="1">
      <alignment horizontal="left" vertical="center"/>
      <protection hidden="1"/>
    </xf>
    <xf numFmtId="10" fontId="11" fillId="0" borderId="104" xfId="3" applyNumberFormat="1" applyFont="1" applyFill="1" applyBorder="1" applyAlignment="1" applyProtection="1">
      <alignment horizontal="left" vertical="center"/>
      <protection hidden="1"/>
    </xf>
    <xf numFmtId="10" fontId="11" fillId="0" borderId="105" xfId="3" applyNumberFormat="1" applyFont="1" applyFill="1" applyBorder="1" applyAlignment="1" applyProtection="1">
      <alignment horizontal="left" vertical="center"/>
      <protection hidden="1"/>
    </xf>
    <xf numFmtId="10" fontId="11" fillId="0" borderId="109" xfId="3" applyNumberFormat="1" applyFont="1" applyFill="1" applyBorder="1" applyAlignment="1" applyProtection="1">
      <alignment horizontal="left" vertical="center"/>
      <protection hidden="1"/>
    </xf>
    <xf numFmtId="10" fontId="11" fillId="0" borderId="110" xfId="3" applyNumberFormat="1" applyFont="1" applyFill="1" applyBorder="1" applyAlignment="1" applyProtection="1">
      <alignment horizontal="left" vertical="center"/>
      <protection hidden="1"/>
    </xf>
    <xf numFmtId="164" fontId="9" fillId="19" borderId="113" xfId="2" applyFont="1" applyFill="1" applyBorder="1" applyAlignment="1" applyProtection="1">
      <alignment horizontal="center" vertical="center"/>
      <protection hidden="1"/>
    </xf>
    <xf numFmtId="164" fontId="9" fillId="19" borderId="114" xfId="2" applyFont="1" applyFill="1" applyBorder="1" applyAlignment="1" applyProtection="1">
      <alignment horizontal="center" vertical="center"/>
      <protection hidden="1"/>
    </xf>
    <xf numFmtId="10" fontId="11" fillId="0" borderId="104" xfId="3" applyNumberFormat="1" applyFont="1" applyFill="1" applyBorder="1" applyAlignment="1" applyProtection="1">
      <alignment vertical="center"/>
      <protection hidden="1"/>
    </xf>
    <xf numFmtId="10" fontId="11" fillId="0" borderId="105" xfId="3" applyNumberFormat="1" applyFont="1" applyFill="1" applyBorder="1" applyAlignment="1" applyProtection="1">
      <alignment vertical="center"/>
      <protection hidden="1"/>
    </xf>
    <xf numFmtId="10" fontId="11" fillId="0" borderId="109" xfId="3" applyNumberFormat="1" applyFont="1" applyFill="1" applyBorder="1" applyAlignment="1" applyProtection="1">
      <alignment vertical="center"/>
      <protection hidden="1"/>
    </xf>
    <xf numFmtId="10" fontId="11" fillId="0" borderId="110" xfId="3" applyNumberFormat="1" applyFont="1" applyFill="1" applyBorder="1" applyAlignment="1" applyProtection="1">
      <alignment vertical="center"/>
      <protection hidden="1"/>
    </xf>
    <xf numFmtId="10" fontId="11" fillId="0" borderId="112" xfId="3" applyNumberFormat="1" applyFont="1" applyFill="1" applyBorder="1" applyAlignment="1" applyProtection="1">
      <alignment horizontal="left" vertical="center"/>
      <protection hidden="1"/>
    </xf>
    <xf numFmtId="10" fontId="11" fillId="0" borderId="113" xfId="3" applyNumberFormat="1" applyFont="1" applyFill="1" applyBorder="1" applyAlignment="1" applyProtection="1">
      <alignment horizontal="left" vertical="center"/>
      <protection hidden="1"/>
    </xf>
    <xf numFmtId="0" fontId="21" fillId="21" borderId="0" xfId="2" applyNumberFormat="1" applyFont="1" applyFill="1" applyBorder="1" applyAlignment="1" applyProtection="1">
      <alignment horizontal="left" vertical="center" wrapText="1"/>
      <protection hidden="1"/>
    </xf>
    <xf numFmtId="10" fontId="11" fillId="0" borderId="107" xfId="3" applyNumberFormat="1" applyFont="1" applyFill="1" applyBorder="1" applyAlignment="1" applyProtection="1">
      <alignment horizontal="left" vertical="center"/>
      <protection hidden="1"/>
    </xf>
    <xf numFmtId="10" fontId="11" fillId="0" borderId="103" xfId="3" applyNumberFormat="1" applyFont="1" applyFill="1" applyBorder="1" applyAlignment="1" applyProtection="1">
      <alignment horizontal="left" vertical="center"/>
      <protection hidden="1"/>
    </xf>
    <xf numFmtId="10" fontId="11" fillId="17" borderId="104" xfId="3" applyNumberFormat="1" applyFont="1" applyFill="1" applyBorder="1" applyAlignment="1" applyProtection="1">
      <alignment horizontal="left" vertical="center"/>
      <protection hidden="1"/>
    </xf>
    <xf numFmtId="10" fontId="11" fillId="17" borderId="105" xfId="3" applyNumberFormat="1" applyFont="1" applyFill="1" applyBorder="1" applyAlignment="1" applyProtection="1">
      <alignment horizontal="left" vertical="center"/>
      <protection hidden="1"/>
    </xf>
    <xf numFmtId="10" fontId="11" fillId="17" borderId="107" xfId="3" applyNumberFormat="1" applyFont="1" applyFill="1" applyBorder="1" applyAlignment="1" applyProtection="1">
      <alignment horizontal="left" vertical="center"/>
      <protection hidden="1"/>
    </xf>
    <xf numFmtId="10" fontId="11" fillId="17" borderId="103" xfId="3" applyNumberFormat="1" applyFont="1" applyFill="1" applyBorder="1" applyAlignment="1" applyProtection="1">
      <alignment horizontal="left" vertical="center"/>
      <protection hidden="1"/>
    </xf>
    <xf numFmtId="10" fontId="9" fillId="17" borderId="109" xfId="3" applyNumberFormat="1" applyFont="1" applyFill="1" applyBorder="1" applyAlignment="1" applyProtection="1">
      <alignment horizontal="left" vertical="center"/>
      <protection hidden="1"/>
    </xf>
    <xf numFmtId="10" fontId="9" fillId="17" borderId="110" xfId="3" applyNumberFormat="1" applyFont="1" applyFill="1" applyBorder="1" applyAlignment="1" applyProtection="1">
      <alignment horizontal="left" vertical="center"/>
      <protection hidden="1"/>
    </xf>
    <xf numFmtId="10" fontId="9" fillId="0" borderId="109" xfId="3" applyNumberFormat="1" applyFont="1" applyFill="1" applyBorder="1" applyAlignment="1" applyProtection="1">
      <alignment horizontal="left" vertical="center"/>
      <protection hidden="1"/>
    </xf>
    <xf numFmtId="10" fontId="9" fillId="0" borderId="110" xfId="3" applyNumberFormat="1" applyFont="1" applyFill="1" applyBorder="1" applyAlignment="1" applyProtection="1">
      <alignment horizontal="left" vertical="center"/>
      <protection hidden="1"/>
    </xf>
    <xf numFmtId="164" fontId="12" fillId="0" borderId="0" xfId="2" applyFont="1" applyBorder="1" applyAlignment="1" applyProtection="1">
      <alignment horizontal="left" vertical="center" wrapText="1"/>
      <protection hidden="1"/>
    </xf>
    <xf numFmtId="164" fontId="12" fillId="0" borderId="0" xfId="2" applyFont="1" applyBorder="1" applyAlignment="1" applyProtection="1">
      <alignment horizontal="left" vertical="center"/>
      <protection hidden="1"/>
    </xf>
    <xf numFmtId="0" fontId="19" fillId="20" borderId="0" xfId="1" applyFont="1" applyFill="1" applyBorder="1" applyAlignment="1" applyProtection="1">
      <alignment horizontal="center" vertical="center" wrapText="1"/>
      <protection hidden="1"/>
    </xf>
    <xf numFmtId="164" fontId="0" fillId="4" borderId="72" xfId="2" applyFont="1" applyFill="1" applyBorder="1" applyAlignment="1" applyProtection="1">
      <alignment horizontal="left" vertical="top" wrapText="1"/>
      <protection hidden="1"/>
    </xf>
    <xf numFmtId="164" fontId="0" fillId="4" borderId="73" xfId="2" applyFont="1" applyFill="1" applyBorder="1" applyAlignment="1" applyProtection="1">
      <alignment horizontal="left" vertical="top" wrapText="1"/>
      <protection hidden="1"/>
    </xf>
    <xf numFmtId="0" fontId="0" fillId="0" borderId="90" xfId="2" applyNumberFormat="1" applyFont="1" applyFill="1" applyBorder="1" applyAlignment="1" applyProtection="1">
      <alignment horizontal="center" vertical="top" wrapText="1"/>
      <protection locked="0"/>
    </xf>
    <xf numFmtId="0" fontId="0" fillId="0" borderId="91" xfId="2" applyNumberFormat="1" applyFont="1" applyFill="1" applyBorder="1" applyAlignment="1" applyProtection="1">
      <alignment horizontal="center" vertical="top" wrapText="1"/>
      <protection locked="0"/>
    </xf>
    <xf numFmtId="0" fontId="0" fillId="0" borderId="92" xfId="2" applyNumberFormat="1" applyFont="1" applyFill="1" applyBorder="1" applyAlignment="1" applyProtection="1">
      <alignment horizontal="center" vertical="top" wrapText="1"/>
      <protection locked="0"/>
    </xf>
    <xf numFmtId="0" fontId="0" fillId="0" borderId="100" xfId="2" applyNumberFormat="1" applyFont="1" applyFill="1" applyBorder="1" applyAlignment="1" applyProtection="1">
      <alignment horizontal="center" vertical="top" wrapText="1"/>
      <protection locked="0"/>
    </xf>
    <xf numFmtId="0" fontId="0" fillId="0" borderId="101" xfId="2" applyNumberFormat="1" applyFont="1" applyFill="1" applyBorder="1" applyAlignment="1" applyProtection="1">
      <alignment horizontal="center" vertical="top" wrapText="1"/>
      <protection locked="0"/>
    </xf>
    <xf numFmtId="0" fontId="0" fillId="0" borderId="102" xfId="2" applyNumberFormat="1" applyFont="1" applyFill="1" applyBorder="1" applyAlignment="1" applyProtection="1">
      <alignment horizontal="center" vertical="top" wrapText="1"/>
      <protection locked="0"/>
    </xf>
    <xf numFmtId="0" fontId="4" fillId="13" borderId="12" xfId="1" applyFont="1" applyFill="1" applyBorder="1" applyAlignment="1" applyProtection="1">
      <alignment horizontal="left"/>
      <protection hidden="1"/>
    </xf>
    <xf numFmtId="0" fontId="4" fillId="13" borderId="14" xfId="1" applyFont="1" applyFill="1" applyBorder="1" applyAlignment="1" applyProtection="1">
      <alignment horizontal="left"/>
      <protection hidden="1"/>
    </xf>
    <xf numFmtId="0" fontId="4" fillId="15" borderId="66" xfId="1" applyFont="1" applyFill="1" applyBorder="1" applyAlignment="1" applyProtection="1">
      <alignment horizontal="left"/>
      <protection hidden="1"/>
    </xf>
    <xf numFmtId="0" fontId="4" fillId="15" borderId="67" xfId="1" applyFont="1" applyFill="1" applyBorder="1" applyAlignment="1" applyProtection="1">
      <alignment horizontal="left"/>
      <protection hidden="1"/>
    </xf>
    <xf numFmtId="165" fontId="5" fillId="7" borderId="72" xfId="2" applyNumberFormat="1" applyFont="1" applyFill="1" applyBorder="1" applyAlignment="1" applyProtection="1">
      <alignment horizontal="center"/>
      <protection hidden="1"/>
    </xf>
    <xf numFmtId="165" fontId="5" fillId="7" borderId="73" xfId="2" applyNumberFormat="1" applyFont="1" applyFill="1" applyBorder="1" applyAlignment="1" applyProtection="1">
      <alignment horizontal="center"/>
      <protection hidden="1"/>
    </xf>
    <xf numFmtId="0" fontId="5" fillId="8" borderId="80" xfId="1" applyFont="1" applyFill="1" applyBorder="1" applyAlignment="1" applyProtection="1">
      <alignment horizontal="left"/>
      <protection hidden="1"/>
    </xf>
    <xf numFmtId="0" fontId="5" fillId="8" borderId="84" xfId="1" applyFont="1" applyFill="1" applyBorder="1" applyAlignment="1" applyProtection="1">
      <alignment horizontal="left"/>
      <protection hidden="1"/>
    </xf>
    <xf numFmtId="0" fontId="5" fillId="0" borderId="34" xfId="1" applyFont="1" applyFill="1" applyBorder="1" applyAlignment="1" applyProtection="1">
      <alignment horizontal="left" vertical="top" wrapText="1"/>
      <protection locked="0"/>
    </xf>
    <xf numFmtId="0" fontId="5" fillId="0" borderId="35" xfId="1" applyFont="1" applyFill="1" applyBorder="1" applyAlignment="1" applyProtection="1">
      <alignment horizontal="left" vertical="top" wrapText="1"/>
      <protection locked="0"/>
    </xf>
    <xf numFmtId="0" fontId="5" fillId="0" borderId="36" xfId="1" applyFont="1" applyFill="1" applyBorder="1" applyAlignment="1" applyProtection="1">
      <alignment horizontal="left" vertical="top" wrapText="1"/>
      <protection locked="0"/>
    </xf>
    <xf numFmtId="0" fontId="5" fillId="0" borderId="37" xfId="1" applyFont="1" applyFill="1" applyBorder="1" applyAlignment="1" applyProtection="1">
      <alignment horizontal="left" vertical="top" wrapText="1"/>
      <protection locked="0"/>
    </xf>
    <xf numFmtId="0" fontId="5" fillId="0" borderId="38" xfId="1" applyFont="1" applyFill="1" applyBorder="1" applyAlignment="1" applyProtection="1">
      <alignment horizontal="left" vertical="top" wrapText="1"/>
      <protection locked="0"/>
    </xf>
    <xf numFmtId="0" fontId="5" fillId="0" borderId="30" xfId="1" applyFont="1" applyFill="1" applyBorder="1" applyAlignment="1" applyProtection="1">
      <alignment horizontal="left" vertical="top" wrapText="1"/>
      <protection locked="0"/>
    </xf>
    <xf numFmtId="0" fontId="0" fillId="0" borderId="52" xfId="2" applyNumberFormat="1" applyFont="1" applyFill="1" applyBorder="1" applyAlignment="1" applyProtection="1">
      <alignment horizontal="left" vertical="top" wrapText="1"/>
      <protection locked="0"/>
    </xf>
    <xf numFmtId="0" fontId="0" fillId="0" borderId="51" xfId="2" applyNumberFormat="1" applyFont="1" applyFill="1" applyBorder="1" applyAlignment="1" applyProtection="1">
      <alignment horizontal="left" vertical="top" wrapText="1"/>
      <protection locked="0"/>
    </xf>
    <xf numFmtId="0" fontId="0" fillId="0" borderId="54" xfId="2" applyNumberFormat="1" applyFont="1" applyFill="1" applyBorder="1" applyAlignment="1" applyProtection="1">
      <alignment horizontal="left" vertical="top" wrapText="1"/>
      <protection locked="0"/>
    </xf>
    <xf numFmtId="0" fontId="0" fillId="0" borderId="55" xfId="2" applyNumberFormat="1" applyFont="1" applyFill="1" applyBorder="1" applyAlignment="1" applyProtection="1">
      <alignment horizontal="left" vertical="top" wrapText="1"/>
      <protection locked="0"/>
    </xf>
    <xf numFmtId="0" fontId="0" fillId="0" borderId="56" xfId="2" applyNumberFormat="1" applyFont="1" applyFill="1" applyBorder="1" applyAlignment="1" applyProtection="1">
      <alignment horizontal="left" vertical="top" wrapText="1"/>
      <protection locked="0"/>
    </xf>
    <xf numFmtId="0" fontId="0" fillId="0" borderId="57" xfId="2" applyNumberFormat="1" applyFont="1" applyFill="1" applyBorder="1" applyAlignment="1" applyProtection="1">
      <alignment horizontal="left" vertical="top" wrapText="1"/>
      <protection locked="0"/>
    </xf>
    <xf numFmtId="0" fontId="5" fillId="8" borderId="78" xfId="1" applyFont="1" applyFill="1" applyBorder="1" applyAlignment="1" applyProtection="1">
      <alignment horizontal="center" wrapText="1"/>
      <protection hidden="1"/>
    </xf>
    <xf numFmtId="0" fontId="5" fillId="8" borderId="79" xfId="1" applyFont="1" applyFill="1" applyBorder="1" applyAlignment="1" applyProtection="1">
      <alignment horizontal="center" wrapText="1"/>
      <protection hidden="1"/>
    </xf>
    <xf numFmtId="0" fontId="0" fillId="0" borderId="58" xfId="2" applyNumberFormat="1" applyFont="1" applyFill="1" applyBorder="1" applyAlignment="1" applyProtection="1">
      <alignment horizontal="left" vertical="top" wrapText="1"/>
      <protection locked="0"/>
    </xf>
    <xf numFmtId="0" fontId="0" fillId="0" borderId="59" xfId="2" applyNumberFormat="1" applyFont="1" applyFill="1" applyBorder="1" applyAlignment="1" applyProtection="1">
      <alignment horizontal="left" vertical="top" wrapText="1"/>
      <protection locked="0"/>
    </xf>
    <xf numFmtId="0" fontId="0" fillId="0" borderId="60" xfId="2" applyNumberFormat="1" applyFont="1" applyFill="1" applyBorder="1" applyAlignment="1" applyProtection="1">
      <alignment horizontal="left" vertical="top" wrapText="1"/>
      <protection locked="0"/>
    </xf>
    <xf numFmtId="0" fontId="5" fillId="13" borderId="9" xfId="1" applyFont="1" applyFill="1" applyBorder="1" applyAlignment="1" applyProtection="1">
      <alignment horizontal="left"/>
      <protection hidden="1"/>
    </xf>
    <xf numFmtId="0" fontId="5" fillId="13" borderId="10" xfId="1" applyFont="1" applyFill="1" applyBorder="1" applyAlignment="1" applyProtection="1">
      <alignment horizontal="left"/>
      <protection hidden="1"/>
    </xf>
    <xf numFmtId="0" fontId="5" fillId="13" borderId="11" xfId="1" applyFont="1" applyFill="1" applyBorder="1" applyAlignment="1" applyProtection="1">
      <alignment horizontal="left"/>
      <protection hidden="1"/>
    </xf>
    <xf numFmtId="0" fontId="5" fillId="0" borderId="33" xfId="1" applyFont="1" applyFill="1" applyBorder="1" applyAlignment="1" applyProtection="1">
      <alignment horizontal="left" vertical="top" wrapText="1"/>
      <protection locked="0"/>
    </xf>
    <xf numFmtId="0" fontId="5" fillId="0" borderId="31" xfId="1" applyFont="1" applyFill="1" applyBorder="1" applyAlignment="1" applyProtection="1">
      <alignment horizontal="left" vertical="top" wrapText="1"/>
      <protection locked="0"/>
    </xf>
    <xf numFmtId="0" fontId="5" fillId="0" borderId="29" xfId="1" applyFont="1" applyFill="1" applyBorder="1" applyAlignment="1" applyProtection="1">
      <alignment horizontal="left" vertical="top" wrapText="1"/>
      <protection locked="0"/>
    </xf>
    <xf numFmtId="164" fontId="0" fillId="0" borderId="93" xfId="2" applyFont="1" applyFill="1" applyBorder="1" applyAlignment="1" applyProtection="1">
      <alignment horizontal="left" vertical="top" wrapText="1"/>
      <protection locked="0"/>
    </xf>
    <xf numFmtId="164" fontId="0" fillId="0" borderId="94" xfId="2" applyFont="1" applyFill="1" applyBorder="1" applyAlignment="1" applyProtection="1">
      <alignment horizontal="left" vertical="top" wrapText="1"/>
      <protection locked="0"/>
    </xf>
    <xf numFmtId="164" fontId="0" fillId="0" borderId="95" xfId="2" applyFont="1" applyFill="1" applyBorder="1" applyAlignment="1" applyProtection="1">
      <alignment horizontal="left" vertical="top" wrapText="1"/>
      <protection locked="0"/>
    </xf>
    <xf numFmtId="0" fontId="4" fillId="13" borderId="39" xfId="1" applyFont="1" applyFill="1" applyBorder="1" applyAlignment="1" applyProtection="1">
      <alignment horizontal="center" wrapText="1"/>
      <protection hidden="1"/>
    </xf>
    <xf numFmtId="0" fontId="4" fillId="13" borderId="40" xfId="1" applyFont="1" applyFill="1" applyBorder="1" applyAlignment="1" applyProtection="1">
      <alignment horizontal="center" wrapText="1"/>
      <protection hidden="1"/>
    </xf>
    <xf numFmtId="0" fontId="4" fillId="14" borderId="61" xfId="1" applyFont="1" applyFill="1" applyBorder="1" applyAlignment="1" applyProtection="1">
      <alignment horizontal="left" vertical="top" wrapText="1"/>
      <protection hidden="1"/>
    </xf>
    <xf numFmtId="0" fontId="4" fillId="14" borderId="62" xfId="1" applyFont="1" applyFill="1" applyBorder="1" applyAlignment="1" applyProtection="1">
      <alignment horizontal="left" vertical="top" wrapText="1"/>
      <protection hidden="1"/>
    </xf>
    <xf numFmtId="164" fontId="0" fillId="0" borderId="58" xfId="2" applyFont="1" applyFill="1" applyBorder="1" applyAlignment="1" applyProtection="1">
      <alignment horizontal="left" vertical="top" wrapText="1"/>
      <protection locked="0"/>
    </xf>
    <xf numFmtId="164" fontId="0" fillId="0" borderId="59" xfId="2" applyFont="1" applyFill="1" applyBorder="1" applyAlignment="1" applyProtection="1">
      <alignment horizontal="left" vertical="top" wrapText="1"/>
      <protection locked="0"/>
    </xf>
    <xf numFmtId="164" fontId="0" fillId="0" borderId="60" xfId="2" applyFont="1" applyFill="1" applyBorder="1" applyAlignment="1" applyProtection="1">
      <alignment horizontal="left" vertical="top" wrapText="1"/>
      <protection locked="0"/>
    </xf>
    <xf numFmtId="164" fontId="0" fillId="0" borderId="52" xfId="2" applyFont="1" applyFill="1" applyBorder="1" applyAlignment="1" applyProtection="1">
      <alignment horizontal="left" vertical="top" wrapText="1"/>
      <protection locked="0"/>
    </xf>
    <xf numFmtId="164" fontId="0" fillId="0" borderId="51" xfId="2" applyFont="1" applyFill="1" applyBorder="1" applyAlignment="1" applyProtection="1">
      <alignment horizontal="left" vertical="top" wrapText="1"/>
      <protection locked="0"/>
    </xf>
    <xf numFmtId="164" fontId="0" fillId="0" borderId="54" xfId="2" applyFont="1" applyFill="1" applyBorder="1" applyAlignment="1" applyProtection="1">
      <alignment horizontal="left" vertical="top" wrapText="1"/>
      <protection locked="0"/>
    </xf>
    <xf numFmtId="164" fontId="0" fillId="0" borderId="55" xfId="2" applyFont="1" applyFill="1" applyBorder="1" applyAlignment="1" applyProtection="1">
      <alignment horizontal="left" vertical="top" wrapText="1"/>
      <protection locked="0"/>
    </xf>
    <xf numFmtId="164" fontId="0" fillId="0" borderId="56" xfId="2" applyFont="1" applyFill="1" applyBorder="1" applyAlignment="1" applyProtection="1">
      <alignment horizontal="left" vertical="top" wrapText="1"/>
      <protection locked="0"/>
    </xf>
    <xf numFmtId="164" fontId="0" fillId="0" borderId="57" xfId="2" applyFont="1" applyFill="1" applyBorder="1" applyAlignment="1" applyProtection="1">
      <alignment horizontal="left" vertical="top" wrapText="1"/>
      <protection locked="0"/>
    </xf>
    <xf numFmtId="0" fontId="4" fillId="14" borderId="12" xfId="1" applyFont="1" applyFill="1" applyBorder="1" applyAlignment="1" applyProtection="1">
      <alignment horizontal="left"/>
      <protection hidden="1"/>
    </xf>
    <xf numFmtId="0" fontId="4" fillId="14" borderId="14" xfId="1" applyFont="1" applyFill="1" applyBorder="1" applyAlignment="1" applyProtection="1">
      <alignment horizontal="left"/>
      <protection hidden="1"/>
    </xf>
    <xf numFmtId="0" fontId="4" fillId="14" borderId="39" xfId="1" applyFont="1" applyFill="1" applyBorder="1" applyAlignment="1" applyProtection="1">
      <alignment horizontal="center" wrapText="1"/>
      <protection hidden="1"/>
    </xf>
    <xf numFmtId="0" fontId="4" fillId="14" borderId="40" xfId="1" applyFont="1" applyFill="1" applyBorder="1" applyAlignment="1" applyProtection="1">
      <alignment horizontal="center" wrapText="1"/>
      <protection hidden="1"/>
    </xf>
    <xf numFmtId="0" fontId="4" fillId="8" borderId="61" xfId="1" applyFont="1" applyFill="1" applyBorder="1" applyAlignment="1" applyProtection="1">
      <alignment horizontal="left" vertical="top" wrapText="1"/>
      <protection hidden="1"/>
    </xf>
    <xf numFmtId="0" fontId="4" fillId="8" borderId="62" xfId="1" applyFont="1" applyFill="1" applyBorder="1" applyAlignment="1" applyProtection="1">
      <alignment horizontal="left" vertical="top" wrapText="1"/>
      <protection hidden="1"/>
    </xf>
    <xf numFmtId="164" fontId="0" fillId="0" borderId="90" xfId="2" applyFont="1" applyFill="1" applyBorder="1" applyAlignment="1" applyProtection="1">
      <alignment horizontal="left" vertical="top" wrapText="1"/>
      <protection locked="0"/>
    </xf>
    <xf numFmtId="164" fontId="0" fillId="0" borderId="91" xfId="2" applyFont="1" applyFill="1" applyBorder="1" applyAlignment="1" applyProtection="1">
      <alignment horizontal="left" vertical="top" wrapText="1"/>
      <protection locked="0"/>
    </xf>
    <xf numFmtId="164" fontId="0" fillId="0" borderId="92" xfId="2" applyFont="1" applyFill="1" applyBorder="1" applyAlignment="1" applyProtection="1">
      <alignment horizontal="left" vertical="top" wrapText="1"/>
      <protection locked="0"/>
    </xf>
    <xf numFmtId="164" fontId="0" fillId="4" borderId="96" xfId="2" applyFont="1" applyFill="1" applyBorder="1" applyAlignment="1" applyProtection="1">
      <alignment horizontal="left" vertical="top" wrapText="1"/>
      <protection hidden="1"/>
    </xf>
    <xf numFmtId="164" fontId="0" fillId="0" borderId="97" xfId="2" applyFont="1" applyFill="1" applyBorder="1" applyAlignment="1" applyProtection="1">
      <alignment horizontal="left" vertical="top" wrapText="1"/>
      <protection locked="0"/>
    </xf>
    <xf numFmtId="164" fontId="0" fillId="0" borderId="98" xfId="2" applyFont="1" applyFill="1" applyBorder="1" applyAlignment="1" applyProtection="1">
      <alignment horizontal="left" vertical="top" wrapText="1"/>
      <protection locked="0"/>
    </xf>
    <xf numFmtId="164" fontId="0" fillId="0" borderId="99" xfId="2" applyFont="1" applyFill="1" applyBorder="1" applyAlignment="1" applyProtection="1">
      <alignment horizontal="left" vertical="top" wrapText="1"/>
      <protection locked="0"/>
    </xf>
  </cellXfs>
  <cellStyles count="8">
    <cellStyle name="20% - Énfasis3" xfId="1" builtinId="38"/>
    <cellStyle name="20% - Énfasis3 2" xfId="5"/>
    <cellStyle name="Millares" xfId="2" builtinId="3"/>
    <cellStyle name="Millares 2" xfId="6"/>
    <cellStyle name="Normal" xfId="0" builtinId="0" customBuiltin="1"/>
    <cellStyle name="Normal 2" xfId="4"/>
    <cellStyle name="Porcentaje" xfId="3" builtinId="5"/>
    <cellStyle name="Porcentaje 2" xfId="7"/>
  </cellStyles>
  <dxfs count="0"/>
  <tableStyles count="0" defaultTableStyle="TableStyleMedium9" defaultPivotStyle="PivotStyleLight16"/>
  <colors>
    <mruColors>
      <color rgb="FF675C53"/>
      <color rgb="FFFFCC00"/>
      <color rgb="FFE5E2DF"/>
      <color rgb="FFFFF3C1"/>
      <color rgb="FFB6ACA4"/>
      <color rgb="FFFFFFCC"/>
      <color rgb="FF98BD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56503</xdr:colOff>
      <xdr:row>6</xdr:row>
      <xdr:rowOff>22373</xdr:rowOff>
    </xdr:from>
    <xdr:to>
      <xdr:col>24</xdr:col>
      <xdr:colOff>349346</xdr:colOff>
      <xdr:row>22</xdr:row>
      <xdr:rowOff>50933</xdr:rowOff>
    </xdr:to>
    <xdr:sp macro="" textlink="">
      <xdr:nvSpPr>
        <xdr:cNvPr id="14" name="13 Rectángulo"/>
        <xdr:cNvSpPr/>
      </xdr:nvSpPr>
      <xdr:spPr>
        <a:xfrm>
          <a:off x="2510143" y="1203473"/>
          <a:ext cx="1466323" cy="3168000"/>
        </a:xfrm>
        <a:prstGeom prst="rect">
          <a:avLst/>
        </a:prstGeom>
        <a:solidFill>
          <a:srgbClr val="FECB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21</xdr:col>
      <xdr:colOff>166477</xdr:colOff>
      <xdr:row>7</xdr:row>
      <xdr:rowOff>176431</xdr:rowOff>
    </xdr:from>
    <xdr:to>
      <xdr:col>24</xdr:col>
      <xdr:colOff>239372</xdr:colOff>
      <xdr:row>10</xdr:row>
      <xdr:rowOff>85089</xdr:rowOff>
    </xdr:to>
    <xdr:sp macro="[0]!Ahorro_Tradicional" textlink="">
      <xdr:nvSpPr>
        <xdr:cNvPr id="16" name="15 Rectángulo"/>
        <xdr:cNvSpPr/>
      </xdr:nvSpPr>
      <xdr:spPr>
        <a:xfrm>
          <a:off x="2620117" y="1548031"/>
          <a:ext cx="1246375" cy="480158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18000" rIns="36000" bIns="18000" rtlCol="0" anchor="ctr"/>
        <a:lstStyle/>
        <a:p>
          <a:pPr algn="ctr"/>
          <a:r>
            <a:rPr lang="es-ES" sz="1200" b="1">
              <a:solidFill>
                <a:sysClr val="windowText" lastClr="000000"/>
              </a:solidFill>
              <a:latin typeface="Calibri Light" panose="020F0302020204030204" pitchFamily="34" charset="0"/>
            </a:rPr>
            <a:t>Cuenta</a:t>
          </a:r>
          <a:r>
            <a:rPr lang="es-ES" sz="1200" b="1" baseline="0">
              <a:solidFill>
                <a:sysClr val="windowText" lastClr="000000"/>
              </a:solidFill>
              <a:latin typeface="Calibri Light" panose="020F0302020204030204" pitchFamily="34" charset="0"/>
            </a:rPr>
            <a:t> de </a:t>
          </a:r>
          <a:r>
            <a:rPr lang="es-ES" sz="1200" b="1">
              <a:solidFill>
                <a:sysClr val="windowText" lastClr="000000"/>
              </a:solidFill>
              <a:latin typeface="Calibri Light" panose="020F0302020204030204" pitchFamily="34" charset="0"/>
            </a:rPr>
            <a:t>Ahorros</a:t>
          </a:r>
          <a:endParaRPr lang="es-ES" sz="1050" b="1">
            <a:solidFill>
              <a:sysClr val="windowText" lastClr="000000"/>
            </a:solidFill>
            <a:latin typeface="Calibri Light" panose="020F0302020204030204" pitchFamily="34" charset="0"/>
          </a:endParaRPr>
        </a:p>
      </xdr:txBody>
    </xdr:sp>
    <xdr:clientData/>
  </xdr:twoCellAnchor>
  <xdr:twoCellAnchor>
    <xdr:from>
      <xdr:col>21</xdr:col>
      <xdr:colOff>166477</xdr:colOff>
      <xdr:row>11</xdr:row>
      <xdr:rowOff>90865</xdr:rowOff>
    </xdr:from>
    <xdr:to>
      <xdr:col>24</xdr:col>
      <xdr:colOff>239372</xdr:colOff>
      <xdr:row>13</xdr:row>
      <xdr:rowOff>190023</xdr:rowOff>
    </xdr:to>
    <xdr:sp macro="[0]!Ahorro_Europlazo" textlink="">
      <xdr:nvSpPr>
        <xdr:cNvPr id="17" name="16 Rectángulo"/>
        <xdr:cNvSpPr/>
      </xdr:nvSpPr>
      <xdr:spPr>
        <a:xfrm>
          <a:off x="2620117" y="2224465"/>
          <a:ext cx="1246375" cy="480158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18000" rIns="36000" bIns="18000" rtlCol="0" anchor="ctr"/>
        <a:lstStyle/>
        <a:p>
          <a:pPr algn="ctr"/>
          <a:r>
            <a:rPr lang="es-ES" sz="1200" b="1">
              <a:solidFill>
                <a:sysClr val="windowText" lastClr="000000"/>
              </a:solidFill>
              <a:latin typeface="Calibri Light" panose="020F0302020204030204" pitchFamily="34" charset="0"/>
            </a:rPr>
            <a:t>Ahorro Euro</a:t>
          </a:r>
        </a:p>
      </xdr:txBody>
    </xdr:sp>
    <xdr:clientData/>
  </xdr:twoCellAnchor>
  <xdr:twoCellAnchor>
    <xdr:from>
      <xdr:col>21</xdr:col>
      <xdr:colOff>166477</xdr:colOff>
      <xdr:row>15</xdr:row>
      <xdr:rowOff>10409</xdr:rowOff>
    </xdr:from>
    <xdr:to>
      <xdr:col>24</xdr:col>
      <xdr:colOff>239372</xdr:colOff>
      <xdr:row>17</xdr:row>
      <xdr:rowOff>109567</xdr:rowOff>
    </xdr:to>
    <xdr:sp macro="[0]!Cuenta_Xperta" textlink="">
      <xdr:nvSpPr>
        <xdr:cNvPr id="18" name="17 Rectángulo"/>
        <xdr:cNvSpPr/>
      </xdr:nvSpPr>
      <xdr:spPr>
        <a:xfrm>
          <a:off x="2620117" y="2906009"/>
          <a:ext cx="1246375" cy="480158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18000" rIns="36000" bIns="18000" rtlCol="0" anchor="ctr"/>
        <a:lstStyle/>
        <a:p>
          <a:pPr algn="ctr"/>
          <a:r>
            <a:rPr lang="es-ES" sz="1200" b="1">
              <a:solidFill>
                <a:sysClr val="windowText" lastClr="000000"/>
              </a:solidFill>
              <a:latin typeface="Calibri Light" panose="020F0302020204030204" pitchFamily="34" charset="0"/>
            </a:rPr>
            <a:t>Cuenta Xperta</a:t>
          </a:r>
        </a:p>
      </xdr:txBody>
    </xdr:sp>
    <xdr:clientData/>
  </xdr:twoCellAnchor>
  <xdr:twoCellAnchor editAs="absolute">
    <xdr:from>
      <xdr:col>21</xdr:col>
      <xdr:colOff>56503</xdr:colOff>
      <xdr:row>4</xdr:row>
      <xdr:rowOff>8311</xdr:rowOff>
    </xdr:from>
    <xdr:to>
      <xdr:col>24</xdr:col>
      <xdr:colOff>349346</xdr:colOff>
      <xdr:row>5</xdr:row>
      <xdr:rowOff>94634</xdr:rowOff>
    </xdr:to>
    <xdr:sp macro="" textlink="">
      <xdr:nvSpPr>
        <xdr:cNvPr id="13" name="12 Rectángulo"/>
        <xdr:cNvSpPr/>
      </xdr:nvSpPr>
      <xdr:spPr>
        <a:xfrm>
          <a:off x="2510143" y="808411"/>
          <a:ext cx="1466323" cy="276823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rIns="72000" rtlCol="0" anchor="ctr"/>
        <a:lstStyle/>
        <a:p>
          <a:pPr algn="ctr"/>
          <a:r>
            <a:rPr lang="es-ES" sz="1400">
              <a:latin typeface="Calibri" panose="020F0502020204030204" pitchFamily="34" charset="0"/>
            </a:rPr>
            <a:t>Ahorros</a:t>
          </a:r>
        </a:p>
      </xdr:txBody>
    </xdr:sp>
    <xdr:clientData/>
  </xdr:twoCellAnchor>
  <xdr:twoCellAnchor editAs="absolute">
    <xdr:from>
      <xdr:col>26</xdr:col>
      <xdr:colOff>28240</xdr:colOff>
      <xdr:row>6</xdr:row>
      <xdr:rowOff>22373</xdr:rowOff>
    </xdr:from>
    <xdr:to>
      <xdr:col>34</xdr:col>
      <xdr:colOff>321083</xdr:colOff>
      <xdr:row>22</xdr:row>
      <xdr:rowOff>50933</xdr:rowOff>
    </xdr:to>
    <xdr:sp macro="" textlink="">
      <xdr:nvSpPr>
        <xdr:cNvPr id="22" name="21 Rectángulo"/>
        <xdr:cNvSpPr/>
      </xdr:nvSpPr>
      <xdr:spPr>
        <a:xfrm>
          <a:off x="4386880" y="1203473"/>
          <a:ext cx="1466323" cy="3168000"/>
        </a:xfrm>
        <a:prstGeom prst="rect">
          <a:avLst/>
        </a:prstGeom>
        <a:solidFill>
          <a:srgbClr val="FECB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26</xdr:col>
      <xdr:colOff>140809</xdr:colOff>
      <xdr:row>7</xdr:row>
      <xdr:rowOff>176431</xdr:rowOff>
    </xdr:from>
    <xdr:to>
      <xdr:col>34</xdr:col>
      <xdr:colOff>208514</xdr:colOff>
      <xdr:row>10</xdr:row>
      <xdr:rowOff>85089</xdr:rowOff>
    </xdr:to>
    <xdr:sp macro="[0]!Ahorro_futuro_generico" textlink="">
      <xdr:nvSpPr>
        <xdr:cNvPr id="24" name="23 Rectángulo"/>
        <xdr:cNvSpPr/>
      </xdr:nvSpPr>
      <xdr:spPr>
        <a:xfrm>
          <a:off x="4499449" y="1548031"/>
          <a:ext cx="1241185" cy="480158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18000" rIns="36000" bIns="18000" rtlCol="0" anchor="ctr"/>
        <a:lstStyle/>
        <a:p>
          <a:pPr algn="ctr"/>
          <a:r>
            <a:rPr lang="es-ES" sz="1200" b="1">
              <a:solidFill>
                <a:sysClr val="windowText" lastClr="000000"/>
              </a:solidFill>
              <a:latin typeface="Calibri Light" panose="020F0302020204030204" pitchFamily="34" charset="0"/>
            </a:rPr>
            <a:t>Ahorro</a:t>
          </a:r>
          <a:r>
            <a:rPr lang="es-ES" sz="1200" b="1" baseline="0">
              <a:solidFill>
                <a:sysClr val="windowText" lastClr="000000"/>
              </a:solidFill>
              <a:latin typeface="Calibri Light" panose="020F0302020204030204" pitchFamily="34" charset="0"/>
            </a:rPr>
            <a:t> Futuro</a:t>
          </a:r>
          <a:endParaRPr lang="es-ES" sz="1050" b="1">
            <a:solidFill>
              <a:sysClr val="windowText" lastClr="000000"/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26</xdr:col>
      <xdr:colOff>140809</xdr:colOff>
      <xdr:row>11</xdr:row>
      <xdr:rowOff>90865</xdr:rowOff>
    </xdr:from>
    <xdr:to>
      <xdr:col>34</xdr:col>
      <xdr:colOff>208514</xdr:colOff>
      <xdr:row>13</xdr:row>
      <xdr:rowOff>190023</xdr:rowOff>
    </xdr:to>
    <xdr:sp macro="[0]!Ahorro_futuro_reserva" textlink="">
      <xdr:nvSpPr>
        <xdr:cNvPr id="25" name="24 Rectángulo"/>
        <xdr:cNvSpPr/>
      </xdr:nvSpPr>
      <xdr:spPr>
        <a:xfrm>
          <a:off x="4499449" y="2224465"/>
          <a:ext cx="1241185" cy="480158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18000" rIns="36000" bIns="18000" rtlCol="0" anchor="ctr"/>
        <a:lstStyle/>
        <a:p>
          <a:pPr algn="ctr"/>
          <a:r>
            <a:rPr lang="es-ES" sz="1200" b="1" u="none">
              <a:solidFill>
                <a:sysClr val="windowText" lastClr="000000"/>
              </a:solidFill>
              <a:latin typeface="Calibri Light" panose="020F0302020204030204" pitchFamily="34" charset="0"/>
            </a:rPr>
            <a:t>Ahorro Futuro Reservas</a:t>
          </a:r>
        </a:p>
      </xdr:txBody>
    </xdr:sp>
    <xdr:clientData/>
  </xdr:twoCellAnchor>
  <xdr:twoCellAnchor editAs="absolute">
    <xdr:from>
      <xdr:col>26</xdr:col>
      <xdr:colOff>140809</xdr:colOff>
      <xdr:row>15</xdr:row>
      <xdr:rowOff>10409</xdr:rowOff>
    </xdr:from>
    <xdr:to>
      <xdr:col>34</xdr:col>
      <xdr:colOff>208514</xdr:colOff>
      <xdr:row>17</xdr:row>
      <xdr:rowOff>109567</xdr:rowOff>
    </xdr:to>
    <xdr:sp macro="[0]!Ahorro_futuro_decimos" textlink="">
      <xdr:nvSpPr>
        <xdr:cNvPr id="26" name="25 Rectángulo"/>
        <xdr:cNvSpPr/>
      </xdr:nvSpPr>
      <xdr:spPr>
        <a:xfrm>
          <a:off x="4499449" y="2906009"/>
          <a:ext cx="1241185" cy="480158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18000" rIns="36000" bIns="18000" rtlCol="0" anchor="ctr"/>
        <a:lstStyle/>
        <a:p>
          <a:pPr algn="ctr"/>
          <a:r>
            <a:rPr lang="es-ES" sz="1200" b="1">
              <a:solidFill>
                <a:sysClr val="windowText" lastClr="000000"/>
              </a:solidFill>
              <a:latin typeface="Calibri Light" panose="020F0302020204030204" pitchFamily="34" charset="0"/>
            </a:rPr>
            <a:t>Ahorro Futuro</a:t>
          </a:r>
          <a:r>
            <a:rPr lang="es-ES" sz="1200" b="1" baseline="0">
              <a:solidFill>
                <a:sysClr val="windowText" lastClr="000000"/>
              </a:solidFill>
              <a:latin typeface="Calibri Light" panose="020F0302020204030204" pitchFamily="34" charset="0"/>
            </a:rPr>
            <a:t> Décimos</a:t>
          </a:r>
          <a:endParaRPr lang="es-ES" sz="1200" b="1">
            <a:solidFill>
              <a:sysClr val="windowText" lastClr="000000"/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26</xdr:col>
      <xdr:colOff>28240</xdr:colOff>
      <xdr:row>4</xdr:row>
      <xdr:rowOff>8311</xdr:rowOff>
    </xdr:from>
    <xdr:to>
      <xdr:col>34</xdr:col>
      <xdr:colOff>321083</xdr:colOff>
      <xdr:row>5</xdr:row>
      <xdr:rowOff>94634</xdr:rowOff>
    </xdr:to>
    <xdr:sp macro="" textlink="">
      <xdr:nvSpPr>
        <xdr:cNvPr id="21" name="20 Rectángulo"/>
        <xdr:cNvSpPr/>
      </xdr:nvSpPr>
      <xdr:spPr>
        <a:xfrm>
          <a:off x="4386880" y="808411"/>
          <a:ext cx="1466323" cy="276823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rIns="72000" rtlCol="0" anchor="ctr"/>
        <a:lstStyle/>
        <a:p>
          <a:pPr algn="ctr"/>
          <a:r>
            <a:rPr lang="es-ES" sz="1400">
              <a:latin typeface="Calibri" panose="020F0502020204030204" pitchFamily="34" charset="0"/>
            </a:rPr>
            <a:t>Ahorros Futuros</a:t>
          </a:r>
        </a:p>
      </xdr:txBody>
    </xdr:sp>
    <xdr:clientData/>
  </xdr:twoCellAnchor>
  <xdr:twoCellAnchor editAs="absolute">
    <xdr:from>
      <xdr:col>36</xdr:col>
      <xdr:colOff>1356</xdr:colOff>
      <xdr:row>6</xdr:row>
      <xdr:rowOff>22373</xdr:rowOff>
    </xdr:from>
    <xdr:to>
      <xdr:col>44</xdr:col>
      <xdr:colOff>294199</xdr:colOff>
      <xdr:row>22</xdr:row>
      <xdr:rowOff>50933</xdr:rowOff>
    </xdr:to>
    <xdr:sp macro="" textlink="">
      <xdr:nvSpPr>
        <xdr:cNvPr id="30" name="29 Rectángulo"/>
        <xdr:cNvSpPr/>
      </xdr:nvSpPr>
      <xdr:spPr>
        <a:xfrm>
          <a:off x="6264996" y="1203473"/>
          <a:ext cx="1466323" cy="3168000"/>
        </a:xfrm>
        <a:prstGeom prst="rect">
          <a:avLst/>
        </a:prstGeom>
        <a:solidFill>
          <a:srgbClr val="FECB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36</xdr:col>
      <xdr:colOff>111751</xdr:colOff>
      <xdr:row>7</xdr:row>
      <xdr:rowOff>176431</xdr:rowOff>
    </xdr:from>
    <xdr:to>
      <xdr:col>44</xdr:col>
      <xdr:colOff>189422</xdr:colOff>
      <xdr:row>10</xdr:row>
      <xdr:rowOff>85089</xdr:rowOff>
    </xdr:to>
    <xdr:sp macro="[0]!Cuenta_Corriente" textlink="">
      <xdr:nvSpPr>
        <xdr:cNvPr id="31" name="30 Rectángulo"/>
        <xdr:cNvSpPr/>
      </xdr:nvSpPr>
      <xdr:spPr>
        <a:xfrm>
          <a:off x="6375391" y="1548031"/>
          <a:ext cx="1251151" cy="480158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18000" rIns="36000" bIns="18000" rtlCol="0" anchor="ctr"/>
        <a:lstStyle/>
        <a:p>
          <a:pPr algn="ctr"/>
          <a:r>
            <a:rPr lang="es-ES" sz="1200" b="1">
              <a:solidFill>
                <a:sysClr val="windowText" lastClr="000000"/>
              </a:solidFill>
              <a:latin typeface="Calibri Light" panose="020F0302020204030204" pitchFamily="34" charset="0"/>
            </a:rPr>
            <a:t>Cuenta Corriente</a:t>
          </a:r>
          <a:endParaRPr lang="es-ES" sz="1050" b="1">
            <a:solidFill>
              <a:sysClr val="windowText" lastClr="000000"/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36</xdr:col>
      <xdr:colOff>1356</xdr:colOff>
      <xdr:row>4</xdr:row>
      <xdr:rowOff>8311</xdr:rowOff>
    </xdr:from>
    <xdr:to>
      <xdr:col>44</xdr:col>
      <xdr:colOff>294199</xdr:colOff>
      <xdr:row>5</xdr:row>
      <xdr:rowOff>94634</xdr:rowOff>
    </xdr:to>
    <xdr:sp macro="" textlink="">
      <xdr:nvSpPr>
        <xdr:cNvPr id="29" name="28 Rectángulo"/>
        <xdr:cNvSpPr/>
      </xdr:nvSpPr>
      <xdr:spPr>
        <a:xfrm>
          <a:off x="6264996" y="808411"/>
          <a:ext cx="1466323" cy="276823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rIns="72000" rtlCol="0" anchor="ctr"/>
        <a:lstStyle/>
        <a:p>
          <a:pPr algn="ctr"/>
          <a:r>
            <a:rPr lang="es-ES" sz="1400">
              <a:latin typeface="Calibri" panose="020F0502020204030204" pitchFamily="34" charset="0"/>
            </a:rPr>
            <a:t>Cuenta Corriente</a:t>
          </a:r>
        </a:p>
      </xdr:txBody>
    </xdr:sp>
    <xdr:clientData/>
  </xdr:twoCellAnchor>
  <xdr:twoCellAnchor editAs="absolute">
    <xdr:from>
      <xdr:col>11</xdr:col>
      <xdr:colOff>9952</xdr:colOff>
      <xdr:row>6</xdr:row>
      <xdr:rowOff>22374</xdr:rowOff>
    </xdr:from>
    <xdr:to>
      <xdr:col>15</xdr:col>
      <xdr:colOff>20163</xdr:colOff>
      <xdr:row>22</xdr:row>
      <xdr:rowOff>50934</xdr:rowOff>
    </xdr:to>
    <xdr:sp macro="" textlink="">
      <xdr:nvSpPr>
        <xdr:cNvPr id="73" name="72 Rectángulo"/>
        <xdr:cNvSpPr/>
      </xdr:nvSpPr>
      <xdr:spPr>
        <a:xfrm>
          <a:off x="634792" y="1203474"/>
          <a:ext cx="1473251" cy="3168000"/>
        </a:xfrm>
        <a:prstGeom prst="rect">
          <a:avLst/>
        </a:prstGeom>
        <a:solidFill>
          <a:srgbClr val="FECB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11</xdr:col>
      <xdr:colOff>9952</xdr:colOff>
      <xdr:row>4</xdr:row>
      <xdr:rowOff>8311</xdr:rowOff>
    </xdr:from>
    <xdr:to>
      <xdr:col>15</xdr:col>
      <xdr:colOff>20163</xdr:colOff>
      <xdr:row>5</xdr:row>
      <xdr:rowOff>94634</xdr:rowOff>
    </xdr:to>
    <xdr:sp macro="" textlink="">
      <xdr:nvSpPr>
        <xdr:cNvPr id="77" name="76 Rectángulo"/>
        <xdr:cNvSpPr/>
      </xdr:nvSpPr>
      <xdr:spPr>
        <a:xfrm>
          <a:off x="634792" y="808411"/>
          <a:ext cx="1473251" cy="276823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rIns="72000" rtlCol="0" anchor="ctr"/>
        <a:lstStyle/>
        <a:p>
          <a:pPr algn="ctr"/>
          <a:r>
            <a:rPr lang="es-ES" sz="1400">
              <a:latin typeface="Calibri" panose="020F0502020204030204" pitchFamily="34" charset="0"/>
            </a:rPr>
            <a:t>Inversiones</a:t>
          </a:r>
        </a:p>
      </xdr:txBody>
    </xdr:sp>
    <xdr:clientData/>
  </xdr:twoCellAnchor>
  <xdr:twoCellAnchor editAs="oneCell">
    <xdr:from>
      <xdr:col>11</xdr:col>
      <xdr:colOff>22860</xdr:colOff>
      <xdr:row>0</xdr:row>
      <xdr:rowOff>38102</xdr:rowOff>
    </xdr:from>
    <xdr:to>
      <xdr:col>22</xdr:col>
      <xdr:colOff>175260</xdr:colOff>
      <xdr:row>2</xdr:row>
      <xdr:rowOff>135017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38102"/>
          <a:ext cx="2423160" cy="462675"/>
        </a:xfrm>
        <a:prstGeom prst="rect">
          <a:avLst/>
        </a:prstGeom>
      </xdr:spPr>
    </xdr:pic>
    <xdr:clientData/>
  </xdr:twoCellAnchor>
  <xdr:twoCellAnchor>
    <xdr:from>
      <xdr:col>11</xdr:col>
      <xdr:colOff>120446</xdr:colOff>
      <xdr:row>11</xdr:row>
      <xdr:rowOff>90865</xdr:rowOff>
    </xdr:from>
    <xdr:to>
      <xdr:col>14</xdr:col>
      <xdr:colOff>275429</xdr:colOff>
      <xdr:row>13</xdr:row>
      <xdr:rowOff>175454</xdr:rowOff>
    </xdr:to>
    <xdr:sp macro="[0]!Plazodolar" textlink="">
      <xdr:nvSpPr>
        <xdr:cNvPr id="74" name="73 Rectángulo"/>
        <xdr:cNvSpPr/>
      </xdr:nvSpPr>
      <xdr:spPr>
        <a:xfrm>
          <a:off x="745286" y="2224465"/>
          <a:ext cx="1252263" cy="465589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18000" rIns="36000" bIns="18000" rtlCol="0" anchor="ctr"/>
        <a:lstStyle/>
        <a:p>
          <a:pPr algn="ctr"/>
          <a:r>
            <a:rPr lang="es-ES" sz="1200" b="1" u="none">
              <a:solidFill>
                <a:sysClr val="windowText" lastClr="000000"/>
              </a:solidFill>
              <a:latin typeface="Calibri Light" panose="020F0302020204030204" pitchFamily="34" charset="0"/>
            </a:rPr>
            <a:t>Plazodólar</a:t>
          </a:r>
        </a:p>
      </xdr:txBody>
    </xdr:sp>
    <xdr:clientData/>
  </xdr:twoCellAnchor>
  <xdr:twoCellAnchor>
    <xdr:from>
      <xdr:col>11</xdr:col>
      <xdr:colOff>120446</xdr:colOff>
      <xdr:row>18</xdr:row>
      <xdr:rowOff>94229</xdr:rowOff>
    </xdr:from>
    <xdr:to>
      <xdr:col>14</xdr:col>
      <xdr:colOff>275429</xdr:colOff>
      <xdr:row>20</xdr:row>
      <xdr:rowOff>133098</xdr:rowOff>
    </xdr:to>
    <xdr:sp macro="[0]!Europlazo" textlink="">
      <xdr:nvSpPr>
        <xdr:cNvPr id="75" name="74 Rectángulo"/>
        <xdr:cNvSpPr/>
      </xdr:nvSpPr>
      <xdr:spPr>
        <a:xfrm>
          <a:off x="745286" y="3561329"/>
          <a:ext cx="1252263" cy="465589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18000" rIns="36000" bIns="18000" rtlCol="0" anchor="ctr"/>
        <a:lstStyle/>
        <a:p>
          <a:pPr algn="ctr"/>
          <a:r>
            <a:rPr lang="es-ES" sz="1200" b="1" u="none">
              <a:solidFill>
                <a:sysClr val="windowText" lastClr="000000"/>
              </a:solidFill>
              <a:latin typeface="Calibri Light" panose="020F0302020204030204" pitchFamily="34" charset="0"/>
            </a:rPr>
            <a:t>Europlazo</a:t>
          </a:r>
        </a:p>
      </xdr:txBody>
    </xdr:sp>
    <xdr:clientData/>
  </xdr:twoCellAnchor>
  <xdr:twoCellAnchor>
    <xdr:from>
      <xdr:col>11</xdr:col>
      <xdr:colOff>120446</xdr:colOff>
      <xdr:row>7</xdr:row>
      <xdr:rowOff>176431</xdr:rowOff>
    </xdr:from>
    <xdr:to>
      <xdr:col>14</xdr:col>
      <xdr:colOff>275429</xdr:colOff>
      <xdr:row>10</xdr:row>
      <xdr:rowOff>70520</xdr:rowOff>
    </xdr:to>
    <xdr:sp macro="[0]!Armadolar" textlink="">
      <xdr:nvSpPr>
        <xdr:cNvPr id="76" name="75 Rectángulo"/>
        <xdr:cNvSpPr/>
      </xdr:nvSpPr>
      <xdr:spPr>
        <a:xfrm>
          <a:off x="745286" y="1548031"/>
          <a:ext cx="1252263" cy="465589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18000" rIns="36000" bIns="18000" rtlCol="0" anchor="ctr"/>
        <a:lstStyle/>
        <a:p>
          <a:pPr algn="ctr"/>
          <a:r>
            <a:rPr lang="es-ES" sz="1200" b="1" u="none">
              <a:solidFill>
                <a:sysClr val="windowText" lastClr="000000"/>
              </a:solidFill>
              <a:latin typeface="Calibri Light" panose="020F0302020204030204" pitchFamily="34" charset="0"/>
            </a:rPr>
            <a:t>Armadórlar</a:t>
          </a:r>
          <a:endParaRPr lang="es-ES" sz="1050" b="1" u="none">
            <a:solidFill>
              <a:sysClr val="windowText" lastClr="000000"/>
            </a:solidFill>
            <a:latin typeface="Calibri Light" panose="020F0302020204030204" pitchFamily="34" charset="0"/>
          </a:endParaRPr>
        </a:p>
      </xdr:txBody>
    </xdr:sp>
    <xdr:clientData/>
  </xdr:twoCellAnchor>
  <xdr:twoCellAnchor>
    <xdr:from>
      <xdr:col>11</xdr:col>
      <xdr:colOff>120446</xdr:colOff>
      <xdr:row>15</xdr:row>
      <xdr:rowOff>10409</xdr:rowOff>
    </xdr:from>
    <xdr:to>
      <xdr:col>14</xdr:col>
      <xdr:colOff>275429</xdr:colOff>
      <xdr:row>17</xdr:row>
      <xdr:rowOff>94998</xdr:rowOff>
    </xdr:to>
    <xdr:sp macro="[0]!CertificadoAnticipado" textlink="">
      <xdr:nvSpPr>
        <xdr:cNvPr id="32" name="31 Rectángulo"/>
        <xdr:cNvSpPr/>
      </xdr:nvSpPr>
      <xdr:spPr>
        <a:xfrm>
          <a:off x="745286" y="2906009"/>
          <a:ext cx="1252263" cy="465589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18000" rIns="36000" bIns="18000" rtlCol="0" anchor="ctr"/>
        <a:lstStyle/>
        <a:p>
          <a:pPr algn="ctr"/>
          <a:r>
            <a:rPr lang="es-ES" sz="1200" b="1" u="none">
              <a:solidFill>
                <a:sysClr val="windowText" lastClr="000000"/>
              </a:solidFill>
              <a:latin typeface="Calibri Light" panose="020F0302020204030204" pitchFamily="34" charset="0"/>
            </a:rPr>
            <a:t>Certificado</a:t>
          </a:r>
          <a:r>
            <a:rPr lang="es-ES" sz="1200" b="1" u="none" baseline="0">
              <a:solidFill>
                <a:sysClr val="windowText" lastClr="000000"/>
              </a:solidFill>
              <a:latin typeface="Calibri Light" panose="020F0302020204030204" pitchFamily="34" charset="0"/>
            </a:rPr>
            <a:t> Anticipado</a:t>
          </a:r>
          <a:endParaRPr lang="es-ES" sz="1200" b="1" u="none">
            <a:solidFill>
              <a:sysClr val="windowText" lastClr="000000"/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45720</xdr:rowOff>
    </xdr:from>
    <xdr:to>
      <xdr:col>5</xdr:col>
      <xdr:colOff>320040</xdr:colOff>
      <xdr:row>2</xdr:row>
      <xdr:rowOff>142635</xdr:rowOff>
    </xdr:to>
    <xdr:pic>
      <xdr:nvPicPr>
        <xdr:cNvPr id="13" name="1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45720"/>
          <a:ext cx="2423160" cy="462675"/>
        </a:xfrm>
        <a:prstGeom prst="rect">
          <a:avLst/>
        </a:prstGeom>
      </xdr:spPr>
    </xdr:pic>
    <xdr:clientData/>
  </xdr:twoCellAnchor>
  <xdr:twoCellAnchor editAs="absolute">
    <xdr:from>
      <xdr:col>1</xdr:col>
      <xdr:colOff>7796</xdr:colOff>
      <xdr:row>4</xdr:row>
      <xdr:rowOff>690</xdr:rowOff>
    </xdr:from>
    <xdr:to>
      <xdr:col>3</xdr:col>
      <xdr:colOff>490447</xdr:colOff>
      <xdr:row>16</xdr:row>
      <xdr:rowOff>150480</xdr:rowOff>
    </xdr:to>
    <xdr:grpSp>
      <xdr:nvGrpSpPr>
        <xdr:cNvPr id="6" name="5 Grupo"/>
        <xdr:cNvGrpSpPr/>
      </xdr:nvGrpSpPr>
      <xdr:grpSpPr>
        <a:xfrm>
          <a:off x="632636" y="800790"/>
          <a:ext cx="1488491" cy="3525450"/>
          <a:chOff x="647876" y="755070"/>
          <a:chExt cx="1473251" cy="3776910"/>
        </a:xfrm>
      </xdr:grpSpPr>
      <xdr:sp macro="" textlink="">
        <xdr:nvSpPr>
          <xdr:cNvPr id="52" name="51 Rectángulo"/>
          <xdr:cNvSpPr/>
        </xdr:nvSpPr>
        <xdr:spPr>
          <a:xfrm>
            <a:off x="648301" y="755070"/>
            <a:ext cx="1472400" cy="276255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Inversiones</a:t>
            </a:r>
          </a:p>
        </xdr:txBody>
      </xdr:sp>
      <xdr:sp macro="[0]!Inicio" textlink="">
        <xdr:nvSpPr>
          <xdr:cNvPr id="53" name="52 Rectángulo"/>
          <xdr:cNvSpPr/>
        </xdr:nvSpPr>
        <xdr:spPr>
          <a:xfrm>
            <a:off x="648301" y="1057118"/>
            <a:ext cx="1472400" cy="276255"/>
          </a:xfrm>
          <a:prstGeom prst="rect">
            <a:avLst/>
          </a:prstGeom>
          <a:solidFill>
            <a:srgbClr val="675C5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Inicio</a:t>
            </a:r>
          </a:p>
        </xdr:txBody>
      </xdr:sp>
      <xdr:sp macro="" textlink="">
        <xdr:nvSpPr>
          <xdr:cNvPr id="12" name="11 Rectángulo"/>
          <xdr:cNvSpPr/>
        </xdr:nvSpPr>
        <xdr:spPr>
          <a:xfrm>
            <a:off x="647876" y="1363980"/>
            <a:ext cx="1473251" cy="3168000"/>
          </a:xfrm>
          <a:prstGeom prst="rect">
            <a:avLst/>
          </a:prstGeom>
          <a:solidFill>
            <a:srgbClr val="FECB00">
              <a:alpha val="4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5" name="4 Grupo"/>
          <xdr:cNvGrpSpPr/>
        </xdr:nvGrpSpPr>
        <xdr:grpSpPr>
          <a:xfrm>
            <a:off x="758370" y="1708537"/>
            <a:ext cx="1252263" cy="2478887"/>
            <a:chOff x="758370" y="1708537"/>
            <a:chExt cx="1252263" cy="2478887"/>
          </a:xfrm>
        </xdr:grpSpPr>
        <xdr:sp macro="[0]!Plazodolar" textlink="">
          <xdr:nvSpPr>
            <xdr:cNvPr id="14" name="13 Rectángulo"/>
            <xdr:cNvSpPr/>
          </xdr:nvSpPr>
          <xdr:spPr>
            <a:xfrm>
              <a:off x="758370" y="2384971"/>
              <a:ext cx="1252263" cy="465589"/>
            </a:xfrm>
            <a:prstGeom prst="rect">
              <a:avLst/>
            </a:prstGeom>
            <a:noFill/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72000" tIns="18000" rIns="72000" bIns="18000" rtlCol="0" anchor="ctr"/>
            <a:lstStyle/>
            <a:p>
              <a:pPr algn="ctr"/>
              <a:r>
                <a:rPr lang="es-ES" sz="1200" b="1" u="none">
                  <a:solidFill>
                    <a:sysClr val="windowText" lastClr="000000"/>
                  </a:solidFill>
                  <a:latin typeface="Calibri Light" panose="020F0302020204030204" pitchFamily="34" charset="0"/>
                </a:rPr>
                <a:t>Plazodólar</a:t>
              </a:r>
            </a:p>
          </xdr:txBody>
        </xdr:sp>
        <xdr:sp macro="[0]!Europlazo" textlink="">
          <xdr:nvSpPr>
            <xdr:cNvPr id="15" name="14 Rectángulo"/>
            <xdr:cNvSpPr/>
          </xdr:nvSpPr>
          <xdr:spPr>
            <a:xfrm>
              <a:off x="758370" y="3721835"/>
              <a:ext cx="1252263" cy="465589"/>
            </a:xfrm>
            <a:prstGeom prst="rect">
              <a:avLst/>
            </a:prstGeom>
            <a:noFill/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72000" tIns="18000" rIns="72000" bIns="18000" rtlCol="0" anchor="ctr"/>
            <a:lstStyle/>
            <a:p>
              <a:pPr algn="ctr"/>
              <a:r>
                <a:rPr lang="es-ES" sz="1200" b="1" u="none">
                  <a:solidFill>
                    <a:sysClr val="windowText" lastClr="000000"/>
                  </a:solidFill>
                  <a:latin typeface="Calibri Light" panose="020F0302020204030204" pitchFamily="34" charset="0"/>
                </a:rPr>
                <a:t>Europlazo</a:t>
              </a:r>
            </a:p>
          </xdr:txBody>
        </xdr:sp>
        <xdr:sp macro="[0]!Armadolar" textlink="">
          <xdr:nvSpPr>
            <xdr:cNvPr id="16" name="15 Rectángulo"/>
            <xdr:cNvSpPr/>
          </xdr:nvSpPr>
          <xdr:spPr>
            <a:xfrm>
              <a:off x="758370" y="1708537"/>
              <a:ext cx="1252263" cy="465589"/>
            </a:xfrm>
            <a:prstGeom prst="rect">
              <a:avLst/>
            </a:prstGeom>
            <a:solidFill>
              <a:schemeClr val="bg1"/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72000" tIns="18000" rIns="72000" bIns="18000" rtlCol="0" anchor="ctr"/>
            <a:lstStyle/>
            <a:p>
              <a:pPr algn="ctr"/>
              <a:r>
                <a:rPr lang="es-ES" sz="1200" b="1" u="none">
                  <a:solidFill>
                    <a:sysClr val="windowText" lastClr="000000"/>
                  </a:solidFill>
                  <a:latin typeface="Calibri Light" panose="020F0302020204030204" pitchFamily="34" charset="0"/>
                </a:rPr>
                <a:t>Armadórlar</a:t>
              </a:r>
              <a:endParaRPr lang="es-ES" sz="1050" b="1" u="none">
                <a:solidFill>
                  <a:sysClr val="windowText" lastClr="000000"/>
                </a:solidFill>
                <a:latin typeface="Calibri Light" panose="020F0302020204030204" pitchFamily="34" charset="0"/>
              </a:endParaRPr>
            </a:p>
          </xdr:txBody>
        </xdr:sp>
        <xdr:sp macro="[0]!CertificadoAnticipado" textlink="">
          <xdr:nvSpPr>
            <xdr:cNvPr id="17" name="16 Rectángulo"/>
            <xdr:cNvSpPr/>
          </xdr:nvSpPr>
          <xdr:spPr>
            <a:xfrm>
              <a:off x="758370" y="3066515"/>
              <a:ext cx="1252263" cy="465589"/>
            </a:xfrm>
            <a:prstGeom prst="rect">
              <a:avLst/>
            </a:prstGeom>
            <a:noFill/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72000" tIns="18000" rIns="72000" bIns="18000" rtlCol="0" anchor="ctr"/>
            <a:lstStyle/>
            <a:p>
              <a:pPr algn="ctr"/>
              <a:r>
                <a:rPr lang="es-ES" sz="1200" b="1" u="none">
                  <a:solidFill>
                    <a:sysClr val="windowText" lastClr="000000"/>
                  </a:solidFill>
                  <a:latin typeface="Calibri Light" panose="020F0302020204030204" pitchFamily="34" charset="0"/>
                </a:rPr>
                <a:t>Certificado</a:t>
              </a:r>
              <a:r>
                <a:rPr lang="es-ES" sz="1200" b="1" u="none" baseline="0">
                  <a:solidFill>
                    <a:sysClr val="windowText" lastClr="000000"/>
                  </a:solidFill>
                  <a:latin typeface="Calibri Light" panose="020F0302020204030204" pitchFamily="34" charset="0"/>
                </a:rPr>
                <a:t> Anticipado</a:t>
              </a:r>
              <a:endParaRPr lang="es-ES" sz="1200" b="1" u="none">
                <a:solidFill>
                  <a:sysClr val="windowText" lastClr="000000"/>
                </a:solidFill>
                <a:latin typeface="Calibri Light" panose="020F0302020204030204" pitchFamily="34" charset="0"/>
              </a:endParaRPr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45720</xdr:rowOff>
    </xdr:from>
    <xdr:to>
      <xdr:col>5</xdr:col>
      <xdr:colOff>320040</xdr:colOff>
      <xdr:row>2</xdr:row>
      <xdr:rowOff>142635</xdr:rowOff>
    </xdr:to>
    <xdr:pic>
      <xdr:nvPicPr>
        <xdr:cNvPr id="13" name="1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45720"/>
          <a:ext cx="2423160" cy="462675"/>
        </a:xfrm>
        <a:prstGeom prst="rect">
          <a:avLst/>
        </a:prstGeom>
      </xdr:spPr>
    </xdr:pic>
    <xdr:clientData/>
  </xdr:twoCellAnchor>
  <xdr:twoCellAnchor editAs="absolute">
    <xdr:from>
      <xdr:col>1</xdr:col>
      <xdr:colOff>7620</xdr:colOff>
      <xdr:row>4</xdr:row>
      <xdr:rowOff>0</xdr:rowOff>
    </xdr:from>
    <xdr:to>
      <xdr:col>3</xdr:col>
      <xdr:colOff>490271</xdr:colOff>
      <xdr:row>16</xdr:row>
      <xdr:rowOff>149790</xdr:rowOff>
    </xdr:to>
    <xdr:grpSp>
      <xdr:nvGrpSpPr>
        <xdr:cNvPr id="4" name="3 Grupo"/>
        <xdr:cNvGrpSpPr/>
      </xdr:nvGrpSpPr>
      <xdr:grpSpPr>
        <a:xfrm>
          <a:off x="632460" y="800100"/>
          <a:ext cx="1488491" cy="3525450"/>
          <a:chOff x="632460" y="807720"/>
          <a:chExt cx="1473251" cy="3525450"/>
        </a:xfrm>
      </xdr:grpSpPr>
      <xdr:sp macro="" textlink="">
        <xdr:nvSpPr>
          <xdr:cNvPr id="12" name="11 Rectángulo"/>
          <xdr:cNvSpPr/>
        </xdr:nvSpPr>
        <xdr:spPr>
          <a:xfrm>
            <a:off x="632885" y="807720"/>
            <a:ext cx="1472400" cy="257862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Inversiones</a:t>
            </a:r>
          </a:p>
        </xdr:txBody>
      </xdr:sp>
      <xdr:sp macro="[0]!Inicio" textlink="">
        <xdr:nvSpPr>
          <xdr:cNvPr id="14" name="13 Rectángulo"/>
          <xdr:cNvSpPr/>
        </xdr:nvSpPr>
        <xdr:spPr>
          <a:xfrm>
            <a:off x="632885" y="1089658"/>
            <a:ext cx="1472400" cy="257862"/>
          </a:xfrm>
          <a:prstGeom prst="rect">
            <a:avLst/>
          </a:prstGeom>
          <a:solidFill>
            <a:srgbClr val="675C5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Inicio</a:t>
            </a:r>
          </a:p>
        </xdr:txBody>
      </xdr:sp>
      <xdr:grpSp>
        <xdr:nvGrpSpPr>
          <xdr:cNvPr id="3" name="2 Grupo"/>
          <xdr:cNvGrpSpPr/>
        </xdr:nvGrpSpPr>
        <xdr:grpSpPr>
          <a:xfrm>
            <a:off x="632460" y="1376090"/>
            <a:ext cx="1473251" cy="2957080"/>
            <a:chOff x="632460" y="1376090"/>
            <a:chExt cx="1473251" cy="2957080"/>
          </a:xfrm>
        </xdr:grpSpPr>
        <xdr:sp macro="" textlink="">
          <xdr:nvSpPr>
            <xdr:cNvPr id="15" name="14 Rectángulo"/>
            <xdr:cNvSpPr/>
          </xdr:nvSpPr>
          <xdr:spPr>
            <a:xfrm>
              <a:off x="632460" y="1376090"/>
              <a:ext cx="1473251" cy="2957080"/>
            </a:xfrm>
            <a:prstGeom prst="rect">
              <a:avLst/>
            </a:prstGeom>
            <a:solidFill>
              <a:srgbClr val="FECB00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grpSp>
          <xdr:nvGrpSpPr>
            <xdr:cNvPr id="2" name="1 Grupo"/>
            <xdr:cNvGrpSpPr/>
          </xdr:nvGrpSpPr>
          <xdr:grpSpPr>
            <a:xfrm>
              <a:off x="742954" y="1697707"/>
              <a:ext cx="1252263" cy="2313847"/>
              <a:chOff x="742954" y="1697707"/>
              <a:chExt cx="1252263" cy="2313847"/>
            </a:xfrm>
          </xdr:grpSpPr>
          <xdr:sp macro="[0]!Plazodolar" textlink="">
            <xdr:nvSpPr>
              <xdr:cNvPr id="17" name="16 Rectángulo"/>
              <xdr:cNvSpPr/>
            </xdr:nvSpPr>
            <xdr:spPr>
              <a:xfrm>
                <a:off x="742954" y="2329105"/>
                <a:ext cx="1252263" cy="434591"/>
              </a:xfrm>
              <a:prstGeom prst="rect">
                <a:avLst/>
              </a:prstGeom>
              <a:solidFill>
                <a:schemeClr val="bg1"/>
              </a:solidFill>
              <a:ln w="3175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72000" tIns="18000" rIns="72000" bIns="18000" rtlCol="0" anchor="ctr"/>
              <a:lstStyle/>
              <a:p>
                <a:pPr algn="ctr"/>
                <a:r>
                  <a:rPr lang="es-ES" sz="1200" b="1" u="none">
                    <a:solidFill>
                      <a:sysClr val="windowText" lastClr="000000"/>
                    </a:solidFill>
                    <a:latin typeface="Calibri Light" panose="020F0302020204030204" pitchFamily="34" charset="0"/>
                  </a:rPr>
                  <a:t>Plazodólar</a:t>
                </a:r>
              </a:p>
            </xdr:txBody>
          </xdr:sp>
          <xdr:sp macro="[0]!Europlazo" textlink="">
            <xdr:nvSpPr>
              <xdr:cNvPr id="18" name="17 Rectángulo"/>
              <xdr:cNvSpPr/>
            </xdr:nvSpPr>
            <xdr:spPr>
              <a:xfrm>
                <a:off x="742954" y="3576963"/>
                <a:ext cx="1252263" cy="434591"/>
              </a:xfrm>
              <a:prstGeom prst="rect">
                <a:avLst/>
              </a:prstGeom>
              <a:noFill/>
              <a:ln w="3175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72000" tIns="18000" rIns="72000" bIns="18000" rtlCol="0" anchor="ctr"/>
              <a:lstStyle/>
              <a:p>
                <a:pPr algn="ctr"/>
                <a:r>
                  <a:rPr lang="es-ES" sz="1200" b="1" u="none">
                    <a:solidFill>
                      <a:sysClr val="windowText" lastClr="000000"/>
                    </a:solidFill>
                    <a:latin typeface="Calibri Light" panose="020F0302020204030204" pitchFamily="34" charset="0"/>
                  </a:rPr>
                  <a:t>Europlazo</a:t>
                </a:r>
              </a:p>
            </xdr:txBody>
          </xdr:sp>
          <xdr:sp macro="[0]!Armadolar" textlink="">
            <xdr:nvSpPr>
              <xdr:cNvPr id="19" name="18 Rectángulo"/>
              <xdr:cNvSpPr/>
            </xdr:nvSpPr>
            <xdr:spPr>
              <a:xfrm>
                <a:off x="742954" y="1697707"/>
                <a:ext cx="1252263" cy="434591"/>
              </a:xfrm>
              <a:prstGeom prst="rect">
                <a:avLst/>
              </a:prstGeom>
              <a:noFill/>
              <a:ln w="3175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72000" tIns="18000" rIns="72000" bIns="18000" rtlCol="0" anchor="ctr"/>
              <a:lstStyle/>
              <a:p>
                <a:pPr algn="ctr"/>
                <a:r>
                  <a:rPr lang="es-ES" sz="1200" b="1" u="none">
                    <a:solidFill>
                      <a:sysClr val="windowText" lastClr="000000"/>
                    </a:solidFill>
                    <a:latin typeface="Calibri Light" panose="020F0302020204030204" pitchFamily="34" charset="0"/>
                  </a:rPr>
                  <a:t>Armadórlar</a:t>
                </a:r>
                <a:endParaRPr lang="es-ES" sz="1050" b="1" u="none">
                  <a:solidFill>
                    <a:sysClr val="windowText" lastClr="000000"/>
                  </a:solidFill>
                  <a:latin typeface="Calibri Light" panose="020F0302020204030204" pitchFamily="34" charset="0"/>
                </a:endParaRPr>
              </a:p>
            </xdr:txBody>
          </xdr:sp>
          <xdr:sp macro="[0]!CertificadoAnticipado" textlink="">
            <xdr:nvSpPr>
              <xdr:cNvPr id="20" name="19 Rectángulo"/>
              <xdr:cNvSpPr/>
            </xdr:nvSpPr>
            <xdr:spPr>
              <a:xfrm>
                <a:off x="742954" y="2965273"/>
                <a:ext cx="1252263" cy="434591"/>
              </a:xfrm>
              <a:prstGeom prst="rect">
                <a:avLst/>
              </a:prstGeom>
              <a:noFill/>
              <a:ln w="3175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72000" tIns="18000" rIns="72000" bIns="18000" rtlCol="0" anchor="ctr"/>
              <a:lstStyle/>
              <a:p>
                <a:pPr algn="ctr"/>
                <a:r>
                  <a:rPr lang="es-ES" sz="1200" b="1" u="none">
                    <a:solidFill>
                      <a:sysClr val="windowText" lastClr="000000"/>
                    </a:solidFill>
                    <a:latin typeface="Calibri Light" panose="020F0302020204030204" pitchFamily="34" charset="0"/>
                  </a:rPr>
                  <a:t>Certificado</a:t>
                </a:r>
                <a:r>
                  <a:rPr lang="es-ES" sz="1200" b="1" u="none" baseline="0">
                    <a:solidFill>
                      <a:sysClr val="windowText" lastClr="000000"/>
                    </a:solidFill>
                    <a:latin typeface="Calibri Light" panose="020F0302020204030204" pitchFamily="34" charset="0"/>
                  </a:rPr>
                  <a:t> Anticipado</a:t>
                </a:r>
                <a:endParaRPr lang="es-ES" sz="1200" b="1" u="none">
                  <a:solidFill>
                    <a:sysClr val="windowText" lastClr="000000"/>
                  </a:solidFill>
                  <a:latin typeface="Calibri Light" panose="020F0302020204030204" pitchFamily="34" charset="0"/>
                </a:endParaRPr>
              </a:p>
            </xdr:txBody>
          </xdr:sp>
        </xdr:grp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45720</xdr:rowOff>
    </xdr:from>
    <xdr:to>
      <xdr:col>5</xdr:col>
      <xdr:colOff>320040</xdr:colOff>
      <xdr:row>2</xdr:row>
      <xdr:rowOff>142635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45720"/>
          <a:ext cx="2423160" cy="462675"/>
        </a:xfrm>
        <a:prstGeom prst="rect">
          <a:avLst/>
        </a:prstGeom>
      </xdr:spPr>
    </xdr:pic>
    <xdr:clientData/>
  </xdr:twoCellAnchor>
  <xdr:twoCellAnchor editAs="absolute">
    <xdr:from>
      <xdr:col>1</xdr:col>
      <xdr:colOff>15240</xdr:colOff>
      <xdr:row>4</xdr:row>
      <xdr:rowOff>7620</xdr:rowOff>
    </xdr:from>
    <xdr:to>
      <xdr:col>4</xdr:col>
      <xdr:colOff>2591</xdr:colOff>
      <xdr:row>16</xdr:row>
      <xdr:rowOff>157410</xdr:rowOff>
    </xdr:to>
    <xdr:grpSp>
      <xdr:nvGrpSpPr>
        <xdr:cNvPr id="21" name="20 Grupo"/>
        <xdr:cNvGrpSpPr/>
      </xdr:nvGrpSpPr>
      <xdr:grpSpPr>
        <a:xfrm>
          <a:off x="640080" y="807720"/>
          <a:ext cx="1496111" cy="3525450"/>
          <a:chOff x="640080" y="807720"/>
          <a:chExt cx="1473251" cy="3525450"/>
        </a:xfrm>
      </xdr:grpSpPr>
      <xdr:sp macro="" textlink="">
        <xdr:nvSpPr>
          <xdr:cNvPr id="12" name="11 Rectángulo"/>
          <xdr:cNvSpPr/>
        </xdr:nvSpPr>
        <xdr:spPr>
          <a:xfrm>
            <a:off x="640505" y="807720"/>
            <a:ext cx="1472400" cy="257862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Inversiones</a:t>
            </a:r>
          </a:p>
        </xdr:txBody>
      </xdr:sp>
      <xdr:sp macro="[0]!Inicio" textlink="">
        <xdr:nvSpPr>
          <xdr:cNvPr id="13" name="12 Rectángulo"/>
          <xdr:cNvSpPr/>
        </xdr:nvSpPr>
        <xdr:spPr>
          <a:xfrm>
            <a:off x="640505" y="1089658"/>
            <a:ext cx="1472400" cy="257862"/>
          </a:xfrm>
          <a:prstGeom prst="rect">
            <a:avLst/>
          </a:prstGeom>
          <a:solidFill>
            <a:srgbClr val="675C5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Inicio</a:t>
            </a:r>
          </a:p>
        </xdr:txBody>
      </xdr:sp>
      <xdr:sp macro="" textlink="">
        <xdr:nvSpPr>
          <xdr:cNvPr id="15" name="14 Rectángulo"/>
          <xdr:cNvSpPr/>
        </xdr:nvSpPr>
        <xdr:spPr>
          <a:xfrm>
            <a:off x="640080" y="1376090"/>
            <a:ext cx="1473251" cy="2957080"/>
          </a:xfrm>
          <a:prstGeom prst="rect">
            <a:avLst/>
          </a:prstGeom>
          <a:solidFill>
            <a:srgbClr val="FECB00">
              <a:alpha val="4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Plazodolar" textlink="">
        <xdr:nvSpPr>
          <xdr:cNvPr id="17" name="16 Rectángulo"/>
          <xdr:cNvSpPr/>
        </xdr:nvSpPr>
        <xdr:spPr>
          <a:xfrm>
            <a:off x="750574" y="2329105"/>
            <a:ext cx="1252263" cy="434591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 u="none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Plazodólar</a:t>
            </a:r>
          </a:p>
        </xdr:txBody>
      </xdr:sp>
      <xdr:sp macro="[0]!Europlazo" textlink="">
        <xdr:nvSpPr>
          <xdr:cNvPr id="18" name="17 Rectángulo"/>
          <xdr:cNvSpPr/>
        </xdr:nvSpPr>
        <xdr:spPr>
          <a:xfrm>
            <a:off x="750574" y="3576963"/>
            <a:ext cx="1252263" cy="434591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 u="none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Europlazo</a:t>
            </a:r>
          </a:p>
        </xdr:txBody>
      </xdr:sp>
      <xdr:sp macro="[0]!Armadolar" textlink="">
        <xdr:nvSpPr>
          <xdr:cNvPr id="19" name="18 Rectángulo"/>
          <xdr:cNvSpPr/>
        </xdr:nvSpPr>
        <xdr:spPr>
          <a:xfrm>
            <a:off x="750574" y="1697707"/>
            <a:ext cx="1252263" cy="434591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 u="none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Armadórlar</a:t>
            </a:r>
            <a:endParaRPr lang="es-ES" sz="1050" b="1" u="none">
              <a:solidFill>
                <a:sysClr val="windowText" lastClr="000000"/>
              </a:solidFill>
              <a:latin typeface="Calibri Light" panose="020F0302020204030204" pitchFamily="34" charset="0"/>
            </a:endParaRPr>
          </a:p>
        </xdr:txBody>
      </xdr:sp>
      <xdr:sp macro="[0]!CertificadoAnticipado" textlink="">
        <xdr:nvSpPr>
          <xdr:cNvPr id="20" name="19 Rectángulo"/>
          <xdr:cNvSpPr/>
        </xdr:nvSpPr>
        <xdr:spPr>
          <a:xfrm>
            <a:off x="750574" y="2965273"/>
            <a:ext cx="1252263" cy="434591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 u="none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Certificado</a:t>
            </a:r>
            <a:r>
              <a:rPr lang="es-ES" sz="1200" b="1" u="none" baseline="0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 Anticipado</a:t>
            </a:r>
            <a:endParaRPr lang="es-ES" sz="1200" b="1" u="none">
              <a:solidFill>
                <a:sysClr val="windowText" lastClr="000000"/>
              </a:solidFill>
              <a:latin typeface="Calibri Light" panose="020F030202020403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45720</xdr:rowOff>
    </xdr:from>
    <xdr:to>
      <xdr:col>5</xdr:col>
      <xdr:colOff>320040</xdr:colOff>
      <xdr:row>2</xdr:row>
      <xdr:rowOff>142635</xdr:rowOff>
    </xdr:to>
    <xdr:pic>
      <xdr:nvPicPr>
        <xdr:cNvPr id="13" name="1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45720"/>
          <a:ext cx="2423160" cy="462675"/>
        </a:xfrm>
        <a:prstGeom prst="rect">
          <a:avLst/>
        </a:prstGeom>
      </xdr:spPr>
    </xdr:pic>
    <xdr:clientData/>
  </xdr:twoCellAnchor>
  <xdr:twoCellAnchor editAs="absolute">
    <xdr:from>
      <xdr:col>1</xdr:col>
      <xdr:colOff>7620</xdr:colOff>
      <xdr:row>4</xdr:row>
      <xdr:rowOff>7620</xdr:rowOff>
    </xdr:from>
    <xdr:to>
      <xdr:col>3</xdr:col>
      <xdr:colOff>490271</xdr:colOff>
      <xdr:row>16</xdr:row>
      <xdr:rowOff>157410</xdr:rowOff>
    </xdr:to>
    <xdr:grpSp>
      <xdr:nvGrpSpPr>
        <xdr:cNvPr id="2" name="1 Grupo"/>
        <xdr:cNvGrpSpPr/>
      </xdr:nvGrpSpPr>
      <xdr:grpSpPr>
        <a:xfrm>
          <a:off x="632460" y="807720"/>
          <a:ext cx="1488491" cy="3525450"/>
          <a:chOff x="632460" y="807720"/>
          <a:chExt cx="1473251" cy="3525450"/>
        </a:xfrm>
      </xdr:grpSpPr>
      <xdr:sp macro="" textlink="">
        <xdr:nvSpPr>
          <xdr:cNvPr id="12" name="11 Rectángulo"/>
          <xdr:cNvSpPr/>
        </xdr:nvSpPr>
        <xdr:spPr>
          <a:xfrm>
            <a:off x="632885" y="807720"/>
            <a:ext cx="1472400" cy="257862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Inversiones</a:t>
            </a:r>
          </a:p>
        </xdr:txBody>
      </xdr:sp>
      <xdr:sp macro="[0]!Inicio" textlink="">
        <xdr:nvSpPr>
          <xdr:cNvPr id="14" name="13 Rectángulo"/>
          <xdr:cNvSpPr/>
        </xdr:nvSpPr>
        <xdr:spPr>
          <a:xfrm>
            <a:off x="632885" y="1089658"/>
            <a:ext cx="1472400" cy="257862"/>
          </a:xfrm>
          <a:prstGeom prst="rect">
            <a:avLst/>
          </a:prstGeom>
          <a:solidFill>
            <a:srgbClr val="675C5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Inicio</a:t>
            </a:r>
          </a:p>
        </xdr:txBody>
      </xdr:sp>
      <xdr:sp macro="" textlink="">
        <xdr:nvSpPr>
          <xdr:cNvPr id="16" name="15 Rectángulo"/>
          <xdr:cNvSpPr/>
        </xdr:nvSpPr>
        <xdr:spPr>
          <a:xfrm>
            <a:off x="632460" y="1376090"/>
            <a:ext cx="1473251" cy="2957080"/>
          </a:xfrm>
          <a:prstGeom prst="rect">
            <a:avLst/>
          </a:prstGeom>
          <a:solidFill>
            <a:srgbClr val="FECB00">
              <a:alpha val="4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Plazodolar" textlink="">
        <xdr:nvSpPr>
          <xdr:cNvPr id="18" name="17 Rectángulo"/>
          <xdr:cNvSpPr/>
        </xdr:nvSpPr>
        <xdr:spPr>
          <a:xfrm>
            <a:off x="742954" y="2329105"/>
            <a:ext cx="1252263" cy="434591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 u="none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Plazodólar</a:t>
            </a:r>
          </a:p>
        </xdr:txBody>
      </xdr:sp>
      <xdr:sp macro="[0]!Europlazo" textlink="">
        <xdr:nvSpPr>
          <xdr:cNvPr id="19" name="18 Rectángulo"/>
          <xdr:cNvSpPr/>
        </xdr:nvSpPr>
        <xdr:spPr>
          <a:xfrm>
            <a:off x="742954" y="3576963"/>
            <a:ext cx="1252263" cy="434591"/>
          </a:xfrm>
          <a:prstGeom prst="rect">
            <a:avLst/>
          </a:prstGeom>
          <a:solidFill>
            <a:sysClr val="window" lastClr="FFFFFF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 u="none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Europlazo</a:t>
            </a:r>
          </a:p>
        </xdr:txBody>
      </xdr:sp>
      <xdr:sp macro="[0]!Armadolar" textlink="">
        <xdr:nvSpPr>
          <xdr:cNvPr id="20" name="19 Rectángulo"/>
          <xdr:cNvSpPr/>
        </xdr:nvSpPr>
        <xdr:spPr>
          <a:xfrm>
            <a:off x="742954" y="1697707"/>
            <a:ext cx="1252263" cy="434591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 u="none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Armadórlar</a:t>
            </a:r>
            <a:endParaRPr lang="es-ES" sz="1050" b="1" u="none">
              <a:solidFill>
                <a:sysClr val="windowText" lastClr="000000"/>
              </a:solidFill>
              <a:latin typeface="Calibri Light" panose="020F0302020204030204" pitchFamily="34" charset="0"/>
            </a:endParaRPr>
          </a:p>
        </xdr:txBody>
      </xdr:sp>
      <xdr:sp macro="[0]!CertificadoAnticipado" textlink="">
        <xdr:nvSpPr>
          <xdr:cNvPr id="21" name="20 Rectángulo"/>
          <xdr:cNvSpPr/>
        </xdr:nvSpPr>
        <xdr:spPr>
          <a:xfrm>
            <a:off x="742954" y="2965273"/>
            <a:ext cx="1252263" cy="434591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 u="none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Certificado</a:t>
            </a:r>
            <a:r>
              <a:rPr lang="es-ES" sz="1200" b="1" u="none" baseline="0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 Anticipado</a:t>
            </a:r>
            <a:endParaRPr lang="es-ES" sz="1200" b="1" u="none">
              <a:solidFill>
                <a:sysClr val="windowText" lastClr="000000"/>
              </a:solidFill>
              <a:latin typeface="Calibri Light" panose="020F030202020403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8313</xdr:colOff>
      <xdr:row>4</xdr:row>
      <xdr:rowOff>8314</xdr:rowOff>
    </xdr:from>
    <xdr:to>
      <xdr:col>4</xdr:col>
      <xdr:colOff>1898</xdr:colOff>
      <xdr:row>15</xdr:row>
      <xdr:rowOff>146742</xdr:rowOff>
    </xdr:to>
    <xdr:grpSp>
      <xdr:nvGrpSpPr>
        <xdr:cNvPr id="4" name="3 Grupo"/>
        <xdr:cNvGrpSpPr/>
      </xdr:nvGrpSpPr>
      <xdr:grpSpPr>
        <a:xfrm>
          <a:off x="633153" y="808414"/>
          <a:ext cx="1502345" cy="3285488"/>
          <a:chOff x="633153" y="808414"/>
          <a:chExt cx="1479485" cy="3285488"/>
        </a:xfrm>
      </xdr:grpSpPr>
      <xdr:sp macro="" textlink="">
        <xdr:nvSpPr>
          <xdr:cNvPr id="15" name="14 Rectángulo"/>
          <xdr:cNvSpPr/>
        </xdr:nvSpPr>
        <xdr:spPr>
          <a:xfrm>
            <a:off x="633153" y="1425629"/>
            <a:ext cx="1479485" cy="2668273"/>
          </a:xfrm>
          <a:prstGeom prst="rect">
            <a:avLst/>
          </a:prstGeom>
          <a:solidFill>
            <a:srgbClr val="FECB00">
              <a:alpha val="4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" name="15 Rectángulo"/>
          <xdr:cNvSpPr/>
        </xdr:nvSpPr>
        <xdr:spPr>
          <a:xfrm>
            <a:off x="744114" y="1830666"/>
            <a:ext cx="1257562" cy="481582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Cuenta de </a:t>
            </a:r>
          </a:p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Ahorros</a:t>
            </a:r>
            <a:endParaRPr lang="es-ES" sz="1050" b="1">
              <a:solidFill>
                <a:sysClr val="windowText" lastClr="000000"/>
              </a:solidFill>
              <a:latin typeface="Calibri Light" panose="020F0302020204030204" pitchFamily="34" charset="0"/>
            </a:endParaRPr>
          </a:p>
        </xdr:txBody>
      </xdr:sp>
      <xdr:sp macro="[0]!Ahorro_Europlazo" textlink="">
        <xdr:nvSpPr>
          <xdr:cNvPr id="17" name="16 Rectángulo"/>
          <xdr:cNvSpPr/>
        </xdr:nvSpPr>
        <xdr:spPr>
          <a:xfrm>
            <a:off x="744114" y="2516413"/>
            <a:ext cx="1257562" cy="481582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Ahorro Euro</a:t>
            </a:r>
          </a:p>
        </xdr:txBody>
      </xdr:sp>
      <xdr:sp macro="[0]!Cuenta_Xperta" textlink="">
        <xdr:nvSpPr>
          <xdr:cNvPr id="18" name="17 Rectángulo"/>
          <xdr:cNvSpPr/>
        </xdr:nvSpPr>
        <xdr:spPr>
          <a:xfrm>
            <a:off x="744114" y="3207284"/>
            <a:ext cx="1257562" cy="481582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Cuenta Xperta</a:t>
            </a:r>
          </a:p>
        </xdr:txBody>
      </xdr:sp>
      <xdr:sp macro="" textlink="">
        <xdr:nvSpPr>
          <xdr:cNvPr id="13" name="12 Rectángulo"/>
          <xdr:cNvSpPr/>
        </xdr:nvSpPr>
        <xdr:spPr>
          <a:xfrm>
            <a:off x="633153" y="808414"/>
            <a:ext cx="1479485" cy="277645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Ahorros</a:t>
            </a:r>
          </a:p>
        </xdr:txBody>
      </xdr:sp>
      <xdr:sp macro="[0]!Inicio" textlink="">
        <xdr:nvSpPr>
          <xdr:cNvPr id="14" name="13 Rectángulo"/>
          <xdr:cNvSpPr/>
        </xdr:nvSpPr>
        <xdr:spPr>
          <a:xfrm>
            <a:off x="633153" y="1118770"/>
            <a:ext cx="1479485" cy="277645"/>
          </a:xfrm>
          <a:prstGeom prst="rect">
            <a:avLst/>
          </a:prstGeom>
          <a:solidFill>
            <a:srgbClr val="675C5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Inicio</a:t>
            </a:r>
          </a:p>
        </xdr:txBody>
      </xdr:sp>
    </xdr:grpSp>
    <xdr:clientData/>
  </xdr:twoCellAnchor>
  <xdr:twoCellAnchor editAs="oneCell">
    <xdr:from>
      <xdr:col>1</xdr:col>
      <xdr:colOff>7620</xdr:colOff>
      <xdr:row>0</xdr:row>
      <xdr:rowOff>45720</xdr:rowOff>
    </xdr:from>
    <xdr:to>
      <xdr:col>5</xdr:col>
      <xdr:colOff>320040</xdr:colOff>
      <xdr:row>2</xdr:row>
      <xdr:rowOff>142635</xdr:rowOff>
    </xdr:to>
    <xdr:pic>
      <xdr:nvPicPr>
        <xdr:cNvPr id="21" name="20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45720"/>
          <a:ext cx="2423160" cy="462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45720</xdr:rowOff>
    </xdr:from>
    <xdr:to>
      <xdr:col>5</xdr:col>
      <xdr:colOff>320040</xdr:colOff>
      <xdr:row>2</xdr:row>
      <xdr:rowOff>142635</xdr:rowOff>
    </xdr:to>
    <xdr:pic>
      <xdr:nvPicPr>
        <xdr:cNvPr id="21" name="20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45720"/>
          <a:ext cx="2423160" cy="462675"/>
        </a:xfrm>
        <a:prstGeom prst="rect">
          <a:avLst/>
        </a:prstGeom>
      </xdr:spPr>
    </xdr:pic>
    <xdr:clientData/>
  </xdr:twoCellAnchor>
  <xdr:twoCellAnchor editAs="absolute">
    <xdr:from>
      <xdr:col>1</xdr:col>
      <xdr:colOff>7620</xdr:colOff>
      <xdr:row>4</xdr:row>
      <xdr:rowOff>7620</xdr:rowOff>
    </xdr:from>
    <xdr:to>
      <xdr:col>4</xdr:col>
      <xdr:colOff>1205</xdr:colOff>
      <xdr:row>15</xdr:row>
      <xdr:rowOff>146048</xdr:rowOff>
    </xdr:to>
    <xdr:grpSp>
      <xdr:nvGrpSpPr>
        <xdr:cNvPr id="2" name="1 Grupo"/>
        <xdr:cNvGrpSpPr/>
      </xdr:nvGrpSpPr>
      <xdr:grpSpPr>
        <a:xfrm>
          <a:off x="632460" y="807720"/>
          <a:ext cx="1502345" cy="3285488"/>
          <a:chOff x="632460" y="807720"/>
          <a:chExt cx="1479485" cy="3285488"/>
        </a:xfrm>
      </xdr:grpSpPr>
      <xdr:sp macro="" textlink="">
        <xdr:nvSpPr>
          <xdr:cNvPr id="19" name="18 Rectángulo"/>
          <xdr:cNvSpPr/>
        </xdr:nvSpPr>
        <xdr:spPr>
          <a:xfrm>
            <a:off x="632460" y="1424935"/>
            <a:ext cx="1479485" cy="2668273"/>
          </a:xfrm>
          <a:prstGeom prst="rect">
            <a:avLst/>
          </a:prstGeom>
          <a:solidFill>
            <a:srgbClr val="FECB00">
              <a:alpha val="4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Ahorro_Tradicional" textlink="">
        <xdr:nvSpPr>
          <xdr:cNvPr id="20" name="19 Rectángulo"/>
          <xdr:cNvSpPr/>
        </xdr:nvSpPr>
        <xdr:spPr>
          <a:xfrm>
            <a:off x="743421" y="1829972"/>
            <a:ext cx="1257562" cy="481582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Cuenta de </a:t>
            </a:r>
          </a:p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Ahorros</a:t>
            </a:r>
            <a:endParaRPr lang="es-ES" sz="1050" b="1">
              <a:solidFill>
                <a:sysClr val="windowText" lastClr="000000"/>
              </a:solidFill>
              <a:latin typeface="Calibri Light" panose="020F0302020204030204" pitchFamily="34" charset="0"/>
            </a:endParaRPr>
          </a:p>
        </xdr:txBody>
      </xdr:sp>
      <xdr:sp macro="[0]!Ahorro_Europlazo" textlink="">
        <xdr:nvSpPr>
          <xdr:cNvPr id="22" name="21 Rectángulo"/>
          <xdr:cNvSpPr/>
        </xdr:nvSpPr>
        <xdr:spPr>
          <a:xfrm>
            <a:off x="743421" y="2515719"/>
            <a:ext cx="1257562" cy="481582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Ahorro Euro</a:t>
            </a:r>
          </a:p>
        </xdr:txBody>
      </xdr:sp>
      <xdr:sp macro="[0]!Cuenta_Xperta" textlink="">
        <xdr:nvSpPr>
          <xdr:cNvPr id="23" name="22 Rectángulo"/>
          <xdr:cNvSpPr/>
        </xdr:nvSpPr>
        <xdr:spPr>
          <a:xfrm>
            <a:off x="743421" y="3206590"/>
            <a:ext cx="1257562" cy="481582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Cuenta Xperta</a:t>
            </a:r>
          </a:p>
        </xdr:txBody>
      </xdr:sp>
      <xdr:sp macro="" textlink="">
        <xdr:nvSpPr>
          <xdr:cNvPr id="24" name="23 Rectángulo"/>
          <xdr:cNvSpPr/>
        </xdr:nvSpPr>
        <xdr:spPr>
          <a:xfrm>
            <a:off x="632460" y="807720"/>
            <a:ext cx="1479485" cy="277645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Ahorros</a:t>
            </a:r>
          </a:p>
        </xdr:txBody>
      </xdr:sp>
      <xdr:sp macro="[0]!Inicio" textlink="">
        <xdr:nvSpPr>
          <xdr:cNvPr id="25" name="24 Rectángulo"/>
          <xdr:cNvSpPr/>
        </xdr:nvSpPr>
        <xdr:spPr>
          <a:xfrm>
            <a:off x="632460" y="1118076"/>
            <a:ext cx="1479485" cy="277645"/>
          </a:xfrm>
          <a:prstGeom prst="rect">
            <a:avLst/>
          </a:prstGeom>
          <a:solidFill>
            <a:srgbClr val="675C5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Inicio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45720</xdr:rowOff>
    </xdr:from>
    <xdr:to>
      <xdr:col>5</xdr:col>
      <xdr:colOff>320040</xdr:colOff>
      <xdr:row>2</xdr:row>
      <xdr:rowOff>142635</xdr:rowOff>
    </xdr:to>
    <xdr:pic>
      <xdr:nvPicPr>
        <xdr:cNvPr id="21" name="20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45720"/>
          <a:ext cx="2423160" cy="462675"/>
        </a:xfrm>
        <a:prstGeom prst="rect">
          <a:avLst/>
        </a:prstGeom>
      </xdr:spPr>
    </xdr:pic>
    <xdr:clientData/>
  </xdr:twoCellAnchor>
  <xdr:twoCellAnchor editAs="absolute">
    <xdr:from>
      <xdr:col>1</xdr:col>
      <xdr:colOff>7620</xdr:colOff>
      <xdr:row>4</xdr:row>
      <xdr:rowOff>7620</xdr:rowOff>
    </xdr:from>
    <xdr:to>
      <xdr:col>4</xdr:col>
      <xdr:colOff>1205</xdr:colOff>
      <xdr:row>15</xdr:row>
      <xdr:rowOff>130808</xdr:rowOff>
    </xdr:to>
    <xdr:grpSp>
      <xdr:nvGrpSpPr>
        <xdr:cNvPr id="3" name="2 Grupo"/>
        <xdr:cNvGrpSpPr/>
      </xdr:nvGrpSpPr>
      <xdr:grpSpPr>
        <a:xfrm>
          <a:off x="632460" y="807720"/>
          <a:ext cx="1502345" cy="3285488"/>
          <a:chOff x="632460" y="807720"/>
          <a:chExt cx="1479485" cy="3285488"/>
        </a:xfrm>
      </xdr:grpSpPr>
      <xdr:sp macro="" textlink="">
        <xdr:nvSpPr>
          <xdr:cNvPr id="19" name="18 Rectángulo"/>
          <xdr:cNvSpPr/>
        </xdr:nvSpPr>
        <xdr:spPr>
          <a:xfrm>
            <a:off x="632460" y="1424935"/>
            <a:ext cx="1479485" cy="2668273"/>
          </a:xfrm>
          <a:prstGeom prst="rect">
            <a:avLst/>
          </a:prstGeom>
          <a:solidFill>
            <a:srgbClr val="FECB00">
              <a:alpha val="4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Ahorro_Tradicional" textlink="">
        <xdr:nvSpPr>
          <xdr:cNvPr id="20" name="19 Rectángulo"/>
          <xdr:cNvSpPr/>
        </xdr:nvSpPr>
        <xdr:spPr>
          <a:xfrm>
            <a:off x="743421" y="1829972"/>
            <a:ext cx="1257562" cy="481582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Cuenta de </a:t>
            </a:r>
          </a:p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Ahorros</a:t>
            </a:r>
            <a:endParaRPr lang="es-ES" sz="1050" b="1">
              <a:solidFill>
                <a:sysClr val="windowText" lastClr="000000"/>
              </a:solidFill>
              <a:latin typeface="Calibri Light" panose="020F0302020204030204" pitchFamily="34" charset="0"/>
            </a:endParaRPr>
          </a:p>
        </xdr:txBody>
      </xdr:sp>
      <xdr:sp macro="[0]!Ahorro_Europlazo" textlink="">
        <xdr:nvSpPr>
          <xdr:cNvPr id="22" name="21 Rectángulo"/>
          <xdr:cNvSpPr/>
        </xdr:nvSpPr>
        <xdr:spPr>
          <a:xfrm>
            <a:off x="743421" y="2515719"/>
            <a:ext cx="1257562" cy="481582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Ahorro Euro</a:t>
            </a:r>
          </a:p>
        </xdr:txBody>
      </xdr:sp>
      <xdr:sp macro="[0]!Cuenta_Xperta" textlink="">
        <xdr:nvSpPr>
          <xdr:cNvPr id="23" name="22 Rectángulo"/>
          <xdr:cNvSpPr/>
        </xdr:nvSpPr>
        <xdr:spPr>
          <a:xfrm>
            <a:off x="743421" y="3206590"/>
            <a:ext cx="1257562" cy="481582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Cuenta Xperta</a:t>
            </a:r>
          </a:p>
        </xdr:txBody>
      </xdr:sp>
      <xdr:sp macro="" textlink="">
        <xdr:nvSpPr>
          <xdr:cNvPr id="24" name="23 Rectángulo"/>
          <xdr:cNvSpPr/>
        </xdr:nvSpPr>
        <xdr:spPr>
          <a:xfrm>
            <a:off x="632460" y="807720"/>
            <a:ext cx="1479485" cy="277645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Ahorros</a:t>
            </a:r>
          </a:p>
        </xdr:txBody>
      </xdr:sp>
      <xdr:sp macro="[0]!Inicio" textlink="">
        <xdr:nvSpPr>
          <xdr:cNvPr id="25" name="24 Rectángulo"/>
          <xdr:cNvSpPr/>
        </xdr:nvSpPr>
        <xdr:spPr>
          <a:xfrm>
            <a:off x="632460" y="1118076"/>
            <a:ext cx="1479485" cy="277645"/>
          </a:xfrm>
          <a:prstGeom prst="rect">
            <a:avLst/>
          </a:prstGeom>
          <a:solidFill>
            <a:srgbClr val="675C5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Inicio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4504</xdr:colOff>
      <xdr:row>4</xdr:row>
      <xdr:rowOff>8313</xdr:rowOff>
    </xdr:from>
    <xdr:to>
      <xdr:col>3</xdr:col>
      <xdr:colOff>493389</xdr:colOff>
      <xdr:row>16</xdr:row>
      <xdr:rowOff>165048</xdr:rowOff>
    </xdr:to>
    <xdr:grpSp>
      <xdr:nvGrpSpPr>
        <xdr:cNvPr id="3" name="2 Grupo"/>
        <xdr:cNvGrpSpPr/>
      </xdr:nvGrpSpPr>
      <xdr:grpSpPr>
        <a:xfrm>
          <a:off x="629344" y="808413"/>
          <a:ext cx="1494725" cy="3303795"/>
          <a:chOff x="629344" y="808413"/>
          <a:chExt cx="1479485" cy="3303795"/>
        </a:xfrm>
      </xdr:grpSpPr>
      <xdr:sp macro="" textlink="">
        <xdr:nvSpPr>
          <xdr:cNvPr id="15" name="14 Rectángulo"/>
          <xdr:cNvSpPr/>
        </xdr:nvSpPr>
        <xdr:spPr>
          <a:xfrm>
            <a:off x="629344" y="1441264"/>
            <a:ext cx="1479485" cy="2670944"/>
          </a:xfrm>
          <a:prstGeom prst="rect">
            <a:avLst/>
          </a:prstGeom>
          <a:solidFill>
            <a:srgbClr val="FECB00">
              <a:alpha val="4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" name="15 Rectángulo"/>
          <xdr:cNvSpPr/>
        </xdr:nvSpPr>
        <xdr:spPr>
          <a:xfrm>
            <a:off x="742923" y="1846706"/>
            <a:ext cx="1252327" cy="482064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Ahorro</a:t>
            </a:r>
            <a:r>
              <a:rPr lang="es-ES" sz="1200" b="1" baseline="0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 Futuro</a:t>
            </a:r>
            <a:endParaRPr lang="es-ES" sz="1050" b="1">
              <a:solidFill>
                <a:sysClr val="windowText" lastClr="000000"/>
              </a:solidFill>
              <a:latin typeface="Calibri Light" panose="020F0302020204030204" pitchFamily="34" charset="0"/>
            </a:endParaRPr>
          </a:p>
        </xdr:txBody>
      </xdr:sp>
      <xdr:sp macro="[0]!Ahorro_futuro_reserva" textlink="">
        <xdr:nvSpPr>
          <xdr:cNvPr id="17" name="16 Rectángulo"/>
          <xdr:cNvSpPr/>
        </xdr:nvSpPr>
        <xdr:spPr>
          <a:xfrm>
            <a:off x="742923" y="2533140"/>
            <a:ext cx="1252327" cy="482064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 u="none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Ahorro Futuro Reservas</a:t>
            </a:r>
          </a:p>
        </xdr:txBody>
      </xdr:sp>
      <xdr:sp macro="[0]!Ahorro_futuro_decimos" textlink="">
        <xdr:nvSpPr>
          <xdr:cNvPr id="18" name="17 Rectángulo"/>
          <xdr:cNvSpPr/>
        </xdr:nvSpPr>
        <xdr:spPr>
          <a:xfrm>
            <a:off x="742923" y="3224703"/>
            <a:ext cx="1252327" cy="482064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Ahorro Futuro</a:t>
            </a:r>
            <a:r>
              <a:rPr lang="es-ES" sz="1200" b="1" baseline="0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 Décimos</a:t>
            </a:r>
            <a:endParaRPr lang="es-ES" sz="1200" b="1">
              <a:solidFill>
                <a:sysClr val="windowText" lastClr="000000"/>
              </a:solidFill>
              <a:latin typeface="Calibri Light" panose="020F0302020204030204" pitchFamily="34" charset="0"/>
            </a:endParaRPr>
          </a:p>
        </xdr:txBody>
      </xdr:sp>
      <xdr:sp macro="" textlink="">
        <xdr:nvSpPr>
          <xdr:cNvPr id="13" name="12 Rectángulo"/>
          <xdr:cNvSpPr/>
        </xdr:nvSpPr>
        <xdr:spPr>
          <a:xfrm>
            <a:off x="629344" y="808413"/>
            <a:ext cx="1479485" cy="277923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Ahorros Futuros</a:t>
            </a:r>
          </a:p>
        </xdr:txBody>
      </xdr:sp>
      <xdr:sp macro="[0]!Inicio" textlink="">
        <xdr:nvSpPr>
          <xdr:cNvPr id="14" name="13 Rectángulo"/>
          <xdr:cNvSpPr/>
        </xdr:nvSpPr>
        <xdr:spPr>
          <a:xfrm>
            <a:off x="629344" y="1121955"/>
            <a:ext cx="1479485" cy="277923"/>
          </a:xfrm>
          <a:prstGeom prst="rect">
            <a:avLst/>
          </a:prstGeom>
          <a:solidFill>
            <a:srgbClr val="675C5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Inicio</a:t>
            </a:r>
          </a:p>
        </xdr:txBody>
      </xdr:sp>
    </xdr:grpSp>
    <xdr:clientData/>
  </xdr:twoCellAnchor>
  <xdr:twoCellAnchor editAs="oneCell">
    <xdr:from>
      <xdr:col>1</xdr:col>
      <xdr:colOff>7620</xdr:colOff>
      <xdr:row>0</xdr:row>
      <xdr:rowOff>45720</xdr:rowOff>
    </xdr:from>
    <xdr:to>
      <xdr:col>5</xdr:col>
      <xdr:colOff>320040</xdr:colOff>
      <xdr:row>2</xdr:row>
      <xdr:rowOff>142635</xdr:rowOff>
    </xdr:to>
    <xdr:pic>
      <xdr:nvPicPr>
        <xdr:cNvPr id="21" name="20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45720"/>
          <a:ext cx="2423160" cy="462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45720</xdr:rowOff>
    </xdr:from>
    <xdr:to>
      <xdr:col>5</xdr:col>
      <xdr:colOff>320040</xdr:colOff>
      <xdr:row>2</xdr:row>
      <xdr:rowOff>142635</xdr:rowOff>
    </xdr:to>
    <xdr:pic>
      <xdr:nvPicPr>
        <xdr:cNvPr id="21" name="20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45720"/>
          <a:ext cx="2423160" cy="462675"/>
        </a:xfrm>
        <a:prstGeom prst="rect">
          <a:avLst/>
        </a:prstGeom>
      </xdr:spPr>
    </xdr:pic>
    <xdr:clientData/>
  </xdr:twoCellAnchor>
  <xdr:twoCellAnchor editAs="absolute">
    <xdr:from>
      <xdr:col>1</xdr:col>
      <xdr:colOff>7620</xdr:colOff>
      <xdr:row>4</xdr:row>
      <xdr:rowOff>7620</xdr:rowOff>
    </xdr:from>
    <xdr:to>
      <xdr:col>4</xdr:col>
      <xdr:colOff>1205</xdr:colOff>
      <xdr:row>15</xdr:row>
      <xdr:rowOff>240555</xdr:rowOff>
    </xdr:to>
    <xdr:grpSp>
      <xdr:nvGrpSpPr>
        <xdr:cNvPr id="2" name="1 Grupo"/>
        <xdr:cNvGrpSpPr/>
      </xdr:nvGrpSpPr>
      <xdr:grpSpPr>
        <a:xfrm>
          <a:off x="632460" y="807720"/>
          <a:ext cx="1502345" cy="3303795"/>
          <a:chOff x="632460" y="807720"/>
          <a:chExt cx="1479485" cy="3303795"/>
        </a:xfrm>
      </xdr:grpSpPr>
      <xdr:sp macro="" textlink="">
        <xdr:nvSpPr>
          <xdr:cNvPr id="20" name="19 Rectángulo"/>
          <xdr:cNvSpPr/>
        </xdr:nvSpPr>
        <xdr:spPr>
          <a:xfrm>
            <a:off x="632460" y="1440571"/>
            <a:ext cx="1479485" cy="2670944"/>
          </a:xfrm>
          <a:prstGeom prst="rect">
            <a:avLst/>
          </a:prstGeom>
          <a:solidFill>
            <a:srgbClr val="FECB00">
              <a:alpha val="4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Ahorro_futuro_generico" textlink="">
        <xdr:nvSpPr>
          <xdr:cNvPr id="22" name="21 Rectángulo"/>
          <xdr:cNvSpPr/>
        </xdr:nvSpPr>
        <xdr:spPr>
          <a:xfrm>
            <a:off x="746039" y="1846013"/>
            <a:ext cx="1252327" cy="482064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Ahorro</a:t>
            </a:r>
            <a:r>
              <a:rPr lang="es-ES" sz="1200" b="1" baseline="0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 Futuro</a:t>
            </a:r>
            <a:endParaRPr lang="es-ES" sz="1050" b="1">
              <a:solidFill>
                <a:sysClr val="windowText" lastClr="000000"/>
              </a:solidFill>
              <a:latin typeface="Calibri Light" panose="020F0302020204030204" pitchFamily="34" charset="0"/>
            </a:endParaRPr>
          </a:p>
        </xdr:txBody>
      </xdr:sp>
      <xdr:sp macro="" textlink="">
        <xdr:nvSpPr>
          <xdr:cNvPr id="23" name="22 Rectángulo"/>
          <xdr:cNvSpPr/>
        </xdr:nvSpPr>
        <xdr:spPr>
          <a:xfrm>
            <a:off x="746039" y="2532447"/>
            <a:ext cx="1252327" cy="482064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 u="none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Ahorro Futuro Reservas</a:t>
            </a:r>
          </a:p>
        </xdr:txBody>
      </xdr:sp>
      <xdr:sp macro="[0]!Ahorro_futuro_decimos" textlink="">
        <xdr:nvSpPr>
          <xdr:cNvPr id="24" name="23 Rectángulo"/>
          <xdr:cNvSpPr/>
        </xdr:nvSpPr>
        <xdr:spPr>
          <a:xfrm>
            <a:off x="746039" y="3224010"/>
            <a:ext cx="1252327" cy="482064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Ahorro Futuro</a:t>
            </a:r>
            <a:r>
              <a:rPr lang="es-ES" sz="1200" b="1" baseline="0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 Décimos</a:t>
            </a:r>
            <a:endParaRPr lang="es-ES" sz="1200" b="1">
              <a:solidFill>
                <a:sysClr val="windowText" lastClr="000000"/>
              </a:solidFill>
              <a:latin typeface="Calibri Light" panose="020F0302020204030204" pitchFamily="34" charset="0"/>
            </a:endParaRPr>
          </a:p>
        </xdr:txBody>
      </xdr:sp>
      <xdr:sp macro="" textlink="">
        <xdr:nvSpPr>
          <xdr:cNvPr id="25" name="24 Rectángulo"/>
          <xdr:cNvSpPr/>
        </xdr:nvSpPr>
        <xdr:spPr>
          <a:xfrm>
            <a:off x="632460" y="807720"/>
            <a:ext cx="1479485" cy="277923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Ahorros Futuros</a:t>
            </a:r>
          </a:p>
        </xdr:txBody>
      </xdr:sp>
      <xdr:sp macro="[0]!Inicio" textlink="">
        <xdr:nvSpPr>
          <xdr:cNvPr id="26" name="25 Rectángulo"/>
          <xdr:cNvSpPr/>
        </xdr:nvSpPr>
        <xdr:spPr>
          <a:xfrm>
            <a:off x="632460" y="1121262"/>
            <a:ext cx="1479485" cy="277923"/>
          </a:xfrm>
          <a:prstGeom prst="rect">
            <a:avLst/>
          </a:prstGeom>
          <a:solidFill>
            <a:srgbClr val="675C5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Inicio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45720</xdr:rowOff>
    </xdr:from>
    <xdr:to>
      <xdr:col>5</xdr:col>
      <xdr:colOff>320040</xdr:colOff>
      <xdr:row>2</xdr:row>
      <xdr:rowOff>142635</xdr:rowOff>
    </xdr:to>
    <xdr:pic>
      <xdr:nvPicPr>
        <xdr:cNvPr id="21" name="20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45720"/>
          <a:ext cx="2423160" cy="462675"/>
        </a:xfrm>
        <a:prstGeom prst="rect">
          <a:avLst/>
        </a:prstGeom>
      </xdr:spPr>
    </xdr:pic>
    <xdr:clientData/>
  </xdr:twoCellAnchor>
  <xdr:twoCellAnchor editAs="absolute">
    <xdr:from>
      <xdr:col>1</xdr:col>
      <xdr:colOff>15240</xdr:colOff>
      <xdr:row>4</xdr:row>
      <xdr:rowOff>7620</xdr:rowOff>
    </xdr:from>
    <xdr:to>
      <xdr:col>4</xdr:col>
      <xdr:colOff>8825</xdr:colOff>
      <xdr:row>17</xdr:row>
      <xdr:rowOff>11955</xdr:rowOff>
    </xdr:to>
    <xdr:grpSp>
      <xdr:nvGrpSpPr>
        <xdr:cNvPr id="2" name="1 Grupo"/>
        <xdr:cNvGrpSpPr/>
      </xdr:nvGrpSpPr>
      <xdr:grpSpPr>
        <a:xfrm>
          <a:off x="640080" y="807720"/>
          <a:ext cx="1502345" cy="3303795"/>
          <a:chOff x="640080" y="807720"/>
          <a:chExt cx="1479485" cy="3303795"/>
        </a:xfrm>
      </xdr:grpSpPr>
      <xdr:sp macro="" textlink="">
        <xdr:nvSpPr>
          <xdr:cNvPr id="20" name="19 Rectángulo"/>
          <xdr:cNvSpPr/>
        </xdr:nvSpPr>
        <xdr:spPr>
          <a:xfrm>
            <a:off x="640080" y="1440571"/>
            <a:ext cx="1479485" cy="2670944"/>
          </a:xfrm>
          <a:prstGeom prst="rect">
            <a:avLst/>
          </a:prstGeom>
          <a:solidFill>
            <a:srgbClr val="FECB00">
              <a:alpha val="4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Ahorro_futuro_generico" textlink="">
        <xdr:nvSpPr>
          <xdr:cNvPr id="22" name="21 Rectángulo"/>
          <xdr:cNvSpPr/>
        </xdr:nvSpPr>
        <xdr:spPr>
          <a:xfrm>
            <a:off x="753659" y="1846013"/>
            <a:ext cx="1252327" cy="482064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Ahorro</a:t>
            </a:r>
            <a:r>
              <a:rPr lang="es-ES" sz="1200" b="1" baseline="0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 Futuro</a:t>
            </a:r>
            <a:endParaRPr lang="es-ES" sz="1050" b="1">
              <a:solidFill>
                <a:sysClr val="windowText" lastClr="000000"/>
              </a:solidFill>
              <a:latin typeface="Calibri Light" panose="020F0302020204030204" pitchFamily="34" charset="0"/>
            </a:endParaRPr>
          </a:p>
        </xdr:txBody>
      </xdr:sp>
      <xdr:sp macro="[0]!Ahorro_futuro_reserva" textlink="">
        <xdr:nvSpPr>
          <xdr:cNvPr id="23" name="22 Rectángulo"/>
          <xdr:cNvSpPr/>
        </xdr:nvSpPr>
        <xdr:spPr>
          <a:xfrm>
            <a:off x="753659" y="2532447"/>
            <a:ext cx="1252327" cy="482064"/>
          </a:xfrm>
          <a:prstGeom prst="rect">
            <a:avLst/>
          </a:prstGeom>
          <a:no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 u="none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Ahorro Futuro Reservas</a:t>
            </a:r>
          </a:p>
        </xdr:txBody>
      </xdr:sp>
      <xdr:sp macro="" textlink="">
        <xdr:nvSpPr>
          <xdr:cNvPr id="24" name="23 Rectángulo"/>
          <xdr:cNvSpPr/>
        </xdr:nvSpPr>
        <xdr:spPr>
          <a:xfrm>
            <a:off x="753659" y="3224010"/>
            <a:ext cx="1252327" cy="482064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Ahorro Futuro</a:t>
            </a:r>
            <a:r>
              <a:rPr lang="es-ES" sz="1200" b="1" baseline="0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 Décimos</a:t>
            </a:r>
            <a:endParaRPr lang="es-ES" sz="1200" b="1">
              <a:solidFill>
                <a:sysClr val="windowText" lastClr="000000"/>
              </a:solidFill>
              <a:latin typeface="Calibri Light" panose="020F0302020204030204" pitchFamily="34" charset="0"/>
            </a:endParaRPr>
          </a:p>
        </xdr:txBody>
      </xdr:sp>
      <xdr:sp macro="" textlink="">
        <xdr:nvSpPr>
          <xdr:cNvPr id="25" name="24 Rectángulo"/>
          <xdr:cNvSpPr/>
        </xdr:nvSpPr>
        <xdr:spPr>
          <a:xfrm>
            <a:off x="640080" y="807720"/>
            <a:ext cx="1479485" cy="277923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Ahorros Futuros</a:t>
            </a:r>
          </a:p>
        </xdr:txBody>
      </xdr:sp>
      <xdr:sp macro="[0]!Inicio" textlink="">
        <xdr:nvSpPr>
          <xdr:cNvPr id="26" name="25 Rectángulo"/>
          <xdr:cNvSpPr/>
        </xdr:nvSpPr>
        <xdr:spPr>
          <a:xfrm>
            <a:off x="640080" y="1121262"/>
            <a:ext cx="1479485" cy="277923"/>
          </a:xfrm>
          <a:prstGeom prst="rect">
            <a:avLst/>
          </a:prstGeom>
          <a:solidFill>
            <a:srgbClr val="675C5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Inicio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45720</xdr:rowOff>
    </xdr:from>
    <xdr:to>
      <xdr:col>5</xdr:col>
      <xdr:colOff>320040</xdr:colOff>
      <xdr:row>2</xdr:row>
      <xdr:rowOff>142635</xdr:rowOff>
    </xdr:to>
    <xdr:pic>
      <xdr:nvPicPr>
        <xdr:cNvPr id="14" name="1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45720"/>
          <a:ext cx="2423160" cy="462675"/>
        </a:xfrm>
        <a:prstGeom prst="rect">
          <a:avLst/>
        </a:prstGeom>
      </xdr:spPr>
    </xdr:pic>
    <xdr:clientData/>
  </xdr:twoCellAnchor>
  <xdr:twoCellAnchor editAs="absolute">
    <xdr:from>
      <xdr:col>1</xdr:col>
      <xdr:colOff>15240</xdr:colOff>
      <xdr:row>4</xdr:row>
      <xdr:rowOff>15240</xdr:rowOff>
    </xdr:from>
    <xdr:to>
      <xdr:col>4</xdr:col>
      <xdr:colOff>8825</xdr:colOff>
      <xdr:row>18</xdr:row>
      <xdr:rowOff>171975</xdr:rowOff>
    </xdr:to>
    <xdr:grpSp>
      <xdr:nvGrpSpPr>
        <xdr:cNvPr id="2" name="1 Grupo"/>
        <xdr:cNvGrpSpPr/>
      </xdr:nvGrpSpPr>
      <xdr:grpSpPr>
        <a:xfrm>
          <a:off x="640080" y="815340"/>
          <a:ext cx="1502345" cy="3303795"/>
          <a:chOff x="640080" y="815340"/>
          <a:chExt cx="1479485" cy="3303795"/>
        </a:xfrm>
      </xdr:grpSpPr>
      <xdr:sp macro="" textlink="">
        <xdr:nvSpPr>
          <xdr:cNvPr id="12" name="11 Rectángulo"/>
          <xdr:cNvSpPr/>
        </xdr:nvSpPr>
        <xdr:spPr>
          <a:xfrm>
            <a:off x="640080" y="1448191"/>
            <a:ext cx="1479485" cy="2670944"/>
          </a:xfrm>
          <a:prstGeom prst="rect">
            <a:avLst/>
          </a:prstGeom>
          <a:solidFill>
            <a:srgbClr val="FECB00">
              <a:alpha val="4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" name="12 Rectángulo"/>
          <xdr:cNvSpPr/>
        </xdr:nvSpPr>
        <xdr:spPr>
          <a:xfrm>
            <a:off x="753659" y="1853633"/>
            <a:ext cx="1252327" cy="482064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2000" tIns="18000" rIns="72000" bIns="18000" rtlCol="0" anchor="ctr"/>
          <a:lstStyle/>
          <a:p>
            <a:pPr algn="ctr"/>
            <a:r>
              <a:rPr lang="es-ES" sz="1200" b="1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Cuenta</a:t>
            </a:r>
            <a:r>
              <a:rPr lang="es-ES" sz="1200" b="1" baseline="0">
                <a:solidFill>
                  <a:sysClr val="windowText" lastClr="000000"/>
                </a:solidFill>
                <a:latin typeface="Calibri Light" panose="020F0302020204030204" pitchFamily="34" charset="0"/>
              </a:rPr>
              <a:t> Corriente</a:t>
            </a:r>
            <a:endParaRPr lang="es-ES" sz="1050" b="1">
              <a:solidFill>
                <a:sysClr val="windowText" lastClr="000000"/>
              </a:solidFill>
              <a:latin typeface="Calibri Light" panose="020F0302020204030204" pitchFamily="34" charset="0"/>
            </a:endParaRPr>
          </a:p>
        </xdr:txBody>
      </xdr:sp>
      <xdr:sp macro="" textlink="">
        <xdr:nvSpPr>
          <xdr:cNvPr id="17" name="16 Rectángulo"/>
          <xdr:cNvSpPr/>
        </xdr:nvSpPr>
        <xdr:spPr>
          <a:xfrm>
            <a:off x="640080" y="815340"/>
            <a:ext cx="1479485" cy="277923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Cuenta Corriente</a:t>
            </a:r>
          </a:p>
        </xdr:txBody>
      </xdr:sp>
      <xdr:sp macro="[0]!Inicio" textlink="">
        <xdr:nvSpPr>
          <xdr:cNvPr id="18" name="17 Rectángulo"/>
          <xdr:cNvSpPr/>
        </xdr:nvSpPr>
        <xdr:spPr>
          <a:xfrm>
            <a:off x="640080" y="1128882"/>
            <a:ext cx="1479485" cy="277923"/>
          </a:xfrm>
          <a:prstGeom prst="rect">
            <a:avLst/>
          </a:prstGeom>
          <a:solidFill>
            <a:srgbClr val="675C5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400">
                <a:latin typeface="Calibri" panose="020F0502020204030204" pitchFamily="34" charset="0"/>
              </a:rPr>
              <a:t>Inicio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0</xdr:rowOff>
    </xdr:from>
    <xdr:to>
      <xdr:col>2</xdr:col>
      <xdr:colOff>367491</xdr:colOff>
      <xdr:row>1</xdr:row>
      <xdr:rowOff>281594</xdr:rowOff>
    </xdr:to>
    <xdr:pic>
      <xdr:nvPicPr>
        <xdr:cNvPr id="2" name="dnn_dnnLogo_imgLogo" descr="Bienvenido al BANCO PICHINCHA - Ecuador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0"/>
          <a:ext cx="1954356" cy="498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1</xdr:row>
          <xdr:rowOff>190500</xdr:rowOff>
        </xdr:from>
        <xdr:to>
          <xdr:col>5</xdr:col>
          <xdr:colOff>304800</xdr:colOff>
          <xdr:row>1</xdr:row>
          <xdr:rowOff>504825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FF6600"/>
                  </a:solidFill>
                  <a:latin typeface="Book Antiqua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Vértice">
      <a:majorFont>
        <a:latin typeface="Lucida Sans"/>
        <a:ea typeface=""/>
        <a:cs typeface=""/>
        <a:font script="Grek" typeface="Arial"/>
        <a:font script="Cyrl" typeface="Arial"/>
        <a:font script="Jpan" typeface="HG丸ｺﾞｼｯｸM-PRO"/>
        <a:font script="Hang" typeface="휴먼옛체"/>
        <a:font script="Hans" typeface="楷体_GB2312"/>
        <a:font script="Hant" typeface="微軟正黑體"/>
        <a:font script="Arab" typeface="Tahoma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Book Antiqua"/>
        <a:ea typeface=""/>
        <a:cs typeface=""/>
        <a:font script="Grek" typeface="Times New Roman"/>
        <a:font script="Cyrl" typeface="Times New Roman"/>
        <a:font script="Jpan" typeface="HG明朝B"/>
        <a:font script="Hang" typeface="돋움"/>
        <a:font script="Hans" typeface="宋体"/>
        <a:font script="Hant" typeface="新細明體"/>
        <a:font script="Arab" typeface="Times New Roman"/>
        <a:font script="Hebr" typeface="David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NU">
    <tabColor rgb="FFFECB00"/>
  </sheetPr>
  <dimension ref="B1:AY21"/>
  <sheetViews>
    <sheetView showGridLines="0" showRowColHeaders="0" tabSelected="1" topLeftCell="K1" workbookViewId="0">
      <selection activeCell="K1" sqref="K1"/>
    </sheetView>
  </sheetViews>
  <sheetFormatPr baseColWidth="10" defaultColWidth="11" defaultRowHeight="16.5"/>
  <cols>
    <col min="1" max="10" width="0" style="136" hidden="1" customWidth="1"/>
    <col min="11" max="11" width="9.140625" style="136" customWidth="1"/>
    <col min="12" max="16" width="5.28515625" style="136" customWidth="1"/>
    <col min="17" max="21" width="6.42578125" style="136" hidden="1" customWidth="1"/>
    <col min="22" max="22" width="6.42578125" style="136" customWidth="1"/>
    <col min="23" max="27" width="5.28515625" style="136" customWidth="1"/>
    <col min="28" max="32" width="6.42578125" style="136" hidden="1" customWidth="1"/>
    <col min="33" max="33" width="6.42578125" style="136" customWidth="1"/>
    <col min="34" max="38" width="5.28515625" style="136" customWidth="1"/>
    <col min="39" max="43" width="6.42578125" style="136" hidden="1" customWidth="1"/>
    <col min="44" max="44" width="6.42578125" style="136" customWidth="1"/>
    <col min="45" max="49" width="5.28515625" style="136" customWidth="1"/>
    <col min="50" max="54" width="6.42578125" style="136" customWidth="1"/>
    <col min="55" max="16384" width="11" style="136"/>
  </cols>
  <sheetData>
    <row r="1" spans="11:51" s="133" customFormat="1" ht="14.65" customHeight="1">
      <c r="K1" s="145" t="s">
        <v>73</v>
      </c>
    </row>
    <row r="2" spans="11:51" s="133" customFormat="1" ht="14.65" customHeight="1"/>
    <row r="3" spans="11:51" s="134" customFormat="1" ht="14.65" customHeight="1"/>
    <row r="4" spans="11:51" s="190" customFormat="1" ht="19.899999999999999" customHeight="1"/>
    <row r="5" spans="11:51" ht="15" customHeight="1">
      <c r="L5" s="135"/>
      <c r="M5" s="135"/>
      <c r="N5" s="135"/>
      <c r="O5" s="135"/>
      <c r="P5" s="135"/>
    </row>
    <row r="6" spans="11:51" s="137" customFormat="1" ht="15" customHeight="1">
      <c r="L6" s="135"/>
      <c r="M6" s="135"/>
      <c r="N6" s="135"/>
      <c r="O6" s="135"/>
      <c r="P6" s="135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36"/>
      <c r="AV6" s="136"/>
      <c r="AW6" s="136"/>
      <c r="AX6" s="136"/>
      <c r="AY6" s="136"/>
    </row>
    <row r="7" spans="11:51" ht="15" customHeight="1">
      <c r="L7" s="135"/>
      <c r="M7" s="135"/>
      <c r="N7" s="135"/>
      <c r="O7" s="135"/>
      <c r="P7" s="135"/>
    </row>
    <row r="8" spans="11:51" ht="15" customHeight="1">
      <c r="L8" s="135"/>
      <c r="M8" s="135"/>
      <c r="N8" s="135"/>
      <c r="O8" s="135"/>
      <c r="P8" s="135"/>
    </row>
    <row r="9" spans="11:51" ht="15" customHeight="1">
      <c r="L9" s="135"/>
      <c r="M9" s="135"/>
      <c r="N9" s="135"/>
      <c r="O9" s="135"/>
      <c r="P9" s="135"/>
    </row>
    <row r="10" spans="11:51" ht="15" customHeight="1">
      <c r="L10" s="135"/>
      <c r="M10" s="135"/>
      <c r="N10" s="135"/>
      <c r="O10" s="135"/>
      <c r="P10" s="135"/>
    </row>
    <row r="11" spans="11:51" ht="15" customHeight="1">
      <c r="L11" s="135"/>
      <c r="M11" s="135"/>
      <c r="N11" s="135"/>
      <c r="O11" s="135"/>
      <c r="P11" s="135"/>
    </row>
    <row r="12" spans="11:51" ht="15" customHeight="1">
      <c r="L12" s="135"/>
      <c r="M12" s="135"/>
      <c r="N12" s="135"/>
      <c r="O12" s="135"/>
      <c r="P12" s="135"/>
    </row>
    <row r="13" spans="11:51" ht="15" customHeight="1">
      <c r="L13" s="135"/>
      <c r="M13" s="135"/>
      <c r="N13" s="135"/>
      <c r="O13" s="135"/>
      <c r="P13" s="135"/>
    </row>
    <row r="14" spans="11:51" ht="15" customHeight="1">
      <c r="L14" s="135"/>
      <c r="M14" s="135"/>
      <c r="N14" s="135"/>
      <c r="O14" s="135"/>
      <c r="P14" s="135"/>
    </row>
    <row r="15" spans="11:51" ht="15" customHeight="1">
      <c r="L15" s="135"/>
      <c r="M15" s="135"/>
      <c r="N15" s="135"/>
      <c r="O15" s="135"/>
      <c r="P15" s="135"/>
    </row>
    <row r="16" spans="11:51" ht="15" customHeight="1">
      <c r="L16" s="135"/>
      <c r="M16" s="135"/>
      <c r="N16" s="135"/>
      <c r="O16" s="135"/>
      <c r="P16" s="135"/>
    </row>
    <row r="17" spans="2:16" ht="15" customHeight="1">
      <c r="L17" s="135"/>
      <c r="M17" s="135"/>
      <c r="N17" s="135"/>
      <c r="O17" s="135"/>
      <c r="P17" s="135"/>
    </row>
    <row r="18" spans="2:16" ht="15" customHeight="1">
      <c r="B18" s="136">
        <v>0</v>
      </c>
      <c r="L18" s="135"/>
      <c r="M18" s="135"/>
      <c r="N18" s="135"/>
      <c r="O18" s="135"/>
      <c r="P18" s="135"/>
    </row>
    <row r="19" spans="2:16">
      <c r="B19" s="136">
        <v>0</v>
      </c>
      <c r="L19" s="137"/>
      <c r="M19" s="137"/>
      <c r="N19" s="137"/>
      <c r="O19" s="137"/>
      <c r="P19" s="137"/>
    </row>
    <row r="20" spans="2:16">
      <c r="L20" s="137"/>
      <c r="M20" s="137"/>
      <c r="N20" s="137"/>
      <c r="O20" s="137"/>
      <c r="P20" s="137"/>
    </row>
    <row r="21" spans="2:16">
      <c r="L21" s="137"/>
      <c r="M21" s="137"/>
      <c r="N21" s="137"/>
      <c r="O21" s="137"/>
      <c r="P21" s="137"/>
    </row>
  </sheetData>
  <sheetProtection password="BFF2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Armadolar">
    <tabColor rgb="FFFFC000"/>
  </sheetPr>
  <dimension ref="B1:K22"/>
  <sheetViews>
    <sheetView showGridLines="0" showRowColHeaders="0" showRuler="0" workbookViewId="0">
      <pane ySplit="3" topLeftCell="A4" activePane="bottomLeft" state="frozen"/>
      <selection pane="bottomLeft" activeCell="H9" sqref="H9"/>
    </sheetView>
  </sheetViews>
  <sheetFormatPr baseColWidth="10" defaultColWidth="9.140625" defaultRowHeight="13.5"/>
  <cols>
    <col min="1" max="1" width="9.140625" style="26"/>
    <col min="2" max="4" width="7.28515625" style="26" customWidth="1"/>
    <col min="5" max="5" width="9.140625" style="25" customWidth="1"/>
    <col min="6" max="7" width="11.7109375" style="28" customWidth="1"/>
    <col min="8" max="8" width="18.7109375" style="28" customWidth="1"/>
    <col min="9" max="11" width="15.7109375" style="28" customWidth="1"/>
    <col min="12" max="16384" width="9.140625" style="26"/>
  </cols>
  <sheetData>
    <row r="1" spans="5:11" s="140" customFormat="1" ht="14.65" customHeight="1">
      <c r="E1" s="138"/>
      <c r="F1" s="139"/>
      <c r="G1" s="139"/>
      <c r="H1" s="139"/>
      <c r="I1" s="139"/>
      <c r="J1" s="139"/>
      <c r="K1" s="139"/>
    </row>
    <row r="2" spans="5:11" s="140" customFormat="1" ht="14.65" customHeight="1">
      <c r="E2" s="138"/>
      <c r="F2" s="139"/>
      <c r="G2" s="139"/>
      <c r="H2" s="139"/>
      <c r="I2" s="139"/>
      <c r="J2" s="139"/>
      <c r="K2" s="139"/>
    </row>
    <row r="3" spans="5:11" s="140" customFormat="1" ht="14.65" customHeight="1">
      <c r="E3" s="138"/>
      <c r="F3" s="139"/>
      <c r="G3" s="139"/>
      <c r="H3" s="139"/>
      <c r="I3" s="139"/>
      <c r="J3" s="139"/>
      <c r="K3" s="139"/>
    </row>
    <row r="4" spans="5:11" ht="19.899999999999999" customHeight="1"/>
    <row r="5" spans="5:11" ht="42.6" customHeight="1">
      <c r="E5" s="27"/>
      <c r="F5" s="223" t="str">
        <f>'FR_Mantenimiento tasas'!C63</f>
        <v>Usted puede invertir su dinero y recibir el pago de los interese generados en su inversión de manera periódica: mensual, trimestral o semestral. Usted decide cuándo quiere recibir su rentabilidad.</v>
      </c>
      <c r="G5" s="223"/>
      <c r="H5" s="223"/>
      <c r="I5" s="223"/>
      <c r="J5" s="223"/>
      <c r="K5" s="223"/>
    </row>
    <row r="6" spans="5:11" ht="12" customHeight="1"/>
    <row r="7" spans="5:11" ht="28.9" customHeight="1">
      <c r="F7" s="226" t="s">
        <v>9</v>
      </c>
      <c r="G7" s="227"/>
      <c r="H7" s="195" t="str">
        <f>+'FR_Mantenimiento tasas'!$B$63</f>
        <v>Armadólar</v>
      </c>
      <c r="I7" s="29"/>
      <c r="J7" s="29"/>
      <c r="K7" s="29"/>
    </row>
    <row r="8" spans="5:11" s="204" customFormat="1" ht="12" customHeight="1"/>
    <row r="9" spans="5:11" ht="19.899999999999999" customHeight="1">
      <c r="F9" s="224" t="s">
        <v>2</v>
      </c>
      <c r="G9" s="225"/>
      <c r="H9" s="205"/>
      <c r="I9" s="144" t="s">
        <v>78</v>
      </c>
      <c r="J9" s="30"/>
      <c r="K9" s="29"/>
    </row>
    <row r="10" spans="5:11" ht="19.899999999999999" customHeight="1">
      <c r="F10" s="228" t="s">
        <v>23</v>
      </c>
      <c r="G10" s="229"/>
      <c r="H10" s="206"/>
      <c r="I10" s="144" t="s">
        <v>70</v>
      </c>
      <c r="J10" s="30"/>
      <c r="K10" s="29"/>
    </row>
    <row r="11" spans="5:11" ht="12" customHeight="1">
      <c r="F11" s="31"/>
      <c r="G11" s="31"/>
      <c r="H11" s="29"/>
      <c r="I11" s="29"/>
      <c r="J11" s="29"/>
      <c r="K11" s="29"/>
    </row>
    <row r="12" spans="5:11" ht="39.950000000000003" customHeight="1">
      <c r="F12" s="160" t="s">
        <v>22</v>
      </c>
      <c r="G12" s="161" t="s">
        <v>16</v>
      </c>
      <c r="H12" s="161" t="s">
        <v>17</v>
      </c>
      <c r="I12" s="161" t="s">
        <v>15</v>
      </c>
      <c r="J12" s="162" t="s">
        <v>21</v>
      </c>
      <c r="K12" s="26"/>
    </row>
    <row r="13" spans="5:11" ht="19.899999999999999" customHeight="1">
      <c r="F13" s="163">
        <f>+'FR_Mantenimiento tasas'!$D$69</f>
        <v>90</v>
      </c>
      <c r="G13" s="158" t="str">
        <f ca="1">IF(OR($H$9="",$H$10=""),"",IF(AND($H$9&gt;='FR_Mantenimiento tasas'!$B$71,F13&gt;=$F$13),OFFSET('FR_Mantenimiento tasas'!$C$70,MATCH($H$9,'FR_Mantenimiento tasas'!$B$71:$B$77,1),MATCH($F13,'FR_Mantenimiento tasas'!$D$69:$XFD$69,1)),""))</f>
        <v/>
      </c>
      <c r="H13" s="159" t="str">
        <f t="shared" ref="H13:H18" ca="1" si="0">IFERROR($H$9*$G13/360*$F13,"")</f>
        <v/>
      </c>
      <c r="I13" s="159" t="str">
        <f t="shared" ref="I13:I18" si="1">IF(OR($H$9="",$H$10=""),"",IFERROR(IF(AND($F13&gt;=365,$H$10="Persona natural"),0,$H13*2%),""))</f>
        <v/>
      </c>
      <c r="J13" s="164" t="str">
        <f t="shared" ref="J13:J18" ca="1" si="2">IFERROR(H13-I13,"")</f>
        <v/>
      </c>
      <c r="K13" s="26"/>
    </row>
    <row r="14" spans="5:11" ht="19.899999999999999" customHeight="1">
      <c r="F14" s="163">
        <f>+'FR_Mantenimiento tasas'!$E$69</f>
        <v>120</v>
      </c>
      <c r="G14" s="158" t="str">
        <f ca="1">IF(OR($H$9="",$H$10=""),"",IF(AND($H$9&gt;='FR_Mantenimiento tasas'!$B$71,F14&gt;=$F$13),OFFSET('FR_Mantenimiento tasas'!$C$70,MATCH($H$9,'FR_Mantenimiento tasas'!$B$71:$B$77,1),MATCH($F14,'FR_Mantenimiento tasas'!$D$69:$XFD$69,1)),""))</f>
        <v/>
      </c>
      <c r="H14" s="159" t="str">
        <f t="shared" ca="1" si="0"/>
        <v/>
      </c>
      <c r="I14" s="159" t="str">
        <f t="shared" si="1"/>
        <v/>
      </c>
      <c r="J14" s="164" t="str">
        <f t="shared" ca="1" si="2"/>
        <v/>
      </c>
      <c r="K14" s="26"/>
    </row>
    <row r="15" spans="5:11" ht="19.899999999999999" customHeight="1">
      <c r="F15" s="163">
        <f>+'FR_Mantenimiento tasas'!$F$69</f>
        <v>180</v>
      </c>
      <c r="G15" s="158" t="str">
        <f ca="1">IF(OR($H$9="",$H$10=""),"",IF(AND($H$9&gt;='FR_Mantenimiento tasas'!$B$71,F15&gt;=$F$13),OFFSET('FR_Mantenimiento tasas'!$C$70,MATCH($H$9,'FR_Mantenimiento tasas'!$B$71:$B$77,1),MATCH($F15,'FR_Mantenimiento tasas'!$D$69:$XFD$69,1)),""))</f>
        <v/>
      </c>
      <c r="H15" s="159" t="str">
        <f t="shared" ca="1" si="0"/>
        <v/>
      </c>
      <c r="I15" s="159" t="str">
        <f t="shared" si="1"/>
        <v/>
      </c>
      <c r="J15" s="164" t="str">
        <f t="shared" ca="1" si="2"/>
        <v/>
      </c>
      <c r="K15" s="26"/>
    </row>
    <row r="16" spans="5:11" ht="19.899999999999999" customHeight="1">
      <c r="F16" s="163">
        <f>+'FR_Mantenimiento tasas'!$G$69</f>
        <v>270</v>
      </c>
      <c r="G16" s="158" t="str">
        <f ca="1">IF(OR($H$9="",$H$10=""),"",IF(AND($H$9&gt;='FR_Mantenimiento tasas'!$B$71,F16&gt;=$F$13),OFFSET('FR_Mantenimiento tasas'!$C$70,MATCH($H$9,'FR_Mantenimiento tasas'!$B$71:$B$77,1),MATCH($F16,'FR_Mantenimiento tasas'!$D$69:$XFD$69,1)),""))</f>
        <v/>
      </c>
      <c r="H16" s="159" t="str">
        <f t="shared" ca="1" si="0"/>
        <v/>
      </c>
      <c r="I16" s="159" t="str">
        <f t="shared" si="1"/>
        <v/>
      </c>
      <c r="J16" s="164" t="str">
        <f t="shared" ca="1" si="2"/>
        <v/>
      </c>
      <c r="K16" s="26"/>
    </row>
    <row r="17" spans="2:11" ht="19.899999999999999" customHeight="1">
      <c r="F17" s="163">
        <f>+'FR_Mantenimiento tasas'!$H$69</f>
        <v>365</v>
      </c>
      <c r="G17" s="158" t="str">
        <f ca="1">IF(OR($H$9="",$H$10=""),"",IF(AND($H$9&gt;='FR_Mantenimiento tasas'!$B$71,F17&gt;=$F$13),OFFSET('FR_Mantenimiento tasas'!$C$70,MATCH($H$9,'FR_Mantenimiento tasas'!$B$71:$B$77,1),MATCH($F17,'FR_Mantenimiento tasas'!$D$69:$XFD$69,1)),""))</f>
        <v/>
      </c>
      <c r="H17" s="159" t="str">
        <f t="shared" ca="1" si="0"/>
        <v/>
      </c>
      <c r="I17" s="159" t="str">
        <f t="shared" si="1"/>
        <v/>
      </c>
      <c r="J17" s="164" t="str">
        <f t="shared" ca="1" si="2"/>
        <v/>
      </c>
      <c r="K17" s="26"/>
    </row>
    <row r="18" spans="2:11" ht="19.899999999999999" customHeight="1">
      <c r="F18" s="165">
        <f>+'FR_Mantenimiento tasas'!$I$69</f>
        <v>721</v>
      </c>
      <c r="G18" s="166" t="str">
        <f ca="1">IF(OR($H$9="",$H$10=""),"",IF(AND($H$9&gt;='FR_Mantenimiento tasas'!$B$71,F18&gt;=$F$13),OFFSET('FR_Mantenimiento tasas'!$C$70,MATCH($H$9,'FR_Mantenimiento tasas'!$B$71:$B$77,1),MATCH($F18,'FR_Mantenimiento tasas'!$D$69:$XFD$69,1)),""))</f>
        <v/>
      </c>
      <c r="H18" s="167" t="str">
        <f t="shared" ca="1" si="0"/>
        <v/>
      </c>
      <c r="I18" s="167" t="str">
        <f t="shared" si="1"/>
        <v/>
      </c>
      <c r="J18" s="168" t="str">
        <f t="shared" ca="1" si="2"/>
        <v/>
      </c>
      <c r="K18" s="26"/>
    </row>
    <row r="19" spans="2:11" ht="12" customHeight="1"/>
    <row r="20" spans="2:11" ht="17.45" customHeight="1">
      <c r="B20" s="146">
        <v>1</v>
      </c>
      <c r="F20" s="222" t="s">
        <v>88</v>
      </c>
      <c r="G20" s="222"/>
      <c r="H20" s="222"/>
      <c r="I20" s="222"/>
      <c r="J20" s="222"/>
      <c r="K20" s="222"/>
    </row>
    <row r="21" spans="2:11" ht="13.15" customHeight="1">
      <c r="B21" s="146"/>
      <c r="F21" s="194"/>
      <c r="G21" s="194"/>
      <c r="H21" s="194"/>
      <c r="I21" s="194"/>
      <c r="J21" s="194"/>
      <c r="K21" s="194"/>
    </row>
    <row r="22" spans="2:11" ht="44.45" customHeight="1">
      <c r="F22" s="222" t="s">
        <v>96</v>
      </c>
      <c r="G22" s="222"/>
      <c r="H22" s="222"/>
      <c r="I22" s="222"/>
      <c r="J22" s="222"/>
      <c r="K22" s="222"/>
    </row>
  </sheetData>
  <sheetProtection password="BFF2" sheet="1" objects="1" scenarios="1"/>
  <mergeCells count="6">
    <mergeCell ref="F22:K22"/>
    <mergeCell ref="F5:K5"/>
    <mergeCell ref="F20:K20"/>
    <mergeCell ref="F9:G9"/>
    <mergeCell ref="F7:G7"/>
    <mergeCell ref="F10:G10"/>
  </mergeCells>
  <dataValidations count="2">
    <dataValidation type="decimal" allowBlank="1" showInputMessage="1" showErrorMessage="1" errorTitle="Monto incorrecto" error="El monto a invertir en este producto es mínimo USD 500.00" sqref="H9">
      <formula1>500</formula1>
      <formula2>9.99999999999999E+37</formula2>
    </dataValidation>
    <dataValidation type="list" allowBlank="1" showInputMessage="1" showErrorMessage="1" sqref="H10">
      <formula1>TipodeCliente</formula1>
    </dataValidation>
  </dataValidations>
  <pageMargins left="0.51181102362204722" right="0.51181102362204722" top="0.51181102362204722" bottom="0.51181102362204722" header="0.51181102362204722" footer="0.51181102362204722"/>
  <pageSetup scale="80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Plazodolar">
    <tabColor rgb="FFFFC000"/>
  </sheetPr>
  <dimension ref="B1:K26"/>
  <sheetViews>
    <sheetView showGridLines="0" showRowColHeaders="0" showRuler="0" workbookViewId="0">
      <pane ySplit="3" topLeftCell="A4" activePane="bottomLeft" state="frozen"/>
      <selection pane="bottomLeft" activeCell="H9" sqref="H9"/>
    </sheetView>
  </sheetViews>
  <sheetFormatPr baseColWidth="10" defaultColWidth="9.140625" defaultRowHeight="13.5"/>
  <cols>
    <col min="1" max="1" width="9.140625" style="26"/>
    <col min="2" max="4" width="7.28515625" style="26" customWidth="1"/>
    <col min="5" max="5" width="9.140625" style="26" customWidth="1"/>
    <col min="6" max="7" width="11.7109375" style="28" customWidth="1"/>
    <col min="8" max="8" width="18.7109375" style="28" customWidth="1"/>
    <col min="9" max="11" width="15.7109375" style="28" customWidth="1"/>
    <col min="12" max="16384" width="9.140625" style="26"/>
  </cols>
  <sheetData>
    <row r="1" spans="6:11" s="141" customFormat="1" ht="14.65" customHeight="1">
      <c r="F1" s="142"/>
      <c r="G1" s="142"/>
      <c r="H1" s="142"/>
      <c r="I1" s="142"/>
      <c r="J1" s="142"/>
      <c r="K1" s="142"/>
    </row>
    <row r="2" spans="6:11" s="141" customFormat="1" ht="14.65" customHeight="1">
      <c r="F2" s="142"/>
      <c r="G2" s="142"/>
      <c r="H2" s="142"/>
      <c r="I2" s="142"/>
      <c r="J2" s="142"/>
      <c r="K2" s="142"/>
    </row>
    <row r="3" spans="6:11" s="141" customFormat="1" ht="14.65" customHeight="1">
      <c r="F3" s="142"/>
      <c r="G3" s="142"/>
      <c r="H3" s="142"/>
      <c r="I3" s="142"/>
      <c r="J3" s="142"/>
      <c r="K3" s="142"/>
    </row>
    <row r="4" spans="6:11" ht="19.899999999999999" customHeight="1"/>
    <row r="5" spans="6:11" ht="42.6" customHeight="1">
      <c r="F5" s="223" t="str">
        <f>'FR_Mantenimiento tasas'!C64</f>
        <v>Este producto le permite invertir los excedentes de liquidez en forma segura y rentable, a un plazo determinado,  con un monto mínimo de inversión inicial. Al final del período pactado usted recibirá intereses.</v>
      </c>
      <c r="G5" s="223"/>
      <c r="H5" s="223"/>
      <c r="I5" s="223"/>
      <c r="J5" s="223"/>
      <c r="K5" s="223"/>
    </row>
    <row r="6" spans="6:11" ht="12" customHeight="1"/>
    <row r="7" spans="6:11" ht="28.9" customHeight="1">
      <c r="F7" s="226" t="s">
        <v>9</v>
      </c>
      <c r="G7" s="227"/>
      <c r="H7" s="200" t="str">
        <f>+'FR_Mantenimiento tasas'!B64</f>
        <v>Plazo dólar</v>
      </c>
      <c r="I7" s="1"/>
      <c r="J7" s="1"/>
      <c r="K7" s="1"/>
    </row>
    <row r="8" spans="6:11" s="204" customFormat="1" ht="12" customHeight="1"/>
    <row r="9" spans="6:11" ht="19.899999999999999" customHeight="1">
      <c r="F9" s="230" t="s">
        <v>2</v>
      </c>
      <c r="G9" s="231"/>
      <c r="H9" s="207"/>
      <c r="I9" s="144" t="s">
        <v>78</v>
      </c>
      <c r="J9" s="1"/>
      <c r="K9" s="1"/>
    </row>
    <row r="10" spans="6:11" ht="19.899999999999999" customHeight="1">
      <c r="F10" s="232" t="s">
        <v>23</v>
      </c>
      <c r="G10" s="233"/>
      <c r="H10" s="208"/>
      <c r="I10" s="144" t="s">
        <v>70</v>
      </c>
      <c r="J10" s="1"/>
      <c r="K10" s="1"/>
    </row>
    <row r="11" spans="6:11" ht="12" customHeight="1">
      <c r="F11" s="2"/>
      <c r="G11" s="2"/>
      <c r="H11" s="1"/>
      <c r="I11" s="1"/>
      <c r="J11" s="1"/>
      <c r="K11" s="1"/>
    </row>
    <row r="12" spans="6:11" ht="39.950000000000003" customHeight="1">
      <c r="F12" s="160" t="s">
        <v>22</v>
      </c>
      <c r="G12" s="161" t="s">
        <v>16</v>
      </c>
      <c r="H12" s="161" t="s">
        <v>17</v>
      </c>
      <c r="I12" s="161" t="s">
        <v>15</v>
      </c>
      <c r="J12" s="162" t="s">
        <v>21</v>
      </c>
      <c r="K12" s="26"/>
    </row>
    <row r="13" spans="6:11" ht="19.899999999999999" customHeight="1">
      <c r="F13" s="163">
        <f>+'FR_Mantenimiento tasas'!$D$80</f>
        <v>30</v>
      </c>
      <c r="G13" s="158" t="str">
        <f ca="1">IF(OR($H$9="",$H$10=""),"",IF(AND($H$9&gt;='FR_Mantenimiento tasas'!$B$71,F13&gt;=$F$13),OFFSET('FR_Mantenimiento tasas'!$C$81,MATCH($H$9,'FR_Mantenimiento tasas'!$B$82:$B$88,1),MATCH($F13,'FR_Mantenimiento tasas'!$D$80:$XFD$80,1)),"n.a."))</f>
        <v/>
      </c>
      <c r="H13" s="159" t="str">
        <f t="shared" ref="H13:H20" ca="1" si="0">IFERROR($H$9*$G13/360*$F13,"")</f>
        <v/>
      </c>
      <c r="I13" s="159" t="str">
        <f t="shared" ref="I13:I20" si="1">IF(OR($H$9="",$H$10=""),"",IFERROR(IF(AND($F13&gt;=365,$H$10="Persona natural"),0,$H13*2%),""))</f>
        <v/>
      </c>
      <c r="J13" s="164" t="str">
        <f ca="1">IFERROR(H13-I13,"")</f>
        <v/>
      </c>
      <c r="K13" s="26"/>
    </row>
    <row r="14" spans="6:11" ht="19.899999999999999" customHeight="1">
      <c r="F14" s="163">
        <f>+'FR_Mantenimiento tasas'!$E$80</f>
        <v>60</v>
      </c>
      <c r="G14" s="158" t="str">
        <f ca="1">IF(OR($H$9="",$H$10=""),"",IF(AND($H$9&gt;='FR_Mantenimiento tasas'!$B$71,F14&gt;=$F$13),OFFSET('FR_Mantenimiento tasas'!$C$81,MATCH($H$9,'FR_Mantenimiento tasas'!$B$82:$B$88,1),MATCH($F14,'FR_Mantenimiento tasas'!$D$80:$XFD$80,1)),"n.a."))</f>
        <v/>
      </c>
      <c r="H14" s="159" t="str">
        <f t="shared" ca="1" si="0"/>
        <v/>
      </c>
      <c r="I14" s="159" t="str">
        <f t="shared" si="1"/>
        <v/>
      </c>
      <c r="J14" s="164" t="str">
        <f t="shared" ref="J14:J20" ca="1" si="2">IFERROR(H14-I14,"")</f>
        <v/>
      </c>
      <c r="K14" s="26"/>
    </row>
    <row r="15" spans="6:11" ht="19.899999999999999" customHeight="1">
      <c r="F15" s="163">
        <f>+'FR_Mantenimiento tasas'!$F$80</f>
        <v>90</v>
      </c>
      <c r="G15" s="158" t="str">
        <f ca="1">IF(OR($H$9="",$H$10=""),"",IF(AND($H$9&gt;='FR_Mantenimiento tasas'!$B$71,F15&gt;=$F$13),OFFSET('FR_Mantenimiento tasas'!$C$81,MATCH($H$9,'FR_Mantenimiento tasas'!$B$82:$B$88,1),MATCH($F15,'FR_Mantenimiento tasas'!$D$80:$XFD$80,1)),"n.a."))</f>
        <v/>
      </c>
      <c r="H15" s="159" t="str">
        <f t="shared" ca="1" si="0"/>
        <v/>
      </c>
      <c r="I15" s="159" t="str">
        <f t="shared" si="1"/>
        <v/>
      </c>
      <c r="J15" s="164" t="str">
        <f t="shared" ca="1" si="2"/>
        <v/>
      </c>
      <c r="K15" s="26"/>
    </row>
    <row r="16" spans="6:11" ht="19.899999999999999" customHeight="1">
      <c r="F16" s="163">
        <f>+'FR_Mantenimiento tasas'!$G$80</f>
        <v>120</v>
      </c>
      <c r="G16" s="158" t="str">
        <f ca="1">IF(OR($H$9="",$H$10=""),"",IF(AND($H$9&gt;='FR_Mantenimiento tasas'!$B$71,F16&gt;=$F$13),OFFSET('FR_Mantenimiento tasas'!$C$81,MATCH($H$9,'FR_Mantenimiento tasas'!$B$82:$B$88,1),MATCH($F16,'FR_Mantenimiento tasas'!$D$80:$XFD$80,1)),"n.a."))</f>
        <v/>
      </c>
      <c r="H16" s="159" t="str">
        <f t="shared" ca="1" si="0"/>
        <v/>
      </c>
      <c r="I16" s="159" t="str">
        <f t="shared" si="1"/>
        <v/>
      </c>
      <c r="J16" s="164" t="str">
        <f t="shared" ca="1" si="2"/>
        <v/>
      </c>
      <c r="K16" s="26"/>
    </row>
    <row r="17" spans="2:11" ht="19.899999999999999" customHeight="1">
      <c r="F17" s="163">
        <f>+'FR_Mantenimiento tasas'!$H$80</f>
        <v>180</v>
      </c>
      <c r="G17" s="158" t="str">
        <f ca="1">IF(OR($H$9="",$H$10=""),"",IF(AND($H$9&gt;='FR_Mantenimiento tasas'!$B$71,F17&gt;=$F$13),OFFSET('FR_Mantenimiento tasas'!$C$81,MATCH($H$9,'FR_Mantenimiento tasas'!$B$82:$B$88,1),MATCH($F17,'FR_Mantenimiento tasas'!$D$80:$XFD$80,1)),"n.a."))</f>
        <v/>
      </c>
      <c r="H17" s="159" t="str">
        <f t="shared" ca="1" si="0"/>
        <v/>
      </c>
      <c r="I17" s="159" t="str">
        <f t="shared" si="1"/>
        <v/>
      </c>
      <c r="J17" s="164" t="str">
        <f t="shared" ca="1" si="2"/>
        <v/>
      </c>
      <c r="K17" s="26"/>
    </row>
    <row r="18" spans="2:11" ht="19.899999999999999" customHeight="1">
      <c r="F18" s="163">
        <f>+'FR_Mantenimiento tasas'!$I$80</f>
        <v>270</v>
      </c>
      <c r="G18" s="158" t="str">
        <f ca="1">IF(OR($H$9="",$H$10=""),"",IF(AND($H$9&gt;='FR_Mantenimiento tasas'!$B$71,F18&gt;=$F$13),OFFSET('FR_Mantenimiento tasas'!$C$81,MATCH($H$9,'FR_Mantenimiento tasas'!$B$82:$B$88,1),MATCH($F18,'FR_Mantenimiento tasas'!$D$80:$XFD$80,1)),"n.a."))</f>
        <v/>
      </c>
      <c r="H18" s="159" t="str">
        <f t="shared" ca="1" si="0"/>
        <v/>
      </c>
      <c r="I18" s="159" t="str">
        <f t="shared" si="1"/>
        <v/>
      </c>
      <c r="J18" s="164" t="str">
        <f t="shared" ca="1" si="2"/>
        <v/>
      </c>
      <c r="K18" s="26"/>
    </row>
    <row r="19" spans="2:11" ht="19.899999999999999" customHeight="1">
      <c r="F19" s="163">
        <f>+'FR_Mantenimiento tasas'!$J$80</f>
        <v>365</v>
      </c>
      <c r="G19" s="158" t="str">
        <f ca="1">IF(OR($H$9="",$H$10=""),"",IF(AND($H$9&gt;='FR_Mantenimiento tasas'!$B$71,F19&gt;=$F$13),OFFSET('FR_Mantenimiento tasas'!$C$81,MATCH($H$9,'FR_Mantenimiento tasas'!$B$82:$B$88,1),MATCH($F19,'FR_Mantenimiento tasas'!$D$80:$XFD$80,1)),"n.a."))</f>
        <v/>
      </c>
      <c r="H19" s="159" t="str">
        <f t="shared" ca="1" si="0"/>
        <v/>
      </c>
      <c r="I19" s="159" t="str">
        <f t="shared" si="1"/>
        <v/>
      </c>
      <c r="J19" s="164" t="str">
        <f t="shared" ca="1" si="2"/>
        <v/>
      </c>
      <c r="K19" s="26"/>
    </row>
    <row r="20" spans="2:11" ht="19.899999999999999" customHeight="1">
      <c r="B20" s="146">
        <v>2</v>
      </c>
      <c r="F20" s="165">
        <f>+'FR_Mantenimiento tasas'!$K$80</f>
        <v>721</v>
      </c>
      <c r="G20" s="166" t="str">
        <f ca="1">IF(OR($H$9="",$H$10=""),"",IF(AND($H$9&gt;='FR_Mantenimiento tasas'!$B$71,F20&gt;=$F$13),OFFSET('FR_Mantenimiento tasas'!$C$81,MATCH($H$9,'FR_Mantenimiento tasas'!$B$82:$B$88,1),MATCH($F20,'FR_Mantenimiento tasas'!$D$80:$XFD$80,1)),"n.a."))</f>
        <v/>
      </c>
      <c r="H20" s="167" t="str">
        <f t="shared" ca="1" si="0"/>
        <v/>
      </c>
      <c r="I20" s="167" t="str">
        <f t="shared" si="1"/>
        <v/>
      </c>
      <c r="J20" s="168" t="str">
        <f t="shared" ca="1" si="2"/>
        <v/>
      </c>
      <c r="K20" s="26"/>
    </row>
    <row r="21" spans="2:11" ht="12" customHeight="1"/>
    <row r="22" spans="2:11" ht="13.9" customHeight="1">
      <c r="F22" s="222" t="s">
        <v>88</v>
      </c>
      <c r="G22" s="222"/>
      <c r="H22" s="222"/>
      <c r="I22" s="222"/>
      <c r="J22" s="222"/>
      <c r="K22" s="222"/>
    </row>
    <row r="23" spans="2:11" ht="13.15" customHeight="1">
      <c r="F23" s="191"/>
      <c r="G23" s="191"/>
      <c r="H23" s="191"/>
      <c r="I23" s="191"/>
      <c r="J23" s="191"/>
      <c r="K23" s="191"/>
    </row>
    <row r="24" spans="2:11" ht="40.15" customHeight="1">
      <c r="F24" s="222" t="s">
        <v>96</v>
      </c>
      <c r="G24" s="222"/>
      <c r="H24" s="222"/>
      <c r="I24" s="222"/>
      <c r="J24" s="222"/>
      <c r="K24" s="222"/>
    </row>
    <row r="25" spans="2:11" ht="14.25">
      <c r="F25" s="192"/>
      <c r="G25" s="192"/>
      <c r="H25" s="192"/>
      <c r="I25" s="192"/>
      <c r="J25" s="192"/>
      <c r="K25" s="192"/>
    </row>
    <row r="26" spans="2:11" ht="14.25">
      <c r="F26" s="192"/>
      <c r="G26" s="192"/>
      <c r="H26" s="192"/>
      <c r="I26" s="192"/>
      <c r="J26" s="192"/>
      <c r="K26" s="192"/>
    </row>
  </sheetData>
  <sheetProtection password="BFF2" sheet="1" objects="1" scenarios="1" selectLockedCells="1"/>
  <mergeCells count="6">
    <mergeCell ref="F24:K24"/>
    <mergeCell ref="F5:K5"/>
    <mergeCell ref="F22:K22"/>
    <mergeCell ref="F7:G7"/>
    <mergeCell ref="F9:G9"/>
    <mergeCell ref="F10:G10"/>
  </mergeCells>
  <dataValidations count="2">
    <dataValidation type="decimal" allowBlank="1" showInputMessage="1" showErrorMessage="1" errorTitle="Monto incorrecto" error="El monto a invertir en este producto es mínimo USD 500.00" sqref="H9">
      <formula1>500</formula1>
      <formula2>9.99999999999999E+37</formula2>
    </dataValidation>
    <dataValidation type="list" allowBlank="1" showInputMessage="1" showErrorMessage="1" sqref="H10">
      <formula1>TipodeCliente</formula1>
    </dataValidation>
  </dataValidations>
  <pageMargins left="0.51181102362204722" right="0.51181102362204722" top="0.51181102362204722" bottom="0.51181102362204722" header="0.51181102362204722" footer="0.51181102362204722"/>
  <pageSetup scale="80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Certificado">
    <tabColor rgb="FFFFC000"/>
  </sheetPr>
  <dimension ref="B1:K26"/>
  <sheetViews>
    <sheetView showGridLines="0" showRowColHeaders="0" showRuler="0" workbookViewId="0">
      <pane ySplit="3" topLeftCell="A4" activePane="bottomLeft" state="frozen"/>
      <selection pane="bottomLeft" activeCell="H9" sqref="H9"/>
    </sheetView>
  </sheetViews>
  <sheetFormatPr baseColWidth="10" defaultColWidth="9.140625" defaultRowHeight="13.5"/>
  <cols>
    <col min="1" max="1" width="9.140625" style="26"/>
    <col min="2" max="4" width="7.28515625" style="26" customWidth="1"/>
    <col min="5" max="5" width="9.140625" style="26" customWidth="1"/>
    <col min="6" max="7" width="11.7109375" style="28" customWidth="1"/>
    <col min="8" max="8" width="18.7109375" style="28" customWidth="1"/>
    <col min="9" max="11" width="15.7109375" style="28" customWidth="1"/>
    <col min="12" max="16384" width="9.140625" style="26"/>
  </cols>
  <sheetData>
    <row r="1" spans="6:11" s="141" customFormat="1" ht="14.65" customHeight="1">
      <c r="F1" s="142"/>
      <c r="G1" s="142"/>
      <c r="H1" s="142"/>
      <c r="I1" s="142"/>
      <c r="J1" s="142"/>
      <c r="K1" s="142"/>
    </row>
    <row r="2" spans="6:11" s="141" customFormat="1" ht="14.65" customHeight="1">
      <c r="F2" s="142"/>
      <c r="G2" s="142"/>
      <c r="H2" s="142"/>
      <c r="I2" s="142"/>
      <c r="J2" s="142"/>
      <c r="K2" s="142"/>
    </row>
    <row r="3" spans="6:11" s="141" customFormat="1" ht="14.65" customHeight="1">
      <c r="F3" s="142"/>
      <c r="G3" s="142"/>
      <c r="H3" s="142"/>
      <c r="I3" s="142"/>
      <c r="J3" s="142"/>
      <c r="K3" s="142"/>
    </row>
    <row r="4" spans="6:11" ht="19.899999999999999" customHeight="1"/>
    <row r="5" spans="6:11" ht="42.6" customHeight="1">
      <c r="F5" s="223" t="str">
        <f>'FR_Mantenimiento tasas'!C66</f>
        <v xml:space="preserve">Es la alternativa que le permite invertir excedentes de liquidez en forma segura y rentable, a un plazo determinado con un monto mínimo de inversión inicial usted recibirá el pago de intereses de manera inmediata, AL INICIO de la inversión. </v>
      </c>
      <c r="G5" s="223"/>
      <c r="H5" s="223"/>
      <c r="I5" s="223"/>
      <c r="J5" s="223"/>
      <c r="K5" s="223"/>
    </row>
    <row r="6" spans="6:11" ht="12" customHeight="1"/>
    <row r="7" spans="6:11" ht="28.9" customHeight="1">
      <c r="F7" s="226" t="s">
        <v>9</v>
      </c>
      <c r="G7" s="227"/>
      <c r="H7" s="234" t="str">
        <f>'FR_Mantenimiento tasas'!$B$66</f>
        <v>Certificado de depósito con pago anticipado</v>
      </c>
      <c r="I7" s="234"/>
      <c r="J7" s="235"/>
      <c r="K7" s="1"/>
    </row>
    <row r="8" spans="6:11" s="204" customFormat="1" ht="12" customHeight="1"/>
    <row r="9" spans="6:11" ht="19.899999999999999" customHeight="1">
      <c r="F9" s="230" t="s">
        <v>2</v>
      </c>
      <c r="G9" s="231"/>
      <c r="H9" s="207"/>
      <c r="I9" s="144" t="s">
        <v>78</v>
      </c>
    </row>
    <row r="10" spans="6:11" ht="19.899999999999999" customHeight="1">
      <c r="F10" s="232" t="s">
        <v>23</v>
      </c>
      <c r="G10" s="233"/>
      <c r="H10" s="208"/>
      <c r="I10" s="144" t="s">
        <v>70</v>
      </c>
    </row>
    <row r="11" spans="6:11" ht="12" customHeight="1">
      <c r="F11" s="2"/>
      <c r="G11" s="2"/>
      <c r="H11" s="1"/>
      <c r="I11" s="1"/>
      <c r="J11" s="1"/>
      <c r="K11" s="1"/>
    </row>
    <row r="12" spans="6:11" ht="39.950000000000003" customHeight="1">
      <c r="F12" s="160" t="s">
        <v>22</v>
      </c>
      <c r="G12" s="161" t="s">
        <v>16</v>
      </c>
      <c r="H12" s="161" t="s">
        <v>17</v>
      </c>
      <c r="I12" s="161" t="s">
        <v>15</v>
      </c>
      <c r="J12" s="162" t="s">
        <v>21</v>
      </c>
      <c r="K12" s="26"/>
    </row>
    <row r="13" spans="6:11" ht="19.899999999999999" customHeight="1">
      <c r="F13" s="163">
        <f>+'FR_Mantenimiento tasas'!$D$80</f>
        <v>30</v>
      </c>
      <c r="G13" s="158" t="str">
        <f ca="1">IF(OR($H$9="",$H$10=""),"",IF(AND($H$9&gt;='FR_Mantenimiento tasas'!$B$71,F13&gt;=$F$13),OFFSET('FR_Mantenimiento tasas'!$C$81,MATCH($H$9,'FR_Mantenimiento tasas'!$B$82:$B$88,1),MATCH($F13,'FR_Mantenimiento tasas'!$D$80:$XFD$80,1)),"n.a."))</f>
        <v/>
      </c>
      <c r="H13" s="159" t="str">
        <f t="shared" ref="H13:H20" ca="1" si="0">IFERROR($H$9*$G13/360*$F13,"")</f>
        <v/>
      </c>
      <c r="I13" s="159" t="str">
        <f t="shared" ref="I13:I20" si="1">IF(OR($H$9="",$H$10=""),"",IFERROR(IF(AND($F13&gt;=365,$H$10="Persona natural"),0,$H13*2%),""))</f>
        <v/>
      </c>
      <c r="J13" s="164" t="str">
        <f ca="1">IFERROR(H13-I13,"")</f>
        <v/>
      </c>
      <c r="K13" s="26"/>
    </row>
    <row r="14" spans="6:11" ht="19.899999999999999" customHeight="1">
      <c r="F14" s="163">
        <f>+'FR_Mantenimiento tasas'!$E$80</f>
        <v>60</v>
      </c>
      <c r="G14" s="158" t="str">
        <f ca="1">IF(OR($H$9="",$H$10=""),"",IF(AND($H$9&gt;='FR_Mantenimiento tasas'!$B$71,F14&gt;=$F$13),OFFSET('FR_Mantenimiento tasas'!$C$81,MATCH($H$9,'FR_Mantenimiento tasas'!$B$82:$B$88,1),MATCH($F14,'FR_Mantenimiento tasas'!$D$80:$XFD$80,1)),"n.a."))</f>
        <v/>
      </c>
      <c r="H14" s="159" t="str">
        <f t="shared" ca="1" si="0"/>
        <v/>
      </c>
      <c r="I14" s="159" t="str">
        <f t="shared" si="1"/>
        <v/>
      </c>
      <c r="J14" s="164" t="str">
        <f t="shared" ref="J14:J20" ca="1" si="2">IFERROR(H14-I14,"")</f>
        <v/>
      </c>
      <c r="K14" s="26"/>
    </row>
    <row r="15" spans="6:11" ht="19.899999999999999" customHeight="1">
      <c r="F15" s="163">
        <f>+'FR_Mantenimiento tasas'!$F$80</f>
        <v>90</v>
      </c>
      <c r="G15" s="158" t="str">
        <f ca="1">IF(OR($H$9="",$H$10=""),"",IF(AND($H$9&gt;='FR_Mantenimiento tasas'!$B$71,F15&gt;=$F$13),OFFSET('FR_Mantenimiento tasas'!$C$81,MATCH($H$9,'FR_Mantenimiento tasas'!$B$82:$B$88,1),MATCH($F15,'FR_Mantenimiento tasas'!$D$80:$XFD$80,1)),"n.a."))</f>
        <v/>
      </c>
      <c r="H15" s="159" t="str">
        <f t="shared" ca="1" si="0"/>
        <v/>
      </c>
      <c r="I15" s="159" t="str">
        <f t="shared" si="1"/>
        <v/>
      </c>
      <c r="J15" s="164" t="str">
        <f t="shared" ca="1" si="2"/>
        <v/>
      </c>
      <c r="K15" s="26"/>
    </row>
    <row r="16" spans="6:11" ht="19.899999999999999" customHeight="1">
      <c r="F16" s="163">
        <f>+'FR_Mantenimiento tasas'!$G$80</f>
        <v>120</v>
      </c>
      <c r="G16" s="158" t="str">
        <f ca="1">IF(OR($H$9="",$H$10=""),"",IF(AND($H$9&gt;='FR_Mantenimiento tasas'!$B$71,F16&gt;=$F$13),OFFSET('FR_Mantenimiento tasas'!$C$81,MATCH($H$9,'FR_Mantenimiento tasas'!$B$82:$B$88,1),MATCH($F16,'FR_Mantenimiento tasas'!$D$80:$XFD$80,1)),"n.a."))</f>
        <v/>
      </c>
      <c r="H16" s="159" t="str">
        <f t="shared" ca="1" si="0"/>
        <v/>
      </c>
      <c r="I16" s="159" t="str">
        <f t="shared" si="1"/>
        <v/>
      </c>
      <c r="J16" s="164" t="str">
        <f t="shared" ca="1" si="2"/>
        <v/>
      </c>
      <c r="K16" s="26"/>
    </row>
    <row r="17" spans="2:11" ht="19.899999999999999" customHeight="1">
      <c r="F17" s="163">
        <f>+'FR_Mantenimiento tasas'!$H$80</f>
        <v>180</v>
      </c>
      <c r="G17" s="158" t="str">
        <f ca="1">IF(OR($H$9="",$H$10=""),"",IF(AND($H$9&gt;='FR_Mantenimiento tasas'!$B$71,F17&gt;=$F$13),OFFSET('FR_Mantenimiento tasas'!$C$81,MATCH($H$9,'FR_Mantenimiento tasas'!$B$82:$B$88,1),MATCH($F17,'FR_Mantenimiento tasas'!$D$80:$XFD$80,1)),"n.a."))</f>
        <v/>
      </c>
      <c r="H17" s="159" t="str">
        <f t="shared" ca="1" si="0"/>
        <v/>
      </c>
      <c r="I17" s="159" t="str">
        <f t="shared" si="1"/>
        <v/>
      </c>
      <c r="J17" s="164" t="str">
        <f t="shared" ca="1" si="2"/>
        <v/>
      </c>
      <c r="K17" s="26"/>
    </row>
    <row r="18" spans="2:11" ht="19.899999999999999" customHeight="1">
      <c r="F18" s="163">
        <f>+'FR_Mantenimiento tasas'!$I$80</f>
        <v>270</v>
      </c>
      <c r="G18" s="158" t="str">
        <f ca="1">IF(OR($H$9="",$H$10=""),"",IF(AND($H$9&gt;='FR_Mantenimiento tasas'!$B$71,F18&gt;=$F$13),OFFSET('FR_Mantenimiento tasas'!$C$81,MATCH($H$9,'FR_Mantenimiento tasas'!$B$82:$B$88,1),MATCH($F18,'FR_Mantenimiento tasas'!$D$80:$XFD$80,1)),"n.a."))</f>
        <v/>
      </c>
      <c r="H18" s="159" t="str">
        <f t="shared" ca="1" si="0"/>
        <v/>
      </c>
      <c r="I18" s="159" t="str">
        <f t="shared" si="1"/>
        <v/>
      </c>
      <c r="J18" s="164" t="str">
        <f t="shared" ca="1" si="2"/>
        <v/>
      </c>
      <c r="K18" s="26"/>
    </row>
    <row r="19" spans="2:11" ht="19.899999999999999" customHeight="1">
      <c r="F19" s="163">
        <f>+'FR_Mantenimiento tasas'!$J$80</f>
        <v>365</v>
      </c>
      <c r="G19" s="158" t="str">
        <f ca="1">IF(OR($H$9="",$H$10=""),"",IF(AND($H$9&gt;='FR_Mantenimiento tasas'!$B$71,F19&gt;=$F$13),OFFSET('FR_Mantenimiento tasas'!$C$81,MATCH($H$9,'FR_Mantenimiento tasas'!$B$82:$B$88,1),MATCH($F19,'FR_Mantenimiento tasas'!$D$80:$XFD$80,1)),"n.a."))</f>
        <v/>
      </c>
      <c r="H19" s="159" t="str">
        <f t="shared" ca="1" si="0"/>
        <v/>
      </c>
      <c r="I19" s="159" t="str">
        <f t="shared" si="1"/>
        <v/>
      </c>
      <c r="J19" s="164" t="str">
        <f t="shared" ca="1" si="2"/>
        <v/>
      </c>
      <c r="K19" s="26"/>
    </row>
    <row r="20" spans="2:11" ht="19.899999999999999" customHeight="1">
      <c r="B20" s="146">
        <v>2</v>
      </c>
      <c r="F20" s="165">
        <f>+'FR_Mantenimiento tasas'!$K$80</f>
        <v>721</v>
      </c>
      <c r="G20" s="166" t="str">
        <f ca="1">IF(OR($H$9="",$H$10=""),"",IF(AND($H$9&gt;='FR_Mantenimiento tasas'!$B$71,F20&gt;=$F$13),OFFSET('FR_Mantenimiento tasas'!$C$81,MATCH($H$9,'FR_Mantenimiento tasas'!$B$82:$B$88,1),MATCH($F20,'FR_Mantenimiento tasas'!$D$80:$XFD$80,1)),"n.a."))</f>
        <v/>
      </c>
      <c r="H20" s="167" t="str">
        <f t="shared" ca="1" si="0"/>
        <v/>
      </c>
      <c r="I20" s="167" t="str">
        <f t="shared" si="1"/>
        <v/>
      </c>
      <c r="J20" s="168" t="str">
        <f t="shared" ca="1" si="2"/>
        <v/>
      </c>
      <c r="K20" s="26"/>
    </row>
    <row r="21" spans="2:11" ht="12" customHeight="1"/>
    <row r="22" spans="2:11" ht="15.6" customHeight="1">
      <c r="F22" s="222" t="s">
        <v>88</v>
      </c>
      <c r="G22" s="222"/>
      <c r="H22" s="222"/>
      <c r="I22" s="222"/>
      <c r="J22" s="222"/>
      <c r="K22" s="222"/>
    </row>
    <row r="23" spans="2:11" ht="14.25">
      <c r="F23" s="191"/>
      <c r="G23" s="191"/>
      <c r="H23" s="191"/>
      <c r="I23" s="191"/>
      <c r="J23" s="191"/>
      <c r="K23" s="191"/>
    </row>
    <row r="24" spans="2:11" ht="43.9" customHeight="1">
      <c r="F24" s="222" t="s">
        <v>96</v>
      </c>
      <c r="G24" s="222"/>
      <c r="H24" s="222"/>
      <c r="I24" s="222"/>
      <c r="J24" s="222"/>
      <c r="K24" s="222"/>
    </row>
    <row r="25" spans="2:11" ht="14.25">
      <c r="F25" s="192"/>
      <c r="G25" s="192"/>
      <c r="H25" s="192"/>
      <c r="I25" s="192"/>
      <c r="J25" s="192"/>
      <c r="K25" s="192"/>
    </row>
    <row r="26" spans="2:11" ht="14.25">
      <c r="F26" s="192"/>
      <c r="G26" s="192"/>
      <c r="H26" s="192"/>
      <c r="I26" s="192"/>
      <c r="J26" s="192"/>
      <c r="K26" s="192"/>
    </row>
  </sheetData>
  <sheetProtection password="BFF2" sheet="1" objects="1" scenarios="1" selectLockedCells="1"/>
  <mergeCells count="7">
    <mergeCell ref="F24:K24"/>
    <mergeCell ref="F5:K5"/>
    <mergeCell ref="F7:G7"/>
    <mergeCell ref="F9:G9"/>
    <mergeCell ref="F10:G10"/>
    <mergeCell ref="F22:K22"/>
    <mergeCell ref="H7:J7"/>
  </mergeCells>
  <dataValidations count="2">
    <dataValidation type="decimal" allowBlank="1" showInputMessage="1" showErrorMessage="1" errorTitle="Monto incorrecto" error="El monto a invertir en este producto es mínimo USD 500.00" sqref="H9">
      <formula1>500</formula1>
      <formula2>9.99999999999999E+37</formula2>
    </dataValidation>
    <dataValidation type="list" allowBlank="1" showInputMessage="1" showErrorMessage="1" sqref="H10">
      <formula1>TipodeCliente</formula1>
    </dataValidation>
  </dataValidations>
  <pageMargins left="0.51181102362204722" right="0.51181102362204722" top="0.51181102362204722" bottom="0.51181102362204722" header="0.51181102362204722" footer="0.51181102362204722"/>
  <pageSetup scale="80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Europlazo">
    <tabColor rgb="FFFFC000"/>
  </sheetPr>
  <dimension ref="B1:K24"/>
  <sheetViews>
    <sheetView showGridLines="0" showRowColHeaders="0" showRuler="0" workbookViewId="0">
      <pane ySplit="3" topLeftCell="A4" activePane="bottomLeft" state="frozen"/>
      <selection pane="bottomLeft" activeCell="H9" sqref="H9"/>
    </sheetView>
  </sheetViews>
  <sheetFormatPr baseColWidth="10" defaultColWidth="9.140625" defaultRowHeight="13.5"/>
  <cols>
    <col min="1" max="1" width="9.140625" style="26"/>
    <col min="2" max="4" width="7.28515625" style="26" customWidth="1"/>
    <col min="5" max="5" width="9.140625" style="26"/>
    <col min="6" max="7" width="10.7109375" style="28" customWidth="1"/>
    <col min="8" max="8" width="18.7109375" style="28" customWidth="1"/>
    <col min="9" max="11" width="15.7109375" style="28" customWidth="1"/>
    <col min="12" max="16384" width="9.140625" style="26"/>
  </cols>
  <sheetData>
    <row r="1" spans="6:11" s="141" customFormat="1" ht="14.65" customHeight="1">
      <c r="F1" s="142"/>
      <c r="G1" s="142"/>
      <c r="H1" s="142"/>
      <c r="I1" s="142"/>
      <c r="J1" s="142"/>
      <c r="K1" s="142"/>
    </row>
    <row r="2" spans="6:11" s="141" customFormat="1" ht="14.65" customHeight="1">
      <c r="F2" s="142"/>
      <c r="G2" s="142"/>
      <c r="H2" s="142"/>
      <c r="I2" s="142"/>
      <c r="J2" s="142"/>
      <c r="K2" s="142"/>
    </row>
    <row r="3" spans="6:11" s="141" customFormat="1" ht="14.65" customHeight="1">
      <c r="F3" s="142"/>
      <c r="G3" s="142"/>
      <c r="H3" s="142"/>
      <c r="I3" s="142"/>
      <c r="J3" s="142"/>
      <c r="K3" s="142"/>
    </row>
    <row r="4" spans="6:11" ht="19.899999999999999" customHeight="1"/>
    <row r="5" spans="6:11" ht="42.6" customHeight="1">
      <c r="F5" s="223" t="str">
        <f>'FR_Mantenimiento tasas'!C65</f>
        <v>Diversifique la manera de invertir sus ahorros, mediante una inversión en euros; y obtenga al final del periodo contratado, los intereses acumulados por la inversión realizada.</v>
      </c>
      <c r="G5" s="223"/>
      <c r="H5" s="223"/>
      <c r="I5" s="223"/>
      <c r="J5" s="223"/>
      <c r="K5" s="223"/>
    </row>
    <row r="6" spans="6:11" ht="12" customHeight="1"/>
    <row r="7" spans="6:11" ht="28.9" customHeight="1">
      <c r="F7" s="226" t="s">
        <v>9</v>
      </c>
      <c r="G7" s="227"/>
      <c r="H7" s="200" t="str">
        <f>+'FR_Mantenimiento tasas'!$B$65</f>
        <v>Europlazo</v>
      </c>
      <c r="I7" s="1"/>
      <c r="J7" s="1"/>
      <c r="K7" s="1"/>
    </row>
    <row r="8" spans="6:11" s="204" customFormat="1" ht="12" customHeight="1"/>
    <row r="9" spans="6:11" ht="19.899999999999999" customHeight="1">
      <c r="F9" s="236" t="s">
        <v>2</v>
      </c>
      <c r="G9" s="237"/>
      <c r="H9" s="209"/>
      <c r="I9" s="144" t="s">
        <v>79</v>
      </c>
      <c r="J9" s="1"/>
      <c r="K9" s="1"/>
    </row>
    <row r="10" spans="6:11" ht="19.899999999999999" customHeight="1">
      <c r="F10" s="238" t="s">
        <v>23</v>
      </c>
      <c r="G10" s="239"/>
      <c r="H10" s="208"/>
      <c r="I10" s="144" t="s">
        <v>70</v>
      </c>
      <c r="J10" s="1"/>
      <c r="K10" s="1"/>
    </row>
    <row r="11" spans="6:11" ht="12" customHeight="1">
      <c r="F11" s="2"/>
      <c r="G11" s="2"/>
      <c r="H11" s="1"/>
      <c r="I11" s="1"/>
      <c r="J11" s="1"/>
      <c r="K11" s="1"/>
    </row>
    <row r="12" spans="6:11" ht="39.950000000000003" customHeight="1">
      <c r="F12" s="160" t="s">
        <v>22</v>
      </c>
      <c r="G12" s="161" t="s">
        <v>16</v>
      </c>
      <c r="H12" s="161" t="s">
        <v>17</v>
      </c>
      <c r="I12" s="161" t="s">
        <v>15</v>
      </c>
      <c r="J12" s="162" t="s">
        <v>21</v>
      </c>
      <c r="K12" s="26"/>
    </row>
    <row r="13" spans="6:11" ht="19.899999999999999" customHeight="1">
      <c r="F13" s="163">
        <f>+'FR_Mantenimiento tasas'!E91</f>
        <v>30</v>
      </c>
      <c r="G13" s="158" t="str">
        <f ca="1">IF(OR($H$9="",$H$10=""),"",IF(AND($H$9&gt;='FR_Mantenimiento tasas'!$B$93,F13&gt;=$F$13),OFFSET('FR_Mantenimiento tasas'!$D$92,MATCH($H$9,'FR_Mantenimiento tasas'!$B$93:$B$95,1),MATCH($F13,'FR_Mantenimiento tasas'!$E$91:$XFD$91,1)),"n.a."))</f>
        <v/>
      </c>
      <c r="H13" s="169" t="str">
        <f ca="1">IFERROR($H$9*$G13/360*$F13,"")</f>
        <v/>
      </c>
      <c r="I13" s="169" t="str">
        <f>IF(OR($H$9="",$H$10=""),"",IFERROR(IF(AND($F13&gt;=365,$H$10="Persona natural"),0,$H13*2%),""))</f>
        <v/>
      </c>
      <c r="J13" s="171" t="str">
        <f t="shared" ref="J13:J18" ca="1" si="0">IFERROR(H13-I13,"")</f>
        <v/>
      </c>
      <c r="K13" s="26"/>
    </row>
    <row r="14" spans="6:11" ht="19.899999999999999" customHeight="1">
      <c r="F14" s="163">
        <f>+'FR_Mantenimiento tasas'!F91</f>
        <v>60</v>
      </c>
      <c r="G14" s="158" t="str">
        <f ca="1">IF(OR($H$9="",$H$10=""),"",IF(AND($H$9&gt;='FR_Mantenimiento tasas'!$B$93,F14&gt;=$F$13),OFFSET('FR_Mantenimiento tasas'!$D$92,MATCH($H$9,'FR_Mantenimiento tasas'!$B$93:$B$95,1),MATCH($F14,'FR_Mantenimiento tasas'!$E$91:$XFD$91,1)),"n.a."))</f>
        <v/>
      </c>
      <c r="H14" s="169" t="str">
        <f t="shared" ref="H14:H18" ca="1" si="1">IFERROR($H$9*$G14/360*$F14,"")</f>
        <v/>
      </c>
      <c r="I14" s="169" t="str">
        <f t="shared" ref="I14:I17" si="2">IF(OR($H$9="",$H$10=""),"",IFERROR(IF(AND($F14&gt;=365,$H$10="Persona natural"),0,$H14*2%),""))</f>
        <v/>
      </c>
      <c r="J14" s="171" t="str">
        <f t="shared" ca="1" si="0"/>
        <v/>
      </c>
      <c r="K14" s="26"/>
    </row>
    <row r="15" spans="6:11" ht="19.899999999999999" customHeight="1">
      <c r="F15" s="163">
        <f>+'FR_Mantenimiento tasas'!G91</f>
        <v>90</v>
      </c>
      <c r="G15" s="158" t="str">
        <f ca="1">IF(OR($H$9="",$H$10=""),"",IF(AND($H$9&gt;='FR_Mantenimiento tasas'!$B$93,F15&gt;=$F$13),OFFSET('FR_Mantenimiento tasas'!$D$92,MATCH($H$9,'FR_Mantenimiento tasas'!$B$93:$B$95,1),MATCH($F15,'FR_Mantenimiento tasas'!$E$91:$XFD$91,1)),"n.a."))</f>
        <v/>
      </c>
      <c r="H15" s="169" t="str">
        <f t="shared" ca="1" si="1"/>
        <v/>
      </c>
      <c r="I15" s="169" t="str">
        <f t="shared" si="2"/>
        <v/>
      </c>
      <c r="J15" s="171" t="str">
        <f t="shared" ca="1" si="0"/>
        <v/>
      </c>
      <c r="K15" s="26"/>
    </row>
    <row r="16" spans="6:11" ht="19.899999999999999" customHeight="1">
      <c r="F16" s="163">
        <f>+'FR_Mantenimiento tasas'!H91</f>
        <v>120</v>
      </c>
      <c r="G16" s="158" t="str">
        <f ca="1">IF(OR($H$9="",$H$10=""),"",IF(AND($H$9&gt;='FR_Mantenimiento tasas'!$B$93,F16&gt;=$F$13),OFFSET('FR_Mantenimiento tasas'!$D$92,MATCH($H$9,'FR_Mantenimiento tasas'!$B$93:$B$95,1),MATCH($F16,'FR_Mantenimiento tasas'!$E$91:$XFD$91,1)),"n.a."))</f>
        <v/>
      </c>
      <c r="H16" s="169" t="str">
        <f t="shared" ca="1" si="1"/>
        <v/>
      </c>
      <c r="I16" s="169" t="str">
        <f t="shared" si="2"/>
        <v/>
      </c>
      <c r="J16" s="171" t="str">
        <f t="shared" ca="1" si="0"/>
        <v/>
      </c>
      <c r="K16" s="26"/>
    </row>
    <row r="17" spans="2:11" ht="19.899999999999999" customHeight="1">
      <c r="F17" s="163">
        <f>+'FR_Mantenimiento tasas'!I91</f>
        <v>180</v>
      </c>
      <c r="G17" s="158" t="str">
        <f ca="1">IF(OR($H$9="",$H$10=""),"",IF(AND($H$9&gt;='FR_Mantenimiento tasas'!$B$93,F17&gt;=$F$13),OFFSET('FR_Mantenimiento tasas'!$D$92,MATCH($H$9,'FR_Mantenimiento tasas'!$B$93:$B$95,1),MATCH($F17,'FR_Mantenimiento tasas'!$E$91:$XFD$91,1)),"n.a."))</f>
        <v/>
      </c>
      <c r="H17" s="169" t="str">
        <f t="shared" ca="1" si="1"/>
        <v/>
      </c>
      <c r="I17" s="169" t="str">
        <f t="shared" si="2"/>
        <v/>
      </c>
      <c r="J17" s="171" t="str">
        <f t="shared" ca="1" si="0"/>
        <v/>
      </c>
      <c r="K17" s="26"/>
    </row>
    <row r="18" spans="2:11" ht="19.899999999999999" customHeight="1">
      <c r="F18" s="165">
        <f>+'FR_Mantenimiento tasas'!J91</f>
        <v>365</v>
      </c>
      <c r="G18" s="166" t="str">
        <f ca="1">IF(OR($H$9="",$H$10=""),"",IF(AND($H$9&gt;='FR_Mantenimiento tasas'!$B$93,F18&gt;=$F$13),OFFSET('FR_Mantenimiento tasas'!$D$92,MATCH($H$9,'FR_Mantenimiento tasas'!$B$93:$B$95,1),MATCH($F18,'FR_Mantenimiento tasas'!$E$91:$XFD$91,1)),"n.a."))</f>
        <v/>
      </c>
      <c r="H18" s="170" t="str">
        <f t="shared" ca="1" si="1"/>
        <v/>
      </c>
      <c r="I18" s="170" t="str">
        <f>IF(OR($H$9="",$H$10=""),"",IFERROR(IF(AND($F18&gt;=365,$H$10="Persona natural"),0,$H18*2%),""))</f>
        <v/>
      </c>
      <c r="J18" s="172" t="str">
        <f t="shared" ca="1" si="0"/>
        <v/>
      </c>
      <c r="K18" s="26"/>
    </row>
    <row r="19" spans="2:11" ht="12" customHeight="1">
      <c r="F19" s="2"/>
    </row>
    <row r="20" spans="2:11" ht="13.9" customHeight="1">
      <c r="B20" s="146">
        <v>3</v>
      </c>
      <c r="F20" s="222" t="s">
        <v>88</v>
      </c>
      <c r="G20" s="222"/>
      <c r="H20" s="222"/>
      <c r="I20" s="222"/>
      <c r="J20" s="222"/>
      <c r="K20" s="222"/>
    </row>
    <row r="21" spans="2:11" ht="13.15" customHeight="1">
      <c r="B21" s="146"/>
      <c r="F21" s="191"/>
      <c r="G21" s="191"/>
      <c r="H21" s="191"/>
      <c r="I21" s="191"/>
      <c r="J21" s="191"/>
      <c r="K21" s="191"/>
    </row>
    <row r="22" spans="2:11" ht="42.6" customHeight="1">
      <c r="F22" s="222" t="s">
        <v>96</v>
      </c>
      <c r="G22" s="222"/>
      <c r="H22" s="222"/>
      <c r="I22" s="222"/>
      <c r="J22" s="222"/>
      <c r="K22" s="222"/>
    </row>
    <row r="23" spans="2:11">
      <c r="F23" s="222"/>
      <c r="G23" s="222"/>
      <c r="H23" s="222"/>
      <c r="I23" s="222"/>
      <c r="J23" s="222"/>
      <c r="K23" s="222"/>
    </row>
    <row r="24" spans="2:11">
      <c r="F24" s="222"/>
      <c r="G24" s="222"/>
      <c r="H24" s="222"/>
      <c r="I24" s="222"/>
      <c r="J24" s="222"/>
      <c r="K24" s="222"/>
    </row>
  </sheetData>
  <sheetProtection password="BFF2" sheet="1" objects="1" scenarios="1" selectLockedCells="1"/>
  <mergeCells count="8">
    <mergeCell ref="F22:K22"/>
    <mergeCell ref="F23:K23"/>
    <mergeCell ref="F24:K24"/>
    <mergeCell ref="F20:K20"/>
    <mergeCell ref="F5:K5"/>
    <mergeCell ref="F7:G7"/>
    <mergeCell ref="F9:G9"/>
    <mergeCell ref="F10:G10"/>
  </mergeCells>
  <dataValidations count="2">
    <dataValidation type="decimal" allowBlank="1" showInputMessage="1" showErrorMessage="1" errorTitle="Monto incorrecto" error="El monto a invertir en este producto es mínimo USD 5,000.00" sqref="H9">
      <formula1>5000</formula1>
      <formula2>9.99999999999999E+37</formula2>
    </dataValidation>
    <dataValidation type="list" allowBlank="1" showInputMessage="1" showErrorMessage="1" sqref="H10">
      <formula1>TipodeCliente</formula1>
    </dataValidation>
  </dataValidations>
  <pageMargins left="0.51181102362204722" right="0.51181102362204722" top="0.51181102362204722" bottom="0.51181102362204722" header="0.51181102362204722" footer="0.51181102362204722"/>
  <pageSetup scale="80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CtaAhorro">
    <tabColor rgb="FFFFCC00"/>
  </sheetPr>
  <dimension ref="F1:K20"/>
  <sheetViews>
    <sheetView showGridLines="0" showRowColHeaders="0" showRuler="0" workbookViewId="0">
      <pane ySplit="3" topLeftCell="A4" activePane="bottomLeft" state="frozen"/>
      <selection pane="bottomLeft" activeCell="H9" sqref="H9"/>
    </sheetView>
  </sheetViews>
  <sheetFormatPr baseColWidth="10" defaultColWidth="9.140625" defaultRowHeight="12.75"/>
  <cols>
    <col min="1" max="1" width="9.140625" style="28"/>
    <col min="2" max="4" width="7.28515625" style="28" customWidth="1"/>
    <col min="5" max="5" width="9.140625" style="28" customWidth="1"/>
    <col min="6" max="7" width="15.7109375" style="28" customWidth="1"/>
    <col min="8" max="8" width="18.7109375" style="28" customWidth="1"/>
    <col min="9" max="9" width="22.28515625" style="28" customWidth="1"/>
    <col min="10" max="16384" width="9.140625" style="28"/>
  </cols>
  <sheetData>
    <row r="1" spans="6:11" s="142" customFormat="1" ht="14.65" customHeight="1"/>
    <row r="2" spans="6:11" s="142" customFormat="1" ht="14.65" customHeight="1"/>
    <row r="3" spans="6:11" s="142" customFormat="1" ht="14.65" customHeight="1"/>
    <row r="4" spans="6:11" ht="19.899999999999999" customHeight="1"/>
    <row r="5" spans="6:11" ht="42.6" customHeight="1">
      <c r="F5" s="223" t="str">
        <f>'FR_Mantenimiento tasas'!C4</f>
        <v>Con este producto de ahorros usted acumula sus fondos y ganar intereses mensuales, con la facilidad de realizar depósitos y retiros en cualquier momento y lugar a través de nuestros canales habilitados para el efecto .</v>
      </c>
      <c r="G5" s="223"/>
      <c r="H5" s="223"/>
      <c r="I5" s="223"/>
      <c r="J5" s="223"/>
      <c r="K5" s="223"/>
    </row>
    <row r="6" spans="6:11" ht="13.9" customHeight="1"/>
    <row r="7" spans="6:11" ht="28.9" customHeight="1">
      <c r="F7" s="226" t="s">
        <v>3</v>
      </c>
      <c r="G7" s="227"/>
      <c r="H7" s="200" t="str">
        <f>+'FR_Mantenimiento tasas'!B4</f>
        <v>Cuenta de Ahorros</v>
      </c>
      <c r="I7" s="29"/>
    </row>
    <row r="8" spans="6:11" s="204" customFormat="1" ht="12" customHeight="1"/>
    <row r="9" spans="6:11" ht="19.899999999999999" customHeight="1">
      <c r="F9" s="240" t="s">
        <v>94</v>
      </c>
      <c r="G9" s="241"/>
      <c r="H9" s="210"/>
      <c r="I9" s="144" t="s">
        <v>82</v>
      </c>
    </row>
    <row r="10" spans="6:11" ht="12" customHeight="1">
      <c r="F10" s="31"/>
      <c r="G10" s="31"/>
      <c r="H10" s="29"/>
      <c r="I10" s="29"/>
    </row>
    <row r="11" spans="6:11" ht="39.950000000000003" customHeight="1">
      <c r="F11" s="160" t="s">
        <v>7</v>
      </c>
      <c r="G11" s="161" t="s">
        <v>59</v>
      </c>
      <c r="H11" s="162" t="s">
        <v>8</v>
      </c>
    </row>
    <row r="12" spans="6:11" ht="19.899999999999999" customHeight="1">
      <c r="F12" s="163">
        <v>1</v>
      </c>
      <c r="G12" s="173" t="str">
        <f>IFERROR(VLOOKUP($H$9,'FR_Mantenimiento tasas'!$B$14:$D$21,3,1),"")</f>
        <v/>
      </c>
      <c r="H12" s="175" t="str">
        <f>IFERROR($H$9*(1+G12/12)^F12-$H$9,"")</f>
        <v/>
      </c>
    </row>
    <row r="13" spans="6:11" ht="19.899999999999999" customHeight="1">
      <c r="F13" s="163">
        <v>2</v>
      </c>
      <c r="G13" s="173" t="str">
        <f>IFERROR(VLOOKUP($H$9,'FR_Mantenimiento tasas'!$B$14:$D$21,3,1),"")</f>
        <v/>
      </c>
      <c r="H13" s="175" t="str">
        <f>IFERROR($H$9*(1+G13/12)^F13-$H$9,"")</f>
        <v/>
      </c>
    </row>
    <row r="14" spans="6:11" ht="19.899999999999999" customHeight="1">
      <c r="F14" s="163">
        <v>3</v>
      </c>
      <c r="G14" s="173" t="str">
        <f>IFERROR(VLOOKUP($H$9,'FR_Mantenimiento tasas'!$B$14:$D$21,3,1),"")</f>
        <v/>
      </c>
      <c r="H14" s="175" t="str">
        <f>IFERROR($H$9*(1+G14/12)^F14-$H$9,"")</f>
        <v/>
      </c>
    </row>
    <row r="15" spans="6:11" ht="19.899999999999999" customHeight="1">
      <c r="F15" s="163">
        <v>6</v>
      </c>
      <c r="G15" s="173" t="str">
        <f>IFERROR(VLOOKUP($H$9,'FR_Mantenimiento tasas'!$B$14:$D$21,3,1),"")</f>
        <v/>
      </c>
      <c r="H15" s="175" t="str">
        <f>IFERROR($H$9*(1+G15/12)^F15-$H$9,"")</f>
        <v/>
      </c>
    </row>
    <row r="16" spans="6:11" ht="19.899999999999999" customHeight="1">
      <c r="F16" s="165">
        <v>12</v>
      </c>
      <c r="G16" s="174" t="str">
        <f>IFERROR(VLOOKUP($H$9,'FR_Mantenimiento tasas'!$B$14:$D$21,3,1),"")</f>
        <v/>
      </c>
      <c r="H16" s="176" t="str">
        <f>IFERROR($H$9*(1+G16/12)^F16-$H$9,"")</f>
        <v/>
      </c>
    </row>
    <row r="17" spans="6:11" ht="12" customHeight="1"/>
    <row r="18" spans="6:11" ht="16.149999999999999" customHeight="1">
      <c r="F18" s="222" t="s">
        <v>88</v>
      </c>
      <c r="G18" s="222"/>
      <c r="H18" s="222"/>
      <c r="I18" s="222"/>
      <c r="J18" s="222"/>
      <c r="K18" s="222"/>
    </row>
    <row r="19" spans="6:11" ht="13.15" customHeight="1">
      <c r="F19" s="199"/>
      <c r="G19" s="199"/>
      <c r="H19" s="199"/>
      <c r="I19" s="199"/>
      <c r="J19" s="199"/>
      <c r="K19" s="199"/>
    </row>
    <row r="20" spans="6:11" ht="44.45" customHeight="1">
      <c r="F20" s="222" t="s">
        <v>117</v>
      </c>
      <c r="G20" s="222"/>
      <c r="H20" s="222"/>
      <c r="I20" s="222"/>
      <c r="J20" s="222"/>
      <c r="K20" s="222"/>
    </row>
  </sheetData>
  <sheetProtection password="BFF2" sheet="1" objects="1" scenarios="1" selectLockedCells="1"/>
  <mergeCells count="5">
    <mergeCell ref="F7:G7"/>
    <mergeCell ref="F9:G9"/>
    <mergeCell ref="F18:K18"/>
    <mergeCell ref="F5:K5"/>
    <mergeCell ref="F20:K20"/>
  </mergeCells>
  <dataValidations count="1">
    <dataValidation type="decimal" allowBlank="1" showInputMessage="1" showErrorMessage="1" errorTitle="Error saldo promedio" error="El saldo promedio debe ser mayor a USD 1.00" sqref="H9">
      <formula1>1</formula1>
      <formula2>9.99999999999999E+29</formula2>
    </dataValidation>
  </dataValidations>
  <pageMargins left="0.51181102362204722" right="0.51181102362204722" top="0.51181102362204722" bottom="0.51181102362204722" header="0.51181102362204722" footer="0.51181102362204722"/>
  <pageSetup scale="80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AhorroEuro">
    <tabColor rgb="FFFFCC00"/>
  </sheetPr>
  <dimension ref="F1:K20"/>
  <sheetViews>
    <sheetView showGridLines="0" showRowColHeaders="0" showRuler="0" workbookViewId="0">
      <pane ySplit="3" topLeftCell="A4" activePane="bottomLeft" state="frozen"/>
      <selection pane="bottomLeft" activeCell="H9" sqref="H9"/>
    </sheetView>
  </sheetViews>
  <sheetFormatPr baseColWidth="10" defaultColWidth="9.140625" defaultRowHeight="12.75"/>
  <cols>
    <col min="1" max="1" width="9.140625" style="28"/>
    <col min="2" max="4" width="7.28515625" style="28" customWidth="1"/>
    <col min="5" max="5" width="9.140625" style="28" customWidth="1"/>
    <col min="6" max="7" width="15.7109375" style="28" customWidth="1"/>
    <col min="8" max="8" width="19.85546875" style="28" customWidth="1"/>
    <col min="9" max="9" width="22.28515625" style="28" customWidth="1"/>
    <col min="10" max="16384" width="9.140625" style="28"/>
  </cols>
  <sheetData>
    <row r="1" spans="6:11" s="142" customFormat="1" ht="14.65" customHeight="1"/>
    <row r="2" spans="6:11" s="142" customFormat="1" ht="14.65" customHeight="1"/>
    <row r="3" spans="6:11" s="142" customFormat="1" ht="14.65" customHeight="1"/>
    <row r="4" spans="6:11" ht="19.899999999999999" customHeight="1"/>
    <row r="5" spans="6:11" ht="42.6" customHeight="1">
      <c r="F5" s="223" t="str">
        <f>'FR_Mantenimiento tasas'!C8</f>
        <v>Con este producto de ahorros usted acumula sus fondos y ganar intereses mensuales en euros, con la facilidad de realizar depósitos y retiros en cualquier momento a través de las agencias  habilitadas para el efecto .</v>
      </c>
      <c r="G5" s="223"/>
      <c r="H5" s="223"/>
      <c r="I5" s="223"/>
      <c r="J5" s="223"/>
      <c r="K5" s="223"/>
    </row>
    <row r="6" spans="6:11" ht="13.9" customHeight="1"/>
    <row r="7" spans="6:11" ht="28.9" customHeight="1">
      <c r="F7" s="226" t="s">
        <v>3</v>
      </c>
      <c r="G7" s="227"/>
      <c r="H7" s="200" t="str">
        <f>+'FR_Mantenimiento tasas'!$B$8</f>
        <v>Ahorro Euro</v>
      </c>
      <c r="I7" s="29"/>
    </row>
    <row r="8" spans="6:11" s="204" customFormat="1" ht="12" customHeight="1"/>
    <row r="9" spans="6:11" ht="19.899999999999999" customHeight="1">
      <c r="F9" s="240" t="s">
        <v>4</v>
      </c>
      <c r="G9" s="241"/>
      <c r="H9" s="211"/>
      <c r="I9" s="143" t="s">
        <v>83</v>
      </c>
    </row>
    <row r="10" spans="6:11" ht="12" customHeight="1">
      <c r="F10" s="31"/>
      <c r="G10" s="31"/>
      <c r="H10" s="29"/>
      <c r="I10" s="29"/>
    </row>
    <row r="11" spans="6:11" ht="39.950000000000003" customHeight="1">
      <c r="F11" s="160" t="s">
        <v>7</v>
      </c>
      <c r="G11" s="161" t="s">
        <v>59</v>
      </c>
      <c r="H11" s="162" t="s">
        <v>85</v>
      </c>
    </row>
    <row r="12" spans="6:11" ht="19.899999999999999" customHeight="1">
      <c r="F12" s="163">
        <v>1</v>
      </c>
      <c r="G12" s="158" t="str">
        <f>IFERROR(VLOOKUP($H$9,'FR_Mantenimiento tasas'!$B$26:$D$28,3,1),"")</f>
        <v/>
      </c>
      <c r="H12" s="171" t="str">
        <f>IFERROR($H$9*(1+G12/12)^F12-$H$9,"")</f>
        <v/>
      </c>
    </row>
    <row r="13" spans="6:11" ht="19.899999999999999" customHeight="1">
      <c r="F13" s="163">
        <v>2</v>
      </c>
      <c r="G13" s="158" t="str">
        <f>IFERROR(VLOOKUP($H$9,'FR_Mantenimiento tasas'!$B$26:$D$28,3,1),"")</f>
        <v/>
      </c>
      <c r="H13" s="171" t="str">
        <f>IFERROR($H$9*(1+G13/12)^F13-$H$9,"")</f>
        <v/>
      </c>
    </row>
    <row r="14" spans="6:11" ht="19.899999999999999" customHeight="1">
      <c r="F14" s="163">
        <v>3</v>
      </c>
      <c r="G14" s="158" t="str">
        <f>IFERROR(VLOOKUP($H$9,'FR_Mantenimiento tasas'!$B$26:$D$28,3,1),"")</f>
        <v/>
      </c>
      <c r="H14" s="171" t="str">
        <f>IFERROR($H$9*(1+G14/12)^F14-$H$9,"")</f>
        <v/>
      </c>
    </row>
    <row r="15" spans="6:11" ht="19.899999999999999" customHeight="1">
      <c r="F15" s="163">
        <v>6</v>
      </c>
      <c r="G15" s="158" t="str">
        <f>IFERROR(VLOOKUP($H$9,'FR_Mantenimiento tasas'!$B$26:$D$28,3,1),"")</f>
        <v/>
      </c>
      <c r="H15" s="171" t="str">
        <f>IFERROR($H$9*(1+G15/12)^F15-$H$9,"")</f>
        <v/>
      </c>
    </row>
    <row r="16" spans="6:11" ht="19.899999999999999" customHeight="1">
      <c r="F16" s="165">
        <v>12</v>
      </c>
      <c r="G16" s="166" t="str">
        <f>IFERROR(VLOOKUP($H$9,'FR_Mantenimiento tasas'!$B$26:$D$28,3,1),"")</f>
        <v/>
      </c>
      <c r="H16" s="172" t="str">
        <f>IFERROR($H$9*(1+G16/12)^F16-$H$9,"")</f>
        <v/>
      </c>
    </row>
    <row r="17" spans="6:11" ht="12" customHeight="1"/>
    <row r="18" spans="6:11" ht="13.9" customHeight="1">
      <c r="F18" s="222" t="s">
        <v>88</v>
      </c>
      <c r="G18" s="222"/>
      <c r="H18" s="222"/>
      <c r="I18" s="222"/>
      <c r="J18" s="222"/>
      <c r="K18" s="222"/>
    </row>
    <row r="19" spans="6:11" ht="13.15" customHeight="1">
      <c r="F19" s="191"/>
      <c r="G19" s="191"/>
      <c r="H19" s="191"/>
      <c r="I19" s="191"/>
      <c r="J19" s="191"/>
      <c r="K19" s="191"/>
    </row>
    <row r="20" spans="6:11" ht="45" customHeight="1">
      <c r="F20" s="222" t="s">
        <v>117</v>
      </c>
      <c r="G20" s="222"/>
      <c r="H20" s="222"/>
      <c r="I20" s="222"/>
      <c r="J20" s="222"/>
      <c r="K20" s="222"/>
    </row>
  </sheetData>
  <sheetProtection password="BFF2" sheet="1" objects="1" scenarios="1" selectLockedCells="1"/>
  <mergeCells count="5">
    <mergeCell ref="F7:G7"/>
    <mergeCell ref="F9:G9"/>
    <mergeCell ref="F18:K18"/>
    <mergeCell ref="F5:K5"/>
    <mergeCell ref="F20:K20"/>
  </mergeCells>
  <dataValidations count="1">
    <dataValidation type="decimal" allowBlank="1" showInputMessage="1" showErrorMessage="1" errorTitle="Error saldo promedio" error="El saldo promedio debe ser mayor a USD 5,000.00" sqref="H9">
      <formula1>5000</formula1>
      <formula2>9.99999999999999E+29</formula2>
    </dataValidation>
  </dataValidations>
  <pageMargins left="0.51181102362204722" right="0.51181102362204722" top="0.51181102362204722" bottom="0.51181102362204722" header="0.51181102362204722" footer="0.51181102362204722"/>
  <pageSetup scale="80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CtaXperta">
    <tabColor rgb="FFFFCC00"/>
  </sheetPr>
  <dimension ref="B1:K20"/>
  <sheetViews>
    <sheetView showGridLines="0" showRowColHeaders="0" showRuler="0" workbookViewId="0">
      <pane ySplit="3" topLeftCell="A4" activePane="bottomLeft" state="frozen"/>
      <selection pane="bottomLeft" activeCell="H9" sqref="H9"/>
    </sheetView>
  </sheetViews>
  <sheetFormatPr baseColWidth="10" defaultColWidth="9.140625" defaultRowHeight="12.75"/>
  <cols>
    <col min="1" max="1" width="9.140625" style="28"/>
    <col min="2" max="4" width="7.28515625" style="28" customWidth="1"/>
    <col min="5" max="5" width="9.140625" style="28" customWidth="1"/>
    <col min="6" max="7" width="15.7109375" style="28" customWidth="1"/>
    <col min="8" max="8" width="19.85546875" style="28" customWidth="1"/>
    <col min="9" max="9" width="18.7109375" style="28" customWidth="1"/>
    <col min="10" max="16384" width="9.140625" style="28"/>
  </cols>
  <sheetData>
    <row r="1" spans="6:11" s="142" customFormat="1" ht="14.65" customHeight="1"/>
    <row r="2" spans="6:11" s="142" customFormat="1" ht="14.65" customHeight="1"/>
    <row r="3" spans="6:11" s="142" customFormat="1" ht="14.65" customHeight="1"/>
    <row r="4" spans="6:11" ht="19.899999999999999" customHeight="1"/>
    <row r="5" spans="6:11" ht="42.6" customHeight="1">
      <c r="F5" s="223" t="str">
        <f>'FR_Mantenimiento tasas'!C9</f>
        <v>Es la cuenta de más fácil adquisición, diseñada como una primera cuenta transaccional que le permite realizar sus gestiones bancarias a través de la red de Corresponsales No Bancarios y los canales electrónicos.</v>
      </c>
      <c r="G5" s="223"/>
      <c r="H5" s="223"/>
      <c r="I5" s="223"/>
      <c r="J5" s="223"/>
      <c r="K5" s="223"/>
    </row>
    <row r="6" spans="6:11" ht="13.9" customHeight="1"/>
    <row r="7" spans="6:11" ht="28.9" customHeight="1">
      <c r="F7" s="226" t="s">
        <v>3</v>
      </c>
      <c r="G7" s="227"/>
      <c r="H7" s="200" t="s">
        <v>5</v>
      </c>
      <c r="I7" s="29"/>
    </row>
    <row r="8" spans="6:11" ht="12" customHeight="1">
      <c r="F8" s="204"/>
      <c r="G8" s="204"/>
      <c r="H8" s="204"/>
      <c r="I8" s="204"/>
      <c r="J8" s="204"/>
      <c r="K8" s="204"/>
    </row>
    <row r="9" spans="6:11" ht="19.899999999999999" customHeight="1">
      <c r="F9" s="240" t="s">
        <v>94</v>
      </c>
      <c r="G9" s="241"/>
      <c r="H9" s="210"/>
      <c r="I9" s="144" t="s">
        <v>82</v>
      </c>
    </row>
    <row r="10" spans="6:11" ht="13.9" customHeight="1">
      <c r="F10" s="31"/>
      <c r="G10" s="31"/>
      <c r="H10" s="29"/>
      <c r="I10" s="29"/>
    </row>
    <row r="11" spans="6:11" ht="39" customHeight="1">
      <c r="F11" s="160" t="s">
        <v>7</v>
      </c>
      <c r="G11" s="161" t="s">
        <v>59</v>
      </c>
      <c r="H11" s="162" t="s">
        <v>8</v>
      </c>
    </row>
    <row r="12" spans="6:11" ht="19.899999999999999" customHeight="1">
      <c r="F12" s="163">
        <v>1</v>
      </c>
      <c r="G12" s="173" t="str">
        <f>IF(H9="","",'FR_Mantenimiento tasas'!$C$135)</f>
        <v/>
      </c>
      <c r="H12" s="175" t="str">
        <f>IFERROR($H$9*(1+G12/12)^F12-$H$9,"")</f>
        <v/>
      </c>
    </row>
    <row r="13" spans="6:11" ht="19.899999999999999" customHeight="1">
      <c r="F13" s="163">
        <v>2</v>
      </c>
      <c r="G13" s="173" t="str">
        <f>G12</f>
        <v/>
      </c>
      <c r="H13" s="175" t="str">
        <f>IFERROR($H$9*(1+G13/12)^F13-$H$9,"")</f>
        <v/>
      </c>
    </row>
    <row r="14" spans="6:11" ht="19.899999999999999" customHeight="1">
      <c r="F14" s="163">
        <v>3</v>
      </c>
      <c r="G14" s="173" t="str">
        <f>G13</f>
        <v/>
      </c>
      <c r="H14" s="175" t="str">
        <f>IFERROR($H$9*(1+G14/12)^F14-$H$9,"")</f>
        <v/>
      </c>
    </row>
    <row r="15" spans="6:11" ht="19.899999999999999" customHeight="1">
      <c r="F15" s="163">
        <v>6</v>
      </c>
      <c r="G15" s="173" t="str">
        <f>G14</f>
        <v/>
      </c>
      <c r="H15" s="175" t="str">
        <f>IFERROR($H$9*(1+G15/12)^F15-$H$9,"")</f>
        <v/>
      </c>
    </row>
    <row r="16" spans="6:11" ht="19.899999999999999" customHeight="1">
      <c r="F16" s="165">
        <v>12</v>
      </c>
      <c r="G16" s="174" t="str">
        <f>G15</f>
        <v/>
      </c>
      <c r="H16" s="176" t="str">
        <f>IFERROR($H$9*(1+G16/12)^F16-$H$9,"")</f>
        <v/>
      </c>
    </row>
    <row r="17" spans="2:11" ht="13.9" customHeight="1"/>
    <row r="18" spans="2:11" ht="13.9" customHeight="1">
      <c r="B18" s="147">
        <v>6</v>
      </c>
      <c r="F18" s="222" t="s">
        <v>88</v>
      </c>
      <c r="G18" s="222"/>
      <c r="H18" s="222"/>
      <c r="I18" s="222"/>
      <c r="J18" s="222"/>
      <c r="K18" s="222"/>
    </row>
    <row r="19" spans="2:11">
      <c r="F19" s="199"/>
      <c r="G19" s="199"/>
      <c r="H19" s="199"/>
      <c r="I19" s="199"/>
      <c r="J19" s="199"/>
      <c r="K19" s="199"/>
    </row>
    <row r="20" spans="2:11" ht="48" customHeight="1">
      <c r="F20" s="222" t="s">
        <v>117</v>
      </c>
      <c r="G20" s="222"/>
      <c r="H20" s="222"/>
      <c r="I20" s="222"/>
      <c r="J20" s="222"/>
      <c r="K20" s="222"/>
    </row>
  </sheetData>
  <sheetProtection password="BFF2" sheet="1" objects="1" scenarios="1" selectLockedCells="1"/>
  <mergeCells count="5">
    <mergeCell ref="F20:K20"/>
    <mergeCell ref="F5:K5"/>
    <mergeCell ref="F7:G7"/>
    <mergeCell ref="F9:G9"/>
    <mergeCell ref="F18:K18"/>
  </mergeCells>
  <dataValidations count="1">
    <dataValidation type="decimal" allowBlank="1" showInputMessage="1" showErrorMessage="1" errorTitle="Error saldo promedio" error="El saldo promedio debe ser mayor a USD 1.00" sqref="H9">
      <formula1>1</formula1>
      <formula2>9.99999999999999E+29</formula2>
    </dataValidation>
  </dataValidations>
  <pageMargins left="0.51181102362204722" right="0.51181102362204722" top="0.51181102362204722" bottom="0.51181102362204722" header="0.51181102362204722" footer="0.51181102362204722"/>
  <pageSetup scale="80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AhorroFuturo">
    <tabColor rgb="FFFFC000"/>
  </sheetPr>
  <dimension ref="B1:L23"/>
  <sheetViews>
    <sheetView showGridLines="0" showRowColHeaders="0" showRuler="0" workbookViewId="0">
      <pane ySplit="3" topLeftCell="A4" activePane="bottomLeft" state="frozen"/>
      <selection pane="bottomLeft" activeCell="H9" sqref="H9"/>
    </sheetView>
  </sheetViews>
  <sheetFormatPr baseColWidth="10" defaultColWidth="9.140625" defaultRowHeight="12.75"/>
  <cols>
    <col min="1" max="1" width="9.140625" style="28"/>
    <col min="2" max="4" width="7.28515625" style="28" customWidth="1"/>
    <col min="5" max="5" width="9.140625" style="28" customWidth="1"/>
    <col min="6" max="6" width="12.85546875" style="28" customWidth="1"/>
    <col min="7" max="7" width="12.7109375" style="28" customWidth="1"/>
    <col min="8" max="8" width="23.42578125" style="28" bestFit="1" customWidth="1"/>
    <col min="9" max="11" width="14.7109375" style="28" customWidth="1"/>
    <col min="12" max="16384" width="9.140625" style="28"/>
  </cols>
  <sheetData>
    <row r="1" spans="6:12" s="142" customFormat="1" ht="14.65" customHeight="1"/>
    <row r="2" spans="6:12" s="142" customFormat="1" ht="14.65" customHeight="1"/>
    <row r="3" spans="6:12" s="142" customFormat="1" ht="14.65" customHeight="1"/>
    <row r="4" spans="6:12" ht="19.899999999999999" customHeight="1"/>
    <row r="5" spans="6:12" ht="42.6" customHeight="1">
      <c r="F5" s="242" t="str">
        <f>'FR_Mantenimiento tasas'!C33</f>
        <v>Es la cuenta de ahorro programado con la cual le apoyamos a cumplir sus objetivos de ahorro a largo plazo, con un ahorro constante y programado. Esta cuenta tiene un plazo mínimo de permanencia desde 12 meses.</v>
      </c>
      <c r="G5" s="242"/>
      <c r="H5" s="242"/>
      <c r="I5" s="242"/>
      <c r="J5" s="242"/>
      <c r="K5" s="242"/>
    </row>
    <row r="6" spans="6:12" ht="13.9" customHeight="1"/>
    <row r="7" spans="6:12" ht="28.9" customHeight="1">
      <c r="F7" s="226" t="s">
        <v>3</v>
      </c>
      <c r="G7" s="227"/>
      <c r="H7" s="200" t="str">
        <f>+'FR_Mantenimiento tasas'!$B$33</f>
        <v>Ahorro Futuro</v>
      </c>
      <c r="I7" s="127"/>
      <c r="J7" s="29"/>
      <c r="K7" s="29"/>
    </row>
    <row r="8" spans="6:12" s="204" customFormat="1" ht="12" customHeight="1"/>
    <row r="9" spans="6:12" ht="19.899999999999999" customHeight="1">
      <c r="F9" s="230" t="s">
        <v>60</v>
      </c>
      <c r="G9" s="231"/>
      <c r="H9" s="207"/>
      <c r="I9" s="201" t="s">
        <v>89</v>
      </c>
      <c r="J9" s="29"/>
      <c r="K9" s="29"/>
    </row>
    <row r="10" spans="6:12" ht="19.899999999999999" customHeight="1">
      <c r="F10" s="243" t="s">
        <v>56</v>
      </c>
      <c r="G10" s="244"/>
      <c r="H10" s="212"/>
      <c r="I10" s="201" t="s">
        <v>64</v>
      </c>
      <c r="J10" s="29"/>
      <c r="K10" s="29"/>
    </row>
    <row r="11" spans="6:12" ht="19.899999999999999" customHeight="1">
      <c r="F11" s="243" t="s">
        <v>57</v>
      </c>
      <c r="G11" s="244"/>
      <c r="H11" s="213"/>
      <c r="I11" s="201" t="s">
        <v>92</v>
      </c>
    </row>
    <row r="12" spans="6:12" ht="19.899999999999999" customHeight="1">
      <c r="F12" s="243" t="s">
        <v>61</v>
      </c>
      <c r="G12" s="244"/>
      <c r="H12" s="177" t="str">
        <f>IF(OR(H11="",H10="",H9=""),"",EDATE(H11,H10))</f>
        <v/>
      </c>
      <c r="I12" s="131"/>
    </row>
    <row r="13" spans="6:12" ht="19.899999999999999" customHeight="1">
      <c r="F13" s="243" t="s">
        <v>58</v>
      </c>
      <c r="G13" s="244"/>
      <c r="H13" s="175" t="str">
        <f>IF(OR(H11="",H10="",H9=""),"",SUMIF('Tabla Ahorro Futuro Genérico'!A:A,"&lt;"&amp;'F-Ahorro Futuro Genérico'!H12,'Tabla Ahorro Futuro Genérico'!B:B))</f>
        <v/>
      </c>
      <c r="L13" s="128"/>
    </row>
    <row r="14" spans="6:12" ht="19.899999999999999" customHeight="1">
      <c r="F14" s="243" t="s">
        <v>59</v>
      </c>
      <c r="G14" s="244"/>
      <c r="H14" s="178" t="str">
        <f>IF(OR(H11="",H10="",H9=""),"",'FR_Mantenimiento tasas'!$C$43)</f>
        <v/>
      </c>
    </row>
    <row r="15" spans="6:12" ht="19.899999999999999" customHeight="1">
      <c r="F15" s="232" t="s">
        <v>29</v>
      </c>
      <c r="G15" s="233"/>
      <c r="H15" s="179" t="str">
        <f>IF(OR(H11="",H10="",H9=""),"",'FR_Mantenimiento tasas'!$D$43)</f>
        <v/>
      </c>
    </row>
    <row r="16" spans="6:12" ht="12" customHeight="1">
      <c r="F16" s="129"/>
      <c r="G16" s="129"/>
      <c r="H16" s="129"/>
    </row>
    <row r="17" spans="2:11" ht="19.899999999999999" customHeight="1">
      <c r="F17" s="245" t="s">
        <v>17</v>
      </c>
      <c r="G17" s="246"/>
      <c r="H17" s="186" t="str">
        <f>IF(OR(H11="",H10="",H9=""),"",SUMIF('Tabla Ahorro Futuro Genérico'!A:A,"&lt;="&amp;'F-Ahorro Futuro Genérico'!H12,'Tabla Ahorro Futuro Genérico'!D:D))</f>
        <v/>
      </c>
    </row>
    <row r="18" spans="2:11" ht="19.899999999999999" customHeight="1">
      <c r="F18" s="247" t="s">
        <v>26</v>
      </c>
      <c r="G18" s="248"/>
      <c r="H18" s="175" t="str">
        <f>IF(OR(H11="",H10="",H9=""),"",SUMIF('Tabla Ahorro Futuro Genérico'!A:A,"&lt;="&amp;'F-Ahorro Futuro Genérico'!H12,'Tabla Ahorro Futuro Genérico'!E:E))</f>
        <v/>
      </c>
    </row>
    <row r="19" spans="2:11" ht="19.899999999999999" customHeight="1">
      <c r="F19" s="249" t="s">
        <v>62</v>
      </c>
      <c r="G19" s="250"/>
      <c r="H19" s="187" t="str">
        <f>IF(OR(H11="",H10="",H9=""),"",H17+H18)</f>
        <v/>
      </c>
    </row>
    <row r="20" spans="2:11" ht="12" customHeight="1">
      <c r="B20" s="147">
        <v>1</v>
      </c>
      <c r="H20" s="130"/>
    </row>
    <row r="21" spans="2:11" ht="13.9" customHeight="1">
      <c r="F21" s="222" t="s">
        <v>88</v>
      </c>
      <c r="G21" s="222"/>
      <c r="H21" s="222"/>
      <c r="I21" s="222"/>
      <c r="J21" s="222"/>
      <c r="K21" s="222"/>
    </row>
    <row r="22" spans="2:11" ht="13.15" customHeight="1">
      <c r="F22" s="191"/>
      <c r="G22" s="191"/>
      <c r="H22" s="191"/>
      <c r="I22" s="191"/>
      <c r="J22" s="191"/>
      <c r="K22" s="191"/>
    </row>
    <row r="23" spans="2:11" ht="42" customHeight="1">
      <c r="F23" s="222" t="s">
        <v>117</v>
      </c>
      <c r="G23" s="222"/>
      <c r="H23" s="222"/>
      <c r="I23" s="222"/>
      <c r="J23" s="222"/>
      <c r="K23" s="222"/>
    </row>
  </sheetData>
  <sheetProtection password="BFF2" sheet="1" objects="1" scenarios="1" selectLockedCells="1"/>
  <mergeCells count="14">
    <mergeCell ref="F23:K23"/>
    <mergeCell ref="F5:K5"/>
    <mergeCell ref="F7:G7"/>
    <mergeCell ref="F21:K21"/>
    <mergeCell ref="F9:G9"/>
    <mergeCell ref="F10:G10"/>
    <mergeCell ref="F11:G11"/>
    <mergeCell ref="F12:G12"/>
    <mergeCell ref="F13:G13"/>
    <mergeCell ref="F14:G14"/>
    <mergeCell ref="F15:G15"/>
    <mergeCell ref="F17:G17"/>
    <mergeCell ref="F18:G18"/>
    <mergeCell ref="F19:G19"/>
  </mergeCells>
  <dataValidations count="2">
    <dataValidation type="date" operator="greaterThanOrEqual" allowBlank="1" showInputMessage="1" showErrorMessage="1" errorTitle="Error fecha" error="La fecha debe ser igual o mayor a hoy" sqref="H11">
      <formula1>TODAY()</formula1>
    </dataValidation>
    <dataValidation type="decimal" operator="greaterThanOrEqual" allowBlank="1" showInputMessage="1" showErrorMessage="1" errorTitle="Error monto" error="El monto debe ser mayor o igual a USD 1.00" sqref="H9">
      <formula1>1</formula1>
    </dataValidation>
  </dataValidations>
  <pageMargins left="0.51181102362204722" right="0.51181102362204722" top="0.51181102362204722" bottom="0.51181102362204722" header="0.51181102362204722" footer="0.51181102362204722"/>
  <pageSetup scale="80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'Tabla de meses'!$B$2:$B$6</xm:f>
          </x14:formula1>
          <xm:sqref>H10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AhorroReserva">
    <tabColor rgb="FFFFC000"/>
  </sheetPr>
  <dimension ref="B1:L21"/>
  <sheetViews>
    <sheetView showGridLines="0" showRowColHeaders="0" showRuler="0" workbookViewId="0">
      <pane ySplit="3" topLeftCell="A4" activePane="bottomLeft" state="frozen"/>
      <selection pane="bottomLeft" activeCell="H9" sqref="H9"/>
    </sheetView>
  </sheetViews>
  <sheetFormatPr baseColWidth="10" defaultColWidth="9.140625" defaultRowHeight="12.75"/>
  <cols>
    <col min="1" max="1" width="9.140625" style="28"/>
    <col min="2" max="4" width="7.28515625" style="28" customWidth="1"/>
    <col min="5" max="5" width="9.140625" style="28" customWidth="1"/>
    <col min="6" max="6" width="12.85546875" style="28" customWidth="1"/>
    <col min="7" max="7" width="12.7109375" style="28" customWidth="1"/>
    <col min="8" max="8" width="23.7109375" style="28" bestFit="1" customWidth="1"/>
    <col min="9" max="11" width="14.7109375" style="28" customWidth="1"/>
    <col min="12" max="16384" width="9.140625" style="28"/>
  </cols>
  <sheetData>
    <row r="1" spans="6:12" s="142" customFormat="1" ht="14.65" customHeight="1"/>
    <row r="2" spans="6:12" s="142" customFormat="1" ht="14.65" customHeight="1"/>
    <row r="3" spans="6:12" s="142" customFormat="1" ht="14.65" customHeight="1"/>
    <row r="4" spans="6:12" ht="19.899999999999999" customHeight="1"/>
    <row r="5" spans="6:12" ht="56.45" customHeight="1">
      <c r="F5" s="242" t="str">
        <f>'FR_Mantenimiento tasas'!C34</f>
        <v>Es la cuenta de ahorro programado que está dirigido a clientes dependientes que recibirán sus fondos de reserva directamente en el rol de pagos y que deseen ahorrarlos independientemente. Al ahorrar un valor constante y programado, le apoyamos a cumplir sus objetivos. Esta cuenta tiene un plazo mínimo de permanencia desde 36 meses.</v>
      </c>
      <c r="G5" s="242"/>
      <c r="H5" s="242"/>
      <c r="I5" s="242"/>
      <c r="J5" s="242"/>
      <c r="K5" s="242"/>
    </row>
    <row r="6" spans="6:12" ht="13.9" customHeight="1"/>
    <row r="7" spans="6:12" ht="28.9" customHeight="1">
      <c r="F7" s="226" t="s">
        <v>3</v>
      </c>
      <c r="G7" s="227"/>
      <c r="H7" s="200" t="str">
        <f>+'FR_Mantenimiento tasas'!$B$34</f>
        <v>Ahorro Futuro Reservas</v>
      </c>
      <c r="I7" s="127"/>
      <c r="J7" s="29"/>
      <c r="K7" s="29"/>
    </row>
    <row r="8" spans="6:12" s="214" customFormat="1" ht="12" customHeight="1"/>
    <row r="9" spans="6:12" ht="19.899999999999999" customHeight="1">
      <c r="F9" s="230" t="s">
        <v>60</v>
      </c>
      <c r="G9" s="231"/>
      <c r="H9" s="180"/>
      <c r="I9" s="201" t="s">
        <v>89</v>
      </c>
      <c r="J9" s="29"/>
      <c r="K9" s="29"/>
    </row>
    <row r="10" spans="6:12" ht="19.899999999999999" customHeight="1">
      <c r="F10" s="243" t="s">
        <v>57</v>
      </c>
      <c r="G10" s="244"/>
      <c r="H10" s="152"/>
      <c r="I10" s="201" t="s">
        <v>92</v>
      </c>
      <c r="J10" s="29"/>
      <c r="K10" s="29"/>
    </row>
    <row r="11" spans="6:12" ht="19.899999999999999" customHeight="1">
      <c r="F11" s="243" t="s">
        <v>56</v>
      </c>
      <c r="G11" s="244"/>
      <c r="H11" s="215"/>
      <c r="I11" s="201" t="s">
        <v>64</v>
      </c>
    </row>
    <row r="12" spans="6:12" ht="19.899999999999999" customHeight="1">
      <c r="F12" s="243" t="s">
        <v>61</v>
      </c>
      <c r="G12" s="244"/>
      <c r="H12" s="181" t="str">
        <f>IF(OR(H10="",H11="",H9=""),"",EDATE(H10,H11))</f>
        <v/>
      </c>
    </row>
    <row r="13" spans="6:12" ht="19.899999999999999" customHeight="1">
      <c r="F13" s="232" t="s">
        <v>58</v>
      </c>
      <c r="G13" s="233"/>
      <c r="H13" s="182" t="str">
        <f>IF(OR(H10="",H11="",H9=""),"",SUMIF('Tabla Ahorro Futuro Reservas'!A:A,"&lt;"&amp;'F-Ahorro Futuro Reservas'!H12,'Tabla Ahorro Futuro Reservas'!B:B))</f>
        <v/>
      </c>
      <c r="L13" s="128"/>
    </row>
    <row r="14" spans="6:12" ht="12" customHeight="1"/>
    <row r="15" spans="6:12" ht="19.899999999999999" customHeight="1">
      <c r="F15" s="245" t="s">
        <v>17</v>
      </c>
      <c r="G15" s="246"/>
      <c r="H15" s="183" t="str">
        <f>IF(OR(H10="",H11="",H9=""),"",SUMIF('Tabla Ahorro Futuro Reservas'!A:A,"&lt;="&amp;'F-Ahorro Futuro Reservas'!H12,'Tabla Ahorro Futuro Reservas'!D:D))</f>
        <v/>
      </c>
    </row>
    <row r="16" spans="6:12" ht="19.899999999999999" customHeight="1">
      <c r="F16" s="247" t="s">
        <v>26</v>
      </c>
      <c r="G16" s="248"/>
      <c r="H16" s="184" t="str">
        <f>IF(OR(H10="",H11="",H9=""),"",SUMIF('Tabla Ahorro Futuro Reservas'!A:A,"&lt;="&amp;'F-Ahorro Futuro Reservas'!H12,'Tabla Ahorro Futuro Reservas'!E:E))</f>
        <v/>
      </c>
    </row>
    <row r="17" spans="2:11" ht="19.899999999999999" customHeight="1">
      <c r="F17" s="249" t="s">
        <v>62</v>
      </c>
      <c r="G17" s="250"/>
      <c r="H17" s="185" t="str">
        <f>IF(OR(H10="",H11="",H9=""),"",H15+H16)</f>
        <v/>
      </c>
    </row>
    <row r="18" spans="2:11" ht="12" customHeight="1"/>
    <row r="19" spans="2:11" ht="13.9" customHeight="1">
      <c r="F19" s="222" t="s">
        <v>88</v>
      </c>
      <c r="G19" s="222"/>
      <c r="H19" s="222"/>
      <c r="I19" s="222"/>
      <c r="J19" s="222"/>
      <c r="K19" s="222"/>
    </row>
    <row r="20" spans="2:11" ht="13.15" customHeight="1">
      <c r="F20" s="191"/>
      <c r="G20" s="191"/>
      <c r="H20" s="191"/>
      <c r="I20" s="191"/>
      <c r="J20" s="191"/>
      <c r="K20" s="191"/>
    </row>
    <row r="21" spans="2:11" ht="45.6" customHeight="1">
      <c r="B21" s="147"/>
      <c r="F21" s="222" t="s">
        <v>117</v>
      </c>
      <c r="G21" s="222"/>
      <c r="H21" s="222"/>
      <c r="I21" s="222"/>
      <c r="J21" s="222"/>
      <c r="K21" s="222"/>
    </row>
  </sheetData>
  <sheetProtection password="BFF2" sheet="1" objects="1" scenarios="1" selectLockedCells="1"/>
  <mergeCells count="12">
    <mergeCell ref="F21:K21"/>
    <mergeCell ref="F5:K5"/>
    <mergeCell ref="F19:K19"/>
    <mergeCell ref="F7:G7"/>
    <mergeCell ref="F9:G9"/>
    <mergeCell ref="F10:G10"/>
    <mergeCell ref="F11:G11"/>
    <mergeCell ref="F12:G12"/>
    <mergeCell ref="F13:G13"/>
    <mergeCell ref="F15:G15"/>
    <mergeCell ref="F16:G16"/>
    <mergeCell ref="F17:G17"/>
  </mergeCells>
  <dataValidations count="1">
    <dataValidation type="date" operator="greaterThanOrEqual" allowBlank="1" showInputMessage="1" showErrorMessage="1" errorTitle="Error fecha" error="La fecha debe ser igual o mayor a hoy" sqref="H10">
      <formula1>TODAY()</formula1>
    </dataValidation>
  </dataValidations>
  <pageMargins left="0.51181102362204722" right="0.51181102362204722" top="0.51181102362204722" bottom="0.51181102362204722" header="0.51181102362204722" footer="0.51181102362204722"/>
  <pageSetup scale="80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'Tabla de meses'!C$2:C$4</xm:f>
          </x14:formula1>
          <xm:sqref>H11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AhorroFuturoDe">
    <tabColor rgb="FFFFC000"/>
  </sheetPr>
  <dimension ref="E1:O35"/>
  <sheetViews>
    <sheetView showGridLines="0" showRowColHeaders="0" showRuler="0" zoomScaleNormal="100" workbookViewId="0">
      <pane ySplit="3" topLeftCell="A4" activePane="bottomLeft" state="frozen"/>
      <selection activeCell="K10" sqref="K10"/>
      <selection pane="bottomLeft" activeCell="H9" sqref="H9"/>
    </sheetView>
  </sheetViews>
  <sheetFormatPr baseColWidth="10" defaultColWidth="9.140625" defaultRowHeight="12.75"/>
  <cols>
    <col min="1" max="1" width="9.140625" style="28"/>
    <col min="2" max="4" width="7.28515625" style="28" customWidth="1"/>
    <col min="5" max="5" width="9.140625" style="28" customWidth="1"/>
    <col min="6" max="6" width="16.42578125" style="28" customWidth="1"/>
    <col min="7" max="7" width="19.7109375" style="28" customWidth="1"/>
    <col min="8" max="8" width="22.85546875" style="28" bestFit="1" customWidth="1"/>
    <col min="9" max="11" width="14.7109375" style="28" customWidth="1"/>
    <col min="12" max="12" width="11.28515625" style="28" bestFit="1" customWidth="1"/>
    <col min="13" max="16384" width="9.140625" style="28"/>
  </cols>
  <sheetData>
    <row r="1" spans="5:15" s="142" customFormat="1" ht="14.65" customHeight="1"/>
    <row r="2" spans="5:15" s="142" customFormat="1" ht="14.65" customHeight="1"/>
    <row r="3" spans="5:15" s="142" customFormat="1" ht="14.65" customHeight="1"/>
    <row r="4" spans="5:15" ht="19.899999999999999" customHeight="1"/>
    <row r="5" spans="5:15" ht="42.6" customHeight="1">
      <c r="F5" s="242" t="str">
        <f>'FR_Mantenimiento tasas'!C38</f>
        <v>Es la cuenta de ahorro programado que está dirigido a clientes dependientes que recibirán sus mensualmente los valores de sus décimos tercero y cuarto sueldos, aproveche esta oportunidad para ahorrar ese dinero con una tasa preferencial y la posibilidad de disponer de él en aquellos momentos en los que más lo necesite.</v>
      </c>
      <c r="G5" s="242"/>
      <c r="H5" s="242"/>
      <c r="I5" s="242"/>
      <c r="J5" s="242"/>
      <c r="K5" s="242"/>
    </row>
    <row r="6" spans="5:15" ht="13.9" customHeight="1"/>
    <row r="7" spans="5:15" ht="28.9" customHeight="1">
      <c r="F7" s="226" t="s">
        <v>3</v>
      </c>
      <c r="G7" s="227"/>
      <c r="H7" s="200" t="str">
        <f>+'FR_Mantenimiento tasas'!B38</f>
        <v>Ahorro Futuro Décimos</v>
      </c>
      <c r="I7" s="127"/>
      <c r="J7" s="29"/>
      <c r="K7" s="29"/>
    </row>
    <row r="8" spans="5:15" ht="12" customHeight="1">
      <c r="E8" s="204"/>
      <c r="F8" s="204"/>
      <c r="G8" s="204"/>
      <c r="H8" s="204"/>
      <c r="I8" s="204"/>
      <c r="J8" s="204"/>
      <c r="K8" s="204"/>
      <c r="L8" s="204"/>
      <c r="M8" s="204"/>
      <c r="N8" s="204"/>
    </row>
    <row r="9" spans="5:15" ht="19.899999999999999" customHeight="1">
      <c r="F9" s="230" t="s">
        <v>104</v>
      </c>
      <c r="G9" s="231"/>
      <c r="H9" s="217"/>
      <c r="I9" s="149"/>
      <c r="J9" s="29"/>
      <c r="K9" s="29"/>
    </row>
    <row r="10" spans="5:15" ht="19.899999999999999" customHeight="1">
      <c r="F10" s="243" t="s">
        <v>107</v>
      </c>
      <c r="G10" s="244"/>
      <c r="H10" s="184" t="str">
        <f>IF(H9="","",ROUND(H9/12,2))</f>
        <v/>
      </c>
      <c r="I10" s="150"/>
      <c r="J10" s="29"/>
      <c r="K10" s="29"/>
    </row>
    <row r="11" spans="5:15" ht="19.899999999999999" customHeight="1">
      <c r="F11" s="243" t="s">
        <v>108</v>
      </c>
      <c r="G11" s="244"/>
      <c r="H11" s="184" t="str">
        <f>IF(H9="","",ROUND('FR_Mantenimiento tasas'!$C$117/12,2))</f>
        <v/>
      </c>
      <c r="I11" s="150"/>
    </row>
    <row r="12" spans="5:15" ht="19.899999999999999" customHeight="1">
      <c r="F12" s="251" t="s">
        <v>109</v>
      </c>
      <c r="G12" s="252"/>
      <c r="H12" s="185" t="str">
        <f>IFERROR(H10+H11,"")</f>
        <v/>
      </c>
      <c r="I12" s="151"/>
    </row>
    <row r="13" spans="5:15" ht="12" customHeight="1">
      <c r="E13" s="204"/>
      <c r="F13" s="204"/>
      <c r="G13" s="204"/>
      <c r="H13" s="204"/>
      <c r="I13" s="216"/>
      <c r="J13" s="204"/>
      <c r="K13" s="204"/>
      <c r="L13" s="204"/>
      <c r="M13" s="204"/>
      <c r="N13" s="204"/>
      <c r="O13" s="204"/>
    </row>
    <row r="14" spans="5:15" ht="19.899999999999999" customHeight="1">
      <c r="F14" s="230" t="s">
        <v>105</v>
      </c>
      <c r="G14" s="231"/>
      <c r="H14" s="218"/>
      <c r="I14" s="149" t="s">
        <v>114</v>
      </c>
    </row>
    <row r="15" spans="5:15" ht="19.899999999999999" customHeight="1">
      <c r="F15" s="243" t="s">
        <v>110</v>
      </c>
      <c r="G15" s="244"/>
      <c r="H15" s="219"/>
      <c r="I15" s="149" t="s">
        <v>115</v>
      </c>
      <c r="L15" s="128"/>
    </row>
    <row r="16" spans="5:15" ht="19.899999999999999" customHeight="1">
      <c r="F16" s="232" t="s">
        <v>111</v>
      </c>
      <c r="G16" s="233"/>
      <c r="H16" s="154" t="str">
        <f>IF(OR(H15="",H9="",H12=""),"",IF($H$15&gt;(DATE(YEAR($H$15),12,15)),DATE(YEAR($H$15)+1,12,15),DATE(YEAR($H$15),12,15)))</f>
        <v/>
      </c>
      <c r="I16" s="149"/>
      <c r="L16" s="128"/>
    </row>
    <row r="17" spans="5:12" ht="12" customHeight="1">
      <c r="E17" s="204"/>
      <c r="F17" s="204"/>
      <c r="G17" s="204"/>
      <c r="H17" s="204"/>
      <c r="I17" s="204"/>
      <c r="J17" s="204"/>
      <c r="K17" s="204"/>
      <c r="L17" s="204"/>
    </row>
    <row r="18" spans="5:12" ht="19.899999999999999" customHeight="1">
      <c r="E18" s="204"/>
      <c r="F18" s="230" t="s">
        <v>99</v>
      </c>
      <c r="G18" s="231"/>
      <c r="H18" s="220"/>
      <c r="I18" s="149" t="s">
        <v>112</v>
      </c>
      <c r="K18" s="204"/>
      <c r="L18" s="204"/>
    </row>
    <row r="19" spans="5:12" ht="19.899999999999999" customHeight="1">
      <c r="F19" s="243" t="s">
        <v>116</v>
      </c>
      <c r="G19" s="244"/>
      <c r="H19" s="156">
        <f>ROUND('Tabla Ahorro Futuro Decimos'!$I$2,2)</f>
        <v>0</v>
      </c>
      <c r="I19" s="149"/>
      <c r="L19" s="128"/>
    </row>
    <row r="20" spans="5:12" ht="19.899999999999999" customHeight="1">
      <c r="E20" s="204"/>
      <c r="F20" s="232" t="s">
        <v>100</v>
      </c>
      <c r="G20" s="233"/>
      <c r="H20" s="221"/>
      <c r="I20" s="149" t="s">
        <v>113</v>
      </c>
      <c r="J20" s="204"/>
      <c r="K20" s="204"/>
      <c r="L20" s="204"/>
    </row>
    <row r="21" spans="5:12" ht="12" customHeight="1"/>
    <row r="22" spans="5:12" ht="19.899999999999999" customHeight="1">
      <c r="F22" s="230" t="s">
        <v>106</v>
      </c>
      <c r="G22" s="231"/>
      <c r="H22" s="153">
        <f>(SUM('Tabla Ahorro Futuro Decimos'!B:B))-(SUM('Tabla Ahorro Futuro Decimos'!C:C))</f>
        <v>0</v>
      </c>
    </row>
    <row r="23" spans="5:12" ht="19.899999999999999" customHeight="1">
      <c r="F23" s="243" t="s">
        <v>59</v>
      </c>
      <c r="G23" s="244"/>
      <c r="H23" s="188" t="str">
        <f>IF(OR(H15="",H9="",H12=""),"",'FR_Mantenimiento tasas'!$C$48)</f>
        <v/>
      </c>
      <c r="J23" s="148"/>
    </row>
    <row r="24" spans="5:12" ht="19.899999999999999" customHeight="1">
      <c r="F24" s="232" t="s">
        <v>29</v>
      </c>
      <c r="G24" s="233"/>
      <c r="H24" s="189" t="str">
        <f>IF(OR(H15="",H9="",H12=""),"",'FR_Mantenimiento tasas'!$D$48)</f>
        <v/>
      </c>
      <c r="J24" s="148"/>
    </row>
    <row r="25" spans="5:12" ht="12" customHeight="1"/>
    <row r="26" spans="5:12" ht="19.899999999999999" customHeight="1">
      <c r="F26" s="245" t="s">
        <v>17</v>
      </c>
      <c r="G26" s="246"/>
      <c r="H26" s="183" t="str">
        <f>IF(OR(H9="",H12="",H15=""),"",SUMIF('Tabla Ahorro Futuro Decimos'!A:A,"&lt;="&amp;'F-Ahorro Futuro Decimos'!H16,'Tabla Ahorro Futuro Decimos'!E:E))</f>
        <v/>
      </c>
      <c r="J26" s="157"/>
    </row>
    <row r="27" spans="5:12" ht="19.899999999999999" customHeight="1">
      <c r="F27" s="247" t="s">
        <v>26</v>
      </c>
      <c r="G27" s="248"/>
      <c r="H27" s="184" t="str">
        <f>IF(OR(H15="",H9="",H12=""),"",SUMIF('Tabla Ahorro Futuro Decimos'!A:A,"&lt;="&amp;'F-Ahorro Futuro Decimos'!H16,'Tabla Ahorro Futuro Decimos'!F:F))</f>
        <v/>
      </c>
    </row>
    <row r="28" spans="5:12" ht="19.899999999999999" customHeight="1">
      <c r="F28" s="249" t="s">
        <v>62</v>
      </c>
      <c r="G28" s="250"/>
      <c r="H28" s="185" t="str">
        <f>IF(OR(H9="",H12="",H15=""),"",H26+H27)</f>
        <v/>
      </c>
    </row>
    <row r="29" spans="5:12" ht="12" customHeight="1"/>
    <row r="30" spans="5:12" ht="18" customHeight="1">
      <c r="F30" s="254" t="s">
        <v>88</v>
      </c>
      <c r="G30" s="254"/>
      <c r="H30" s="254"/>
      <c r="I30" s="254"/>
      <c r="J30" s="254"/>
      <c r="K30" s="149"/>
    </row>
    <row r="31" spans="5:12" ht="13.15" customHeight="1">
      <c r="F31" s="149"/>
      <c r="G31" s="149"/>
      <c r="H31" s="149"/>
      <c r="I31" s="149"/>
      <c r="J31" s="149"/>
      <c r="K31" s="149"/>
    </row>
    <row r="32" spans="5:12" ht="41.45" customHeight="1">
      <c r="F32" s="253" t="s">
        <v>117</v>
      </c>
      <c r="G32" s="253"/>
      <c r="H32" s="253"/>
      <c r="I32" s="253"/>
      <c r="J32" s="253"/>
      <c r="K32" s="193"/>
    </row>
    <row r="33" spans="6:11" ht="13.15" customHeight="1">
      <c r="F33" s="193"/>
      <c r="G33" s="193"/>
      <c r="H33" s="193"/>
      <c r="I33" s="193"/>
      <c r="J33" s="193"/>
      <c r="K33" s="193"/>
    </row>
    <row r="34" spans="6:11" ht="13.15" customHeight="1">
      <c r="F34" s="193"/>
      <c r="G34" s="193"/>
      <c r="H34" s="193"/>
      <c r="I34" s="193"/>
      <c r="J34" s="193"/>
      <c r="K34" s="193"/>
    </row>
    <row r="35" spans="6:11" ht="13.15" customHeight="1">
      <c r="F35" s="193"/>
      <c r="G35" s="193"/>
      <c r="H35" s="193"/>
      <c r="I35" s="193"/>
      <c r="J35" s="193"/>
      <c r="K35" s="193"/>
    </row>
  </sheetData>
  <sheetProtection password="BFF2" sheet="1" objects="1" scenarios="1" selectLockedCells="1"/>
  <mergeCells count="20">
    <mergeCell ref="F32:J32"/>
    <mergeCell ref="F30:J30"/>
    <mergeCell ref="F26:G26"/>
    <mergeCell ref="F27:G27"/>
    <mergeCell ref="F19:G19"/>
    <mergeCell ref="F28:G28"/>
    <mergeCell ref="F22:G22"/>
    <mergeCell ref="F23:G23"/>
    <mergeCell ref="F24:G24"/>
    <mergeCell ref="F5:K5"/>
    <mergeCell ref="F7:G7"/>
    <mergeCell ref="F9:G9"/>
    <mergeCell ref="F10:G10"/>
    <mergeCell ref="F11:G11"/>
    <mergeCell ref="F12:G12"/>
    <mergeCell ref="F15:G15"/>
    <mergeCell ref="F18:G18"/>
    <mergeCell ref="F20:G20"/>
    <mergeCell ref="F16:G16"/>
    <mergeCell ref="F14:G14"/>
  </mergeCells>
  <dataValidations count="5">
    <dataValidation type="date" operator="greaterThanOrEqual" allowBlank="1" showInputMessage="1" showErrorMessage="1" errorTitle="Error fecha" error="La fecha debe ser igual o mayor a hoy" sqref="H15">
      <formula1>TODAY()</formula1>
    </dataValidation>
    <dataValidation type="date" allowBlank="1" showInputMessage="1" showErrorMessage="1" errorTitle="Error fecha" error="La fecha del retiro programado debe estar comprendida entre la fecha de inicio de la inversión y fecha fin de la inversión._x000a_" sqref="H18">
      <formula1>H15</formula1>
      <formula2>H16</formula2>
    </dataValidation>
    <dataValidation type="decimal" operator="greaterThanOrEqual" allowBlank="1" showInputMessage="1" showErrorMessage="1" errorTitle="Error monto" error="El monto debe ser mayor o igual a USD 1.00" sqref="H9:H11">
      <formula1>1</formula1>
    </dataValidation>
    <dataValidation operator="greaterThanOrEqual" allowBlank="1" showInputMessage="1" showErrorMessage="1" errorTitle="Error monto" error="El monto debe ser mayor o igual a USD 1.00" sqref="H12:H14"/>
    <dataValidation operator="greaterThanOrEqual" allowBlank="1" showInputMessage="1" showErrorMessage="1" errorTitle="Error fecha" error="La fecha debe ser igual o mayor a hoy" sqref="H19"/>
  </dataValidations>
  <pageMargins left="0.51181102362204722" right="0.51181102362204722" top="0.51181102362204722" bottom="0.51181102362204722" header="0.51181102362204722" footer="0.51181102362204722"/>
  <pageSetup scale="80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decimal" operator="lessThanOrEqual" allowBlank="1" showInputMessage="1" showErrorMessage="1" errorTitle="Error retiro programado" error="El valor del retiro programado debe ser menor o igual que el valor del salario básico unificado vigente.">
          <x14:formula1>
            <xm:f>'Tabla Ahorro Futuro Decimos'!$I$4</xm:f>
          </x14:formula1>
          <xm:sqref>H20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CtaCorriente">
    <tabColor rgb="FFFFCC00"/>
  </sheetPr>
  <dimension ref="B1:K19"/>
  <sheetViews>
    <sheetView showGridLines="0" showRowColHeaders="0" showRuler="0" workbookViewId="0">
      <selection activeCell="F10" sqref="F10:K10"/>
    </sheetView>
  </sheetViews>
  <sheetFormatPr baseColWidth="10" defaultColWidth="9.140625" defaultRowHeight="13.5"/>
  <cols>
    <col min="1" max="1" width="9.140625" style="26"/>
    <col min="2" max="4" width="7.28515625" style="26" customWidth="1"/>
    <col min="5" max="5" width="9.140625" style="26" customWidth="1"/>
    <col min="6" max="10" width="15.7109375" style="26" customWidth="1"/>
    <col min="11" max="16384" width="9.140625" style="26"/>
  </cols>
  <sheetData>
    <row r="1" spans="6:11" s="141" customFormat="1" ht="14.65" customHeight="1"/>
    <row r="2" spans="6:11" s="141" customFormat="1" ht="14.65" customHeight="1"/>
    <row r="3" spans="6:11" s="141" customFormat="1" ht="14.65" customHeight="1"/>
    <row r="4" spans="6:11" ht="19.899999999999999" customHeight="1"/>
    <row r="5" spans="6:11" ht="42.6" customHeight="1">
      <c r="F5" s="223"/>
      <c r="G5" s="223"/>
      <c r="H5" s="223"/>
      <c r="I5" s="223"/>
      <c r="J5" s="223"/>
      <c r="K5" s="223"/>
    </row>
    <row r="6" spans="6:11" ht="13.9" customHeight="1">
      <c r="F6" s="28"/>
      <c r="G6" s="28"/>
      <c r="H6" s="28"/>
      <c r="I6" s="28"/>
      <c r="J6" s="28"/>
    </row>
    <row r="7" spans="6:11" ht="13.9" customHeight="1">
      <c r="F7" s="126"/>
      <c r="G7" s="28"/>
      <c r="H7" s="28"/>
      <c r="I7" s="29"/>
      <c r="J7" s="28"/>
    </row>
    <row r="8" spans="6:11" ht="13.9" customHeight="1">
      <c r="F8" s="28"/>
      <c r="G8" s="28"/>
      <c r="H8" s="28"/>
      <c r="I8" s="28"/>
      <c r="J8" s="28"/>
    </row>
    <row r="9" spans="6:11" ht="13.9" customHeight="1"/>
    <row r="10" spans="6:11" ht="39.950000000000003" customHeight="1">
      <c r="F10" s="255" t="s">
        <v>41</v>
      </c>
      <c r="G10" s="255"/>
      <c r="H10" s="255"/>
      <c r="I10" s="255"/>
      <c r="J10" s="255"/>
      <c r="K10" s="255"/>
    </row>
    <row r="11" spans="6:11" ht="13.9" customHeight="1"/>
    <row r="12" spans="6:11" ht="13.9" customHeight="1"/>
    <row r="13" spans="6:11" ht="13.9" customHeight="1"/>
    <row r="14" spans="6:11" ht="13.9" customHeight="1"/>
    <row r="15" spans="6:11" ht="13.9" customHeight="1"/>
    <row r="16" spans="6:11" ht="13.9" customHeight="1"/>
    <row r="17" spans="2:2" ht="13.9" customHeight="1"/>
    <row r="19" spans="2:2">
      <c r="B19" s="146">
        <v>1</v>
      </c>
    </row>
  </sheetData>
  <sheetProtection password="BFF2" sheet="1" objects="1" scenarios="1" selectLockedCells="1"/>
  <mergeCells count="2">
    <mergeCell ref="F10:K10"/>
    <mergeCell ref="F5:K5"/>
  </mergeCells>
  <pageMargins left="0.51181102362204722" right="0.51181102362204722" top="0.51181102362204722" bottom="0.51181102362204722" header="0.51181102362204722" footer="0.51181102362204722"/>
  <pageSetup scale="80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RMantenimiento">
    <tabColor theme="3"/>
  </sheetPr>
  <dimension ref="A1:K135"/>
  <sheetViews>
    <sheetView topLeftCell="A121" zoomScale="85" zoomScaleNormal="85" workbookViewId="0">
      <selection activeCell="C135" sqref="C135"/>
    </sheetView>
  </sheetViews>
  <sheetFormatPr baseColWidth="10" defaultColWidth="0" defaultRowHeight="13.5" outlineLevelRow="1"/>
  <cols>
    <col min="1" max="1" width="15.28515625" style="1" customWidth="1"/>
    <col min="2" max="2" width="24.28515625" style="2" bestFit="1" customWidth="1"/>
    <col min="3" max="3" width="24.140625" style="2" customWidth="1"/>
    <col min="4" max="4" width="13.28515625" style="1" customWidth="1"/>
    <col min="5" max="10" width="10.7109375" style="1" customWidth="1"/>
    <col min="11" max="11" width="9.140625" style="1" customWidth="1"/>
    <col min="12" max="16384" width="9.140625" style="1" hidden="1"/>
  </cols>
  <sheetData>
    <row r="1" spans="1:11" ht="17.25" thickBot="1">
      <c r="A1" s="3"/>
      <c r="B1" s="4"/>
      <c r="C1" s="4"/>
      <c r="D1" s="5" t="s">
        <v>19</v>
      </c>
      <c r="E1" s="6"/>
      <c r="F1" s="7"/>
      <c r="G1" s="7"/>
      <c r="H1" s="7"/>
      <c r="I1" s="3"/>
      <c r="J1" s="3"/>
      <c r="K1" s="3"/>
    </row>
    <row r="2" spans="1:11" ht="50.1" customHeight="1" thickTop="1" thickBot="1">
      <c r="A2" s="3"/>
      <c r="B2" s="4"/>
      <c r="C2" s="4"/>
      <c r="D2" s="3"/>
      <c r="E2" s="132"/>
      <c r="F2" s="3"/>
      <c r="G2" s="3"/>
      <c r="H2" s="3"/>
      <c r="I2" s="3"/>
      <c r="J2" s="3"/>
      <c r="K2" s="3"/>
    </row>
    <row r="3" spans="1:11" ht="15.75" thickBot="1">
      <c r="A3" s="3"/>
      <c r="B3" s="76" t="s">
        <v>35</v>
      </c>
      <c r="C3" s="300" t="s">
        <v>38</v>
      </c>
      <c r="D3" s="300"/>
      <c r="E3" s="300"/>
      <c r="F3" s="300"/>
      <c r="G3" s="300"/>
      <c r="H3" s="300"/>
      <c r="I3" s="300"/>
      <c r="J3" s="301"/>
      <c r="K3" s="3"/>
    </row>
    <row r="4" spans="1:11" ht="30" customHeight="1">
      <c r="A4" s="3"/>
      <c r="B4" s="77" t="s">
        <v>80</v>
      </c>
      <c r="C4" s="302" t="s">
        <v>81</v>
      </c>
      <c r="D4" s="303"/>
      <c r="E4" s="303"/>
      <c r="F4" s="303"/>
      <c r="G4" s="303"/>
      <c r="H4" s="303"/>
      <c r="I4" s="303"/>
      <c r="J4" s="304"/>
      <c r="K4" s="3"/>
    </row>
    <row r="5" spans="1:11" ht="30" customHeight="1">
      <c r="A5" s="3"/>
      <c r="B5" s="78" t="s">
        <v>31</v>
      </c>
      <c r="C5" s="305"/>
      <c r="D5" s="306"/>
      <c r="E5" s="306"/>
      <c r="F5" s="306"/>
      <c r="G5" s="306"/>
      <c r="H5" s="306"/>
      <c r="I5" s="306"/>
      <c r="J5" s="307"/>
      <c r="K5" s="3"/>
    </row>
    <row r="6" spans="1:11" ht="30" customHeight="1">
      <c r="A6" s="3"/>
      <c r="B6" s="78" t="s">
        <v>32</v>
      </c>
      <c r="C6" s="305"/>
      <c r="D6" s="306"/>
      <c r="E6" s="306"/>
      <c r="F6" s="306"/>
      <c r="G6" s="306"/>
      <c r="H6" s="306"/>
      <c r="I6" s="306"/>
      <c r="J6" s="307"/>
      <c r="K6" s="3"/>
    </row>
    <row r="7" spans="1:11" ht="30" customHeight="1">
      <c r="A7" s="3"/>
      <c r="B7" s="78" t="s">
        <v>33</v>
      </c>
      <c r="C7" s="305"/>
      <c r="D7" s="306"/>
      <c r="E7" s="306"/>
      <c r="F7" s="306"/>
      <c r="G7" s="306"/>
      <c r="H7" s="306"/>
      <c r="I7" s="306"/>
      <c r="J7" s="307"/>
      <c r="K7" s="3"/>
    </row>
    <row r="8" spans="1:11" ht="30" customHeight="1">
      <c r="A8" s="3"/>
      <c r="B8" s="78" t="s">
        <v>34</v>
      </c>
      <c r="C8" s="305" t="s">
        <v>84</v>
      </c>
      <c r="D8" s="306"/>
      <c r="E8" s="306"/>
      <c r="F8" s="306"/>
      <c r="G8" s="306"/>
      <c r="H8" s="306"/>
      <c r="I8" s="306"/>
      <c r="J8" s="307"/>
      <c r="K8" s="3"/>
    </row>
    <row r="9" spans="1:11" ht="30" customHeight="1">
      <c r="A9" s="3"/>
      <c r="B9" s="78" t="s">
        <v>5</v>
      </c>
      <c r="C9" s="305" t="s">
        <v>86</v>
      </c>
      <c r="D9" s="306"/>
      <c r="E9" s="306"/>
      <c r="F9" s="306"/>
      <c r="G9" s="306"/>
      <c r="H9" s="306"/>
      <c r="I9" s="306"/>
      <c r="J9" s="307"/>
      <c r="K9" s="3"/>
    </row>
    <row r="10" spans="1:11" ht="30" customHeight="1" thickBot="1">
      <c r="A10" s="3"/>
      <c r="B10" s="79"/>
      <c r="C10" s="308"/>
      <c r="D10" s="309"/>
      <c r="E10" s="309"/>
      <c r="F10" s="309"/>
      <c r="G10" s="309"/>
      <c r="H10" s="309"/>
      <c r="I10" s="309"/>
      <c r="J10" s="310"/>
      <c r="K10" s="3"/>
    </row>
    <row r="11" spans="1:11" ht="43.15" customHeight="1" thickBot="1">
      <c r="A11" s="3"/>
      <c r="B11" s="4"/>
      <c r="C11" s="4"/>
      <c r="D11" s="3"/>
      <c r="E11" s="3"/>
      <c r="F11" s="3"/>
      <c r="G11" s="3"/>
      <c r="H11" s="3"/>
      <c r="I11" s="3"/>
      <c r="J11" s="3"/>
      <c r="K11" s="3"/>
    </row>
    <row r="12" spans="1:11" ht="15">
      <c r="A12" s="3"/>
      <c r="B12" s="266" t="s">
        <v>20</v>
      </c>
      <c r="C12" s="267"/>
      <c r="D12" s="268" t="s">
        <v>6</v>
      </c>
      <c r="E12" s="8"/>
      <c r="F12" s="3"/>
      <c r="G12" s="3"/>
      <c r="H12" s="3"/>
      <c r="I12" s="8"/>
      <c r="J12" s="8"/>
      <c r="K12" s="3"/>
    </row>
    <row r="13" spans="1:11" ht="15.75" thickBot="1">
      <c r="A13" s="3"/>
      <c r="B13" s="84" t="s">
        <v>0</v>
      </c>
      <c r="C13" s="85" t="s">
        <v>1</v>
      </c>
      <c r="D13" s="269"/>
      <c r="E13" s="9"/>
      <c r="F13" s="3"/>
      <c r="G13" s="3"/>
      <c r="H13" s="3"/>
      <c r="I13" s="9"/>
      <c r="J13" s="9"/>
      <c r="K13" s="3"/>
    </row>
    <row r="14" spans="1:11">
      <c r="A14" s="3"/>
      <c r="B14" s="80">
        <v>1</v>
      </c>
      <c r="C14" s="16">
        <v>100</v>
      </c>
      <c r="D14" s="86">
        <v>0</v>
      </c>
      <c r="E14" s="10"/>
      <c r="F14" s="3"/>
      <c r="G14" s="3"/>
      <c r="H14" s="3"/>
      <c r="I14" s="10"/>
      <c r="J14" s="10"/>
      <c r="K14" s="3"/>
    </row>
    <row r="15" spans="1:11">
      <c r="A15" s="3"/>
      <c r="B15" s="81">
        <v>100.01</v>
      </c>
      <c r="C15" s="15">
        <v>400</v>
      </c>
      <c r="D15" s="87">
        <v>2.5000000000000001E-3</v>
      </c>
      <c r="E15" s="10"/>
      <c r="F15" s="10"/>
      <c r="G15" s="10"/>
      <c r="H15" s="10"/>
      <c r="I15" s="10"/>
      <c r="J15" s="10"/>
      <c r="K15" s="3"/>
    </row>
    <row r="16" spans="1:11">
      <c r="A16" s="3"/>
      <c r="B16" s="81">
        <v>400.01</v>
      </c>
      <c r="C16" s="15">
        <v>1000</v>
      </c>
      <c r="D16" s="87">
        <v>5.0000000000000001E-3</v>
      </c>
      <c r="E16" s="10"/>
      <c r="F16" s="10"/>
      <c r="G16" s="10"/>
      <c r="H16" s="10"/>
      <c r="I16" s="10"/>
      <c r="J16" s="10"/>
      <c r="K16" s="3"/>
    </row>
    <row r="17" spans="1:11">
      <c r="A17" s="3"/>
      <c r="B17" s="81">
        <v>1000.01</v>
      </c>
      <c r="C17" s="15">
        <v>2500</v>
      </c>
      <c r="D17" s="87">
        <v>7.4999999999999997E-3</v>
      </c>
      <c r="E17" s="10"/>
      <c r="F17" s="10"/>
      <c r="G17" s="10"/>
      <c r="H17" s="10"/>
      <c r="I17" s="10"/>
      <c r="J17" s="10"/>
      <c r="K17" s="3"/>
    </row>
    <row r="18" spans="1:11">
      <c r="A18" s="3"/>
      <c r="B18" s="81">
        <v>2500.0100000000002</v>
      </c>
      <c r="C18" s="15">
        <v>10000</v>
      </c>
      <c r="D18" s="87">
        <v>7.4999999999999997E-3</v>
      </c>
      <c r="E18" s="10"/>
      <c r="F18" s="10"/>
      <c r="G18" s="10"/>
      <c r="H18" s="10"/>
      <c r="I18" s="10"/>
      <c r="J18" s="10"/>
      <c r="K18" s="3"/>
    </row>
    <row r="19" spans="1:11">
      <c r="A19" s="3"/>
      <c r="B19" s="81">
        <v>10000.01</v>
      </c>
      <c r="C19" s="15">
        <v>50000</v>
      </c>
      <c r="D19" s="87">
        <v>0.01</v>
      </c>
      <c r="E19" s="10"/>
      <c r="F19" s="10"/>
      <c r="G19" s="10"/>
      <c r="H19" s="10"/>
      <c r="I19" s="10"/>
      <c r="J19" s="10"/>
      <c r="K19" s="3"/>
    </row>
    <row r="20" spans="1:11">
      <c r="A20" s="3"/>
      <c r="B20" s="81">
        <v>50000.01</v>
      </c>
      <c r="C20" s="15">
        <v>100000</v>
      </c>
      <c r="D20" s="87">
        <v>1.2500000000000001E-2</v>
      </c>
      <c r="E20" s="10"/>
      <c r="F20" s="10"/>
      <c r="G20" s="10"/>
      <c r="H20" s="10"/>
      <c r="I20" s="10"/>
      <c r="J20" s="10"/>
      <c r="K20" s="3"/>
    </row>
    <row r="21" spans="1:11" ht="14.25" thickBot="1">
      <c r="A21" s="3"/>
      <c r="B21" s="82">
        <v>100000.01</v>
      </c>
      <c r="C21" s="83">
        <v>9999999999999990</v>
      </c>
      <c r="D21" s="88">
        <v>0.01</v>
      </c>
      <c r="E21" s="10"/>
      <c r="F21" s="10"/>
      <c r="G21" s="10"/>
      <c r="H21" s="10"/>
      <c r="I21" s="10"/>
      <c r="J21" s="10"/>
      <c r="K21" s="3"/>
    </row>
    <row r="22" spans="1:11">
      <c r="A22" s="3"/>
      <c r="B22" s="4"/>
      <c r="C22" s="4"/>
      <c r="D22" s="3"/>
      <c r="E22" s="3"/>
      <c r="F22" s="3"/>
      <c r="G22" s="3"/>
      <c r="H22" s="3"/>
      <c r="I22" s="3"/>
      <c r="J22" s="3"/>
      <c r="K22" s="3"/>
    </row>
    <row r="23" spans="1:11" ht="14.25" thickBot="1">
      <c r="A23" s="3"/>
      <c r="B23" s="4"/>
      <c r="C23" s="4"/>
      <c r="D23" s="3"/>
      <c r="E23" s="3"/>
      <c r="F23" s="3"/>
      <c r="G23" s="3"/>
      <c r="H23" s="3"/>
      <c r="I23" s="3"/>
      <c r="J23" s="3"/>
      <c r="K23" s="3"/>
    </row>
    <row r="24" spans="1:11" ht="15.75" thickTop="1">
      <c r="A24" s="3"/>
      <c r="B24" s="311" t="s">
        <v>39</v>
      </c>
      <c r="C24" s="312"/>
      <c r="D24" s="313" t="s">
        <v>40</v>
      </c>
      <c r="E24" s="3"/>
      <c r="F24" s="3"/>
      <c r="G24" s="3"/>
      <c r="H24" s="3"/>
      <c r="I24" s="3"/>
      <c r="J24" s="3"/>
      <c r="K24" s="3"/>
    </row>
    <row r="25" spans="1:11" ht="15.75" thickBot="1">
      <c r="A25" s="3"/>
      <c r="B25" s="89" t="s">
        <v>0</v>
      </c>
      <c r="C25" s="90" t="s">
        <v>1</v>
      </c>
      <c r="D25" s="314"/>
      <c r="E25" s="3"/>
      <c r="F25" s="3"/>
      <c r="G25" s="3"/>
      <c r="H25" s="3"/>
      <c r="I25" s="3"/>
      <c r="J25" s="3"/>
      <c r="K25" s="3"/>
    </row>
    <row r="26" spans="1:11" ht="14.25" thickTop="1">
      <c r="A26" s="3"/>
      <c r="B26" s="61">
        <v>5000</v>
      </c>
      <c r="C26" s="67">
        <v>9999</v>
      </c>
      <c r="D26" s="196">
        <v>2.5000000000000001E-4</v>
      </c>
      <c r="E26" s="3"/>
      <c r="F26" s="3"/>
      <c r="G26" s="3"/>
      <c r="H26" s="3"/>
      <c r="I26" s="3"/>
      <c r="J26" s="3"/>
      <c r="K26" s="3"/>
    </row>
    <row r="27" spans="1:11">
      <c r="A27" s="3"/>
      <c r="B27" s="37">
        <v>10000</v>
      </c>
      <c r="C27" s="58">
        <v>19999</v>
      </c>
      <c r="D27" s="197">
        <v>5.0000000000000001E-4</v>
      </c>
      <c r="E27" s="3"/>
      <c r="F27" s="3"/>
      <c r="G27" s="3"/>
      <c r="H27" s="3"/>
      <c r="I27" s="3"/>
      <c r="J27" s="3"/>
      <c r="K27" s="3"/>
    </row>
    <row r="28" spans="1:11" ht="14.25" thickBot="1">
      <c r="A28" s="3"/>
      <c r="B28" s="41">
        <v>20000</v>
      </c>
      <c r="C28" s="59">
        <v>999999999999999</v>
      </c>
      <c r="D28" s="198">
        <v>7.5000000000000002E-4</v>
      </c>
      <c r="E28" s="3"/>
      <c r="F28" s="3"/>
      <c r="G28" s="3"/>
      <c r="H28" s="3"/>
      <c r="I28" s="3"/>
      <c r="J28" s="3"/>
      <c r="K28" s="3"/>
    </row>
    <row r="29" spans="1:11" ht="14.25" thickTop="1">
      <c r="A29" s="3"/>
      <c r="B29" s="4"/>
      <c r="C29" s="4"/>
      <c r="D29" s="3"/>
      <c r="E29" s="3"/>
      <c r="F29" s="3"/>
      <c r="G29" s="3"/>
      <c r="H29" s="3"/>
      <c r="I29" s="3"/>
      <c r="J29" s="3"/>
      <c r="K29" s="3"/>
    </row>
    <row r="30" spans="1:11">
      <c r="A30" s="91"/>
      <c r="B30" s="92"/>
      <c r="C30" s="92"/>
      <c r="D30" s="91"/>
      <c r="E30" s="91"/>
      <c r="F30" s="91"/>
      <c r="G30" s="91"/>
      <c r="H30" s="91"/>
      <c r="I30" s="91"/>
      <c r="J30" s="91"/>
      <c r="K30" s="91"/>
    </row>
    <row r="31" spans="1:11" ht="14.25" thickBot="1">
      <c r="A31" s="3"/>
      <c r="B31" s="4"/>
      <c r="C31" s="4"/>
      <c r="D31" s="3"/>
      <c r="E31" s="3"/>
      <c r="F31" s="3"/>
      <c r="G31" s="3"/>
      <c r="H31" s="3"/>
      <c r="I31" s="3"/>
      <c r="J31" s="3"/>
      <c r="K31" s="3"/>
    </row>
    <row r="32" spans="1:11" ht="15.75" thickBot="1">
      <c r="A32" s="3"/>
      <c r="B32" s="93" t="s">
        <v>35</v>
      </c>
      <c r="C32" s="315" t="s">
        <v>38</v>
      </c>
      <c r="D32" s="315"/>
      <c r="E32" s="315"/>
      <c r="F32" s="315"/>
      <c r="G32" s="315"/>
      <c r="H32" s="315"/>
      <c r="I32" s="315"/>
      <c r="J32" s="316"/>
      <c r="K32" s="3"/>
    </row>
    <row r="33" spans="1:11" ht="30" customHeight="1">
      <c r="A33" s="3"/>
      <c r="B33" s="94" t="s">
        <v>91</v>
      </c>
      <c r="C33" s="286" t="s">
        <v>87</v>
      </c>
      <c r="D33" s="287"/>
      <c r="E33" s="287"/>
      <c r="F33" s="287"/>
      <c r="G33" s="287"/>
      <c r="H33" s="287"/>
      <c r="I33" s="287"/>
      <c r="J33" s="288"/>
      <c r="K33" s="3"/>
    </row>
    <row r="34" spans="1:11" ht="43.9" customHeight="1">
      <c r="A34" s="3"/>
      <c r="B34" s="95" t="s">
        <v>43</v>
      </c>
      <c r="C34" s="286" t="s">
        <v>90</v>
      </c>
      <c r="D34" s="287"/>
      <c r="E34" s="287"/>
      <c r="F34" s="287"/>
      <c r="G34" s="287"/>
      <c r="H34" s="287"/>
      <c r="I34" s="287"/>
      <c r="J34" s="288"/>
      <c r="K34" s="3"/>
    </row>
    <row r="35" spans="1:11" ht="30" customHeight="1">
      <c r="A35" s="3"/>
      <c r="B35" s="95" t="s">
        <v>44</v>
      </c>
      <c r="C35" s="278"/>
      <c r="D35" s="279"/>
      <c r="E35" s="279"/>
      <c r="F35" s="279"/>
      <c r="G35" s="279"/>
      <c r="H35" s="279"/>
      <c r="I35" s="279"/>
      <c r="J35" s="280"/>
      <c r="K35" s="3"/>
    </row>
    <row r="36" spans="1:11" ht="30" customHeight="1">
      <c r="A36" s="3"/>
      <c r="B36" s="95" t="s">
        <v>53</v>
      </c>
      <c r="C36" s="278"/>
      <c r="D36" s="279"/>
      <c r="E36" s="279"/>
      <c r="F36" s="279"/>
      <c r="G36" s="279"/>
      <c r="H36" s="279"/>
      <c r="I36" s="279"/>
      <c r="J36" s="280"/>
      <c r="K36" s="3"/>
    </row>
    <row r="37" spans="1:11" ht="30" customHeight="1">
      <c r="A37" s="3"/>
      <c r="B37" s="95" t="s">
        <v>46</v>
      </c>
      <c r="C37" s="278"/>
      <c r="D37" s="279"/>
      <c r="E37" s="279"/>
      <c r="F37" s="279"/>
      <c r="G37" s="279"/>
      <c r="H37" s="279"/>
      <c r="I37" s="279"/>
      <c r="J37" s="280"/>
      <c r="K37" s="3"/>
    </row>
    <row r="38" spans="1:11" ht="30" customHeight="1">
      <c r="A38" s="3"/>
      <c r="B38" s="95" t="s">
        <v>47</v>
      </c>
      <c r="C38" s="278" t="s">
        <v>93</v>
      </c>
      <c r="D38" s="279"/>
      <c r="E38" s="279"/>
      <c r="F38" s="279"/>
      <c r="G38" s="279"/>
      <c r="H38" s="279"/>
      <c r="I38" s="279"/>
      <c r="J38" s="280"/>
      <c r="K38" s="3"/>
    </row>
    <row r="39" spans="1:11" ht="30" customHeight="1">
      <c r="A39" s="3"/>
      <c r="B39" s="96" t="s">
        <v>48</v>
      </c>
      <c r="C39" s="278"/>
      <c r="D39" s="279"/>
      <c r="E39" s="279"/>
      <c r="F39" s="279"/>
      <c r="G39" s="279"/>
      <c r="H39" s="279"/>
      <c r="I39" s="279"/>
      <c r="J39" s="280"/>
      <c r="K39" s="3"/>
    </row>
    <row r="40" spans="1:11" ht="30" customHeight="1" thickBot="1">
      <c r="A40" s="3"/>
      <c r="B40" s="97"/>
      <c r="C40" s="281"/>
      <c r="D40" s="282"/>
      <c r="E40" s="282"/>
      <c r="F40" s="282"/>
      <c r="G40" s="282"/>
      <c r="H40" s="282"/>
      <c r="I40" s="282"/>
      <c r="J40" s="283"/>
      <c r="K40" s="3"/>
    </row>
    <row r="41" spans="1:11" ht="14.25" thickBot="1">
      <c r="A41" s="3"/>
      <c r="B41" s="4"/>
      <c r="C41" s="4"/>
      <c r="D41" s="3"/>
      <c r="E41" s="3"/>
      <c r="F41" s="3"/>
      <c r="G41" s="3"/>
      <c r="H41" s="3"/>
      <c r="I41" s="3"/>
      <c r="J41" s="3"/>
      <c r="K41" s="3"/>
    </row>
    <row r="42" spans="1:11" ht="15.75" thickBot="1">
      <c r="A42" s="3"/>
      <c r="B42" s="98" t="s">
        <v>50</v>
      </c>
      <c r="C42" s="102" t="s">
        <v>6</v>
      </c>
      <c r="D42" s="102" t="s">
        <v>29</v>
      </c>
      <c r="E42" s="3"/>
      <c r="F42" s="3"/>
      <c r="G42" s="3"/>
      <c r="H42" s="3"/>
      <c r="I42" s="3"/>
      <c r="J42" s="3"/>
      <c r="K42" s="3"/>
    </row>
    <row r="43" spans="1:11">
      <c r="A43" s="3"/>
      <c r="B43" s="106" t="s">
        <v>42</v>
      </c>
      <c r="C43" s="99">
        <v>0.01</v>
      </c>
      <c r="D43" s="103">
        <v>0.02</v>
      </c>
      <c r="E43" s="3"/>
      <c r="F43" s="3"/>
      <c r="G43" s="3"/>
      <c r="H43" s="3"/>
      <c r="I43" s="3"/>
      <c r="J43" s="3"/>
      <c r="K43" s="3"/>
    </row>
    <row r="44" spans="1:11">
      <c r="A44" s="3"/>
      <c r="B44" s="107" t="s">
        <v>44</v>
      </c>
      <c r="C44" s="100">
        <v>0.01</v>
      </c>
      <c r="D44" s="104">
        <v>0.02</v>
      </c>
      <c r="E44" s="3"/>
      <c r="F44" s="3"/>
      <c r="G44" s="3"/>
      <c r="H44" s="3"/>
      <c r="I44" s="3"/>
      <c r="J44" s="3"/>
      <c r="K44" s="3"/>
    </row>
    <row r="45" spans="1:11">
      <c r="A45" s="3"/>
      <c r="B45" s="107" t="s">
        <v>45</v>
      </c>
      <c r="C45" s="100">
        <v>0.01</v>
      </c>
      <c r="D45" s="104">
        <v>0.02</v>
      </c>
      <c r="E45" s="3"/>
      <c r="F45" s="3"/>
      <c r="G45" s="3"/>
      <c r="H45" s="3"/>
      <c r="I45" s="3"/>
      <c r="J45" s="3"/>
      <c r="K45" s="3"/>
    </row>
    <row r="46" spans="1:11">
      <c r="A46" s="3"/>
      <c r="B46" s="107" t="s">
        <v>46</v>
      </c>
      <c r="C46" s="100">
        <v>0.01</v>
      </c>
      <c r="D46" s="104">
        <v>0.02</v>
      </c>
      <c r="E46" s="3"/>
      <c r="F46" s="3"/>
      <c r="G46" s="3"/>
      <c r="H46" s="3"/>
      <c r="I46" s="3"/>
      <c r="J46" s="3"/>
      <c r="K46" s="3"/>
    </row>
    <row r="47" spans="1:11">
      <c r="A47" s="3"/>
      <c r="B47" s="107" t="s">
        <v>49</v>
      </c>
      <c r="C47" s="100">
        <v>0.01</v>
      </c>
      <c r="D47" s="104">
        <v>0.02</v>
      </c>
      <c r="E47" s="3"/>
      <c r="F47" s="3"/>
      <c r="G47" s="3"/>
      <c r="H47" s="3"/>
      <c r="I47" s="3"/>
      <c r="J47" s="3"/>
      <c r="K47" s="3"/>
    </row>
    <row r="48" spans="1:11">
      <c r="A48" s="3"/>
      <c r="B48" s="107" t="s">
        <v>47</v>
      </c>
      <c r="C48" s="100">
        <v>0.01</v>
      </c>
      <c r="D48" s="104">
        <v>0.02</v>
      </c>
      <c r="E48" s="3"/>
      <c r="F48" s="3"/>
      <c r="G48" s="3"/>
      <c r="H48" s="3"/>
      <c r="I48" s="3"/>
      <c r="J48" s="3"/>
      <c r="K48" s="3"/>
    </row>
    <row r="49" spans="1:11">
      <c r="A49" s="3"/>
      <c r="B49" s="107" t="s">
        <v>48</v>
      </c>
      <c r="C49" s="100">
        <v>0.01</v>
      </c>
      <c r="D49" s="104">
        <v>0.02</v>
      </c>
      <c r="E49" s="3"/>
      <c r="F49" s="3"/>
      <c r="G49" s="3"/>
      <c r="H49" s="3"/>
      <c r="I49" s="3"/>
      <c r="J49" s="3"/>
      <c r="K49" s="3"/>
    </row>
    <row r="50" spans="1:11" ht="14.25" thickBot="1">
      <c r="A50" s="3"/>
      <c r="B50" s="108"/>
      <c r="C50" s="101"/>
      <c r="D50" s="105"/>
      <c r="E50" s="3"/>
      <c r="F50" s="3"/>
      <c r="G50" s="3"/>
      <c r="H50" s="3"/>
      <c r="I50" s="3"/>
      <c r="J50" s="3"/>
      <c r="K50" s="3"/>
    </row>
    <row r="51" spans="1:11">
      <c r="A51" s="3"/>
      <c r="B51" s="4"/>
      <c r="C51" s="4"/>
      <c r="D51" s="3"/>
      <c r="E51" s="3"/>
      <c r="F51" s="3"/>
      <c r="G51" s="3"/>
      <c r="H51" s="3"/>
      <c r="I51" s="3"/>
      <c r="J51" s="3"/>
      <c r="K51" s="3"/>
    </row>
    <row r="52" spans="1:11" ht="14.25" thickBot="1">
      <c r="A52" s="3"/>
      <c r="B52" s="4"/>
      <c r="C52" s="4"/>
      <c r="D52" s="3"/>
      <c r="E52" s="3"/>
      <c r="F52" s="3"/>
      <c r="G52" s="3"/>
      <c r="H52" s="3"/>
      <c r="I52" s="3"/>
      <c r="J52" s="3"/>
      <c r="K52" s="3"/>
    </row>
    <row r="53" spans="1:11" ht="15">
      <c r="A53" s="3"/>
      <c r="B53" s="270" t="s">
        <v>51</v>
      </c>
      <c r="C53" s="271"/>
      <c r="D53" s="284" t="s">
        <v>52</v>
      </c>
      <c r="E53" s="284" t="s">
        <v>29</v>
      </c>
      <c r="F53" s="3"/>
      <c r="G53" s="3"/>
      <c r="H53" s="3"/>
      <c r="I53" s="3"/>
      <c r="J53" s="3"/>
      <c r="K53" s="3"/>
    </row>
    <row r="54" spans="1:11" ht="15.75" thickBot="1">
      <c r="A54" s="3"/>
      <c r="B54" s="118" t="s">
        <v>0</v>
      </c>
      <c r="C54" s="119" t="s">
        <v>1</v>
      </c>
      <c r="D54" s="285"/>
      <c r="E54" s="285"/>
      <c r="F54" s="3"/>
      <c r="G54" s="3"/>
      <c r="H54" s="3"/>
      <c r="I54" s="3"/>
      <c r="J54" s="3"/>
      <c r="K54" s="3"/>
    </row>
    <row r="55" spans="1:11">
      <c r="A55" s="3"/>
      <c r="B55" s="115">
        <v>1</v>
      </c>
      <c r="C55" s="116">
        <v>500</v>
      </c>
      <c r="D55" s="117">
        <v>0.01</v>
      </c>
      <c r="E55" s="117">
        <v>2.5000000000000001E-2</v>
      </c>
      <c r="F55" s="3"/>
      <c r="G55" s="3"/>
      <c r="H55" s="3"/>
      <c r="I55" s="3"/>
      <c r="J55" s="3"/>
      <c r="K55" s="3"/>
    </row>
    <row r="56" spans="1:11">
      <c r="A56" s="3"/>
      <c r="B56" s="109">
        <v>500.01</v>
      </c>
      <c r="C56" s="113">
        <v>5000</v>
      </c>
      <c r="D56" s="111">
        <v>0.01</v>
      </c>
      <c r="E56" s="111">
        <v>2.75E-2</v>
      </c>
      <c r="F56" s="3"/>
      <c r="G56" s="3"/>
      <c r="H56" s="3"/>
      <c r="I56" s="3"/>
      <c r="J56" s="3"/>
      <c r="K56" s="3"/>
    </row>
    <row r="57" spans="1:11" ht="14.25" thickBot="1">
      <c r="A57" s="3"/>
      <c r="B57" s="110">
        <v>5000.01</v>
      </c>
      <c r="C57" s="114">
        <v>999999999999999</v>
      </c>
      <c r="D57" s="112">
        <v>0.01</v>
      </c>
      <c r="E57" s="112">
        <v>0.03</v>
      </c>
      <c r="F57" s="3"/>
      <c r="G57" s="3"/>
      <c r="H57" s="3"/>
      <c r="I57" s="3"/>
      <c r="J57" s="3"/>
      <c r="K57" s="3"/>
    </row>
    <row r="58" spans="1:11">
      <c r="A58" s="3"/>
      <c r="B58" s="4"/>
      <c r="C58" s="4"/>
      <c r="D58" s="3"/>
      <c r="E58" s="3"/>
      <c r="F58" s="3"/>
      <c r="G58" s="3"/>
      <c r="H58" s="3"/>
      <c r="I58" s="3"/>
      <c r="J58" s="3"/>
      <c r="K58" s="3"/>
    </row>
    <row r="59" spans="1:11">
      <c r="A59" s="3"/>
      <c r="B59" s="4"/>
      <c r="C59" s="4"/>
      <c r="D59" s="3"/>
      <c r="E59" s="3"/>
      <c r="F59" s="3"/>
      <c r="G59" s="3"/>
      <c r="H59" s="3"/>
      <c r="I59" s="3"/>
      <c r="J59" s="3"/>
      <c r="K59" s="3"/>
    </row>
    <row r="60" spans="1:11">
      <c r="A60" s="17"/>
      <c r="B60" s="18"/>
      <c r="C60" s="18"/>
      <c r="D60" s="17"/>
      <c r="E60" s="17"/>
      <c r="F60" s="17"/>
      <c r="G60" s="17"/>
      <c r="H60" s="17"/>
      <c r="I60" s="17"/>
      <c r="J60" s="17"/>
      <c r="K60" s="17"/>
    </row>
    <row r="61" spans="1:11" ht="14.25" thickBot="1">
      <c r="A61" s="3"/>
      <c r="B61" s="4"/>
      <c r="C61" s="4"/>
      <c r="D61" s="3"/>
      <c r="E61" s="3"/>
      <c r="F61" s="3"/>
      <c r="G61" s="3"/>
      <c r="H61" s="3"/>
      <c r="I61" s="3"/>
      <c r="J61" s="3"/>
      <c r="K61" s="3"/>
    </row>
    <row r="62" spans="1:11" ht="16.5" thickTop="1" thickBot="1">
      <c r="A62" s="3"/>
      <c r="B62" s="60" t="s">
        <v>10</v>
      </c>
      <c r="C62" s="289" t="s">
        <v>38</v>
      </c>
      <c r="D62" s="290"/>
      <c r="E62" s="290"/>
      <c r="F62" s="290"/>
      <c r="G62" s="290"/>
      <c r="H62" s="290"/>
      <c r="I62" s="290"/>
      <c r="J62" s="291"/>
      <c r="K62" s="3"/>
    </row>
    <row r="63" spans="1:11" ht="30" customHeight="1" thickTop="1">
      <c r="A63" s="3"/>
      <c r="B63" s="73" t="s">
        <v>11</v>
      </c>
      <c r="C63" s="292" t="s">
        <v>95</v>
      </c>
      <c r="D63" s="293"/>
      <c r="E63" s="293"/>
      <c r="F63" s="293"/>
      <c r="G63" s="293"/>
      <c r="H63" s="293"/>
      <c r="I63" s="293"/>
      <c r="J63" s="294"/>
      <c r="K63" s="3"/>
    </row>
    <row r="64" spans="1:11" ht="30" customHeight="1">
      <c r="A64" s="3"/>
      <c r="B64" s="74" t="s">
        <v>12</v>
      </c>
      <c r="C64" s="272" t="s">
        <v>97</v>
      </c>
      <c r="D64" s="273"/>
      <c r="E64" s="273"/>
      <c r="F64" s="273"/>
      <c r="G64" s="273"/>
      <c r="H64" s="273"/>
      <c r="I64" s="273"/>
      <c r="J64" s="274"/>
      <c r="K64" s="3"/>
    </row>
    <row r="65" spans="1:11" ht="30" customHeight="1">
      <c r="A65" s="3"/>
      <c r="B65" s="74" t="s">
        <v>36</v>
      </c>
      <c r="C65" s="272" t="s">
        <v>72</v>
      </c>
      <c r="D65" s="273"/>
      <c r="E65" s="273"/>
      <c r="F65" s="273"/>
      <c r="G65" s="273"/>
      <c r="H65" s="273"/>
      <c r="I65" s="273"/>
      <c r="J65" s="274"/>
      <c r="K65" s="3"/>
    </row>
    <row r="66" spans="1:11" ht="30" customHeight="1" thickBot="1">
      <c r="A66" s="3"/>
      <c r="B66" s="75" t="s">
        <v>98</v>
      </c>
      <c r="C66" s="275" t="s">
        <v>77</v>
      </c>
      <c r="D66" s="276"/>
      <c r="E66" s="276"/>
      <c r="F66" s="276"/>
      <c r="G66" s="276"/>
      <c r="H66" s="276"/>
      <c r="I66" s="276"/>
      <c r="J66" s="277"/>
      <c r="K66" s="3"/>
    </row>
    <row r="67" spans="1:11" ht="15" thickTop="1" thickBot="1">
      <c r="A67" s="3"/>
      <c r="B67" s="4"/>
      <c r="C67" s="4"/>
      <c r="D67" s="3"/>
      <c r="E67" s="3"/>
      <c r="F67" s="3"/>
      <c r="G67" s="3"/>
      <c r="H67" s="3"/>
      <c r="I67" s="3"/>
      <c r="J67" s="3"/>
      <c r="K67" s="3"/>
    </row>
    <row r="68" spans="1:11" ht="16.5" thickTop="1" thickBot="1">
      <c r="A68" s="3"/>
      <c r="B68" s="4"/>
      <c r="C68" s="4"/>
      <c r="D68" s="32" t="s">
        <v>13</v>
      </c>
      <c r="E68" s="33"/>
      <c r="F68" s="33"/>
      <c r="G68" s="33"/>
      <c r="H68" s="33"/>
      <c r="I68" s="34"/>
      <c r="J68" s="8"/>
      <c r="K68" s="3"/>
    </row>
    <row r="69" spans="1:11" ht="14.25" customHeight="1" thickTop="1">
      <c r="A69" s="3"/>
      <c r="B69" s="264" t="s">
        <v>37</v>
      </c>
      <c r="C69" s="265"/>
      <c r="D69" s="51">
        <v>90</v>
      </c>
      <c r="E69" s="35">
        <v>120</v>
      </c>
      <c r="F69" s="35">
        <v>180</v>
      </c>
      <c r="G69" s="35">
        <v>270</v>
      </c>
      <c r="H69" s="35">
        <v>365</v>
      </c>
      <c r="I69" s="36">
        <v>721</v>
      </c>
      <c r="J69" s="9"/>
      <c r="K69" s="3"/>
    </row>
    <row r="70" spans="1:11" ht="14.25" customHeight="1" thickBot="1">
      <c r="A70" s="3"/>
      <c r="B70" s="48" t="s">
        <v>0</v>
      </c>
      <c r="C70" s="56" t="s">
        <v>1</v>
      </c>
      <c r="D70" s="52">
        <v>119</v>
      </c>
      <c r="E70" s="49">
        <v>179</v>
      </c>
      <c r="F70" s="49">
        <v>269</v>
      </c>
      <c r="G70" s="49">
        <v>364</v>
      </c>
      <c r="H70" s="49">
        <v>720</v>
      </c>
      <c r="I70" s="50" t="s">
        <v>14</v>
      </c>
      <c r="J70" s="9"/>
      <c r="K70" s="3"/>
    </row>
    <row r="71" spans="1:11" ht="14.25" thickTop="1">
      <c r="A71" s="3"/>
      <c r="B71" s="45">
        <v>500</v>
      </c>
      <c r="C71" s="57">
        <v>4999.99</v>
      </c>
      <c r="D71" s="53">
        <v>0.02</v>
      </c>
      <c r="E71" s="46">
        <v>2.5000000000000001E-2</v>
      </c>
      <c r="F71" s="46">
        <v>2.75E-2</v>
      </c>
      <c r="G71" s="46">
        <v>0.03</v>
      </c>
      <c r="H71" s="46">
        <v>3.2500000000000001E-2</v>
      </c>
      <c r="I71" s="47">
        <v>3.2500000000000001E-2</v>
      </c>
      <c r="J71" s="10"/>
      <c r="K71" s="3"/>
    </row>
    <row r="72" spans="1:11">
      <c r="A72" s="3"/>
      <c r="B72" s="37">
        <v>5000</v>
      </c>
      <c r="C72" s="58">
        <v>9999.99</v>
      </c>
      <c r="D72" s="54">
        <v>2.2499999999999999E-2</v>
      </c>
      <c r="E72" s="39">
        <v>2.75E-2</v>
      </c>
      <c r="F72" s="39">
        <v>0.03</v>
      </c>
      <c r="G72" s="39">
        <v>3.5000000000000003E-2</v>
      </c>
      <c r="H72" s="39">
        <v>3.7499999999999999E-2</v>
      </c>
      <c r="I72" s="40">
        <v>3.7499999999999999E-2</v>
      </c>
      <c r="J72" s="10"/>
      <c r="K72" s="3"/>
    </row>
    <row r="73" spans="1:11">
      <c r="A73" s="3"/>
      <c r="B73" s="37">
        <v>10000</v>
      </c>
      <c r="C73" s="58">
        <v>49999.99</v>
      </c>
      <c r="D73" s="54">
        <v>2.2499999999999999E-2</v>
      </c>
      <c r="E73" s="39">
        <v>2.75E-2</v>
      </c>
      <c r="F73" s="39">
        <v>0.03</v>
      </c>
      <c r="G73" s="39">
        <v>3.5000000000000003E-2</v>
      </c>
      <c r="H73" s="39">
        <v>3.7499999999999999E-2</v>
      </c>
      <c r="I73" s="40">
        <v>3.7499999999999999E-2</v>
      </c>
      <c r="J73" s="10"/>
      <c r="K73" s="3"/>
    </row>
    <row r="74" spans="1:11">
      <c r="A74" s="3"/>
      <c r="B74" s="37">
        <v>50000</v>
      </c>
      <c r="C74" s="58">
        <v>99999.99</v>
      </c>
      <c r="D74" s="54">
        <v>2.5000000000000001E-2</v>
      </c>
      <c r="E74" s="39">
        <v>0.03</v>
      </c>
      <c r="F74" s="39">
        <v>3.2500000000000001E-2</v>
      </c>
      <c r="G74" s="39">
        <v>3.7499999999999999E-2</v>
      </c>
      <c r="H74" s="39">
        <v>0.04</v>
      </c>
      <c r="I74" s="40">
        <v>0.04</v>
      </c>
      <c r="J74" s="10"/>
      <c r="K74" s="3"/>
    </row>
    <row r="75" spans="1:11">
      <c r="A75" s="3"/>
      <c r="B75" s="37">
        <v>100000</v>
      </c>
      <c r="C75" s="58">
        <v>199999.99</v>
      </c>
      <c r="D75" s="54">
        <v>2.75E-2</v>
      </c>
      <c r="E75" s="39">
        <v>3.2500000000000001E-2</v>
      </c>
      <c r="F75" s="39">
        <v>3.5000000000000003E-2</v>
      </c>
      <c r="G75" s="39">
        <v>0.04</v>
      </c>
      <c r="H75" s="39">
        <v>4.2500000000000003E-2</v>
      </c>
      <c r="I75" s="40">
        <v>4.2500000000000003E-2</v>
      </c>
      <c r="J75" s="10"/>
      <c r="K75" s="3"/>
    </row>
    <row r="76" spans="1:11">
      <c r="A76" s="3"/>
      <c r="B76" s="37">
        <v>200000</v>
      </c>
      <c r="C76" s="58">
        <v>499999.99</v>
      </c>
      <c r="D76" s="54">
        <v>0.03</v>
      </c>
      <c r="E76" s="39">
        <v>3.5000000000000003E-2</v>
      </c>
      <c r="F76" s="39">
        <v>3.7499999999999999E-2</v>
      </c>
      <c r="G76" s="39">
        <v>4.2500000000000003E-2</v>
      </c>
      <c r="H76" s="39">
        <v>4.4999999999999998E-2</v>
      </c>
      <c r="I76" s="40">
        <v>4.4999999999999998E-2</v>
      </c>
      <c r="J76" s="10"/>
      <c r="K76" s="3"/>
    </row>
    <row r="77" spans="1:11" ht="14.25" thickBot="1">
      <c r="A77" s="3"/>
      <c r="B77" s="41">
        <v>500000</v>
      </c>
      <c r="C77" s="59">
        <v>999999999999999</v>
      </c>
      <c r="D77" s="55">
        <v>3.2500000000000001E-2</v>
      </c>
      <c r="E77" s="43">
        <v>3.7499999999999999E-2</v>
      </c>
      <c r="F77" s="43">
        <v>0.04</v>
      </c>
      <c r="G77" s="43">
        <v>4.4999999999999998E-2</v>
      </c>
      <c r="H77" s="43">
        <v>4.7500000000000001E-2</v>
      </c>
      <c r="I77" s="44">
        <v>4.7500000000000001E-2</v>
      </c>
      <c r="J77" s="10"/>
      <c r="K77" s="3"/>
    </row>
    <row r="78" spans="1:11" ht="15" thickTop="1" thickBot="1">
      <c r="A78" s="3"/>
      <c r="B78" s="4"/>
      <c r="C78" s="4"/>
      <c r="D78" s="3"/>
      <c r="E78" s="3"/>
      <c r="F78" s="3"/>
      <c r="G78" s="3"/>
      <c r="H78" s="3"/>
      <c r="I78" s="3"/>
      <c r="J78" s="3"/>
      <c r="K78" s="3"/>
    </row>
    <row r="79" spans="1:11" ht="16.5" thickTop="1" thickBot="1">
      <c r="A79" s="3"/>
      <c r="B79" s="4"/>
      <c r="C79" s="4"/>
      <c r="D79" s="32" t="s">
        <v>13</v>
      </c>
      <c r="E79" s="33"/>
      <c r="F79" s="33"/>
      <c r="G79" s="33"/>
      <c r="H79" s="33"/>
      <c r="I79" s="33"/>
      <c r="J79" s="33"/>
      <c r="K79" s="34"/>
    </row>
    <row r="80" spans="1:11" ht="15.75" thickTop="1">
      <c r="A80" s="3"/>
      <c r="B80" s="264" t="s">
        <v>12</v>
      </c>
      <c r="C80" s="265"/>
      <c r="D80" s="51">
        <v>30</v>
      </c>
      <c r="E80" s="35">
        <v>60</v>
      </c>
      <c r="F80" s="35">
        <v>90</v>
      </c>
      <c r="G80" s="35">
        <v>120</v>
      </c>
      <c r="H80" s="35">
        <v>180</v>
      </c>
      <c r="I80" s="35">
        <v>270</v>
      </c>
      <c r="J80" s="35">
        <v>365</v>
      </c>
      <c r="K80" s="36">
        <v>721</v>
      </c>
    </row>
    <row r="81" spans="1:11" ht="15.75" thickBot="1">
      <c r="A81" s="3"/>
      <c r="B81" s="48" t="s">
        <v>0</v>
      </c>
      <c r="C81" s="56" t="s">
        <v>1</v>
      </c>
      <c r="D81" s="52">
        <v>59</v>
      </c>
      <c r="E81" s="49">
        <v>89</v>
      </c>
      <c r="F81" s="49">
        <v>119</v>
      </c>
      <c r="G81" s="49">
        <v>179</v>
      </c>
      <c r="H81" s="49">
        <v>269</v>
      </c>
      <c r="I81" s="49">
        <v>364</v>
      </c>
      <c r="J81" s="49">
        <v>720</v>
      </c>
      <c r="K81" s="50" t="s">
        <v>14</v>
      </c>
    </row>
    <row r="82" spans="1:11" ht="14.25" thickTop="1">
      <c r="A82" s="3"/>
      <c r="B82" s="61">
        <v>500</v>
      </c>
      <c r="C82" s="67">
        <v>4999.99</v>
      </c>
      <c r="D82" s="66">
        <v>1.2500000000000001E-2</v>
      </c>
      <c r="E82" s="62">
        <v>1.4999999999999999E-2</v>
      </c>
      <c r="F82" s="62">
        <v>0.02</v>
      </c>
      <c r="G82" s="62">
        <v>2.5000000000000001E-2</v>
      </c>
      <c r="H82" s="62">
        <v>2.75E-2</v>
      </c>
      <c r="I82" s="62">
        <v>0.03</v>
      </c>
      <c r="J82" s="62">
        <v>3.2500000000000001E-2</v>
      </c>
      <c r="K82" s="63">
        <v>3.2500000000000001E-2</v>
      </c>
    </row>
    <row r="83" spans="1:11">
      <c r="A83" s="3"/>
      <c r="B83" s="37">
        <v>5000</v>
      </c>
      <c r="C83" s="58">
        <v>9999.99</v>
      </c>
      <c r="D83" s="54">
        <v>1.4999999999999999E-2</v>
      </c>
      <c r="E83" s="38">
        <v>1.7500000000000002E-2</v>
      </c>
      <c r="F83" s="38">
        <v>2.2499999999999999E-2</v>
      </c>
      <c r="G83" s="38">
        <v>2.75E-2</v>
      </c>
      <c r="H83" s="38">
        <v>0.03</v>
      </c>
      <c r="I83" s="38">
        <v>3.5000000000000003E-2</v>
      </c>
      <c r="J83" s="38">
        <v>3.7499999999999999E-2</v>
      </c>
      <c r="K83" s="64">
        <v>3.7499999999999999E-2</v>
      </c>
    </row>
    <row r="84" spans="1:11">
      <c r="A84" s="3"/>
      <c r="B84" s="37">
        <v>10000</v>
      </c>
      <c r="C84" s="58">
        <v>49999.99</v>
      </c>
      <c r="D84" s="54">
        <v>1.4999999999999999E-2</v>
      </c>
      <c r="E84" s="38">
        <v>1.7500000000000002E-2</v>
      </c>
      <c r="F84" s="38">
        <v>2.2499999999999999E-2</v>
      </c>
      <c r="G84" s="38">
        <v>2.75E-2</v>
      </c>
      <c r="H84" s="38">
        <v>0.03</v>
      </c>
      <c r="I84" s="38">
        <v>3.5000000000000003E-2</v>
      </c>
      <c r="J84" s="38">
        <v>3.7499999999999999E-2</v>
      </c>
      <c r="K84" s="64">
        <v>3.7499999999999999E-2</v>
      </c>
    </row>
    <row r="85" spans="1:11">
      <c r="A85" s="3"/>
      <c r="B85" s="37">
        <v>50000</v>
      </c>
      <c r="C85" s="58">
        <v>99999.99</v>
      </c>
      <c r="D85" s="54">
        <v>1.7500000000000002E-2</v>
      </c>
      <c r="E85" s="38">
        <v>0.02</v>
      </c>
      <c r="F85" s="38">
        <v>2.5000000000000001E-2</v>
      </c>
      <c r="G85" s="38">
        <v>0.03</v>
      </c>
      <c r="H85" s="38">
        <v>3.2500000000000001E-2</v>
      </c>
      <c r="I85" s="38">
        <v>3.7499999999999999E-2</v>
      </c>
      <c r="J85" s="38">
        <v>0.04</v>
      </c>
      <c r="K85" s="64">
        <v>0.04</v>
      </c>
    </row>
    <row r="86" spans="1:11">
      <c r="A86" s="3"/>
      <c r="B86" s="37">
        <v>100000</v>
      </c>
      <c r="C86" s="58">
        <v>199999.99</v>
      </c>
      <c r="D86" s="54">
        <v>0.02</v>
      </c>
      <c r="E86" s="38">
        <v>2.2499999999999999E-2</v>
      </c>
      <c r="F86" s="38">
        <v>2.75E-2</v>
      </c>
      <c r="G86" s="38">
        <v>3.2500000000000001E-2</v>
      </c>
      <c r="H86" s="38">
        <v>3.5000000000000003E-2</v>
      </c>
      <c r="I86" s="38">
        <v>0.04</v>
      </c>
      <c r="J86" s="38">
        <v>4.2500000000000003E-2</v>
      </c>
      <c r="K86" s="64">
        <v>4.2500000000000003E-2</v>
      </c>
    </row>
    <row r="87" spans="1:11">
      <c r="A87" s="3"/>
      <c r="B87" s="37">
        <v>200000</v>
      </c>
      <c r="C87" s="58">
        <v>499999.99</v>
      </c>
      <c r="D87" s="54">
        <v>2.2499999999999999E-2</v>
      </c>
      <c r="E87" s="38">
        <v>2.5000000000000001E-2</v>
      </c>
      <c r="F87" s="38">
        <v>0.03</v>
      </c>
      <c r="G87" s="38">
        <v>3.5000000000000003E-2</v>
      </c>
      <c r="H87" s="38">
        <v>3.7499999999999999E-2</v>
      </c>
      <c r="I87" s="38">
        <v>4.2500000000000003E-2</v>
      </c>
      <c r="J87" s="38">
        <v>4.4999999999999998E-2</v>
      </c>
      <c r="K87" s="64">
        <v>4.4999999999999998E-2</v>
      </c>
    </row>
    <row r="88" spans="1:11" ht="14.25" thickBot="1">
      <c r="A88" s="3"/>
      <c r="B88" s="41">
        <v>500000</v>
      </c>
      <c r="C88" s="59">
        <v>999999999999999</v>
      </c>
      <c r="D88" s="55">
        <v>2.5000000000000001E-2</v>
      </c>
      <c r="E88" s="42">
        <v>2.75E-2</v>
      </c>
      <c r="F88" s="42">
        <v>3.2500000000000001E-2</v>
      </c>
      <c r="G88" s="42">
        <v>3.7499999999999999E-2</v>
      </c>
      <c r="H88" s="42">
        <v>0.04</v>
      </c>
      <c r="I88" s="42">
        <v>4.4999999999999998E-2</v>
      </c>
      <c r="J88" s="42">
        <v>4.7500000000000001E-2</v>
      </c>
      <c r="K88" s="65">
        <v>4.7500000000000001E-2</v>
      </c>
    </row>
    <row r="89" spans="1:11" ht="15" thickTop="1" thickBot="1">
      <c r="A89" s="3"/>
      <c r="B89" s="4"/>
      <c r="C89" s="4"/>
      <c r="D89" s="3"/>
      <c r="E89" s="3"/>
      <c r="F89" s="3"/>
      <c r="G89" s="3"/>
      <c r="H89" s="3"/>
      <c r="I89" s="3"/>
      <c r="J89" s="3"/>
      <c r="K89" s="3"/>
    </row>
    <row r="90" spans="1:11" ht="16.5" thickTop="1" thickBot="1">
      <c r="A90" s="3"/>
      <c r="B90" s="4"/>
      <c r="C90" s="4"/>
      <c r="E90" s="32" t="s">
        <v>13</v>
      </c>
      <c r="F90" s="33"/>
      <c r="G90" s="33"/>
      <c r="H90" s="33"/>
      <c r="I90" s="33"/>
      <c r="J90" s="34"/>
      <c r="K90" s="3"/>
    </row>
    <row r="91" spans="1:11" ht="15.75" thickTop="1">
      <c r="A91" s="3"/>
      <c r="B91" s="264" t="s">
        <v>39</v>
      </c>
      <c r="C91" s="265"/>
      <c r="D91" s="298" t="s">
        <v>40</v>
      </c>
      <c r="E91" s="51">
        <v>30</v>
      </c>
      <c r="F91" s="35">
        <v>60</v>
      </c>
      <c r="G91" s="35">
        <v>90</v>
      </c>
      <c r="H91" s="35">
        <v>120</v>
      </c>
      <c r="I91" s="35">
        <v>180</v>
      </c>
      <c r="J91" s="36">
        <v>365</v>
      </c>
      <c r="K91" s="3"/>
    </row>
    <row r="92" spans="1:11" ht="15.75" thickBot="1">
      <c r="A92" s="3"/>
      <c r="B92" s="48" t="s">
        <v>0</v>
      </c>
      <c r="C92" s="56" t="s">
        <v>1</v>
      </c>
      <c r="D92" s="299"/>
      <c r="E92" s="52">
        <v>59</v>
      </c>
      <c r="F92" s="49">
        <v>89</v>
      </c>
      <c r="G92" s="49">
        <v>119</v>
      </c>
      <c r="H92" s="49">
        <v>179</v>
      </c>
      <c r="I92" s="49">
        <v>364</v>
      </c>
      <c r="J92" s="50" t="s">
        <v>14</v>
      </c>
      <c r="K92" s="3"/>
    </row>
    <row r="93" spans="1:11" ht="14.25" thickTop="1">
      <c r="A93" s="3"/>
      <c r="B93" s="61">
        <v>5000</v>
      </c>
      <c r="C93" s="67">
        <v>9999</v>
      </c>
      <c r="D93" s="70">
        <v>2.5000000000000001E-4</v>
      </c>
      <c r="E93" s="66">
        <v>5.0000000000000001E-4</v>
      </c>
      <c r="F93" s="68">
        <v>8.0000000000000004E-4</v>
      </c>
      <c r="G93" s="68">
        <v>1E-3</v>
      </c>
      <c r="H93" s="68">
        <v>1.5E-3</v>
      </c>
      <c r="I93" s="68">
        <v>2E-3</v>
      </c>
      <c r="J93" s="69">
        <v>3.0000000000000001E-3</v>
      </c>
      <c r="K93" s="3"/>
    </row>
    <row r="94" spans="1:11">
      <c r="A94" s="3"/>
      <c r="B94" s="37">
        <v>10000</v>
      </c>
      <c r="C94" s="58">
        <v>19999</v>
      </c>
      <c r="D94" s="71">
        <v>5.0000000000000001E-4</v>
      </c>
      <c r="E94" s="54">
        <v>5.0000000000000001E-4</v>
      </c>
      <c r="F94" s="39">
        <v>8.0000000000000004E-4</v>
      </c>
      <c r="G94" s="39">
        <v>1E-3</v>
      </c>
      <c r="H94" s="39">
        <v>1.5E-3</v>
      </c>
      <c r="I94" s="39">
        <v>2E-3</v>
      </c>
      <c r="J94" s="40">
        <v>3.0000000000000001E-3</v>
      </c>
      <c r="K94" s="3"/>
    </row>
    <row r="95" spans="1:11" ht="14.25" thickBot="1">
      <c r="A95" s="3"/>
      <c r="B95" s="41">
        <v>20000</v>
      </c>
      <c r="C95" s="59">
        <v>999999999999999</v>
      </c>
      <c r="D95" s="72">
        <v>7.5000000000000002E-4</v>
      </c>
      <c r="E95" s="55">
        <v>8.0000000000000004E-4</v>
      </c>
      <c r="F95" s="43">
        <v>1E-3</v>
      </c>
      <c r="G95" s="43">
        <v>1.5E-3</v>
      </c>
      <c r="H95" s="43">
        <v>2E-3</v>
      </c>
      <c r="I95" s="43">
        <v>3.0000000000000001E-3</v>
      </c>
      <c r="J95" s="44">
        <v>4.0000000000000001E-3</v>
      </c>
      <c r="K95" s="3"/>
    </row>
    <row r="96" spans="1:11" ht="14.25" thickTop="1">
      <c r="A96" s="3"/>
      <c r="B96" s="4"/>
      <c r="C96" s="4"/>
      <c r="D96" s="3"/>
      <c r="E96" s="3"/>
      <c r="F96" s="3"/>
      <c r="G96" s="3"/>
      <c r="H96" s="3"/>
      <c r="I96" s="3"/>
      <c r="J96" s="3"/>
      <c r="K96" s="3"/>
    </row>
    <row r="97" spans="1:11">
      <c r="A97" s="3"/>
      <c r="B97" s="4"/>
      <c r="C97" s="4"/>
      <c r="D97" s="3"/>
      <c r="E97" s="3"/>
      <c r="F97" s="3"/>
      <c r="G97" s="3"/>
      <c r="H97" s="3"/>
      <c r="I97" s="3"/>
      <c r="J97" s="3"/>
      <c r="K97" s="3"/>
    </row>
    <row r="98" spans="1:11">
      <c r="A98" s="13"/>
      <c r="B98" s="14"/>
      <c r="C98" s="14"/>
      <c r="D98" s="13"/>
      <c r="E98" s="13"/>
      <c r="F98" s="13"/>
      <c r="G98" s="13"/>
      <c r="H98" s="13"/>
      <c r="I98" s="13"/>
      <c r="J98" s="13"/>
      <c r="K98" s="13"/>
    </row>
    <row r="99" spans="1:11">
      <c r="A99" s="3"/>
      <c r="B99" s="4"/>
      <c r="C99" s="4"/>
      <c r="D99" s="3"/>
      <c r="E99" s="3"/>
      <c r="F99" s="3"/>
      <c r="G99" s="3"/>
      <c r="H99" s="3"/>
      <c r="I99" s="3"/>
      <c r="J99" s="3"/>
      <c r="K99" s="3"/>
    </row>
    <row r="100" spans="1:11" ht="15">
      <c r="A100" s="3"/>
      <c r="B100" s="20" t="s">
        <v>23</v>
      </c>
      <c r="C100" s="4"/>
      <c r="D100" s="3"/>
      <c r="E100" s="3"/>
      <c r="F100" s="3"/>
      <c r="G100" s="3"/>
      <c r="H100" s="3"/>
      <c r="I100" s="3"/>
      <c r="J100" s="3"/>
      <c r="K100" s="3"/>
    </row>
    <row r="101" spans="1:11">
      <c r="A101" s="3"/>
      <c r="B101" s="12" t="s">
        <v>75</v>
      </c>
      <c r="C101" s="11"/>
      <c r="D101" s="3"/>
      <c r="E101" s="3"/>
      <c r="F101" s="3"/>
      <c r="G101" s="3"/>
      <c r="H101" s="3"/>
      <c r="I101" s="3"/>
      <c r="J101" s="3"/>
      <c r="K101" s="3"/>
    </row>
    <row r="102" spans="1:11">
      <c r="A102" s="3"/>
      <c r="B102" s="12" t="s">
        <v>76</v>
      </c>
      <c r="C102" s="4"/>
      <c r="D102" s="3"/>
      <c r="E102" s="3"/>
      <c r="F102" s="3"/>
      <c r="G102" s="3"/>
      <c r="H102" s="3"/>
      <c r="I102" s="3"/>
      <c r="J102" s="3"/>
      <c r="K102" s="3"/>
    </row>
    <row r="103" spans="1:11">
      <c r="A103" s="3"/>
      <c r="B103" s="4"/>
      <c r="C103" s="4"/>
      <c r="D103" s="3"/>
      <c r="E103" s="3"/>
      <c r="F103" s="3"/>
      <c r="G103" s="3"/>
      <c r="H103" s="3"/>
      <c r="I103" s="3"/>
      <c r="J103" s="3"/>
      <c r="K103" s="3"/>
    </row>
    <row r="104" spans="1:11" ht="14.25" thickBot="1">
      <c r="A104" s="3"/>
      <c r="B104" s="4"/>
      <c r="C104" s="4"/>
      <c r="D104" s="3"/>
      <c r="E104" s="3"/>
      <c r="F104" s="3"/>
      <c r="G104" s="3"/>
      <c r="H104" s="3"/>
      <c r="I104" s="3"/>
      <c r="J104" s="3"/>
      <c r="K104" s="3"/>
    </row>
    <row r="105" spans="1:11" ht="15.75" thickBot="1">
      <c r="A105" s="3"/>
      <c r="B105" s="93" t="s">
        <v>67</v>
      </c>
      <c r="C105" s="315" t="s">
        <v>38</v>
      </c>
      <c r="D105" s="315"/>
      <c r="E105" s="315"/>
      <c r="F105" s="315"/>
      <c r="G105" s="315"/>
      <c r="H105" s="315"/>
      <c r="I105" s="315"/>
      <c r="J105" s="316"/>
      <c r="K105" s="3"/>
    </row>
    <row r="106" spans="1:11">
      <c r="A106" s="3"/>
      <c r="B106" s="256" t="s">
        <v>68</v>
      </c>
      <c r="C106" s="317" t="s">
        <v>74</v>
      </c>
      <c r="D106" s="318"/>
      <c r="E106" s="318"/>
      <c r="F106" s="318"/>
      <c r="G106" s="318"/>
      <c r="H106" s="318"/>
      <c r="I106" s="318"/>
      <c r="J106" s="319"/>
      <c r="K106" s="3"/>
    </row>
    <row r="107" spans="1:11" ht="33.6" customHeight="1" thickBot="1">
      <c r="A107" s="3"/>
      <c r="B107" s="320"/>
      <c r="C107" s="321" t="s">
        <v>96</v>
      </c>
      <c r="D107" s="322"/>
      <c r="E107" s="322"/>
      <c r="F107" s="322"/>
      <c r="G107" s="322"/>
      <c r="H107" s="322"/>
      <c r="I107" s="322"/>
      <c r="J107" s="323"/>
      <c r="K107" s="3"/>
    </row>
    <row r="108" spans="1:11">
      <c r="A108" s="3"/>
      <c r="B108" s="256" t="s">
        <v>69</v>
      </c>
      <c r="C108" s="317" t="s">
        <v>88</v>
      </c>
      <c r="D108" s="318"/>
      <c r="E108" s="318"/>
      <c r="F108" s="318"/>
      <c r="G108" s="318"/>
      <c r="H108" s="318"/>
      <c r="I108" s="318"/>
      <c r="J108" s="319"/>
      <c r="K108" s="3"/>
    </row>
    <row r="109" spans="1:11" ht="31.9" customHeight="1" thickBot="1">
      <c r="A109" s="3"/>
      <c r="B109" s="257"/>
      <c r="C109" s="295" t="s">
        <v>96</v>
      </c>
      <c r="D109" s="296"/>
      <c r="E109" s="296"/>
      <c r="F109" s="296"/>
      <c r="G109" s="296"/>
      <c r="H109" s="296"/>
      <c r="I109" s="296"/>
      <c r="J109" s="297"/>
      <c r="K109" s="3"/>
    </row>
    <row r="110" spans="1:11">
      <c r="A110" s="3"/>
      <c r="B110" s="256" t="s">
        <v>71</v>
      </c>
      <c r="C110" s="258"/>
      <c r="D110" s="259"/>
      <c r="E110" s="259"/>
      <c r="F110" s="259"/>
      <c r="G110" s="259"/>
      <c r="H110" s="259"/>
      <c r="I110" s="259"/>
      <c r="J110" s="260"/>
      <c r="K110" s="3"/>
    </row>
    <row r="111" spans="1:11" ht="14.25" thickBot="1">
      <c r="A111" s="3"/>
      <c r="B111" s="257"/>
      <c r="C111" s="261"/>
      <c r="D111" s="262"/>
      <c r="E111" s="262"/>
      <c r="F111" s="262"/>
      <c r="G111" s="262"/>
      <c r="H111" s="262"/>
      <c r="I111" s="262"/>
      <c r="J111" s="263"/>
      <c r="K111" s="3"/>
    </row>
    <row r="112" spans="1:11">
      <c r="A112" s="3"/>
      <c r="B112" s="4"/>
      <c r="C112" s="4"/>
      <c r="D112" s="3"/>
      <c r="E112" s="3"/>
      <c r="F112" s="3"/>
      <c r="G112" s="3"/>
      <c r="H112" s="3"/>
      <c r="I112" s="3"/>
      <c r="J112" s="3"/>
      <c r="K112" s="3"/>
    </row>
    <row r="113" spans="1:11">
      <c r="A113" s="3"/>
      <c r="B113" s="4"/>
      <c r="C113" s="4"/>
      <c r="D113" s="3"/>
      <c r="E113" s="3"/>
      <c r="F113" s="3"/>
      <c r="G113" s="3"/>
      <c r="H113" s="3"/>
      <c r="I113" s="3"/>
      <c r="J113" s="3"/>
      <c r="K113" s="3"/>
    </row>
    <row r="114" spans="1:11">
      <c r="A114" s="17"/>
      <c r="B114" s="18"/>
      <c r="C114" s="18"/>
      <c r="D114" s="17"/>
      <c r="E114" s="17"/>
      <c r="F114" s="17"/>
      <c r="G114" s="17"/>
      <c r="H114" s="17"/>
      <c r="I114" s="17"/>
      <c r="J114" s="17"/>
      <c r="K114" s="17"/>
    </row>
    <row r="115" spans="1:11">
      <c r="A115" s="3"/>
      <c r="B115" s="4"/>
      <c r="C115" s="4">
        <f ca="1">YEAR(TODAY())</f>
        <v>2017</v>
      </c>
      <c r="D115" s="3">
        <f ca="1">C115+1</f>
        <v>2018</v>
      </c>
      <c r="E115" s="3"/>
      <c r="F115" s="3"/>
      <c r="G115" s="3"/>
      <c r="H115" s="3"/>
      <c r="I115" s="3"/>
      <c r="J115" s="3"/>
      <c r="K115" s="3"/>
    </row>
    <row r="116" spans="1:11" ht="15">
      <c r="A116" s="3"/>
      <c r="B116" s="19" t="s">
        <v>23</v>
      </c>
      <c r="C116" s="155" t="s">
        <v>101</v>
      </c>
      <c r="D116" s="132" t="s">
        <v>102</v>
      </c>
      <c r="E116" s="3"/>
      <c r="F116" s="3"/>
      <c r="G116" s="3"/>
      <c r="H116" s="3"/>
      <c r="I116" s="3"/>
      <c r="J116" s="3"/>
      <c r="K116" s="3"/>
    </row>
    <row r="117" spans="1:11">
      <c r="A117" s="3"/>
      <c r="B117" s="12" t="s">
        <v>24</v>
      </c>
      <c r="C117" s="23">
        <v>366</v>
      </c>
      <c r="D117" s="23">
        <v>375</v>
      </c>
      <c r="E117" s="3"/>
      <c r="F117" s="3"/>
      <c r="G117" s="3"/>
      <c r="H117" s="3"/>
      <c r="I117" s="3"/>
      <c r="J117" s="3"/>
      <c r="K117" s="3"/>
    </row>
    <row r="118" spans="1:11">
      <c r="A118" s="3"/>
      <c r="B118" s="12" t="s">
        <v>25</v>
      </c>
      <c r="C118" s="24">
        <v>2015</v>
      </c>
      <c r="D118" s="3"/>
      <c r="E118" s="3"/>
      <c r="F118" s="3"/>
      <c r="G118" s="3"/>
      <c r="H118" s="3"/>
      <c r="I118" s="3"/>
      <c r="J118" s="3"/>
      <c r="K118" s="3"/>
    </row>
    <row r="119" spans="1:11" outlineLevel="1">
      <c r="A119" s="3"/>
      <c r="B119" s="12" t="s">
        <v>30</v>
      </c>
      <c r="C119" s="21">
        <v>1</v>
      </c>
      <c r="D119" s="3"/>
      <c r="E119" s="3"/>
      <c r="F119" s="3"/>
      <c r="G119" s="3"/>
      <c r="H119" s="3"/>
      <c r="I119" s="3"/>
      <c r="J119" s="3"/>
      <c r="K119" s="3"/>
    </row>
    <row r="120" spans="1:11" outlineLevel="1">
      <c r="A120" s="3"/>
      <c r="B120" s="12"/>
      <c r="C120" s="21">
        <f>+C119+1</f>
        <v>2</v>
      </c>
      <c r="D120" s="3"/>
      <c r="E120" s="22"/>
      <c r="F120" s="3"/>
      <c r="G120" s="3"/>
      <c r="H120" s="3"/>
      <c r="I120" s="3"/>
      <c r="J120" s="3"/>
      <c r="K120" s="3"/>
    </row>
    <row r="121" spans="1:11" outlineLevel="1">
      <c r="A121" s="3"/>
      <c r="B121" s="12"/>
      <c r="C121" s="21">
        <f t="shared" ref="C121:C130" si="0">+C120+1</f>
        <v>3</v>
      </c>
      <c r="D121" s="3"/>
      <c r="E121" s="3"/>
      <c r="F121" s="3"/>
      <c r="G121" s="3"/>
      <c r="H121" s="3"/>
      <c r="I121" s="3"/>
      <c r="J121" s="3"/>
      <c r="K121" s="3"/>
    </row>
    <row r="122" spans="1:11" outlineLevel="1">
      <c r="A122" s="3"/>
      <c r="B122" s="12"/>
      <c r="C122" s="21">
        <f t="shared" si="0"/>
        <v>4</v>
      </c>
      <c r="D122" s="3"/>
      <c r="E122" s="3"/>
      <c r="F122" s="3"/>
      <c r="G122" s="3"/>
      <c r="H122" s="3"/>
      <c r="I122" s="3"/>
      <c r="J122" s="3"/>
      <c r="K122" s="3"/>
    </row>
    <row r="123" spans="1:11" outlineLevel="1">
      <c r="A123" s="3"/>
      <c r="B123" s="12"/>
      <c r="C123" s="21">
        <f t="shared" si="0"/>
        <v>5</v>
      </c>
      <c r="D123" s="3"/>
      <c r="E123" s="3"/>
      <c r="F123" s="3"/>
      <c r="G123" s="3"/>
      <c r="H123" s="3"/>
      <c r="I123" s="3"/>
      <c r="J123" s="3"/>
      <c r="K123" s="3"/>
    </row>
    <row r="124" spans="1:11" outlineLevel="1">
      <c r="A124" s="3"/>
      <c r="B124" s="12"/>
      <c r="C124" s="21">
        <f t="shared" si="0"/>
        <v>6</v>
      </c>
      <c r="D124" s="3"/>
      <c r="E124" s="3"/>
      <c r="F124" s="3"/>
      <c r="G124" s="3"/>
      <c r="H124" s="3"/>
      <c r="I124" s="3"/>
      <c r="J124" s="3"/>
      <c r="K124" s="3"/>
    </row>
    <row r="125" spans="1:11" outlineLevel="1">
      <c r="A125" s="3"/>
      <c r="B125" s="12"/>
      <c r="C125" s="21">
        <f t="shared" si="0"/>
        <v>7</v>
      </c>
      <c r="D125" s="3"/>
      <c r="E125" s="3"/>
      <c r="F125" s="3"/>
      <c r="G125" s="3"/>
      <c r="H125" s="3"/>
      <c r="I125" s="3"/>
      <c r="J125" s="3"/>
      <c r="K125" s="3"/>
    </row>
    <row r="126" spans="1:11" outlineLevel="1">
      <c r="A126" s="3"/>
      <c r="B126" s="12"/>
      <c r="C126" s="21">
        <f t="shared" si="0"/>
        <v>8</v>
      </c>
      <c r="D126" s="3"/>
      <c r="E126" s="3"/>
      <c r="F126" s="3"/>
      <c r="G126" s="3"/>
      <c r="H126" s="3"/>
      <c r="I126" s="3"/>
      <c r="J126" s="3"/>
      <c r="K126" s="3"/>
    </row>
    <row r="127" spans="1:11" outlineLevel="1">
      <c r="A127" s="3"/>
      <c r="B127" s="12"/>
      <c r="C127" s="21">
        <f t="shared" si="0"/>
        <v>9</v>
      </c>
      <c r="D127" s="3"/>
      <c r="E127" s="3"/>
      <c r="F127" s="3"/>
      <c r="G127" s="3"/>
      <c r="H127" s="3"/>
      <c r="I127" s="3"/>
      <c r="J127" s="3"/>
      <c r="K127" s="3"/>
    </row>
    <row r="128" spans="1:11" outlineLevel="1">
      <c r="A128" s="3"/>
      <c r="B128" s="12"/>
      <c r="C128" s="21">
        <f t="shared" si="0"/>
        <v>10</v>
      </c>
      <c r="D128" s="3"/>
      <c r="E128" s="3"/>
      <c r="F128" s="3"/>
      <c r="G128" s="3"/>
      <c r="H128" s="3"/>
      <c r="I128" s="3"/>
      <c r="J128" s="3"/>
      <c r="K128" s="3"/>
    </row>
    <row r="129" spans="1:11" outlineLevel="1">
      <c r="A129" s="3"/>
      <c r="B129" s="12"/>
      <c r="C129" s="21">
        <f t="shared" si="0"/>
        <v>11</v>
      </c>
      <c r="D129" s="3"/>
      <c r="E129" s="3"/>
      <c r="F129" s="3"/>
      <c r="G129" s="3"/>
      <c r="H129" s="3"/>
      <c r="I129" s="3"/>
      <c r="J129" s="3"/>
      <c r="K129" s="3"/>
    </row>
    <row r="130" spans="1:11" outlineLevel="1">
      <c r="A130" s="3"/>
      <c r="B130" s="12"/>
      <c r="C130" s="21">
        <f t="shared" si="0"/>
        <v>12</v>
      </c>
      <c r="D130" s="3"/>
      <c r="E130" s="3"/>
      <c r="F130" s="3"/>
      <c r="G130" s="3"/>
      <c r="H130" s="3"/>
      <c r="I130" s="3"/>
      <c r="J130" s="3"/>
      <c r="K130" s="3"/>
    </row>
    <row r="131" spans="1:11">
      <c r="A131" s="3"/>
      <c r="B131" s="4"/>
      <c r="C131" s="4"/>
      <c r="D131" s="3"/>
      <c r="E131" s="3"/>
      <c r="F131" s="3"/>
      <c r="G131" s="3"/>
      <c r="H131" s="3"/>
      <c r="I131" s="3"/>
      <c r="J131" s="3"/>
      <c r="K131" s="3"/>
    </row>
    <row r="132" spans="1:11">
      <c r="A132" s="3"/>
      <c r="B132" s="4"/>
      <c r="C132" s="4"/>
      <c r="D132" s="3"/>
      <c r="E132" s="3"/>
      <c r="F132" s="3"/>
      <c r="G132" s="3"/>
      <c r="H132" s="3"/>
      <c r="I132" s="3"/>
      <c r="J132" s="3"/>
      <c r="K132" s="3"/>
    </row>
    <row r="133" spans="1:11">
      <c r="A133" s="17"/>
      <c r="B133" s="18"/>
      <c r="C133" s="18"/>
      <c r="D133" s="17"/>
      <c r="E133" s="17"/>
      <c r="F133" s="17"/>
      <c r="G133" s="17"/>
      <c r="H133" s="17"/>
      <c r="I133" s="17"/>
      <c r="J133" s="17"/>
      <c r="K133" s="17"/>
    </row>
    <row r="135" spans="1:11">
      <c r="B135" s="202" t="s">
        <v>5</v>
      </c>
      <c r="C135" s="203">
        <v>0.02</v>
      </c>
    </row>
  </sheetData>
  <sheetProtection selectLockedCells="1"/>
  <mergeCells count="42">
    <mergeCell ref="C105:J105"/>
    <mergeCell ref="C106:J106"/>
    <mergeCell ref="C108:J108"/>
    <mergeCell ref="B106:B107"/>
    <mergeCell ref="C107:J107"/>
    <mergeCell ref="C109:J109"/>
    <mergeCell ref="B108:B109"/>
    <mergeCell ref="B91:C91"/>
    <mergeCell ref="D91:D92"/>
    <mergeCell ref="C3:J3"/>
    <mergeCell ref="C4:J4"/>
    <mergeCell ref="C5:J5"/>
    <mergeCell ref="C6:J6"/>
    <mergeCell ref="C7:J7"/>
    <mergeCell ref="C8:J8"/>
    <mergeCell ref="C9:J9"/>
    <mergeCell ref="C10:J10"/>
    <mergeCell ref="B24:C24"/>
    <mergeCell ref="D24:D25"/>
    <mergeCell ref="C32:J32"/>
    <mergeCell ref="C33:J33"/>
    <mergeCell ref="C34:J34"/>
    <mergeCell ref="C35:J35"/>
    <mergeCell ref="C62:J62"/>
    <mergeCell ref="C63:J63"/>
    <mergeCell ref="C64:J64"/>
    <mergeCell ref="B110:B111"/>
    <mergeCell ref="C110:J111"/>
    <mergeCell ref="B80:C80"/>
    <mergeCell ref="B69:C69"/>
    <mergeCell ref="B12:C12"/>
    <mergeCell ref="D12:D13"/>
    <mergeCell ref="B53:C53"/>
    <mergeCell ref="C65:J65"/>
    <mergeCell ref="C66:J66"/>
    <mergeCell ref="C36:J36"/>
    <mergeCell ref="C37:J37"/>
    <mergeCell ref="C38:J38"/>
    <mergeCell ref="C40:J40"/>
    <mergeCell ref="C39:J39"/>
    <mergeCell ref="D53:D54"/>
    <mergeCell ref="E53:E54"/>
  </mergeCells>
  <phoneticPr fontId="0" type="noConversion"/>
  <dataValidations count="3">
    <dataValidation type="decimal" allowBlank="1" showInputMessage="1" showErrorMessage="1" sqref="D14:D21 D71:I77 D82:K88 E93:J95 C43:C50">
      <formula1>0</formula1>
      <formula2>1</formula2>
    </dataValidation>
    <dataValidation type="decimal" allowBlank="1" showInputMessage="1" showErrorMessage="1" sqref="B14:C21 B71:C77 B82:C88 B93:D95 B26:D28 B55:E57">
      <formula1>0</formula1>
      <formula2>9.99999999999999E+32</formula2>
    </dataValidation>
    <dataValidation type="whole" allowBlank="1" showInputMessage="1" showErrorMessage="1" sqref="D69:I70 D80:K81 E91:J92">
      <formula1>0</formula1>
      <formula2>100000000</formula2>
    </dataValidation>
  </dataValidations>
  <pageMargins left="0.5" right="0.5" top="0.5" bottom="0.5" header="0.5" footer="0.5"/>
  <pageSetup scale="8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enu_principal">
                <anchor moveWithCells="1" sizeWithCells="1">
                  <from>
                    <xdr:col>3</xdr:col>
                    <xdr:colOff>85725</xdr:colOff>
                    <xdr:row>1</xdr:row>
                    <xdr:rowOff>190500</xdr:rowOff>
                  </from>
                  <to>
                    <xdr:col>5</xdr:col>
                    <xdr:colOff>304800</xdr:colOff>
                    <xdr:row>1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1"/>
  </sheetPr>
  <dimension ref="A1:E1830"/>
  <sheetViews>
    <sheetView workbookViewId="0">
      <selection activeCell="A6" sqref="A6"/>
    </sheetView>
  </sheetViews>
  <sheetFormatPr baseColWidth="10" defaultRowHeight="13.5"/>
  <cols>
    <col min="1" max="1" width="11.7109375" style="123"/>
    <col min="2" max="2" width="21" bestFit="1" customWidth="1"/>
  </cols>
  <sheetData>
    <row r="1" spans="1:5">
      <c r="A1" s="123" t="s">
        <v>54</v>
      </c>
      <c r="B1" s="120" t="s">
        <v>55</v>
      </c>
      <c r="C1" s="120" t="s">
        <v>27</v>
      </c>
      <c r="D1" s="120" t="s">
        <v>28</v>
      </c>
      <c r="E1" s="120" t="s">
        <v>18</v>
      </c>
    </row>
    <row r="2" spans="1:5">
      <c r="A2" s="123">
        <f>+'F-Ahorro Futuro Genérico'!$H$11</f>
        <v>0</v>
      </c>
      <c r="B2" s="122">
        <f>IF(DAY(A2)=DAY('F-Ahorro Futuro Genérico'!$H$11),'F-Ahorro Futuro Genérico'!$H$9,0)</f>
        <v>0</v>
      </c>
      <c r="C2" s="122">
        <f>+B2</f>
        <v>0</v>
      </c>
      <c r="D2" s="121">
        <f>ROUND(C2*'FR_Mantenimiento tasas'!$C$43/360,5)</f>
        <v>0</v>
      </c>
      <c r="E2" s="121">
        <f>ROUND(C2*'FR_Mantenimiento tasas'!$D$43/360,5)</f>
        <v>0</v>
      </c>
    </row>
    <row r="3" spans="1:5">
      <c r="A3" s="123">
        <f>+A2+1</f>
        <v>1</v>
      </c>
      <c r="B3" s="122">
        <f>IF(DAY(A3)=DAY('F-Ahorro Futuro Genérico'!$H$11),'F-Ahorro Futuro Genérico'!$H$9,0)</f>
        <v>0</v>
      </c>
      <c r="C3" s="122">
        <f>+B3+C2+D2</f>
        <v>0</v>
      </c>
      <c r="D3" s="121">
        <f>ROUND(C3*'FR_Mantenimiento tasas'!$C$43/360,5)</f>
        <v>0</v>
      </c>
      <c r="E3" s="121">
        <f>ROUND(C3*'FR_Mantenimiento tasas'!$D$43/360,5)</f>
        <v>0</v>
      </c>
    </row>
    <row r="4" spans="1:5">
      <c r="A4" s="123">
        <f t="shared" ref="A4:A67" si="0">+A3+1</f>
        <v>2</v>
      </c>
      <c r="B4" s="122">
        <f>IF(DAY(A4)=DAY('F-Ahorro Futuro Genérico'!$H$11),'F-Ahorro Futuro Genérico'!$H$9,0)</f>
        <v>0</v>
      </c>
      <c r="C4" s="122">
        <f t="shared" ref="C4:C67" si="1">+B4+C3+D3</f>
        <v>0</v>
      </c>
      <c r="D4" s="121">
        <f>ROUND(C4*'FR_Mantenimiento tasas'!$C$43/360,5)</f>
        <v>0</v>
      </c>
      <c r="E4" s="121">
        <f>ROUND(C4*'FR_Mantenimiento tasas'!$D$43/360,5)</f>
        <v>0</v>
      </c>
    </row>
    <row r="5" spans="1:5">
      <c r="A5" s="123">
        <f t="shared" si="0"/>
        <v>3</v>
      </c>
      <c r="B5" s="122">
        <f>IF(DAY(A5)=DAY('F-Ahorro Futuro Genérico'!$H$11),'F-Ahorro Futuro Genérico'!$H$9,0)</f>
        <v>0</v>
      </c>
      <c r="C5" s="122">
        <f t="shared" si="1"/>
        <v>0</v>
      </c>
      <c r="D5" s="121">
        <f>ROUND(C5*'FR_Mantenimiento tasas'!$C$43/360,5)</f>
        <v>0</v>
      </c>
      <c r="E5" s="121">
        <f>ROUND(C5*'FR_Mantenimiento tasas'!$D$43/360,5)</f>
        <v>0</v>
      </c>
    </row>
    <row r="6" spans="1:5">
      <c r="A6" s="123">
        <f t="shared" si="0"/>
        <v>4</v>
      </c>
      <c r="B6" s="122">
        <f>IF(DAY(A6)=DAY('F-Ahorro Futuro Genérico'!$H$11),'F-Ahorro Futuro Genérico'!$H$9,0)</f>
        <v>0</v>
      </c>
      <c r="C6" s="122">
        <f t="shared" si="1"/>
        <v>0</v>
      </c>
      <c r="D6" s="121">
        <f>ROUND(C6*'FR_Mantenimiento tasas'!$C$43/360,5)</f>
        <v>0</v>
      </c>
      <c r="E6" s="121">
        <f>ROUND(C6*'FR_Mantenimiento tasas'!$D$43/360,5)</f>
        <v>0</v>
      </c>
    </row>
    <row r="7" spans="1:5">
      <c r="A7" s="123">
        <f>+A6+1</f>
        <v>5</v>
      </c>
      <c r="B7" s="122">
        <f>IF(DAY(A7)=DAY('F-Ahorro Futuro Genérico'!$H$11),'F-Ahorro Futuro Genérico'!$H$9,0)</f>
        <v>0</v>
      </c>
      <c r="C7" s="122">
        <f t="shared" si="1"/>
        <v>0</v>
      </c>
      <c r="D7" s="121">
        <f>ROUND(C7*'FR_Mantenimiento tasas'!$C$43/360,5)</f>
        <v>0</v>
      </c>
      <c r="E7" s="121">
        <f>ROUND(C7*'FR_Mantenimiento tasas'!$D$43/360,5)</f>
        <v>0</v>
      </c>
    </row>
    <row r="8" spans="1:5">
      <c r="A8" s="123">
        <f t="shared" si="0"/>
        <v>6</v>
      </c>
      <c r="B8" s="122">
        <f>IF(DAY(A8)=DAY('F-Ahorro Futuro Genérico'!$H$11),'F-Ahorro Futuro Genérico'!$H$9,0)</f>
        <v>0</v>
      </c>
      <c r="C8" s="122">
        <f t="shared" si="1"/>
        <v>0</v>
      </c>
      <c r="D8" s="121">
        <f>ROUND(C8*'FR_Mantenimiento tasas'!$C$43/360,5)</f>
        <v>0</v>
      </c>
      <c r="E8" s="121">
        <f>ROUND(C8*'FR_Mantenimiento tasas'!$D$43/360,5)</f>
        <v>0</v>
      </c>
    </row>
    <row r="9" spans="1:5">
      <c r="A9" s="123">
        <f t="shared" si="0"/>
        <v>7</v>
      </c>
      <c r="B9" s="122">
        <f>IF(DAY(A9)=DAY('F-Ahorro Futuro Genérico'!$H$11),'F-Ahorro Futuro Genérico'!$H$9,0)</f>
        <v>0</v>
      </c>
      <c r="C9" s="122">
        <f t="shared" si="1"/>
        <v>0</v>
      </c>
      <c r="D9" s="121">
        <f>ROUND(C9*'FR_Mantenimiento tasas'!$C$43/360,5)</f>
        <v>0</v>
      </c>
      <c r="E9" s="121">
        <f>ROUND(C9*'FR_Mantenimiento tasas'!$D$43/360,5)</f>
        <v>0</v>
      </c>
    </row>
    <row r="10" spans="1:5">
      <c r="A10" s="123">
        <f t="shared" si="0"/>
        <v>8</v>
      </c>
      <c r="B10" s="122">
        <f>IF(DAY(A10)=DAY('F-Ahorro Futuro Genérico'!$H$11),'F-Ahorro Futuro Genérico'!$H$9,0)</f>
        <v>0</v>
      </c>
      <c r="C10" s="122">
        <f t="shared" si="1"/>
        <v>0</v>
      </c>
      <c r="D10" s="121">
        <f>ROUND(C10*'FR_Mantenimiento tasas'!$C$43/360,5)</f>
        <v>0</v>
      </c>
      <c r="E10" s="121">
        <f>ROUND(C10*'FR_Mantenimiento tasas'!$D$43/360,5)</f>
        <v>0</v>
      </c>
    </row>
    <row r="11" spans="1:5">
      <c r="A11" s="123">
        <f t="shared" si="0"/>
        <v>9</v>
      </c>
      <c r="B11" s="122">
        <f>IF(DAY(A11)=DAY('F-Ahorro Futuro Genérico'!$H$11),'F-Ahorro Futuro Genérico'!$H$9,0)</f>
        <v>0</v>
      </c>
      <c r="C11" s="122">
        <f t="shared" si="1"/>
        <v>0</v>
      </c>
      <c r="D11" s="121">
        <f>ROUND(C11*'FR_Mantenimiento tasas'!$C$43/360,5)</f>
        <v>0</v>
      </c>
      <c r="E11" s="121">
        <f>ROUND(C11*'FR_Mantenimiento tasas'!$D$43/360,5)</f>
        <v>0</v>
      </c>
    </row>
    <row r="12" spans="1:5">
      <c r="A12" s="123">
        <f t="shared" si="0"/>
        <v>10</v>
      </c>
      <c r="B12" s="122">
        <f>IF(DAY(A12)=DAY('F-Ahorro Futuro Genérico'!$H$11),'F-Ahorro Futuro Genérico'!$H$9,0)</f>
        <v>0</v>
      </c>
      <c r="C12" s="122">
        <f t="shared" si="1"/>
        <v>0</v>
      </c>
      <c r="D12" s="121">
        <f>ROUND(C12*'FR_Mantenimiento tasas'!$C$43/360,5)</f>
        <v>0</v>
      </c>
      <c r="E12" s="121">
        <f>ROUND(C12*'FR_Mantenimiento tasas'!$D$43/360,5)</f>
        <v>0</v>
      </c>
    </row>
    <row r="13" spans="1:5">
      <c r="A13" s="123">
        <f t="shared" si="0"/>
        <v>11</v>
      </c>
      <c r="B13" s="122">
        <f>IF(DAY(A13)=DAY('F-Ahorro Futuro Genérico'!$H$11),'F-Ahorro Futuro Genérico'!$H$9,0)</f>
        <v>0</v>
      </c>
      <c r="C13" s="122">
        <f t="shared" si="1"/>
        <v>0</v>
      </c>
      <c r="D13" s="121">
        <f>ROUND(C13*'FR_Mantenimiento tasas'!$C$43/360,5)</f>
        <v>0</v>
      </c>
      <c r="E13" s="121">
        <f>ROUND(C13*'FR_Mantenimiento tasas'!$D$43/360,5)</f>
        <v>0</v>
      </c>
    </row>
    <row r="14" spans="1:5">
      <c r="A14" s="123">
        <f t="shared" si="0"/>
        <v>12</v>
      </c>
      <c r="B14" s="122">
        <f>IF(DAY(A14)=DAY('F-Ahorro Futuro Genérico'!$H$11),'F-Ahorro Futuro Genérico'!$H$9,0)</f>
        <v>0</v>
      </c>
      <c r="C14" s="122">
        <f t="shared" si="1"/>
        <v>0</v>
      </c>
      <c r="D14" s="121">
        <f>ROUND(C14*'FR_Mantenimiento tasas'!$C$43/360,5)</f>
        <v>0</v>
      </c>
      <c r="E14" s="121">
        <f>ROUND(C14*'FR_Mantenimiento tasas'!$D$43/360,5)</f>
        <v>0</v>
      </c>
    </row>
    <row r="15" spans="1:5">
      <c r="A15" s="123">
        <f t="shared" si="0"/>
        <v>13</v>
      </c>
      <c r="B15" s="122">
        <f>IF(DAY(A15)=DAY('F-Ahorro Futuro Genérico'!$H$11),'F-Ahorro Futuro Genérico'!$H$9,0)</f>
        <v>0</v>
      </c>
      <c r="C15" s="122">
        <f t="shared" si="1"/>
        <v>0</v>
      </c>
      <c r="D15" s="121">
        <f>ROUND(C15*'FR_Mantenimiento tasas'!$C$43/360,5)</f>
        <v>0</v>
      </c>
      <c r="E15" s="121">
        <f>ROUND(C15*'FR_Mantenimiento tasas'!$D$43/360,5)</f>
        <v>0</v>
      </c>
    </row>
    <row r="16" spans="1:5">
      <c r="A16" s="123">
        <f t="shared" si="0"/>
        <v>14</v>
      </c>
      <c r="B16" s="122">
        <f>IF(DAY(A16)=DAY('F-Ahorro Futuro Genérico'!$H$11),'F-Ahorro Futuro Genérico'!$H$9,0)</f>
        <v>0</v>
      </c>
      <c r="C16" s="122">
        <f t="shared" si="1"/>
        <v>0</v>
      </c>
      <c r="D16" s="121">
        <f>ROUND(C16*'FR_Mantenimiento tasas'!$C$43/360,5)</f>
        <v>0</v>
      </c>
      <c r="E16" s="121">
        <f>ROUND(C16*'FR_Mantenimiento tasas'!$D$43/360,5)</f>
        <v>0</v>
      </c>
    </row>
    <row r="17" spans="1:5">
      <c r="A17" s="123">
        <f t="shared" si="0"/>
        <v>15</v>
      </c>
      <c r="B17" s="122">
        <f>IF(DAY(A17)=DAY('F-Ahorro Futuro Genérico'!$H$11),'F-Ahorro Futuro Genérico'!$H$9,0)</f>
        <v>0</v>
      </c>
      <c r="C17" s="122">
        <f t="shared" si="1"/>
        <v>0</v>
      </c>
      <c r="D17" s="121">
        <f>ROUND(C17*'FR_Mantenimiento tasas'!$C$43/360,5)</f>
        <v>0</v>
      </c>
      <c r="E17" s="121">
        <f>ROUND(C17*'FR_Mantenimiento tasas'!$D$43/360,5)</f>
        <v>0</v>
      </c>
    </row>
    <row r="18" spans="1:5">
      <c r="A18" s="123">
        <f t="shared" si="0"/>
        <v>16</v>
      </c>
      <c r="B18" s="122">
        <f>IF(DAY(A18)=DAY('F-Ahorro Futuro Genérico'!$H$11),'F-Ahorro Futuro Genérico'!$H$9,0)</f>
        <v>0</v>
      </c>
      <c r="C18" s="122">
        <f t="shared" si="1"/>
        <v>0</v>
      </c>
      <c r="D18" s="121">
        <f>ROUND(C18*'FR_Mantenimiento tasas'!$C$43/360,5)</f>
        <v>0</v>
      </c>
      <c r="E18" s="121">
        <f>ROUND(C18*'FR_Mantenimiento tasas'!$D$43/360,5)</f>
        <v>0</v>
      </c>
    </row>
    <row r="19" spans="1:5">
      <c r="A19" s="123">
        <f t="shared" si="0"/>
        <v>17</v>
      </c>
      <c r="B19" s="122">
        <f>IF(DAY(A19)=DAY('F-Ahorro Futuro Genérico'!$H$11),'F-Ahorro Futuro Genérico'!$H$9,0)</f>
        <v>0</v>
      </c>
      <c r="C19" s="122">
        <f t="shared" si="1"/>
        <v>0</v>
      </c>
      <c r="D19" s="121">
        <f>ROUND(C19*'FR_Mantenimiento tasas'!$C$43/360,5)</f>
        <v>0</v>
      </c>
      <c r="E19" s="121">
        <f>ROUND(C19*'FR_Mantenimiento tasas'!$D$43/360,5)</f>
        <v>0</v>
      </c>
    </row>
    <row r="20" spans="1:5">
      <c r="A20" s="123">
        <f t="shared" si="0"/>
        <v>18</v>
      </c>
      <c r="B20" s="122">
        <f>IF(DAY(A20)=DAY('F-Ahorro Futuro Genérico'!$H$11),'F-Ahorro Futuro Genérico'!$H$9,0)</f>
        <v>0</v>
      </c>
      <c r="C20" s="122">
        <f t="shared" si="1"/>
        <v>0</v>
      </c>
      <c r="D20" s="121">
        <f>ROUND(C20*'FR_Mantenimiento tasas'!$C$43/360,5)</f>
        <v>0</v>
      </c>
      <c r="E20" s="121">
        <f>ROUND(C20*'FR_Mantenimiento tasas'!$D$43/360,5)</f>
        <v>0</v>
      </c>
    </row>
    <row r="21" spans="1:5">
      <c r="A21" s="123">
        <f t="shared" si="0"/>
        <v>19</v>
      </c>
      <c r="B21" s="122">
        <f>IF(DAY(A21)=DAY('F-Ahorro Futuro Genérico'!$H$11),'F-Ahorro Futuro Genérico'!$H$9,0)</f>
        <v>0</v>
      </c>
      <c r="C21" s="122">
        <f t="shared" si="1"/>
        <v>0</v>
      </c>
      <c r="D21" s="121">
        <f>ROUND(C21*'FR_Mantenimiento tasas'!$C$43/360,5)</f>
        <v>0</v>
      </c>
      <c r="E21" s="121">
        <f>ROUND(C21*'FR_Mantenimiento tasas'!$D$43/360,5)</f>
        <v>0</v>
      </c>
    </row>
    <row r="22" spans="1:5">
      <c r="A22" s="123">
        <f t="shared" si="0"/>
        <v>20</v>
      </c>
      <c r="B22" s="122">
        <f>IF(DAY(A22)=DAY('F-Ahorro Futuro Genérico'!$H$11),'F-Ahorro Futuro Genérico'!$H$9,0)</f>
        <v>0</v>
      </c>
      <c r="C22" s="122">
        <f t="shared" si="1"/>
        <v>0</v>
      </c>
      <c r="D22" s="121">
        <f>ROUND(C22*'FR_Mantenimiento tasas'!$C$43/360,5)</f>
        <v>0</v>
      </c>
      <c r="E22" s="121">
        <f>ROUND(C22*'FR_Mantenimiento tasas'!$D$43/360,5)</f>
        <v>0</v>
      </c>
    </row>
    <row r="23" spans="1:5">
      <c r="A23" s="123">
        <f t="shared" si="0"/>
        <v>21</v>
      </c>
      <c r="B23" s="122">
        <f>IF(DAY(A23)=DAY('F-Ahorro Futuro Genérico'!$H$11),'F-Ahorro Futuro Genérico'!$H$9,0)</f>
        <v>0</v>
      </c>
      <c r="C23" s="122">
        <f t="shared" si="1"/>
        <v>0</v>
      </c>
      <c r="D23" s="121">
        <f>ROUND(C23*'FR_Mantenimiento tasas'!$C$43/360,5)</f>
        <v>0</v>
      </c>
      <c r="E23" s="121">
        <f>ROUND(C23*'FR_Mantenimiento tasas'!$D$43/360,5)</f>
        <v>0</v>
      </c>
    </row>
    <row r="24" spans="1:5">
      <c r="A24" s="123">
        <f t="shared" si="0"/>
        <v>22</v>
      </c>
      <c r="B24" s="122">
        <f>IF(DAY(A24)=DAY('F-Ahorro Futuro Genérico'!$H$11),'F-Ahorro Futuro Genérico'!$H$9,0)</f>
        <v>0</v>
      </c>
      <c r="C24" s="122">
        <f t="shared" si="1"/>
        <v>0</v>
      </c>
      <c r="D24" s="121">
        <f>ROUND(C24*'FR_Mantenimiento tasas'!$C$43/360,5)</f>
        <v>0</v>
      </c>
      <c r="E24" s="121">
        <f>ROUND(C24*'FR_Mantenimiento tasas'!$D$43/360,5)</f>
        <v>0</v>
      </c>
    </row>
    <row r="25" spans="1:5">
      <c r="A25" s="123">
        <f t="shared" si="0"/>
        <v>23</v>
      </c>
      <c r="B25" s="122">
        <f>IF(DAY(A25)=DAY('F-Ahorro Futuro Genérico'!$H$11),'F-Ahorro Futuro Genérico'!$H$9,0)</f>
        <v>0</v>
      </c>
      <c r="C25" s="122">
        <f t="shared" si="1"/>
        <v>0</v>
      </c>
      <c r="D25" s="121">
        <f>ROUND(C25*'FR_Mantenimiento tasas'!$C$43/360,5)</f>
        <v>0</v>
      </c>
      <c r="E25" s="121">
        <f>ROUND(C25*'FR_Mantenimiento tasas'!$D$43/360,5)</f>
        <v>0</v>
      </c>
    </row>
    <row r="26" spans="1:5">
      <c r="A26" s="123">
        <f t="shared" si="0"/>
        <v>24</v>
      </c>
      <c r="B26" s="122">
        <f>IF(DAY(A26)=DAY('F-Ahorro Futuro Genérico'!$H$11),'F-Ahorro Futuro Genérico'!$H$9,0)</f>
        <v>0</v>
      </c>
      <c r="C26" s="122">
        <f t="shared" si="1"/>
        <v>0</v>
      </c>
      <c r="D26" s="121">
        <f>ROUND(C26*'FR_Mantenimiento tasas'!$C$43/360,5)</f>
        <v>0</v>
      </c>
      <c r="E26" s="121">
        <f>ROUND(C26*'FR_Mantenimiento tasas'!$D$43/360,5)</f>
        <v>0</v>
      </c>
    </row>
    <row r="27" spans="1:5">
      <c r="A27" s="123">
        <f t="shared" si="0"/>
        <v>25</v>
      </c>
      <c r="B27" s="122">
        <f>IF(DAY(A27)=DAY('F-Ahorro Futuro Genérico'!$H$11),'F-Ahorro Futuro Genérico'!$H$9,0)</f>
        <v>0</v>
      </c>
      <c r="C27" s="122">
        <f t="shared" si="1"/>
        <v>0</v>
      </c>
      <c r="D27" s="121">
        <f>ROUND(C27*'FR_Mantenimiento tasas'!$C$43/360,5)</f>
        <v>0</v>
      </c>
      <c r="E27" s="121">
        <f>ROUND(C27*'FR_Mantenimiento tasas'!$D$43/360,5)</f>
        <v>0</v>
      </c>
    </row>
    <row r="28" spans="1:5">
      <c r="A28" s="123">
        <f t="shared" si="0"/>
        <v>26</v>
      </c>
      <c r="B28" s="122">
        <f>IF(DAY(A28)=DAY('F-Ahorro Futuro Genérico'!$H$11),'F-Ahorro Futuro Genérico'!$H$9,0)</f>
        <v>0</v>
      </c>
      <c r="C28" s="122">
        <f t="shared" si="1"/>
        <v>0</v>
      </c>
      <c r="D28" s="121">
        <f>ROUND(C28*'FR_Mantenimiento tasas'!$C$43/360,5)</f>
        <v>0</v>
      </c>
      <c r="E28" s="121">
        <f>ROUND(C28*'FR_Mantenimiento tasas'!$D$43/360,5)</f>
        <v>0</v>
      </c>
    </row>
    <row r="29" spans="1:5">
      <c r="A29" s="123">
        <f t="shared" si="0"/>
        <v>27</v>
      </c>
      <c r="B29" s="122">
        <f>IF(DAY(A29)=DAY('F-Ahorro Futuro Genérico'!$H$11),'F-Ahorro Futuro Genérico'!$H$9,0)</f>
        <v>0</v>
      </c>
      <c r="C29" s="122">
        <f t="shared" si="1"/>
        <v>0</v>
      </c>
      <c r="D29" s="121">
        <f>ROUND(C29*'FR_Mantenimiento tasas'!$C$43/360,5)</f>
        <v>0</v>
      </c>
      <c r="E29" s="121">
        <f>ROUND(C29*'FR_Mantenimiento tasas'!$D$43/360,5)</f>
        <v>0</v>
      </c>
    </row>
    <row r="30" spans="1:5">
      <c r="A30" s="123">
        <f t="shared" si="0"/>
        <v>28</v>
      </c>
      <c r="B30" s="122">
        <f>IF(DAY(A30)=DAY('F-Ahorro Futuro Genérico'!$H$11),'F-Ahorro Futuro Genérico'!$H$9,0)</f>
        <v>0</v>
      </c>
      <c r="C30" s="122">
        <f t="shared" si="1"/>
        <v>0</v>
      </c>
      <c r="D30" s="121">
        <f>ROUND(C30*'FR_Mantenimiento tasas'!$C$43/360,5)</f>
        <v>0</v>
      </c>
      <c r="E30" s="121">
        <f>ROUND(C30*'FR_Mantenimiento tasas'!$D$43/360,5)</f>
        <v>0</v>
      </c>
    </row>
    <row r="31" spans="1:5">
      <c r="A31" s="123">
        <f t="shared" si="0"/>
        <v>29</v>
      </c>
      <c r="B31" s="122">
        <f>IF(DAY(A31)=DAY('F-Ahorro Futuro Genérico'!$H$11),'F-Ahorro Futuro Genérico'!$H$9,0)</f>
        <v>0</v>
      </c>
      <c r="C31" s="122">
        <f t="shared" si="1"/>
        <v>0</v>
      </c>
      <c r="D31" s="121">
        <f>ROUND(C31*'FR_Mantenimiento tasas'!$C$43/360,5)</f>
        <v>0</v>
      </c>
      <c r="E31" s="121">
        <f>ROUND(C31*'FR_Mantenimiento tasas'!$D$43/360,5)</f>
        <v>0</v>
      </c>
    </row>
    <row r="32" spans="1:5">
      <c r="A32" s="123">
        <f t="shared" si="0"/>
        <v>30</v>
      </c>
      <c r="B32" s="122">
        <f>IF(DAY(A32)=DAY('F-Ahorro Futuro Genérico'!$H$11),'F-Ahorro Futuro Genérico'!$H$9,0)</f>
        <v>0</v>
      </c>
      <c r="C32" s="122">
        <f t="shared" si="1"/>
        <v>0</v>
      </c>
      <c r="D32" s="121">
        <f>ROUND(C32*'FR_Mantenimiento tasas'!$C$43/360,5)</f>
        <v>0</v>
      </c>
      <c r="E32" s="121">
        <f>ROUND(C32*'FR_Mantenimiento tasas'!$D$43/360,5)</f>
        <v>0</v>
      </c>
    </row>
    <row r="33" spans="1:5">
      <c r="A33" s="123">
        <f t="shared" si="0"/>
        <v>31</v>
      </c>
      <c r="B33" s="122">
        <f>IF(DAY(A33)=DAY('F-Ahorro Futuro Genérico'!$H$11),'F-Ahorro Futuro Genérico'!$H$9,0)</f>
        <v>0</v>
      </c>
      <c r="C33" s="122">
        <f t="shared" si="1"/>
        <v>0</v>
      </c>
      <c r="D33" s="121">
        <f>ROUND(C33*'FR_Mantenimiento tasas'!$C$43/360,5)</f>
        <v>0</v>
      </c>
      <c r="E33" s="121">
        <f>ROUND(C33*'FR_Mantenimiento tasas'!$D$43/360,5)</f>
        <v>0</v>
      </c>
    </row>
    <row r="34" spans="1:5">
      <c r="A34" s="123">
        <f t="shared" si="0"/>
        <v>32</v>
      </c>
      <c r="B34" s="122">
        <f>IF(DAY(A34)=DAY('F-Ahorro Futuro Genérico'!$H$11),'F-Ahorro Futuro Genérico'!$H$9,0)</f>
        <v>0</v>
      </c>
      <c r="C34" s="122">
        <f t="shared" si="1"/>
        <v>0</v>
      </c>
      <c r="D34" s="121">
        <f>ROUND(C34*'FR_Mantenimiento tasas'!$C$43/360,5)</f>
        <v>0</v>
      </c>
      <c r="E34" s="121">
        <f>ROUND(C34*'FR_Mantenimiento tasas'!$D$43/360,5)</f>
        <v>0</v>
      </c>
    </row>
    <row r="35" spans="1:5">
      <c r="A35" s="123">
        <f t="shared" si="0"/>
        <v>33</v>
      </c>
      <c r="B35" s="122">
        <f>IF(DAY(A35)=DAY('F-Ahorro Futuro Genérico'!$H$11),'F-Ahorro Futuro Genérico'!$H$9,0)</f>
        <v>0</v>
      </c>
      <c r="C35" s="122">
        <f t="shared" si="1"/>
        <v>0</v>
      </c>
      <c r="D35" s="121">
        <f>ROUND(C35*'FR_Mantenimiento tasas'!$C$43/360,5)</f>
        <v>0</v>
      </c>
      <c r="E35" s="121">
        <f>ROUND(C35*'FR_Mantenimiento tasas'!$D$43/360,5)</f>
        <v>0</v>
      </c>
    </row>
    <row r="36" spans="1:5">
      <c r="A36" s="123">
        <f t="shared" si="0"/>
        <v>34</v>
      </c>
      <c r="B36" s="122">
        <f>IF(DAY(A36)=DAY('F-Ahorro Futuro Genérico'!$H$11),'F-Ahorro Futuro Genérico'!$H$9,0)</f>
        <v>0</v>
      </c>
      <c r="C36" s="122">
        <f t="shared" si="1"/>
        <v>0</v>
      </c>
      <c r="D36" s="121">
        <f>ROUND(C36*'FR_Mantenimiento tasas'!$C$43/360,5)</f>
        <v>0</v>
      </c>
      <c r="E36" s="121">
        <f>ROUND(C36*'FR_Mantenimiento tasas'!$D$43/360,5)</f>
        <v>0</v>
      </c>
    </row>
    <row r="37" spans="1:5">
      <c r="A37" s="123">
        <f t="shared" si="0"/>
        <v>35</v>
      </c>
      <c r="B37" s="122">
        <f>IF(DAY(A37)=DAY('F-Ahorro Futuro Genérico'!$H$11),'F-Ahorro Futuro Genérico'!$H$9,0)</f>
        <v>0</v>
      </c>
      <c r="C37" s="122">
        <f t="shared" si="1"/>
        <v>0</v>
      </c>
      <c r="D37" s="121">
        <f>ROUND(C37*'FR_Mantenimiento tasas'!$C$43/360,5)</f>
        <v>0</v>
      </c>
      <c r="E37" s="121">
        <f>ROUND(C37*'FR_Mantenimiento tasas'!$D$43/360,5)</f>
        <v>0</v>
      </c>
    </row>
    <row r="38" spans="1:5">
      <c r="A38" s="123">
        <f t="shared" si="0"/>
        <v>36</v>
      </c>
      <c r="B38" s="122">
        <f>IF(DAY(A38)=DAY('F-Ahorro Futuro Genérico'!$H$11),'F-Ahorro Futuro Genérico'!$H$9,0)</f>
        <v>0</v>
      </c>
      <c r="C38" s="122">
        <f t="shared" si="1"/>
        <v>0</v>
      </c>
      <c r="D38" s="121">
        <f>ROUND(C38*'FR_Mantenimiento tasas'!$C$43/360,5)</f>
        <v>0</v>
      </c>
      <c r="E38" s="121">
        <f>ROUND(C38*'FR_Mantenimiento tasas'!$D$43/360,5)</f>
        <v>0</v>
      </c>
    </row>
    <row r="39" spans="1:5">
      <c r="A39" s="123">
        <f t="shared" si="0"/>
        <v>37</v>
      </c>
      <c r="B39" s="122">
        <f>IF(DAY(A39)=DAY('F-Ahorro Futuro Genérico'!$H$11),'F-Ahorro Futuro Genérico'!$H$9,0)</f>
        <v>0</v>
      </c>
      <c r="C39" s="122">
        <f t="shared" si="1"/>
        <v>0</v>
      </c>
      <c r="D39" s="121">
        <f>ROUND(C39*'FR_Mantenimiento tasas'!$C$43/360,5)</f>
        <v>0</v>
      </c>
      <c r="E39" s="121">
        <f>ROUND(C39*'FR_Mantenimiento tasas'!$D$43/360,5)</f>
        <v>0</v>
      </c>
    </row>
    <row r="40" spans="1:5">
      <c r="A40" s="123">
        <f t="shared" si="0"/>
        <v>38</v>
      </c>
      <c r="B40" s="122">
        <f>IF(DAY(A40)=DAY('F-Ahorro Futuro Genérico'!$H$11),'F-Ahorro Futuro Genérico'!$H$9,0)</f>
        <v>0</v>
      </c>
      <c r="C40" s="122">
        <f t="shared" si="1"/>
        <v>0</v>
      </c>
      <c r="D40" s="121">
        <f>ROUND(C40*'FR_Mantenimiento tasas'!$C$43/360,5)</f>
        <v>0</v>
      </c>
      <c r="E40" s="121">
        <f>ROUND(C40*'FR_Mantenimiento tasas'!$D$43/360,5)</f>
        <v>0</v>
      </c>
    </row>
    <row r="41" spans="1:5">
      <c r="A41" s="123">
        <f t="shared" si="0"/>
        <v>39</v>
      </c>
      <c r="B41" s="122">
        <f>IF(DAY(A41)=DAY('F-Ahorro Futuro Genérico'!$H$11),'F-Ahorro Futuro Genérico'!$H$9,0)</f>
        <v>0</v>
      </c>
      <c r="C41" s="122">
        <f t="shared" si="1"/>
        <v>0</v>
      </c>
      <c r="D41" s="121">
        <f>ROUND(C41*'FR_Mantenimiento tasas'!$C$43/360,5)</f>
        <v>0</v>
      </c>
      <c r="E41" s="121">
        <f>ROUND(C41*'FR_Mantenimiento tasas'!$D$43/360,5)</f>
        <v>0</v>
      </c>
    </row>
    <row r="42" spans="1:5">
      <c r="A42" s="123">
        <f t="shared" si="0"/>
        <v>40</v>
      </c>
      <c r="B42" s="122">
        <f>IF(DAY(A42)=DAY('F-Ahorro Futuro Genérico'!$H$11),'F-Ahorro Futuro Genérico'!$H$9,0)</f>
        <v>0</v>
      </c>
      <c r="C42" s="122">
        <f t="shared" si="1"/>
        <v>0</v>
      </c>
      <c r="D42" s="121">
        <f>ROUND(C42*'FR_Mantenimiento tasas'!$C$43/360,5)</f>
        <v>0</v>
      </c>
      <c r="E42" s="121">
        <f>ROUND(C42*'FR_Mantenimiento tasas'!$D$43/360,5)</f>
        <v>0</v>
      </c>
    </row>
    <row r="43" spans="1:5">
      <c r="A43" s="123">
        <f t="shared" si="0"/>
        <v>41</v>
      </c>
      <c r="B43" s="122">
        <f>IF(DAY(A43)=DAY('F-Ahorro Futuro Genérico'!$H$11),'F-Ahorro Futuro Genérico'!$H$9,0)</f>
        <v>0</v>
      </c>
      <c r="C43" s="122">
        <f t="shared" si="1"/>
        <v>0</v>
      </c>
      <c r="D43" s="121">
        <f>ROUND(C43*'FR_Mantenimiento tasas'!$C$43/360,5)</f>
        <v>0</v>
      </c>
      <c r="E43" s="121">
        <f>ROUND(C43*'FR_Mantenimiento tasas'!$D$43/360,5)</f>
        <v>0</v>
      </c>
    </row>
    <row r="44" spans="1:5">
      <c r="A44" s="123">
        <f t="shared" si="0"/>
        <v>42</v>
      </c>
      <c r="B44" s="122">
        <f>IF(DAY(A44)=DAY('F-Ahorro Futuro Genérico'!$H$11),'F-Ahorro Futuro Genérico'!$H$9,0)</f>
        <v>0</v>
      </c>
      <c r="C44" s="122">
        <f t="shared" si="1"/>
        <v>0</v>
      </c>
      <c r="D44" s="121">
        <f>ROUND(C44*'FR_Mantenimiento tasas'!$C$43/360,5)</f>
        <v>0</v>
      </c>
      <c r="E44" s="121">
        <f>ROUND(C44*'FR_Mantenimiento tasas'!$D$43/360,5)</f>
        <v>0</v>
      </c>
    </row>
    <row r="45" spans="1:5">
      <c r="A45" s="123">
        <f t="shared" si="0"/>
        <v>43</v>
      </c>
      <c r="B45" s="122">
        <f>IF(DAY(A45)=DAY('F-Ahorro Futuro Genérico'!$H$11),'F-Ahorro Futuro Genérico'!$H$9,0)</f>
        <v>0</v>
      </c>
      <c r="C45" s="122">
        <f t="shared" si="1"/>
        <v>0</v>
      </c>
      <c r="D45" s="121">
        <f>ROUND(C45*'FR_Mantenimiento tasas'!$C$43/360,5)</f>
        <v>0</v>
      </c>
      <c r="E45" s="121">
        <f>ROUND(C45*'FR_Mantenimiento tasas'!$D$43/360,5)</f>
        <v>0</v>
      </c>
    </row>
    <row r="46" spans="1:5">
      <c r="A46" s="123">
        <f t="shared" si="0"/>
        <v>44</v>
      </c>
      <c r="B46" s="122">
        <f>IF(DAY(A46)=DAY('F-Ahorro Futuro Genérico'!$H$11),'F-Ahorro Futuro Genérico'!$H$9,0)</f>
        <v>0</v>
      </c>
      <c r="C46" s="122">
        <f t="shared" si="1"/>
        <v>0</v>
      </c>
      <c r="D46" s="121">
        <f>ROUND(C46*'FR_Mantenimiento tasas'!$C$43/360,5)</f>
        <v>0</v>
      </c>
      <c r="E46" s="121">
        <f>ROUND(C46*'FR_Mantenimiento tasas'!$D$43/360,5)</f>
        <v>0</v>
      </c>
    </row>
    <row r="47" spans="1:5">
      <c r="A47" s="123">
        <f t="shared" si="0"/>
        <v>45</v>
      </c>
      <c r="B47" s="122">
        <f>IF(DAY(A47)=DAY('F-Ahorro Futuro Genérico'!$H$11),'F-Ahorro Futuro Genérico'!$H$9,0)</f>
        <v>0</v>
      </c>
      <c r="C47" s="122">
        <f t="shared" si="1"/>
        <v>0</v>
      </c>
      <c r="D47" s="121">
        <f>ROUND(C47*'FR_Mantenimiento tasas'!$C$43/360,5)</f>
        <v>0</v>
      </c>
      <c r="E47" s="121">
        <f>ROUND(C47*'FR_Mantenimiento tasas'!$D$43/360,5)</f>
        <v>0</v>
      </c>
    </row>
    <row r="48" spans="1:5">
      <c r="A48" s="123">
        <f t="shared" si="0"/>
        <v>46</v>
      </c>
      <c r="B48" s="122">
        <f>IF(DAY(A48)=DAY('F-Ahorro Futuro Genérico'!$H$11),'F-Ahorro Futuro Genérico'!$H$9,0)</f>
        <v>0</v>
      </c>
      <c r="C48" s="122">
        <f t="shared" si="1"/>
        <v>0</v>
      </c>
      <c r="D48" s="121">
        <f>ROUND(C48*'FR_Mantenimiento tasas'!$C$43/360,5)</f>
        <v>0</v>
      </c>
      <c r="E48" s="121">
        <f>ROUND(C48*'FR_Mantenimiento tasas'!$D$43/360,5)</f>
        <v>0</v>
      </c>
    </row>
    <row r="49" spans="1:5">
      <c r="A49" s="123">
        <f t="shared" si="0"/>
        <v>47</v>
      </c>
      <c r="B49" s="122">
        <f>IF(DAY(A49)=DAY('F-Ahorro Futuro Genérico'!$H$11),'F-Ahorro Futuro Genérico'!$H$9,0)</f>
        <v>0</v>
      </c>
      <c r="C49" s="122">
        <f t="shared" si="1"/>
        <v>0</v>
      </c>
      <c r="D49" s="121">
        <f>ROUND(C49*'FR_Mantenimiento tasas'!$C$43/360,5)</f>
        <v>0</v>
      </c>
      <c r="E49" s="121">
        <f>ROUND(C49*'FR_Mantenimiento tasas'!$D$43/360,5)</f>
        <v>0</v>
      </c>
    </row>
    <row r="50" spans="1:5">
      <c r="A50" s="123">
        <f t="shared" si="0"/>
        <v>48</v>
      </c>
      <c r="B50" s="122">
        <f>IF(DAY(A50)=DAY('F-Ahorro Futuro Genérico'!$H$11),'F-Ahorro Futuro Genérico'!$H$9,0)</f>
        <v>0</v>
      </c>
      <c r="C50" s="122">
        <f t="shared" si="1"/>
        <v>0</v>
      </c>
      <c r="D50" s="121">
        <f>ROUND(C50*'FR_Mantenimiento tasas'!$C$43/360,5)</f>
        <v>0</v>
      </c>
      <c r="E50" s="121">
        <f>ROUND(C50*'FR_Mantenimiento tasas'!$D$43/360,5)</f>
        <v>0</v>
      </c>
    </row>
    <row r="51" spans="1:5">
      <c r="A51" s="123">
        <f t="shared" si="0"/>
        <v>49</v>
      </c>
      <c r="B51" s="122">
        <f>IF(DAY(A51)=DAY('F-Ahorro Futuro Genérico'!$H$11),'F-Ahorro Futuro Genérico'!$H$9,0)</f>
        <v>0</v>
      </c>
      <c r="C51" s="122">
        <f t="shared" si="1"/>
        <v>0</v>
      </c>
      <c r="D51" s="121">
        <f>ROUND(C51*'FR_Mantenimiento tasas'!$C$43/360,5)</f>
        <v>0</v>
      </c>
      <c r="E51" s="121">
        <f>ROUND(C51*'FR_Mantenimiento tasas'!$D$43/360,5)</f>
        <v>0</v>
      </c>
    </row>
    <row r="52" spans="1:5">
      <c r="A52" s="123">
        <f t="shared" si="0"/>
        <v>50</v>
      </c>
      <c r="B52" s="122">
        <f>IF(DAY(A52)=DAY('F-Ahorro Futuro Genérico'!$H$11),'F-Ahorro Futuro Genérico'!$H$9,0)</f>
        <v>0</v>
      </c>
      <c r="C52" s="122">
        <f t="shared" si="1"/>
        <v>0</v>
      </c>
      <c r="D52" s="121">
        <f>ROUND(C52*'FR_Mantenimiento tasas'!$C$43/360,5)</f>
        <v>0</v>
      </c>
      <c r="E52" s="121">
        <f>ROUND(C52*'FR_Mantenimiento tasas'!$D$43/360,5)</f>
        <v>0</v>
      </c>
    </row>
    <row r="53" spans="1:5">
      <c r="A53" s="123">
        <f t="shared" si="0"/>
        <v>51</v>
      </c>
      <c r="B53" s="122">
        <f>IF(DAY(A53)=DAY('F-Ahorro Futuro Genérico'!$H$11),'F-Ahorro Futuro Genérico'!$H$9,0)</f>
        <v>0</v>
      </c>
      <c r="C53" s="122">
        <f t="shared" si="1"/>
        <v>0</v>
      </c>
      <c r="D53" s="121">
        <f>ROUND(C53*'FR_Mantenimiento tasas'!$C$43/360,5)</f>
        <v>0</v>
      </c>
      <c r="E53" s="121">
        <f>ROUND(C53*'FR_Mantenimiento tasas'!$D$43/360,5)</f>
        <v>0</v>
      </c>
    </row>
    <row r="54" spans="1:5">
      <c r="A54" s="123">
        <f t="shared" si="0"/>
        <v>52</v>
      </c>
      <c r="B54" s="122">
        <f>IF(DAY(A54)=DAY('F-Ahorro Futuro Genérico'!$H$11),'F-Ahorro Futuro Genérico'!$H$9,0)</f>
        <v>0</v>
      </c>
      <c r="C54" s="122">
        <f t="shared" si="1"/>
        <v>0</v>
      </c>
      <c r="D54" s="121">
        <f>ROUND(C54*'FR_Mantenimiento tasas'!$C$43/360,5)</f>
        <v>0</v>
      </c>
      <c r="E54" s="121">
        <f>ROUND(C54*'FR_Mantenimiento tasas'!$D$43/360,5)</f>
        <v>0</v>
      </c>
    </row>
    <row r="55" spans="1:5">
      <c r="A55" s="123">
        <f t="shared" si="0"/>
        <v>53</v>
      </c>
      <c r="B55" s="122">
        <f>IF(DAY(A55)=DAY('F-Ahorro Futuro Genérico'!$H$11),'F-Ahorro Futuro Genérico'!$H$9,0)</f>
        <v>0</v>
      </c>
      <c r="C55" s="122">
        <f t="shared" si="1"/>
        <v>0</v>
      </c>
      <c r="D55" s="121">
        <f>ROUND(C55*'FR_Mantenimiento tasas'!$C$43/360,5)</f>
        <v>0</v>
      </c>
      <c r="E55" s="121">
        <f>ROUND(C55*'FR_Mantenimiento tasas'!$D$43/360,5)</f>
        <v>0</v>
      </c>
    </row>
    <row r="56" spans="1:5">
      <c r="A56" s="123">
        <f t="shared" si="0"/>
        <v>54</v>
      </c>
      <c r="B56" s="122">
        <f>IF(DAY(A56)=DAY('F-Ahorro Futuro Genérico'!$H$11),'F-Ahorro Futuro Genérico'!$H$9,0)</f>
        <v>0</v>
      </c>
      <c r="C56" s="122">
        <f t="shared" si="1"/>
        <v>0</v>
      </c>
      <c r="D56" s="121">
        <f>ROUND(C56*'FR_Mantenimiento tasas'!$C$43/360,5)</f>
        <v>0</v>
      </c>
      <c r="E56" s="121">
        <f>ROUND(C56*'FR_Mantenimiento tasas'!$D$43/360,5)</f>
        <v>0</v>
      </c>
    </row>
    <row r="57" spans="1:5">
      <c r="A57" s="123">
        <f t="shared" si="0"/>
        <v>55</v>
      </c>
      <c r="B57" s="122">
        <f>IF(DAY(A57)=DAY('F-Ahorro Futuro Genérico'!$H$11),'F-Ahorro Futuro Genérico'!$H$9,0)</f>
        <v>0</v>
      </c>
      <c r="C57" s="122">
        <f t="shared" si="1"/>
        <v>0</v>
      </c>
      <c r="D57" s="121">
        <f>ROUND(C57*'FR_Mantenimiento tasas'!$C$43/360,5)</f>
        <v>0</v>
      </c>
      <c r="E57" s="121">
        <f>ROUND(C57*'FR_Mantenimiento tasas'!$D$43/360,5)</f>
        <v>0</v>
      </c>
    </row>
    <row r="58" spans="1:5">
      <c r="A58" s="123">
        <f t="shared" si="0"/>
        <v>56</v>
      </c>
      <c r="B58" s="122">
        <f>IF(DAY(A58)=DAY('F-Ahorro Futuro Genérico'!$H$11),'F-Ahorro Futuro Genérico'!$H$9,0)</f>
        <v>0</v>
      </c>
      <c r="C58" s="122">
        <f t="shared" si="1"/>
        <v>0</v>
      </c>
      <c r="D58" s="121">
        <f>ROUND(C58*'FR_Mantenimiento tasas'!$C$43/360,5)</f>
        <v>0</v>
      </c>
      <c r="E58" s="121">
        <f>ROUND(C58*'FR_Mantenimiento tasas'!$D$43/360,5)</f>
        <v>0</v>
      </c>
    </row>
    <row r="59" spans="1:5">
      <c r="A59" s="123">
        <f t="shared" si="0"/>
        <v>57</v>
      </c>
      <c r="B59" s="122">
        <f>IF(DAY(A59)=DAY('F-Ahorro Futuro Genérico'!$H$11),'F-Ahorro Futuro Genérico'!$H$9,0)</f>
        <v>0</v>
      </c>
      <c r="C59" s="122">
        <f t="shared" si="1"/>
        <v>0</v>
      </c>
      <c r="D59" s="121">
        <f>ROUND(C59*'FR_Mantenimiento tasas'!$C$43/360,5)</f>
        <v>0</v>
      </c>
      <c r="E59" s="121">
        <f>ROUND(C59*'FR_Mantenimiento tasas'!$D$43/360,5)</f>
        <v>0</v>
      </c>
    </row>
    <row r="60" spans="1:5">
      <c r="A60" s="123">
        <f t="shared" si="0"/>
        <v>58</v>
      </c>
      <c r="B60" s="122">
        <f>IF(DAY(A60)=DAY('F-Ahorro Futuro Genérico'!$H$11),'F-Ahorro Futuro Genérico'!$H$9,0)</f>
        <v>0</v>
      </c>
      <c r="C60" s="122">
        <f t="shared" si="1"/>
        <v>0</v>
      </c>
      <c r="D60" s="121">
        <f>ROUND(C60*'FR_Mantenimiento tasas'!$C$43/360,5)</f>
        <v>0</v>
      </c>
      <c r="E60" s="121">
        <f>ROUND(C60*'FR_Mantenimiento tasas'!$D$43/360,5)</f>
        <v>0</v>
      </c>
    </row>
    <row r="61" spans="1:5">
      <c r="A61" s="123">
        <f t="shared" si="0"/>
        <v>59</v>
      </c>
      <c r="B61" s="122">
        <f>IF(DAY(A61)=DAY('F-Ahorro Futuro Genérico'!$H$11),'F-Ahorro Futuro Genérico'!$H$9,0)</f>
        <v>0</v>
      </c>
      <c r="C61" s="122">
        <f t="shared" si="1"/>
        <v>0</v>
      </c>
      <c r="D61" s="121">
        <f>ROUND(C61*'FR_Mantenimiento tasas'!$C$43/360,5)</f>
        <v>0</v>
      </c>
      <c r="E61" s="121">
        <f>ROUND(C61*'FR_Mantenimiento tasas'!$D$43/360,5)</f>
        <v>0</v>
      </c>
    </row>
    <row r="62" spans="1:5">
      <c r="A62" s="123">
        <f t="shared" si="0"/>
        <v>60</v>
      </c>
      <c r="B62" s="122">
        <f>IF(DAY(A62)=DAY('F-Ahorro Futuro Genérico'!$H$11),'F-Ahorro Futuro Genérico'!$H$9,0)</f>
        <v>0</v>
      </c>
      <c r="C62" s="122">
        <f t="shared" si="1"/>
        <v>0</v>
      </c>
      <c r="D62" s="121">
        <f>ROUND(C62*'FR_Mantenimiento tasas'!$C$43/360,5)</f>
        <v>0</v>
      </c>
      <c r="E62" s="121">
        <f>ROUND(C62*'FR_Mantenimiento tasas'!$D$43/360,5)</f>
        <v>0</v>
      </c>
    </row>
    <row r="63" spans="1:5">
      <c r="A63" s="123">
        <f t="shared" si="0"/>
        <v>61</v>
      </c>
      <c r="B63" s="122">
        <f>IF(DAY(A63)=DAY('F-Ahorro Futuro Genérico'!$H$11),'F-Ahorro Futuro Genérico'!$H$9,0)</f>
        <v>0</v>
      </c>
      <c r="C63" s="122">
        <f t="shared" si="1"/>
        <v>0</v>
      </c>
      <c r="D63" s="121">
        <f>ROUND(C63*'FR_Mantenimiento tasas'!$C$43/360,5)</f>
        <v>0</v>
      </c>
      <c r="E63" s="121">
        <f>ROUND(C63*'FR_Mantenimiento tasas'!$D$43/360,5)</f>
        <v>0</v>
      </c>
    </row>
    <row r="64" spans="1:5">
      <c r="A64" s="123">
        <f t="shared" si="0"/>
        <v>62</v>
      </c>
      <c r="B64" s="122">
        <f>IF(DAY(A64)=DAY('F-Ahorro Futuro Genérico'!$H$11),'F-Ahorro Futuro Genérico'!$H$9,0)</f>
        <v>0</v>
      </c>
      <c r="C64" s="122">
        <f t="shared" si="1"/>
        <v>0</v>
      </c>
      <c r="D64" s="121">
        <f>ROUND(C64*'FR_Mantenimiento tasas'!$C$43/360,5)</f>
        <v>0</v>
      </c>
      <c r="E64" s="121">
        <f>ROUND(C64*'FR_Mantenimiento tasas'!$D$43/360,5)</f>
        <v>0</v>
      </c>
    </row>
    <row r="65" spans="1:5">
      <c r="A65" s="123">
        <f t="shared" si="0"/>
        <v>63</v>
      </c>
      <c r="B65" s="122">
        <f>IF(DAY(A65)=DAY('F-Ahorro Futuro Genérico'!$H$11),'F-Ahorro Futuro Genérico'!$H$9,0)</f>
        <v>0</v>
      </c>
      <c r="C65" s="122">
        <f t="shared" si="1"/>
        <v>0</v>
      </c>
      <c r="D65" s="121">
        <f>ROUND(C65*'FR_Mantenimiento tasas'!$C$43/360,5)</f>
        <v>0</v>
      </c>
      <c r="E65" s="121">
        <f>ROUND(C65*'FR_Mantenimiento tasas'!$D$43/360,5)</f>
        <v>0</v>
      </c>
    </row>
    <row r="66" spans="1:5">
      <c r="A66" s="123">
        <f t="shared" si="0"/>
        <v>64</v>
      </c>
      <c r="B66" s="122">
        <f>IF(DAY(A66)=DAY('F-Ahorro Futuro Genérico'!$H$11),'F-Ahorro Futuro Genérico'!$H$9,0)</f>
        <v>0</v>
      </c>
      <c r="C66" s="122">
        <f t="shared" si="1"/>
        <v>0</v>
      </c>
      <c r="D66" s="121">
        <f>ROUND(C66*'FR_Mantenimiento tasas'!$C$43/360,5)</f>
        <v>0</v>
      </c>
      <c r="E66" s="121">
        <f>ROUND(C66*'FR_Mantenimiento tasas'!$D$43/360,5)</f>
        <v>0</v>
      </c>
    </row>
    <row r="67" spans="1:5">
      <c r="A67" s="123">
        <f t="shared" si="0"/>
        <v>65</v>
      </c>
      <c r="B67" s="122">
        <f>IF(DAY(A67)=DAY('F-Ahorro Futuro Genérico'!$H$11),'F-Ahorro Futuro Genérico'!$H$9,0)</f>
        <v>0</v>
      </c>
      <c r="C67" s="122">
        <f t="shared" si="1"/>
        <v>0</v>
      </c>
      <c r="D67" s="121">
        <f>ROUND(C67*'FR_Mantenimiento tasas'!$C$43/360,5)</f>
        <v>0</v>
      </c>
      <c r="E67" s="121">
        <f>ROUND(C67*'FR_Mantenimiento tasas'!$D$43/360,5)</f>
        <v>0</v>
      </c>
    </row>
    <row r="68" spans="1:5">
      <c r="A68" s="123">
        <f t="shared" ref="A68:A131" si="2">+A67+1</f>
        <v>66</v>
      </c>
      <c r="B68" s="122">
        <f>IF(DAY(A68)=DAY('F-Ahorro Futuro Genérico'!$H$11),'F-Ahorro Futuro Genérico'!$H$9,0)</f>
        <v>0</v>
      </c>
      <c r="C68" s="122">
        <f t="shared" ref="C68:C131" si="3">+B68+C67+D67</f>
        <v>0</v>
      </c>
      <c r="D68" s="121">
        <f>ROUND(C68*'FR_Mantenimiento tasas'!$C$43/360,5)</f>
        <v>0</v>
      </c>
      <c r="E68" s="121">
        <f>ROUND(C68*'FR_Mantenimiento tasas'!$D$43/360,5)</f>
        <v>0</v>
      </c>
    </row>
    <row r="69" spans="1:5">
      <c r="A69" s="123">
        <f t="shared" si="2"/>
        <v>67</v>
      </c>
      <c r="B69" s="122">
        <f>IF(DAY(A69)=DAY('F-Ahorro Futuro Genérico'!$H$11),'F-Ahorro Futuro Genérico'!$H$9,0)</f>
        <v>0</v>
      </c>
      <c r="C69" s="122">
        <f t="shared" si="3"/>
        <v>0</v>
      </c>
      <c r="D69" s="121">
        <f>ROUND(C69*'FR_Mantenimiento tasas'!$C$43/360,5)</f>
        <v>0</v>
      </c>
      <c r="E69" s="121">
        <f>ROUND(C69*'FR_Mantenimiento tasas'!$D$43/360,5)</f>
        <v>0</v>
      </c>
    </row>
    <row r="70" spans="1:5">
      <c r="A70" s="123">
        <f t="shared" si="2"/>
        <v>68</v>
      </c>
      <c r="B70" s="122">
        <f>IF(DAY(A70)=DAY('F-Ahorro Futuro Genérico'!$H$11),'F-Ahorro Futuro Genérico'!$H$9,0)</f>
        <v>0</v>
      </c>
      <c r="C70" s="122">
        <f t="shared" si="3"/>
        <v>0</v>
      </c>
      <c r="D70" s="121">
        <f>ROUND(C70*'FR_Mantenimiento tasas'!$C$43/360,5)</f>
        <v>0</v>
      </c>
      <c r="E70" s="121">
        <f>ROUND(C70*'FR_Mantenimiento tasas'!$D$43/360,5)</f>
        <v>0</v>
      </c>
    </row>
    <row r="71" spans="1:5">
      <c r="A71" s="123">
        <f t="shared" si="2"/>
        <v>69</v>
      </c>
      <c r="B71" s="122">
        <f>IF(DAY(A71)=DAY('F-Ahorro Futuro Genérico'!$H$11),'F-Ahorro Futuro Genérico'!$H$9,0)</f>
        <v>0</v>
      </c>
      <c r="C71" s="122">
        <f t="shared" si="3"/>
        <v>0</v>
      </c>
      <c r="D71" s="121">
        <f>ROUND(C71*'FR_Mantenimiento tasas'!$C$43/360,5)</f>
        <v>0</v>
      </c>
      <c r="E71" s="121">
        <f>ROUND(C71*'FR_Mantenimiento tasas'!$D$43/360,5)</f>
        <v>0</v>
      </c>
    </row>
    <row r="72" spans="1:5">
      <c r="A72" s="123">
        <f t="shared" si="2"/>
        <v>70</v>
      </c>
      <c r="B72" s="122">
        <f>IF(DAY(A72)=DAY('F-Ahorro Futuro Genérico'!$H$11),'F-Ahorro Futuro Genérico'!$H$9,0)</f>
        <v>0</v>
      </c>
      <c r="C72" s="122">
        <f t="shared" si="3"/>
        <v>0</v>
      </c>
      <c r="D72" s="121">
        <f>ROUND(C72*'FR_Mantenimiento tasas'!$C$43/360,5)</f>
        <v>0</v>
      </c>
      <c r="E72" s="121">
        <f>ROUND(C72*'FR_Mantenimiento tasas'!$D$43/360,5)</f>
        <v>0</v>
      </c>
    </row>
    <row r="73" spans="1:5">
      <c r="A73" s="123">
        <f t="shared" si="2"/>
        <v>71</v>
      </c>
      <c r="B73" s="122">
        <f>IF(DAY(A73)=DAY('F-Ahorro Futuro Genérico'!$H$11),'F-Ahorro Futuro Genérico'!$H$9,0)</f>
        <v>0</v>
      </c>
      <c r="C73" s="122">
        <f t="shared" si="3"/>
        <v>0</v>
      </c>
      <c r="D73" s="121">
        <f>ROUND(C73*'FR_Mantenimiento tasas'!$C$43/360,5)</f>
        <v>0</v>
      </c>
      <c r="E73" s="121">
        <f>ROUND(C73*'FR_Mantenimiento tasas'!$D$43/360,5)</f>
        <v>0</v>
      </c>
    </row>
    <row r="74" spans="1:5">
      <c r="A74" s="123">
        <f t="shared" si="2"/>
        <v>72</v>
      </c>
      <c r="B74" s="122">
        <f>IF(DAY(A74)=DAY('F-Ahorro Futuro Genérico'!$H$11),'F-Ahorro Futuro Genérico'!$H$9,0)</f>
        <v>0</v>
      </c>
      <c r="C74" s="122">
        <f t="shared" si="3"/>
        <v>0</v>
      </c>
      <c r="D74" s="121">
        <f>ROUND(C74*'FR_Mantenimiento tasas'!$C$43/360,5)</f>
        <v>0</v>
      </c>
      <c r="E74" s="121">
        <f>ROUND(C74*'FR_Mantenimiento tasas'!$D$43/360,5)</f>
        <v>0</v>
      </c>
    </row>
    <row r="75" spans="1:5">
      <c r="A75" s="123">
        <f t="shared" si="2"/>
        <v>73</v>
      </c>
      <c r="B75" s="122">
        <f>IF(DAY(A75)=DAY('F-Ahorro Futuro Genérico'!$H$11),'F-Ahorro Futuro Genérico'!$H$9,0)</f>
        <v>0</v>
      </c>
      <c r="C75" s="122">
        <f t="shared" si="3"/>
        <v>0</v>
      </c>
      <c r="D75" s="121">
        <f>ROUND(C75*'FR_Mantenimiento tasas'!$C$43/360,5)</f>
        <v>0</v>
      </c>
      <c r="E75" s="121">
        <f>ROUND(C75*'FR_Mantenimiento tasas'!$D$43/360,5)</f>
        <v>0</v>
      </c>
    </row>
    <row r="76" spans="1:5">
      <c r="A76" s="123">
        <f t="shared" si="2"/>
        <v>74</v>
      </c>
      <c r="B76" s="122">
        <f>IF(DAY(A76)=DAY('F-Ahorro Futuro Genérico'!$H$11),'F-Ahorro Futuro Genérico'!$H$9,0)</f>
        <v>0</v>
      </c>
      <c r="C76" s="122">
        <f t="shared" si="3"/>
        <v>0</v>
      </c>
      <c r="D76" s="121">
        <f>ROUND(C76*'FR_Mantenimiento tasas'!$C$43/360,5)</f>
        <v>0</v>
      </c>
      <c r="E76" s="121">
        <f>ROUND(C76*'FR_Mantenimiento tasas'!$D$43/360,5)</f>
        <v>0</v>
      </c>
    </row>
    <row r="77" spans="1:5">
      <c r="A77" s="123">
        <f t="shared" si="2"/>
        <v>75</v>
      </c>
      <c r="B77" s="122">
        <f>IF(DAY(A77)=DAY('F-Ahorro Futuro Genérico'!$H$11),'F-Ahorro Futuro Genérico'!$H$9,0)</f>
        <v>0</v>
      </c>
      <c r="C77" s="122">
        <f t="shared" si="3"/>
        <v>0</v>
      </c>
      <c r="D77" s="121">
        <f>ROUND(C77*'FR_Mantenimiento tasas'!$C$43/360,5)</f>
        <v>0</v>
      </c>
      <c r="E77" s="121">
        <f>ROUND(C77*'FR_Mantenimiento tasas'!$D$43/360,5)</f>
        <v>0</v>
      </c>
    </row>
    <row r="78" spans="1:5">
      <c r="A78" s="123">
        <f t="shared" si="2"/>
        <v>76</v>
      </c>
      <c r="B78" s="122">
        <f>IF(DAY(A78)=DAY('F-Ahorro Futuro Genérico'!$H$11),'F-Ahorro Futuro Genérico'!$H$9,0)</f>
        <v>0</v>
      </c>
      <c r="C78" s="122">
        <f t="shared" si="3"/>
        <v>0</v>
      </c>
      <c r="D78" s="121">
        <f>ROUND(C78*'FR_Mantenimiento tasas'!$C$43/360,5)</f>
        <v>0</v>
      </c>
      <c r="E78" s="121">
        <f>ROUND(C78*'FR_Mantenimiento tasas'!$D$43/360,5)</f>
        <v>0</v>
      </c>
    </row>
    <row r="79" spans="1:5">
      <c r="A79" s="123">
        <f t="shared" si="2"/>
        <v>77</v>
      </c>
      <c r="B79" s="122">
        <f>IF(DAY(A79)=DAY('F-Ahorro Futuro Genérico'!$H$11),'F-Ahorro Futuro Genérico'!$H$9,0)</f>
        <v>0</v>
      </c>
      <c r="C79" s="122">
        <f t="shared" si="3"/>
        <v>0</v>
      </c>
      <c r="D79" s="121">
        <f>ROUND(C79*'FR_Mantenimiento tasas'!$C$43/360,5)</f>
        <v>0</v>
      </c>
      <c r="E79" s="121">
        <f>ROUND(C79*'FR_Mantenimiento tasas'!$D$43/360,5)</f>
        <v>0</v>
      </c>
    </row>
    <row r="80" spans="1:5">
      <c r="A80" s="123">
        <f t="shared" si="2"/>
        <v>78</v>
      </c>
      <c r="B80" s="122">
        <f>IF(DAY(A80)=DAY('F-Ahorro Futuro Genérico'!$H$11),'F-Ahorro Futuro Genérico'!$H$9,0)</f>
        <v>0</v>
      </c>
      <c r="C80" s="122">
        <f t="shared" si="3"/>
        <v>0</v>
      </c>
      <c r="D80" s="121">
        <f>ROUND(C80*'FR_Mantenimiento tasas'!$C$43/360,5)</f>
        <v>0</v>
      </c>
      <c r="E80" s="121">
        <f>ROUND(C80*'FR_Mantenimiento tasas'!$D$43/360,5)</f>
        <v>0</v>
      </c>
    </row>
    <row r="81" spans="1:5">
      <c r="A81" s="123">
        <f t="shared" si="2"/>
        <v>79</v>
      </c>
      <c r="B81" s="122">
        <f>IF(DAY(A81)=DAY('F-Ahorro Futuro Genérico'!$H$11),'F-Ahorro Futuro Genérico'!$H$9,0)</f>
        <v>0</v>
      </c>
      <c r="C81" s="122">
        <f t="shared" si="3"/>
        <v>0</v>
      </c>
      <c r="D81" s="121">
        <f>ROUND(C81*'FR_Mantenimiento tasas'!$C$43/360,5)</f>
        <v>0</v>
      </c>
      <c r="E81" s="121">
        <f>ROUND(C81*'FR_Mantenimiento tasas'!$D$43/360,5)</f>
        <v>0</v>
      </c>
    </row>
    <row r="82" spans="1:5">
      <c r="A82" s="123">
        <f t="shared" si="2"/>
        <v>80</v>
      </c>
      <c r="B82" s="122">
        <f>IF(DAY(A82)=DAY('F-Ahorro Futuro Genérico'!$H$11),'F-Ahorro Futuro Genérico'!$H$9,0)</f>
        <v>0</v>
      </c>
      <c r="C82" s="122">
        <f t="shared" si="3"/>
        <v>0</v>
      </c>
      <c r="D82" s="121">
        <f>ROUND(C82*'FR_Mantenimiento tasas'!$C$43/360,5)</f>
        <v>0</v>
      </c>
      <c r="E82" s="121">
        <f>ROUND(C82*'FR_Mantenimiento tasas'!$D$43/360,5)</f>
        <v>0</v>
      </c>
    </row>
    <row r="83" spans="1:5">
      <c r="A83" s="123">
        <f t="shared" si="2"/>
        <v>81</v>
      </c>
      <c r="B83" s="122">
        <f>IF(DAY(A83)=DAY('F-Ahorro Futuro Genérico'!$H$11),'F-Ahorro Futuro Genérico'!$H$9,0)</f>
        <v>0</v>
      </c>
      <c r="C83" s="122">
        <f t="shared" si="3"/>
        <v>0</v>
      </c>
      <c r="D83" s="121">
        <f>ROUND(C83*'FR_Mantenimiento tasas'!$C$43/360,5)</f>
        <v>0</v>
      </c>
      <c r="E83" s="121">
        <f>ROUND(C83*'FR_Mantenimiento tasas'!$D$43/360,5)</f>
        <v>0</v>
      </c>
    </row>
    <row r="84" spans="1:5">
      <c r="A84" s="123">
        <f t="shared" si="2"/>
        <v>82</v>
      </c>
      <c r="B84" s="122">
        <f>IF(DAY(A84)=DAY('F-Ahorro Futuro Genérico'!$H$11),'F-Ahorro Futuro Genérico'!$H$9,0)</f>
        <v>0</v>
      </c>
      <c r="C84" s="122">
        <f t="shared" si="3"/>
        <v>0</v>
      </c>
      <c r="D84" s="121">
        <f>ROUND(C84*'FR_Mantenimiento tasas'!$C$43/360,5)</f>
        <v>0</v>
      </c>
      <c r="E84" s="121">
        <f>ROUND(C84*'FR_Mantenimiento tasas'!$D$43/360,5)</f>
        <v>0</v>
      </c>
    </row>
    <row r="85" spans="1:5">
      <c r="A85" s="123">
        <f t="shared" si="2"/>
        <v>83</v>
      </c>
      <c r="B85" s="122">
        <f>IF(DAY(A85)=DAY('F-Ahorro Futuro Genérico'!$H$11),'F-Ahorro Futuro Genérico'!$H$9,0)</f>
        <v>0</v>
      </c>
      <c r="C85" s="122">
        <f t="shared" si="3"/>
        <v>0</v>
      </c>
      <c r="D85" s="121">
        <f>ROUND(C85*'FR_Mantenimiento tasas'!$C$43/360,5)</f>
        <v>0</v>
      </c>
      <c r="E85" s="121">
        <f>ROUND(C85*'FR_Mantenimiento tasas'!$D$43/360,5)</f>
        <v>0</v>
      </c>
    </row>
    <row r="86" spans="1:5">
      <c r="A86" s="123">
        <f t="shared" si="2"/>
        <v>84</v>
      </c>
      <c r="B86" s="122">
        <f>IF(DAY(A86)=DAY('F-Ahorro Futuro Genérico'!$H$11),'F-Ahorro Futuro Genérico'!$H$9,0)</f>
        <v>0</v>
      </c>
      <c r="C86" s="122">
        <f t="shared" si="3"/>
        <v>0</v>
      </c>
      <c r="D86" s="121">
        <f>ROUND(C86*'FR_Mantenimiento tasas'!$C$43/360,5)</f>
        <v>0</v>
      </c>
      <c r="E86" s="121">
        <f>ROUND(C86*'FR_Mantenimiento tasas'!$D$43/360,5)</f>
        <v>0</v>
      </c>
    </row>
    <row r="87" spans="1:5">
      <c r="A87" s="123">
        <f t="shared" si="2"/>
        <v>85</v>
      </c>
      <c r="B87" s="122">
        <f>IF(DAY(A87)=DAY('F-Ahorro Futuro Genérico'!$H$11),'F-Ahorro Futuro Genérico'!$H$9,0)</f>
        <v>0</v>
      </c>
      <c r="C87" s="122">
        <f t="shared" si="3"/>
        <v>0</v>
      </c>
      <c r="D87" s="121">
        <f>ROUND(C87*'FR_Mantenimiento tasas'!$C$43/360,5)</f>
        <v>0</v>
      </c>
      <c r="E87" s="121">
        <f>ROUND(C87*'FR_Mantenimiento tasas'!$D$43/360,5)</f>
        <v>0</v>
      </c>
    </row>
    <row r="88" spans="1:5">
      <c r="A88" s="123">
        <f t="shared" si="2"/>
        <v>86</v>
      </c>
      <c r="B88" s="122">
        <f>IF(DAY(A88)=DAY('F-Ahorro Futuro Genérico'!$H$11),'F-Ahorro Futuro Genérico'!$H$9,0)</f>
        <v>0</v>
      </c>
      <c r="C88" s="122">
        <f t="shared" si="3"/>
        <v>0</v>
      </c>
      <c r="D88" s="121">
        <f>ROUND(C88*'FR_Mantenimiento tasas'!$C$43/360,5)</f>
        <v>0</v>
      </c>
      <c r="E88" s="121">
        <f>ROUND(C88*'FR_Mantenimiento tasas'!$D$43/360,5)</f>
        <v>0</v>
      </c>
    </row>
    <row r="89" spans="1:5">
      <c r="A89" s="123">
        <f t="shared" si="2"/>
        <v>87</v>
      </c>
      <c r="B89" s="122">
        <f>IF(DAY(A89)=DAY('F-Ahorro Futuro Genérico'!$H$11),'F-Ahorro Futuro Genérico'!$H$9,0)</f>
        <v>0</v>
      </c>
      <c r="C89" s="122">
        <f t="shared" si="3"/>
        <v>0</v>
      </c>
      <c r="D89" s="121">
        <f>ROUND(C89*'FR_Mantenimiento tasas'!$C$43/360,5)</f>
        <v>0</v>
      </c>
      <c r="E89" s="121">
        <f>ROUND(C89*'FR_Mantenimiento tasas'!$D$43/360,5)</f>
        <v>0</v>
      </c>
    </row>
    <row r="90" spans="1:5">
      <c r="A90" s="123">
        <f t="shared" si="2"/>
        <v>88</v>
      </c>
      <c r="B90" s="122">
        <f>IF(DAY(A90)=DAY('F-Ahorro Futuro Genérico'!$H$11),'F-Ahorro Futuro Genérico'!$H$9,0)</f>
        <v>0</v>
      </c>
      <c r="C90" s="122">
        <f t="shared" si="3"/>
        <v>0</v>
      </c>
      <c r="D90" s="121">
        <f>ROUND(C90*'FR_Mantenimiento tasas'!$C$43/360,5)</f>
        <v>0</v>
      </c>
      <c r="E90" s="121">
        <f>ROUND(C90*'FR_Mantenimiento tasas'!$D$43/360,5)</f>
        <v>0</v>
      </c>
    </row>
    <row r="91" spans="1:5">
      <c r="A91" s="123">
        <f t="shared" si="2"/>
        <v>89</v>
      </c>
      <c r="B91" s="122">
        <f>IF(DAY(A91)=DAY('F-Ahorro Futuro Genérico'!$H$11),'F-Ahorro Futuro Genérico'!$H$9,0)</f>
        <v>0</v>
      </c>
      <c r="C91" s="122">
        <f t="shared" si="3"/>
        <v>0</v>
      </c>
      <c r="D91" s="121">
        <f>ROUND(C91*'FR_Mantenimiento tasas'!$C$43/360,5)</f>
        <v>0</v>
      </c>
      <c r="E91" s="121">
        <f>ROUND(C91*'FR_Mantenimiento tasas'!$D$43/360,5)</f>
        <v>0</v>
      </c>
    </row>
    <row r="92" spans="1:5">
      <c r="A92" s="123">
        <f t="shared" si="2"/>
        <v>90</v>
      </c>
      <c r="B92" s="122">
        <f>IF(DAY(A92)=DAY('F-Ahorro Futuro Genérico'!$H$11),'F-Ahorro Futuro Genérico'!$H$9,0)</f>
        <v>0</v>
      </c>
      <c r="C92" s="122">
        <f t="shared" si="3"/>
        <v>0</v>
      </c>
      <c r="D92" s="121">
        <f>ROUND(C92*'FR_Mantenimiento tasas'!$C$43/360,5)</f>
        <v>0</v>
      </c>
      <c r="E92" s="121">
        <f>ROUND(C92*'FR_Mantenimiento tasas'!$D$43/360,5)</f>
        <v>0</v>
      </c>
    </row>
    <row r="93" spans="1:5">
      <c r="A93" s="123">
        <f t="shared" si="2"/>
        <v>91</v>
      </c>
      <c r="B93" s="122">
        <f>IF(DAY(A93)=DAY('F-Ahorro Futuro Genérico'!$H$11),'F-Ahorro Futuro Genérico'!$H$9,0)</f>
        <v>0</v>
      </c>
      <c r="C93" s="122">
        <f t="shared" si="3"/>
        <v>0</v>
      </c>
      <c r="D93" s="121">
        <f>ROUND(C93*'FR_Mantenimiento tasas'!$C$43/360,5)</f>
        <v>0</v>
      </c>
      <c r="E93" s="121">
        <f>ROUND(C93*'FR_Mantenimiento tasas'!$D$43/360,5)</f>
        <v>0</v>
      </c>
    </row>
    <row r="94" spans="1:5">
      <c r="A94" s="123">
        <f t="shared" si="2"/>
        <v>92</v>
      </c>
      <c r="B94" s="122">
        <f>IF(DAY(A94)=DAY('F-Ahorro Futuro Genérico'!$H$11),'F-Ahorro Futuro Genérico'!$H$9,0)</f>
        <v>0</v>
      </c>
      <c r="C94" s="122">
        <f t="shared" si="3"/>
        <v>0</v>
      </c>
      <c r="D94" s="121">
        <f>ROUND(C94*'FR_Mantenimiento tasas'!$C$43/360,5)</f>
        <v>0</v>
      </c>
      <c r="E94" s="121">
        <f>ROUND(C94*'FR_Mantenimiento tasas'!$D$43/360,5)</f>
        <v>0</v>
      </c>
    </row>
    <row r="95" spans="1:5">
      <c r="A95" s="123">
        <f t="shared" si="2"/>
        <v>93</v>
      </c>
      <c r="B95" s="122">
        <f>IF(DAY(A95)=DAY('F-Ahorro Futuro Genérico'!$H$11),'F-Ahorro Futuro Genérico'!$H$9,0)</f>
        <v>0</v>
      </c>
      <c r="C95" s="122">
        <f t="shared" si="3"/>
        <v>0</v>
      </c>
      <c r="D95" s="121">
        <f>ROUND(C95*'FR_Mantenimiento tasas'!$C$43/360,5)</f>
        <v>0</v>
      </c>
      <c r="E95" s="121">
        <f>ROUND(C95*'FR_Mantenimiento tasas'!$D$43/360,5)</f>
        <v>0</v>
      </c>
    </row>
    <row r="96" spans="1:5">
      <c r="A96" s="123">
        <f t="shared" si="2"/>
        <v>94</v>
      </c>
      <c r="B96" s="122">
        <f>IF(DAY(A96)=DAY('F-Ahorro Futuro Genérico'!$H$11),'F-Ahorro Futuro Genérico'!$H$9,0)</f>
        <v>0</v>
      </c>
      <c r="C96" s="122">
        <f t="shared" si="3"/>
        <v>0</v>
      </c>
      <c r="D96" s="121">
        <f>ROUND(C96*'FR_Mantenimiento tasas'!$C$43/360,5)</f>
        <v>0</v>
      </c>
      <c r="E96" s="121">
        <f>ROUND(C96*'FR_Mantenimiento tasas'!$D$43/360,5)</f>
        <v>0</v>
      </c>
    </row>
    <row r="97" spans="1:5">
      <c r="A97" s="123">
        <f t="shared" si="2"/>
        <v>95</v>
      </c>
      <c r="B97" s="122">
        <f>IF(DAY(A97)=DAY('F-Ahorro Futuro Genérico'!$H$11),'F-Ahorro Futuro Genérico'!$H$9,0)</f>
        <v>0</v>
      </c>
      <c r="C97" s="122">
        <f t="shared" si="3"/>
        <v>0</v>
      </c>
      <c r="D97" s="121">
        <f>ROUND(C97*'FR_Mantenimiento tasas'!$C$43/360,5)</f>
        <v>0</v>
      </c>
      <c r="E97" s="121">
        <f>ROUND(C97*'FR_Mantenimiento tasas'!$D$43/360,5)</f>
        <v>0</v>
      </c>
    </row>
    <row r="98" spans="1:5">
      <c r="A98" s="123">
        <f t="shared" si="2"/>
        <v>96</v>
      </c>
      <c r="B98" s="122">
        <f>IF(DAY(A98)=DAY('F-Ahorro Futuro Genérico'!$H$11),'F-Ahorro Futuro Genérico'!$H$9,0)</f>
        <v>0</v>
      </c>
      <c r="C98" s="122">
        <f t="shared" si="3"/>
        <v>0</v>
      </c>
      <c r="D98" s="121">
        <f>ROUND(C98*'FR_Mantenimiento tasas'!$C$43/360,5)</f>
        <v>0</v>
      </c>
      <c r="E98" s="121">
        <f>ROUND(C98*'FR_Mantenimiento tasas'!$D$43/360,5)</f>
        <v>0</v>
      </c>
    </row>
    <row r="99" spans="1:5">
      <c r="A99" s="123">
        <f t="shared" si="2"/>
        <v>97</v>
      </c>
      <c r="B99" s="122">
        <f>IF(DAY(A99)=DAY('F-Ahorro Futuro Genérico'!$H$11),'F-Ahorro Futuro Genérico'!$H$9,0)</f>
        <v>0</v>
      </c>
      <c r="C99" s="122">
        <f t="shared" si="3"/>
        <v>0</v>
      </c>
      <c r="D99" s="121">
        <f>ROUND(C99*'FR_Mantenimiento tasas'!$C$43/360,5)</f>
        <v>0</v>
      </c>
      <c r="E99" s="121">
        <f>ROUND(C99*'FR_Mantenimiento tasas'!$D$43/360,5)</f>
        <v>0</v>
      </c>
    </row>
    <row r="100" spans="1:5">
      <c r="A100" s="123">
        <f t="shared" si="2"/>
        <v>98</v>
      </c>
      <c r="B100" s="122">
        <f>IF(DAY(A100)=DAY('F-Ahorro Futuro Genérico'!$H$11),'F-Ahorro Futuro Genérico'!$H$9,0)</f>
        <v>0</v>
      </c>
      <c r="C100" s="122">
        <f t="shared" si="3"/>
        <v>0</v>
      </c>
      <c r="D100" s="121">
        <f>ROUND(C100*'FR_Mantenimiento tasas'!$C$43/360,5)</f>
        <v>0</v>
      </c>
      <c r="E100" s="121">
        <f>ROUND(C100*'FR_Mantenimiento tasas'!$D$43/360,5)</f>
        <v>0</v>
      </c>
    </row>
    <row r="101" spans="1:5">
      <c r="A101" s="123">
        <f t="shared" si="2"/>
        <v>99</v>
      </c>
      <c r="B101" s="122">
        <f>IF(DAY(A101)=DAY('F-Ahorro Futuro Genérico'!$H$11),'F-Ahorro Futuro Genérico'!$H$9,0)</f>
        <v>0</v>
      </c>
      <c r="C101" s="122">
        <f t="shared" si="3"/>
        <v>0</v>
      </c>
      <c r="D101" s="121">
        <f>ROUND(C101*'FR_Mantenimiento tasas'!$C$43/360,5)</f>
        <v>0</v>
      </c>
      <c r="E101" s="121">
        <f>ROUND(C101*'FR_Mantenimiento tasas'!$D$43/360,5)</f>
        <v>0</v>
      </c>
    </row>
    <row r="102" spans="1:5">
      <c r="A102" s="123">
        <f t="shared" si="2"/>
        <v>100</v>
      </c>
      <c r="B102" s="122">
        <f>IF(DAY(A102)=DAY('F-Ahorro Futuro Genérico'!$H$11),'F-Ahorro Futuro Genérico'!$H$9,0)</f>
        <v>0</v>
      </c>
      <c r="C102" s="122">
        <f t="shared" si="3"/>
        <v>0</v>
      </c>
      <c r="D102" s="121">
        <f>ROUND(C102*'FR_Mantenimiento tasas'!$C$43/360,5)</f>
        <v>0</v>
      </c>
      <c r="E102" s="121">
        <f>ROUND(C102*'FR_Mantenimiento tasas'!$D$43/360,5)</f>
        <v>0</v>
      </c>
    </row>
    <row r="103" spans="1:5">
      <c r="A103" s="123">
        <f t="shared" si="2"/>
        <v>101</v>
      </c>
      <c r="B103" s="122">
        <f>IF(DAY(A103)=DAY('F-Ahorro Futuro Genérico'!$H$11),'F-Ahorro Futuro Genérico'!$H$9,0)</f>
        <v>0</v>
      </c>
      <c r="C103" s="122">
        <f t="shared" si="3"/>
        <v>0</v>
      </c>
      <c r="D103" s="121">
        <f>ROUND(C103*'FR_Mantenimiento tasas'!$C$43/360,5)</f>
        <v>0</v>
      </c>
      <c r="E103" s="121">
        <f>ROUND(C103*'FR_Mantenimiento tasas'!$D$43/360,5)</f>
        <v>0</v>
      </c>
    </row>
    <row r="104" spans="1:5">
      <c r="A104" s="123">
        <f t="shared" si="2"/>
        <v>102</v>
      </c>
      <c r="B104" s="122">
        <f>IF(DAY(A104)=DAY('F-Ahorro Futuro Genérico'!$H$11),'F-Ahorro Futuro Genérico'!$H$9,0)</f>
        <v>0</v>
      </c>
      <c r="C104" s="122">
        <f t="shared" si="3"/>
        <v>0</v>
      </c>
      <c r="D104" s="121">
        <f>ROUND(C104*'FR_Mantenimiento tasas'!$C$43/360,5)</f>
        <v>0</v>
      </c>
      <c r="E104" s="121">
        <f>ROUND(C104*'FR_Mantenimiento tasas'!$D$43/360,5)</f>
        <v>0</v>
      </c>
    </row>
    <row r="105" spans="1:5">
      <c r="A105" s="123">
        <f t="shared" si="2"/>
        <v>103</v>
      </c>
      <c r="B105" s="122">
        <f>IF(DAY(A105)=DAY('F-Ahorro Futuro Genérico'!$H$11),'F-Ahorro Futuro Genérico'!$H$9,0)</f>
        <v>0</v>
      </c>
      <c r="C105" s="122">
        <f t="shared" si="3"/>
        <v>0</v>
      </c>
      <c r="D105" s="121">
        <f>ROUND(C105*'FR_Mantenimiento tasas'!$C$43/360,5)</f>
        <v>0</v>
      </c>
      <c r="E105" s="121">
        <f>ROUND(C105*'FR_Mantenimiento tasas'!$D$43/360,5)</f>
        <v>0</v>
      </c>
    </row>
    <row r="106" spans="1:5">
      <c r="A106" s="123">
        <f t="shared" si="2"/>
        <v>104</v>
      </c>
      <c r="B106" s="122">
        <f>IF(DAY(A106)=DAY('F-Ahorro Futuro Genérico'!$H$11),'F-Ahorro Futuro Genérico'!$H$9,0)</f>
        <v>0</v>
      </c>
      <c r="C106" s="122">
        <f t="shared" si="3"/>
        <v>0</v>
      </c>
      <c r="D106" s="121">
        <f>ROUND(C106*'FR_Mantenimiento tasas'!$C$43/360,5)</f>
        <v>0</v>
      </c>
      <c r="E106" s="121">
        <f>ROUND(C106*'FR_Mantenimiento tasas'!$D$43/360,5)</f>
        <v>0</v>
      </c>
    </row>
    <row r="107" spans="1:5">
      <c r="A107" s="123">
        <f t="shared" si="2"/>
        <v>105</v>
      </c>
      <c r="B107" s="122">
        <f>IF(DAY(A107)=DAY('F-Ahorro Futuro Genérico'!$H$11),'F-Ahorro Futuro Genérico'!$H$9,0)</f>
        <v>0</v>
      </c>
      <c r="C107" s="122">
        <f t="shared" si="3"/>
        <v>0</v>
      </c>
      <c r="D107" s="121">
        <f>ROUND(C107*'FR_Mantenimiento tasas'!$C$43/360,5)</f>
        <v>0</v>
      </c>
      <c r="E107" s="121">
        <f>ROUND(C107*'FR_Mantenimiento tasas'!$D$43/360,5)</f>
        <v>0</v>
      </c>
    </row>
    <row r="108" spans="1:5">
      <c r="A108" s="123">
        <f t="shared" si="2"/>
        <v>106</v>
      </c>
      <c r="B108" s="122">
        <f>IF(DAY(A108)=DAY('F-Ahorro Futuro Genérico'!$H$11),'F-Ahorro Futuro Genérico'!$H$9,0)</f>
        <v>0</v>
      </c>
      <c r="C108" s="122">
        <f t="shared" si="3"/>
        <v>0</v>
      </c>
      <c r="D108" s="121">
        <f>ROUND(C108*'FR_Mantenimiento tasas'!$C$43/360,5)</f>
        <v>0</v>
      </c>
      <c r="E108" s="121">
        <f>ROUND(C108*'FR_Mantenimiento tasas'!$D$43/360,5)</f>
        <v>0</v>
      </c>
    </row>
    <row r="109" spans="1:5">
      <c r="A109" s="123">
        <f t="shared" si="2"/>
        <v>107</v>
      </c>
      <c r="B109" s="122">
        <f>IF(DAY(A109)=DAY('F-Ahorro Futuro Genérico'!$H$11),'F-Ahorro Futuro Genérico'!$H$9,0)</f>
        <v>0</v>
      </c>
      <c r="C109" s="122">
        <f t="shared" si="3"/>
        <v>0</v>
      </c>
      <c r="D109" s="121">
        <f>ROUND(C109*'FR_Mantenimiento tasas'!$C$43/360,5)</f>
        <v>0</v>
      </c>
      <c r="E109" s="121">
        <f>ROUND(C109*'FR_Mantenimiento tasas'!$D$43/360,5)</f>
        <v>0</v>
      </c>
    </row>
    <row r="110" spans="1:5">
      <c r="A110" s="123">
        <f t="shared" si="2"/>
        <v>108</v>
      </c>
      <c r="B110" s="122">
        <f>IF(DAY(A110)=DAY('F-Ahorro Futuro Genérico'!$H$11),'F-Ahorro Futuro Genérico'!$H$9,0)</f>
        <v>0</v>
      </c>
      <c r="C110" s="122">
        <f t="shared" si="3"/>
        <v>0</v>
      </c>
      <c r="D110" s="121">
        <f>ROUND(C110*'FR_Mantenimiento tasas'!$C$43/360,5)</f>
        <v>0</v>
      </c>
      <c r="E110" s="121">
        <f>ROUND(C110*'FR_Mantenimiento tasas'!$D$43/360,5)</f>
        <v>0</v>
      </c>
    </row>
    <row r="111" spans="1:5">
      <c r="A111" s="123">
        <f t="shared" si="2"/>
        <v>109</v>
      </c>
      <c r="B111" s="122">
        <f>IF(DAY(A111)=DAY('F-Ahorro Futuro Genérico'!$H$11),'F-Ahorro Futuro Genérico'!$H$9,0)</f>
        <v>0</v>
      </c>
      <c r="C111" s="122">
        <f t="shared" si="3"/>
        <v>0</v>
      </c>
      <c r="D111" s="121">
        <f>ROUND(C111*'FR_Mantenimiento tasas'!$C$43/360,5)</f>
        <v>0</v>
      </c>
      <c r="E111" s="121">
        <f>ROUND(C111*'FR_Mantenimiento tasas'!$D$43/360,5)</f>
        <v>0</v>
      </c>
    </row>
    <row r="112" spans="1:5">
      <c r="A112" s="123">
        <f t="shared" si="2"/>
        <v>110</v>
      </c>
      <c r="B112" s="122">
        <f>IF(DAY(A112)=DAY('F-Ahorro Futuro Genérico'!$H$11),'F-Ahorro Futuro Genérico'!$H$9,0)</f>
        <v>0</v>
      </c>
      <c r="C112" s="122">
        <f t="shared" si="3"/>
        <v>0</v>
      </c>
      <c r="D112" s="121">
        <f>ROUND(C112*'FR_Mantenimiento tasas'!$C$43/360,5)</f>
        <v>0</v>
      </c>
      <c r="E112" s="121">
        <f>ROUND(C112*'FR_Mantenimiento tasas'!$D$43/360,5)</f>
        <v>0</v>
      </c>
    </row>
    <row r="113" spans="1:5">
      <c r="A113" s="123">
        <f t="shared" si="2"/>
        <v>111</v>
      </c>
      <c r="B113" s="122">
        <f>IF(DAY(A113)=DAY('F-Ahorro Futuro Genérico'!$H$11),'F-Ahorro Futuro Genérico'!$H$9,0)</f>
        <v>0</v>
      </c>
      <c r="C113" s="122">
        <f t="shared" si="3"/>
        <v>0</v>
      </c>
      <c r="D113" s="121">
        <f>ROUND(C113*'FR_Mantenimiento tasas'!$C$43/360,5)</f>
        <v>0</v>
      </c>
      <c r="E113" s="121">
        <f>ROUND(C113*'FR_Mantenimiento tasas'!$D$43/360,5)</f>
        <v>0</v>
      </c>
    </row>
    <row r="114" spans="1:5">
      <c r="A114" s="123">
        <f t="shared" si="2"/>
        <v>112</v>
      </c>
      <c r="B114" s="122">
        <f>IF(DAY(A114)=DAY('F-Ahorro Futuro Genérico'!$H$11),'F-Ahorro Futuro Genérico'!$H$9,0)</f>
        <v>0</v>
      </c>
      <c r="C114" s="122">
        <f t="shared" si="3"/>
        <v>0</v>
      </c>
      <c r="D114" s="121">
        <f>ROUND(C114*'FR_Mantenimiento tasas'!$C$43/360,5)</f>
        <v>0</v>
      </c>
      <c r="E114" s="121">
        <f>ROUND(C114*'FR_Mantenimiento tasas'!$D$43/360,5)</f>
        <v>0</v>
      </c>
    </row>
    <row r="115" spans="1:5">
      <c r="A115" s="123">
        <f t="shared" si="2"/>
        <v>113</v>
      </c>
      <c r="B115" s="122">
        <f>IF(DAY(A115)=DAY('F-Ahorro Futuro Genérico'!$H$11),'F-Ahorro Futuro Genérico'!$H$9,0)</f>
        <v>0</v>
      </c>
      <c r="C115" s="122">
        <f t="shared" si="3"/>
        <v>0</v>
      </c>
      <c r="D115" s="121">
        <f>ROUND(C115*'FR_Mantenimiento tasas'!$C$43/360,5)</f>
        <v>0</v>
      </c>
      <c r="E115" s="121">
        <f>ROUND(C115*'FR_Mantenimiento tasas'!$D$43/360,5)</f>
        <v>0</v>
      </c>
    </row>
    <row r="116" spans="1:5">
      <c r="A116" s="123">
        <f t="shared" si="2"/>
        <v>114</v>
      </c>
      <c r="B116" s="122">
        <f>IF(DAY(A116)=DAY('F-Ahorro Futuro Genérico'!$H$11),'F-Ahorro Futuro Genérico'!$H$9,0)</f>
        <v>0</v>
      </c>
      <c r="C116" s="122">
        <f t="shared" si="3"/>
        <v>0</v>
      </c>
      <c r="D116" s="121">
        <f>ROUND(C116*'FR_Mantenimiento tasas'!$C$43/360,5)</f>
        <v>0</v>
      </c>
      <c r="E116" s="121">
        <f>ROUND(C116*'FR_Mantenimiento tasas'!$D$43/360,5)</f>
        <v>0</v>
      </c>
    </row>
    <row r="117" spans="1:5">
      <c r="A117" s="123">
        <f t="shared" si="2"/>
        <v>115</v>
      </c>
      <c r="B117" s="122">
        <f>IF(DAY(A117)=DAY('F-Ahorro Futuro Genérico'!$H$11),'F-Ahorro Futuro Genérico'!$H$9,0)</f>
        <v>0</v>
      </c>
      <c r="C117" s="122">
        <f t="shared" si="3"/>
        <v>0</v>
      </c>
      <c r="D117" s="121">
        <f>ROUND(C117*'FR_Mantenimiento tasas'!$C$43/360,5)</f>
        <v>0</v>
      </c>
      <c r="E117" s="121">
        <f>ROUND(C117*'FR_Mantenimiento tasas'!$D$43/360,5)</f>
        <v>0</v>
      </c>
    </row>
    <row r="118" spans="1:5">
      <c r="A118" s="123">
        <f t="shared" si="2"/>
        <v>116</v>
      </c>
      <c r="B118" s="122">
        <f>IF(DAY(A118)=DAY('F-Ahorro Futuro Genérico'!$H$11),'F-Ahorro Futuro Genérico'!$H$9,0)</f>
        <v>0</v>
      </c>
      <c r="C118" s="122">
        <f t="shared" si="3"/>
        <v>0</v>
      </c>
      <c r="D118" s="121">
        <f>ROUND(C118*'FR_Mantenimiento tasas'!$C$43/360,5)</f>
        <v>0</v>
      </c>
      <c r="E118" s="121">
        <f>ROUND(C118*'FR_Mantenimiento tasas'!$D$43/360,5)</f>
        <v>0</v>
      </c>
    </row>
    <row r="119" spans="1:5">
      <c r="A119" s="123">
        <f t="shared" si="2"/>
        <v>117</v>
      </c>
      <c r="B119" s="122">
        <f>IF(DAY(A119)=DAY('F-Ahorro Futuro Genérico'!$H$11),'F-Ahorro Futuro Genérico'!$H$9,0)</f>
        <v>0</v>
      </c>
      <c r="C119" s="122">
        <f t="shared" si="3"/>
        <v>0</v>
      </c>
      <c r="D119" s="121">
        <f>ROUND(C119*'FR_Mantenimiento tasas'!$C$43/360,5)</f>
        <v>0</v>
      </c>
      <c r="E119" s="121">
        <f>ROUND(C119*'FR_Mantenimiento tasas'!$D$43/360,5)</f>
        <v>0</v>
      </c>
    </row>
    <row r="120" spans="1:5">
      <c r="A120" s="123">
        <f t="shared" si="2"/>
        <v>118</v>
      </c>
      <c r="B120" s="122">
        <f>IF(DAY(A120)=DAY('F-Ahorro Futuro Genérico'!$H$11),'F-Ahorro Futuro Genérico'!$H$9,0)</f>
        <v>0</v>
      </c>
      <c r="C120" s="122">
        <f t="shared" si="3"/>
        <v>0</v>
      </c>
      <c r="D120" s="121">
        <f>ROUND(C120*'FR_Mantenimiento tasas'!$C$43/360,5)</f>
        <v>0</v>
      </c>
      <c r="E120" s="121">
        <f>ROUND(C120*'FR_Mantenimiento tasas'!$D$43/360,5)</f>
        <v>0</v>
      </c>
    </row>
    <row r="121" spans="1:5">
      <c r="A121" s="123">
        <f t="shared" si="2"/>
        <v>119</v>
      </c>
      <c r="B121" s="122">
        <f>IF(DAY(A121)=DAY('F-Ahorro Futuro Genérico'!$H$11),'F-Ahorro Futuro Genérico'!$H$9,0)</f>
        <v>0</v>
      </c>
      <c r="C121" s="122">
        <f t="shared" si="3"/>
        <v>0</v>
      </c>
      <c r="D121" s="121">
        <f>ROUND(C121*'FR_Mantenimiento tasas'!$C$43/360,5)</f>
        <v>0</v>
      </c>
      <c r="E121" s="121">
        <f>ROUND(C121*'FR_Mantenimiento tasas'!$D$43/360,5)</f>
        <v>0</v>
      </c>
    </row>
    <row r="122" spans="1:5">
      <c r="A122" s="123">
        <f t="shared" si="2"/>
        <v>120</v>
      </c>
      <c r="B122" s="122">
        <f>IF(DAY(A122)=DAY('F-Ahorro Futuro Genérico'!$H$11),'F-Ahorro Futuro Genérico'!$H$9,0)</f>
        <v>0</v>
      </c>
      <c r="C122" s="122">
        <f t="shared" si="3"/>
        <v>0</v>
      </c>
      <c r="D122" s="121">
        <f>ROUND(C122*'FR_Mantenimiento tasas'!$C$43/360,5)</f>
        <v>0</v>
      </c>
      <c r="E122" s="121">
        <f>ROUND(C122*'FR_Mantenimiento tasas'!$D$43/360,5)</f>
        <v>0</v>
      </c>
    </row>
    <row r="123" spans="1:5">
      <c r="A123" s="123">
        <f t="shared" si="2"/>
        <v>121</v>
      </c>
      <c r="B123" s="122">
        <f>IF(DAY(A123)=DAY('F-Ahorro Futuro Genérico'!$H$11),'F-Ahorro Futuro Genérico'!$H$9,0)</f>
        <v>0</v>
      </c>
      <c r="C123" s="122">
        <f t="shared" si="3"/>
        <v>0</v>
      </c>
      <c r="D123" s="121">
        <f>ROUND(C123*'FR_Mantenimiento tasas'!$C$43/360,5)</f>
        <v>0</v>
      </c>
      <c r="E123" s="121">
        <f>ROUND(C123*'FR_Mantenimiento tasas'!$D$43/360,5)</f>
        <v>0</v>
      </c>
    </row>
    <row r="124" spans="1:5">
      <c r="A124" s="123">
        <f t="shared" si="2"/>
        <v>122</v>
      </c>
      <c r="B124" s="122">
        <f>IF(DAY(A124)=DAY('F-Ahorro Futuro Genérico'!$H$11),'F-Ahorro Futuro Genérico'!$H$9,0)</f>
        <v>0</v>
      </c>
      <c r="C124" s="122">
        <f t="shared" si="3"/>
        <v>0</v>
      </c>
      <c r="D124" s="121">
        <f>ROUND(C124*'FR_Mantenimiento tasas'!$C$43/360,5)</f>
        <v>0</v>
      </c>
      <c r="E124" s="121">
        <f>ROUND(C124*'FR_Mantenimiento tasas'!$D$43/360,5)</f>
        <v>0</v>
      </c>
    </row>
    <row r="125" spans="1:5">
      <c r="A125" s="123">
        <f t="shared" si="2"/>
        <v>123</v>
      </c>
      <c r="B125" s="122">
        <f>IF(DAY(A125)=DAY('F-Ahorro Futuro Genérico'!$H$11),'F-Ahorro Futuro Genérico'!$H$9,0)</f>
        <v>0</v>
      </c>
      <c r="C125" s="122">
        <f t="shared" si="3"/>
        <v>0</v>
      </c>
      <c r="D125" s="121">
        <f>ROUND(C125*'FR_Mantenimiento tasas'!$C$43/360,5)</f>
        <v>0</v>
      </c>
      <c r="E125" s="121">
        <f>ROUND(C125*'FR_Mantenimiento tasas'!$D$43/360,5)</f>
        <v>0</v>
      </c>
    </row>
    <row r="126" spans="1:5">
      <c r="A126" s="123">
        <f t="shared" si="2"/>
        <v>124</v>
      </c>
      <c r="B126" s="122">
        <f>IF(DAY(A126)=DAY('F-Ahorro Futuro Genérico'!$H$11),'F-Ahorro Futuro Genérico'!$H$9,0)</f>
        <v>0</v>
      </c>
      <c r="C126" s="122">
        <f t="shared" si="3"/>
        <v>0</v>
      </c>
      <c r="D126" s="121">
        <f>ROUND(C126*'FR_Mantenimiento tasas'!$C$43/360,5)</f>
        <v>0</v>
      </c>
      <c r="E126" s="121">
        <f>ROUND(C126*'FR_Mantenimiento tasas'!$D$43/360,5)</f>
        <v>0</v>
      </c>
    </row>
    <row r="127" spans="1:5">
      <c r="A127" s="123">
        <f t="shared" si="2"/>
        <v>125</v>
      </c>
      <c r="B127" s="122">
        <f>IF(DAY(A127)=DAY('F-Ahorro Futuro Genérico'!$H$11),'F-Ahorro Futuro Genérico'!$H$9,0)</f>
        <v>0</v>
      </c>
      <c r="C127" s="122">
        <f t="shared" si="3"/>
        <v>0</v>
      </c>
      <c r="D127" s="121">
        <f>ROUND(C127*'FR_Mantenimiento tasas'!$C$43/360,5)</f>
        <v>0</v>
      </c>
      <c r="E127" s="121">
        <f>ROUND(C127*'FR_Mantenimiento tasas'!$D$43/360,5)</f>
        <v>0</v>
      </c>
    </row>
    <row r="128" spans="1:5">
      <c r="A128" s="123">
        <f t="shared" si="2"/>
        <v>126</v>
      </c>
      <c r="B128" s="122">
        <f>IF(DAY(A128)=DAY('F-Ahorro Futuro Genérico'!$H$11),'F-Ahorro Futuro Genérico'!$H$9,0)</f>
        <v>0</v>
      </c>
      <c r="C128" s="122">
        <f t="shared" si="3"/>
        <v>0</v>
      </c>
      <c r="D128" s="121">
        <f>ROUND(C128*'FR_Mantenimiento tasas'!$C$43/360,5)</f>
        <v>0</v>
      </c>
      <c r="E128" s="121">
        <f>ROUND(C128*'FR_Mantenimiento tasas'!$D$43/360,5)</f>
        <v>0</v>
      </c>
    </row>
    <row r="129" spans="1:5">
      <c r="A129" s="123">
        <f t="shared" si="2"/>
        <v>127</v>
      </c>
      <c r="B129" s="122">
        <f>IF(DAY(A129)=DAY('F-Ahorro Futuro Genérico'!$H$11),'F-Ahorro Futuro Genérico'!$H$9,0)</f>
        <v>0</v>
      </c>
      <c r="C129" s="122">
        <f t="shared" si="3"/>
        <v>0</v>
      </c>
      <c r="D129" s="121">
        <f>ROUND(C129*'FR_Mantenimiento tasas'!$C$43/360,5)</f>
        <v>0</v>
      </c>
      <c r="E129" s="121">
        <f>ROUND(C129*'FR_Mantenimiento tasas'!$D$43/360,5)</f>
        <v>0</v>
      </c>
    </row>
    <row r="130" spans="1:5">
      <c r="A130" s="123">
        <f t="shared" si="2"/>
        <v>128</v>
      </c>
      <c r="B130" s="122">
        <f>IF(DAY(A130)=DAY('F-Ahorro Futuro Genérico'!$H$11),'F-Ahorro Futuro Genérico'!$H$9,0)</f>
        <v>0</v>
      </c>
      <c r="C130" s="122">
        <f t="shared" si="3"/>
        <v>0</v>
      </c>
      <c r="D130" s="121">
        <f>ROUND(C130*'FR_Mantenimiento tasas'!$C$43/360,5)</f>
        <v>0</v>
      </c>
      <c r="E130" s="121">
        <f>ROUND(C130*'FR_Mantenimiento tasas'!$D$43/360,5)</f>
        <v>0</v>
      </c>
    </row>
    <row r="131" spans="1:5">
      <c r="A131" s="123">
        <f t="shared" si="2"/>
        <v>129</v>
      </c>
      <c r="B131" s="122">
        <f>IF(DAY(A131)=DAY('F-Ahorro Futuro Genérico'!$H$11),'F-Ahorro Futuro Genérico'!$H$9,0)</f>
        <v>0</v>
      </c>
      <c r="C131" s="122">
        <f t="shared" si="3"/>
        <v>0</v>
      </c>
      <c r="D131" s="121">
        <f>ROUND(C131*'FR_Mantenimiento tasas'!$C$43/360,5)</f>
        <v>0</v>
      </c>
      <c r="E131" s="121">
        <f>ROUND(C131*'FR_Mantenimiento tasas'!$D$43/360,5)</f>
        <v>0</v>
      </c>
    </row>
    <row r="132" spans="1:5">
      <c r="A132" s="123">
        <f t="shared" ref="A132:A195" si="4">+A131+1</f>
        <v>130</v>
      </c>
      <c r="B132" s="122">
        <f>IF(DAY(A132)=DAY('F-Ahorro Futuro Genérico'!$H$11),'F-Ahorro Futuro Genérico'!$H$9,0)</f>
        <v>0</v>
      </c>
      <c r="C132" s="122">
        <f t="shared" ref="C132:C195" si="5">+B132+C131+D131</f>
        <v>0</v>
      </c>
      <c r="D132" s="121">
        <f>ROUND(C132*'FR_Mantenimiento tasas'!$C$43/360,5)</f>
        <v>0</v>
      </c>
      <c r="E132" s="121">
        <f>ROUND(C132*'FR_Mantenimiento tasas'!$D$43/360,5)</f>
        <v>0</v>
      </c>
    </row>
    <row r="133" spans="1:5">
      <c r="A133" s="123">
        <f t="shared" si="4"/>
        <v>131</v>
      </c>
      <c r="B133" s="122">
        <f>IF(DAY(A133)=DAY('F-Ahorro Futuro Genérico'!$H$11),'F-Ahorro Futuro Genérico'!$H$9,0)</f>
        <v>0</v>
      </c>
      <c r="C133" s="122">
        <f t="shared" si="5"/>
        <v>0</v>
      </c>
      <c r="D133" s="121">
        <f>ROUND(C133*'FR_Mantenimiento tasas'!$C$43/360,5)</f>
        <v>0</v>
      </c>
      <c r="E133" s="121">
        <f>ROUND(C133*'FR_Mantenimiento tasas'!$D$43/360,5)</f>
        <v>0</v>
      </c>
    </row>
    <row r="134" spans="1:5">
      <c r="A134" s="123">
        <f t="shared" si="4"/>
        <v>132</v>
      </c>
      <c r="B134" s="122">
        <f>IF(DAY(A134)=DAY('F-Ahorro Futuro Genérico'!$H$11),'F-Ahorro Futuro Genérico'!$H$9,0)</f>
        <v>0</v>
      </c>
      <c r="C134" s="122">
        <f t="shared" si="5"/>
        <v>0</v>
      </c>
      <c r="D134" s="121">
        <f>ROUND(C134*'FR_Mantenimiento tasas'!$C$43/360,5)</f>
        <v>0</v>
      </c>
      <c r="E134" s="121">
        <f>ROUND(C134*'FR_Mantenimiento tasas'!$D$43/360,5)</f>
        <v>0</v>
      </c>
    </row>
    <row r="135" spans="1:5">
      <c r="A135" s="123">
        <f t="shared" si="4"/>
        <v>133</v>
      </c>
      <c r="B135" s="122">
        <f>IF(DAY(A135)=DAY('F-Ahorro Futuro Genérico'!$H$11),'F-Ahorro Futuro Genérico'!$H$9,0)</f>
        <v>0</v>
      </c>
      <c r="C135" s="122">
        <f t="shared" si="5"/>
        <v>0</v>
      </c>
      <c r="D135" s="121">
        <f>ROUND(C135*'FR_Mantenimiento tasas'!$C$43/360,5)</f>
        <v>0</v>
      </c>
      <c r="E135" s="121">
        <f>ROUND(C135*'FR_Mantenimiento tasas'!$D$43/360,5)</f>
        <v>0</v>
      </c>
    </row>
    <row r="136" spans="1:5">
      <c r="A136" s="123">
        <f t="shared" si="4"/>
        <v>134</v>
      </c>
      <c r="B136" s="122">
        <f>IF(DAY(A136)=DAY('F-Ahorro Futuro Genérico'!$H$11),'F-Ahorro Futuro Genérico'!$H$9,0)</f>
        <v>0</v>
      </c>
      <c r="C136" s="122">
        <f t="shared" si="5"/>
        <v>0</v>
      </c>
      <c r="D136" s="121">
        <f>ROUND(C136*'FR_Mantenimiento tasas'!$C$43/360,5)</f>
        <v>0</v>
      </c>
      <c r="E136" s="121">
        <f>ROUND(C136*'FR_Mantenimiento tasas'!$D$43/360,5)</f>
        <v>0</v>
      </c>
    </row>
    <row r="137" spans="1:5">
      <c r="A137" s="123">
        <f t="shared" si="4"/>
        <v>135</v>
      </c>
      <c r="B137" s="122">
        <f>IF(DAY(A137)=DAY('F-Ahorro Futuro Genérico'!$H$11),'F-Ahorro Futuro Genérico'!$H$9,0)</f>
        <v>0</v>
      </c>
      <c r="C137" s="122">
        <f t="shared" si="5"/>
        <v>0</v>
      </c>
      <c r="D137" s="121">
        <f>ROUND(C137*'FR_Mantenimiento tasas'!$C$43/360,5)</f>
        <v>0</v>
      </c>
      <c r="E137" s="121">
        <f>ROUND(C137*'FR_Mantenimiento tasas'!$D$43/360,5)</f>
        <v>0</v>
      </c>
    </row>
    <row r="138" spans="1:5">
      <c r="A138" s="123">
        <f t="shared" si="4"/>
        <v>136</v>
      </c>
      <c r="B138" s="122">
        <f>IF(DAY(A138)=DAY('F-Ahorro Futuro Genérico'!$H$11),'F-Ahorro Futuro Genérico'!$H$9,0)</f>
        <v>0</v>
      </c>
      <c r="C138" s="122">
        <f t="shared" si="5"/>
        <v>0</v>
      </c>
      <c r="D138" s="121">
        <f>ROUND(C138*'FR_Mantenimiento tasas'!$C$43/360,5)</f>
        <v>0</v>
      </c>
      <c r="E138" s="121">
        <f>ROUND(C138*'FR_Mantenimiento tasas'!$D$43/360,5)</f>
        <v>0</v>
      </c>
    </row>
    <row r="139" spans="1:5">
      <c r="A139" s="123">
        <f t="shared" si="4"/>
        <v>137</v>
      </c>
      <c r="B139" s="122">
        <f>IF(DAY(A139)=DAY('F-Ahorro Futuro Genérico'!$H$11),'F-Ahorro Futuro Genérico'!$H$9,0)</f>
        <v>0</v>
      </c>
      <c r="C139" s="122">
        <f t="shared" si="5"/>
        <v>0</v>
      </c>
      <c r="D139" s="121">
        <f>ROUND(C139*'FR_Mantenimiento tasas'!$C$43/360,5)</f>
        <v>0</v>
      </c>
      <c r="E139" s="121">
        <f>ROUND(C139*'FR_Mantenimiento tasas'!$D$43/360,5)</f>
        <v>0</v>
      </c>
    </row>
    <row r="140" spans="1:5">
      <c r="A140" s="123">
        <f t="shared" si="4"/>
        <v>138</v>
      </c>
      <c r="B140" s="122">
        <f>IF(DAY(A140)=DAY('F-Ahorro Futuro Genérico'!$H$11),'F-Ahorro Futuro Genérico'!$H$9,0)</f>
        <v>0</v>
      </c>
      <c r="C140" s="122">
        <f t="shared" si="5"/>
        <v>0</v>
      </c>
      <c r="D140" s="121">
        <f>ROUND(C140*'FR_Mantenimiento tasas'!$C$43/360,5)</f>
        <v>0</v>
      </c>
      <c r="E140" s="121">
        <f>ROUND(C140*'FR_Mantenimiento tasas'!$D$43/360,5)</f>
        <v>0</v>
      </c>
    </row>
    <row r="141" spans="1:5">
      <c r="A141" s="123">
        <f t="shared" si="4"/>
        <v>139</v>
      </c>
      <c r="B141" s="122">
        <f>IF(DAY(A141)=DAY('F-Ahorro Futuro Genérico'!$H$11),'F-Ahorro Futuro Genérico'!$H$9,0)</f>
        <v>0</v>
      </c>
      <c r="C141" s="122">
        <f t="shared" si="5"/>
        <v>0</v>
      </c>
      <c r="D141" s="121">
        <f>ROUND(C141*'FR_Mantenimiento tasas'!$C$43/360,5)</f>
        <v>0</v>
      </c>
      <c r="E141" s="121">
        <f>ROUND(C141*'FR_Mantenimiento tasas'!$D$43/360,5)</f>
        <v>0</v>
      </c>
    </row>
    <row r="142" spans="1:5">
      <c r="A142" s="123">
        <f t="shared" si="4"/>
        <v>140</v>
      </c>
      <c r="B142" s="122">
        <f>IF(DAY(A142)=DAY('F-Ahorro Futuro Genérico'!$H$11),'F-Ahorro Futuro Genérico'!$H$9,0)</f>
        <v>0</v>
      </c>
      <c r="C142" s="122">
        <f t="shared" si="5"/>
        <v>0</v>
      </c>
      <c r="D142" s="121">
        <f>ROUND(C142*'FR_Mantenimiento tasas'!$C$43/360,5)</f>
        <v>0</v>
      </c>
      <c r="E142" s="121">
        <f>ROUND(C142*'FR_Mantenimiento tasas'!$D$43/360,5)</f>
        <v>0</v>
      </c>
    </row>
    <row r="143" spans="1:5">
      <c r="A143" s="123">
        <f t="shared" si="4"/>
        <v>141</v>
      </c>
      <c r="B143" s="122">
        <f>IF(DAY(A143)=DAY('F-Ahorro Futuro Genérico'!$H$11),'F-Ahorro Futuro Genérico'!$H$9,0)</f>
        <v>0</v>
      </c>
      <c r="C143" s="122">
        <f t="shared" si="5"/>
        <v>0</v>
      </c>
      <c r="D143" s="121">
        <f>ROUND(C143*'FR_Mantenimiento tasas'!$C$43/360,5)</f>
        <v>0</v>
      </c>
      <c r="E143" s="121">
        <f>ROUND(C143*'FR_Mantenimiento tasas'!$D$43/360,5)</f>
        <v>0</v>
      </c>
    </row>
    <row r="144" spans="1:5">
      <c r="A144" s="123">
        <f t="shared" si="4"/>
        <v>142</v>
      </c>
      <c r="B144" s="122">
        <f>IF(DAY(A144)=DAY('F-Ahorro Futuro Genérico'!$H$11),'F-Ahorro Futuro Genérico'!$H$9,0)</f>
        <v>0</v>
      </c>
      <c r="C144" s="122">
        <f t="shared" si="5"/>
        <v>0</v>
      </c>
      <c r="D144" s="121">
        <f>ROUND(C144*'FR_Mantenimiento tasas'!$C$43/360,5)</f>
        <v>0</v>
      </c>
      <c r="E144" s="121">
        <f>ROUND(C144*'FR_Mantenimiento tasas'!$D$43/360,5)</f>
        <v>0</v>
      </c>
    </row>
    <row r="145" spans="1:5">
      <c r="A145" s="123">
        <f t="shared" si="4"/>
        <v>143</v>
      </c>
      <c r="B145" s="122">
        <f>IF(DAY(A145)=DAY('F-Ahorro Futuro Genérico'!$H$11),'F-Ahorro Futuro Genérico'!$H$9,0)</f>
        <v>0</v>
      </c>
      <c r="C145" s="122">
        <f t="shared" si="5"/>
        <v>0</v>
      </c>
      <c r="D145" s="121">
        <f>ROUND(C145*'FR_Mantenimiento tasas'!$C$43/360,5)</f>
        <v>0</v>
      </c>
      <c r="E145" s="121">
        <f>ROUND(C145*'FR_Mantenimiento tasas'!$D$43/360,5)</f>
        <v>0</v>
      </c>
    </row>
    <row r="146" spans="1:5">
      <c r="A146" s="123">
        <f t="shared" si="4"/>
        <v>144</v>
      </c>
      <c r="B146" s="122">
        <f>IF(DAY(A146)=DAY('F-Ahorro Futuro Genérico'!$H$11),'F-Ahorro Futuro Genérico'!$H$9,0)</f>
        <v>0</v>
      </c>
      <c r="C146" s="122">
        <f t="shared" si="5"/>
        <v>0</v>
      </c>
      <c r="D146" s="121">
        <f>ROUND(C146*'FR_Mantenimiento tasas'!$C$43/360,5)</f>
        <v>0</v>
      </c>
      <c r="E146" s="121">
        <f>ROUND(C146*'FR_Mantenimiento tasas'!$D$43/360,5)</f>
        <v>0</v>
      </c>
    </row>
    <row r="147" spans="1:5">
      <c r="A147" s="123">
        <f t="shared" si="4"/>
        <v>145</v>
      </c>
      <c r="B147" s="122">
        <f>IF(DAY(A147)=DAY('F-Ahorro Futuro Genérico'!$H$11),'F-Ahorro Futuro Genérico'!$H$9,0)</f>
        <v>0</v>
      </c>
      <c r="C147" s="122">
        <f t="shared" si="5"/>
        <v>0</v>
      </c>
      <c r="D147" s="121">
        <f>ROUND(C147*'FR_Mantenimiento tasas'!$C$43/360,5)</f>
        <v>0</v>
      </c>
      <c r="E147" s="121">
        <f>ROUND(C147*'FR_Mantenimiento tasas'!$D$43/360,5)</f>
        <v>0</v>
      </c>
    </row>
    <row r="148" spans="1:5">
      <c r="A148" s="123">
        <f t="shared" si="4"/>
        <v>146</v>
      </c>
      <c r="B148" s="122">
        <f>IF(DAY(A148)=DAY('F-Ahorro Futuro Genérico'!$H$11),'F-Ahorro Futuro Genérico'!$H$9,0)</f>
        <v>0</v>
      </c>
      <c r="C148" s="122">
        <f t="shared" si="5"/>
        <v>0</v>
      </c>
      <c r="D148" s="121">
        <f>ROUND(C148*'FR_Mantenimiento tasas'!$C$43/360,5)</f>
        <v>0</v>
      </c>
      <c r="E148" s="121">
        <f>ROUND(C148*'FR_Mantenimiento tasas'!$D$43/360,5)</f>
        <v>0</v>
      </c>
    </row>
    <row r="149" spans="1:5">
      <c r="A149" s="123">
        <f t="shared" si="4"/>
        <v>147</v>
      </c>
      <c r="B149" s="122">
        <f>IF(DAY(A149)=DAY('F-Ahorro Futuro Genérico'!$H$11),'F-Ahorro Futuro Genérico'!$H$9,0)</f>
        <v>0</v>
      </c>
      <c r="C149" s="122">
        <f t="shared" si="5"/>
        <v>0</v>
      </c>
      <c r="D149" s="121">
        <f>ROUND(C149*'FR_Mantenimiento tasas'!$C$43/360,5)</f>
        <v>0</v>
      </c>
      <c r="E149" s="121">
        <f>ROUND(C149*'FR_Mantenimiento tasas'!$D$43/360,5)</f>
        <v>0</v>
      </c>
    </row>
    <row r="150" spans="1:5">
      <c r="A150" s="123">
        <f t="shared" si="4"/>
        <v>148</v>
      </c>
      <c r="B150" s="122">
        <f>IF(DAY(A150)=DAY('F-Ahorro Futuro Genérico'!$H$11),'F-Ahorro Futuro Genérico'!$H$9,0)</f>
        <v>0</v>
      </c>
      <c r="C150" s="122">
        <f t="shared" si="5"/>
        <v>0</v>
      </c>
      <c r="D150" s="121">
        <f>ROUND(C150*'FR_Mantenimiento tasas'!$C$43/360,5)</f>
        <v>0</v>
      </c>
      <c r="E150" s="121">
        <f>ROUND(C150*'FR_Mantenimiento tasas'!$D$43/360,5)</f>
        <v>0</v>
      </c>
    </row>
    <row r="151" spans="1:5">
      <c r="A151" s="123">
        <f t="shared" si="4"/>
        <v>149</v>
      </c>
      <c r="B151" s="122">
        <f>IF(DAY(A151)=DAY('F-Ahorro Futuro Genérico'!$H$11),'F-Ahorro Futuro Genérico'!$H$9,0)</f>
        <v>0</v>
      </c>
      <c r="C151" s="122">
        <f t="shared" si="5"/>
        <v>0</v>
      </c>
      <c r="D151" s="121">
        <f>ROUND(C151*'FR_Mantenimiento tasas'!$C$43/360,5)</f>
        <v>0</v>
      </c>
      <c r="E151" s="121">
        <f>ROUND(C151*'FR_Mantenimiento tasas'!$D$43/360,5)</f>
        <v>0</v>
      </c>
    </row>
    <row r="152" spans="1:5">
      <c r="A152" s="123">
        <f t="shared" si="4"/>
        <v>150</v>
      </c>
      <c r="B152" s="122">
        <f>IF(DAY(A152)=DAY('F-Ahorro Futuro Genérico'!$H$11),'F-Ahorro Futuro Genérico'!$H$9,0)</f>
        <v>0</v>
      </c>
      <c r="C152" s="122">
        <f t="shared" si="5"/>
        <v>0</v>
      </c>
      <c r="D152" s="121">
        <f>ROUND(C152*'FR_Mantenimiento tasas'!$C$43/360,5)</f>
        <v>0</v>
      </c>
      <c r="E152" s="121">
        <f>ROUND(C152*'FR_Mantenimiento tasas'!$D$43/360,5)</f>
        <v>0</v>
      </c>
    </row>
    <row r="153" spans="1:5">
      <c r="A153" s="123">
        <f t="shared" si="4"/>
        <v>151</v>
      </c>
      <c r="B153" s="122">
        <f>IF(DAY(A153)=DAY('F-Ahorro Futuro Genérico'!$H$11),'F-Ahorro Futuro Genérico'!$H$9,0)</f>
        <v>0</v>
      </c>
      <c r="C153" s="122">
        <f t="shared" si="5"/>
        <v>0</v>
      </c>
      <c r="D153" s="121">
        <f>ROUND(C153*'FR_Mantenimiento tasas'!$C$43/360,5)</f>
        <v>0</v>
      </c>
      <c r="E153" s="121">
        <f>ROUND(C153*'FR_Mantenimiento tasas'!$D$43/360,5)</f>
        <v>0</v>
      </c>
    </row>
    <row r="154" spans="1:5">
      <c r="A154" s="123">
        <f t="shared" si="4"/>
        <v>152</v>
      </c>
      <c r="B154" s="122">
        <f>IF(DAY(A154)=DAY('F-Ahorro Futuro Genérico'!$H$11),'F-Ahorro Futuro Genérico'!$H$9,0)</f>
        <v>0</v>
      </c>
      <c r="C154" s="122">
        <f t="shared" si="5"/>
        <v>0</v>
      </c>
      <c r="D154" s="121">
        <f>ROUND(C154*'FR_Mantenimiento tasas'!$C$43/360,5)</f>
        <v>0</v>
      </c>
      <c r="E154" s="121">
        <f>ROUND(C154*'FR_Mantenimiento tasas'!$D$43/360,5)</f>
        <v>0</v>
      </c>
    </row>
    <row r="155" spans="1:5">
      <c r="A155" s="123">
        <f t="shared" si="4"/>
        <v>153</v>
      </c>
      <c r="B155" s="122">
        <f>IF(DAY(A155)=DAY('F-Ahorro Futuro Genérico'!$H$11),'F-Ahorro Futuro Genérico'!$H$9,0)</f>
        <v>0</v>
      </c>
      <c r="C155" s="122">
        <f t="shared" si="5"/>
        <v>0</v>
      </c>
      <c r="D155" s="121">
        <f>ROUND(C155*'FR_Mantenimiento tasas'!$C$43/360,5)</f>
        <v>0</v>
      </c>
      <c r="E155" s="121">
        <f>ROUND(C155*'FR_Mantenimiento tasas'!$D$43/360,5)</f>
        <v>0</v>
      </c>
    </row>
    <row r="156" spans="1:5">
      <c r="A156" s="123">
        <f t="shared" si="4"/>
        <v>154</v>
      </c>
      <c r="B156" s="122">
        <f>IF(DAY(A156)=DAY('F-Ahorro Futuro Genérico'!$H$11),'F-Ahorro Futuro Genérico'!$H$9,0)</f>
        <v>0</v>
      </c>
      <c r="C156" s="122">
        <f t="shared" si="5"/>
        <v>0</v>
      </c>
      <c r="D156" s="121">
        <f>ROUND(C156*'FR_Mantenimiento tasas'!$C$43/360,5)</f>
        <v>0</v>
      </c>
      <c r="E156" s="121">
        <f>ROUND(C156*'FR_Mantenimiento tasas'!$D$43/360,5)</f>
        <v>0</v>
      </c>
    </row>
    <row r="157" spans="1:5">
      <c r="A157" s="123">
        <f t="shared" si="4"/>
        <v>155</v>
      </c>
      <c r="B157" s="122">
        <f>IF(DAY(A157)=DAY('F-Ahorro Futuro Genérico'!$H$11),'F-Ahorro Futuro Genérico'!$H$9,0)</f>
        <v>0</v>
      </c>
      <c r="C157" s="122">
        <f t="shared" si="5"/>
        <v>0</v>
      </c>
      <c r="D157" s="121">
        <f>ROUND(C157*'FR_Mantenimiento tasas'!$C$43/360,5)</f>
        <v>0</v>
      </c>
      <c r="E157" s="121">
        <f>ROUND(C157*'FR_Mantenimiento tasas'!$D$43/360,5)</f>
        <v>0</v>
      </c>
    </row>
    <row r="158" spans="1:5">
      <c r="A158" s="123">
        <f t="shared" si="4"/>
        <v>156</v>
      </c>
      <c r="B158" s="122">
        <f>IF(DAY(A158)=DAY('F-Ahorro Futuro Genérico'!$H$11),'F-Ahorro Futuro Genérico'!$H$9,0)</f>
        <v>0</v>
      </c>
      <c r="C158" s="122">
        <f t="shared" si="5"/>
        <v>0</v>
      </c>
      <c r="D158" s="121">
        <f>ROUND(C158*'FR_Mantenimiento tasas'!$C$43/360,5)</f>
        <v>0</v>
      </c>
      <c r="E158" s="121">
        <f>ROUND(C158*'FR_Mantenimiento tasas'!$D$43/360,5)</f>
        <v>0</v>
      </c>
    </row>
    <row r="159" spans="1:5">
      <c r="A159" s="123">
        <f t="shared" si="4"/>
        <v>157</v>
      </c>
      <c r="B159" s="122">
        <f>IF(DAY(A159)=DAY('F-Ahorro Futuro Genérico'!$H$11),'F-Ahorro Futuro Genérico'!$H$9,0)</f>
        <v>0</v>
      </c>
      <c r="C159" s="122">
        <f t="shared" si="5"/>
        <v>0</v>
      </c>
      <c r="D159" s="121">
        <f>ROUND(C159*'FR_Mantenimiento tasas'!$C$43/360,5)</f>
        <v>0</v>
      </c>
      <c r="E159" s="121">
        <f>ROUND(C159*'FR_Mantenimiento tasas'!$D$43/360,5)</f>
        <v>0</v>
      </c>
    </row>
    <row r="160" spans="1:5">
      <c r="A160" s="123">
        <f t="shared" si="4"/>
        <v>158</v>
      </c>
      <c r="B160" s="122">
        <f>IF(DAY(A160)=DAY('F-Ahorro Futuro Genérico'!$H$11),'F-Ahorro Futuro Genérico'!$H$9,0)</f>
        <v>0</v>
      </c>
      <c r="C160" s="122">
        <f t="shared" si="5"/>
        <v>0</v>
      </c>
      <c r="D160" s="121">
        <f>ROUND(C160*'FR_Mantenimiento tasas'!$C$43/360,5)</f>
        <v>0</v>
      </c>
      <c r="E160" s="121">
        <f>ROUND(C160*'FR_Mantenimiento tasas'!$D$43/360,5)</f>
        <v>0</v>
      </c>
    </row>
    <row r="161" spans="1:5">
      <c r="A161" s="123">
        <f t="shared" si="4"/>
        <v>159</v>
      </c>
      <c r="B161" s="122">
        <f>IF(DAY(A161)=DAY('F-Ahorro Futuro Genérico'!$H$11),'F-Ahorro Futuro Genérico'!$H$9,0)</f>
        <v>0</v>
      </c>
      <c r="C161" s="122">
        <f t="shared" si="5"/>
        <v>0</v>
      </c>
      <c r="D161" s="121">
        <f>ROUND(C161*'FR_Mantenimiento tasas'!$C$43/360,5)</f>
        <v>0</v>
      </c>
      <c r="E161" s="121">
        <f>ROUND(C161*'FR_Mantenimiento tasas'!$D$43/360,5)</f>
        <v>0</v>
      </c>
    </row>
    <row r="162" spans="1:5">
      <c r="A162" s="123">
        <f t="shared" si="4"/>
        <v>160</v>
      </c>
      <c r="B162" s="122">
        <f>IF(DAY(A162)=DAY('F-Ahorro Futuro Genérico'!$H$11),'F-Ahorro Futuro Genérico'!$H$9,0)</f>
        <v>0</v>
      </c>
      <c r="C162" s="122">
        <f t="shared" si="5"/>
        <v>0</v>
      </c>
      <c r="D162" s="121">
        <f>ROUND(C162*'FR_Mantenimiento tasas'!$C$43/360,5)</f>
        <v>0</v>
      </c>
      <c r="E162" s="121">
        <f>ROUND(C162*'FR_Mantenimiento tasas'!$D$43/360,5)</f>
        <v>0</v>
      </c>
    </row>
    <row r="163" spans="1:5">
      <c r="A163" s="123">
        <f t="shared" si="4"/>
        <v>161</v>
      </c>
      <c r="B163" s="122">
        <f>IF(DAY(A163)=DAY('F-Ahorro Futuro Genérico'!$H$11),'F-Ahorro Futuro Genérico'!$H$9,0)</f>
        <v>0</v>
      </c>
      <c r="C163" s="122">
        <f t="shared" si="5"/>
        <v>0</v>
      </c>
      <c r="D163" s="121">
        <f>ROUND(C163*'FR_Mantenimiento tasas'!$C$43/360,5)</f>
        <v>0</v>
      </c>
      <c r="E163" s="121">
        <f>ROUND(C163*'FR_Mantenimiento tasas'!$D$43/360,5)</f>
        <v>0</v>
      </c>
    </row>
    <row r="164" spans="1:5">
      <c r="A164" s="123">
        <f t="shared" si="4"/>
        <v>162</v>
      </c>
      <c r="B164" s="122">
        <f>IF(DAY(A164)=DAY('F-Ahorro Futuro Genérico'!$H$11),'F-Ahorro Futuro Genérico'!$H$9,0)</f>
        <v>0</v>
      </c>
      <c r="C164" s="122">
        <f t="shared" si="5"/>
        <v>0</v>
      </c>
      <c r="D164" s="121">
        <f>ROUND(C164*'FR_Mantenimiento tasas'!$C$43/360,5)</f>
        <v>0</v>
      </c>
      <c r="E164" s="121">
        <f>ROUND(C164*'FR_Mantenimiento tasas'!$D$43/360,5)</f>
        <v>0</v>
      </c>
    </row>
    <row r="165" spans="1:5">
      <c r="A165" s="123">
        <f t="shared" si="4"/>
        <v>163</v>
      </c>
      <c r="B165" s="122">
        <f>IF(DAY(A165)=DAY('F-Ahorro Futuro Genérico'!$H$11),'F-Ahorro Futuro Genérico'!$H$9,0)</f>
        <v>0</v>
      </c>
      <c r="C165" s="122">
        <f t="shared" si="5"/>
        <v>0</v>
      </c>
      <c r="D165" s="121">
        <f>ROUND(C165*'FR_Mantenimiento tasas'!$C$43/360,5)</f>
        <v>0</v>
      </c>
      <c r="E165" s="121">
        <f>ROUND(C165*'FR_Mantenimiento tasas'!$D$43/360,5)</f>
        <v>0</v>
      </c>
    </row>
    <row r="166" spans="1:5">
      <c r="A166" s="123">
        <f t="shared" si="4"/>
        <v>164</v>
      </c>
      <c r="B166" s="122">
        <f>IF(DAY(A166)=DAY('F-Ahorro Futuro Genérico'!$H$11),'F-Ahorro Futuro Genérico'!$H$9,0)</f>
        <v>0</v>
      </c>
      <c r="C166" s="122">
        <f t="shared" si="5"/>
        <v>0</v>
      </c>
      <c r="D166" s="121">
        <f>ROUND(C166*'FR_Mantenimiento tasas'!$C$43/360,5)</f>
        <v>0</v>
      </c>
      <c r="E166" s="121">
        <f>ROUND(C166*'FR_Mantenimiento tasas'!$D$43/360,5)</f>
        <v>0</v>
      </c>
    </row>
    <row r="167" spans="1:5">
      <c r="A167" s="123">
        <f t="shared" si="4"/>
        <v>165</v>
      </c>
      <c r="B167" s="122">
        <f>IF(DAY(A167)=DAY('F-Ahorro Futuro Genérico'!$H$11),'F-Ahorro Futuro Genérico'!$H$9,0)</f>
        <v>0</v>
      </c>
      <c r="C167" s="122">
        <f t="shared" si="5"/>
        <v>0</v>
      </c>
      <c r="D167" s="121">
        <f>ROUND(C167*'FR_Mantenimiento tasas'!$C$43/360,5)</f>
        <v>0</v>
      </c>
      <c r="E167" s="121">
        <f>ROUND(C167*'FR_Mantenimiento tasas'!$D$43/360,5)</f>
        <v>0</v>
      </c>
    </row>
    <row r="168" spans="1:5">
      <c r="A168" s="123">
        <f t="shared" si="4"/>
        <v>166</v>
      </c>
      <c r="B168" s="122">
        <f>IF(DAY(A168)=DAY('F-Ahorro Futuro Genérico'!$H$11),'F-Ahorro Futuro Genérico'!$H$9,0)</f>
        <v>0</v>
      </c>
      <c r="C168" s="122">
        <f t="shared" si="5"/>
        <v>0</v>
      </c>
      <c r="D168" s="121">
        <f>ROUND(C168*'FR_Mantenimiento tasas'!$C$43/360,5)</f>
        <v>0</v>
      </c>
      <c r="E168" s="121">
        <f>ROUND(C168*'FR_Mantenimiento tasas'!$D$43/360,5)</f>
        <v>0</v>
      </c>
    </row>
    <row r="169" spans="1:5">
      <c r="A169" s="123">
        <f t="shared" si="4"/>
        <v>167</v>
      </c>
      <c r="B169" s="122">
        <f>IF(DAY(A169)=DAY('F-Ahorro Futuro Genérico'!$H$11),'F-Ahorro Futuro Genérico'!$H$9,0)</f>
        <v>0</v>
      </c>
      <c r="C169" s="122">
        <f t="shared" si="5"/>
        <v>0</v>
      </c>
      <c r="D169" s="121">
        <f>ROUND(C169*'FR_Mantenimiento tasas'!$C$43/360,5)</f>
        <v>0</v>
      </c>
      <c r="E169" s="121">
        <f>ROUND(C169*'FR_Mantenimiento tasas'!$D$43/360,5)</f>
        <v>0</v>
      </c>
    </row>
    <row r="170" spans="1:5">
      <c r="A170" s="123">
        <f t="shared" si="4"/>
        <v>168</v>
      </c>
      <c r="B170" s="122">
        <f>IF(DAY(A170)=DAY('F-Ahorro Futuro Genérico'!$H$11),'F-Ahorro Futuro Genérico'!$H$9,0)</f>
        <v>0</v>
      </c>
      <c r="C170" s="122">
        <f t="shared" si="5"/>
        <v>0</v>
      </c>
      <c r="D170" s="121">
        <f>ROUND(C170*'FR_Mantenimiento tasas'!$C$43/360,5)</f>
        <v>0</v>
      </c>
      <c r="E170" s="121">
        <f>ROUND(C170*'FR_Mantenimiento tasas'!$D$43/360,5)</f>
        <v>0</v>
      </c>
    </row>
    <row r="171" spans="1:5">
      <c r="A171" s="123">
        <f t="shared" si="4"/>
        <v>169</v>
      </c>
      <c r="B171" s="122">
        <f>IF(DAY(A171)=DAY('F-Ahorro Futuro Genérico'!$H$11),'F-Ahorro Futuro Genérico'!$H$9,0)</f>
        <v>0</v>
      </c>
      <c r="C171" s="122">
        <f t="shared" si="5"/>
        <v>0</v>
      </c>
      <c r="D171" s="121">
        <f>ROUND(C171*'FR_Mantenimiento tasas'!$C$43/360,5)</f>
        <v>0</v>
      </c>
      <c r="E171" s="121">
        <f>ROUND(C171*'FR_Mantenimiento tasas'!$D$43/360,5)</f>
        <v>0</v>
      </c>
    </row>
    <row r="172" spans="1:5">
      <c r="A172" s="123">
        <f t="shared" si="4"/>
        <v>170</v>
      </c>
      <c r="B172" s="122">
        <f>IF(DAY(A172)=DAY('F-Ahorro Futuro Genérico'!$H$11),'F-Ahorro Futuro Genérico'!$H$9,0)</f>
        <v>0</v>
      </c>
      <c r="C172" s="122">
        <f t="shared" si="5"/>
        <v>0</v>
      </c>
      <c r="D172" s="121">
        <f>ROUND(C172*'FR_Mantenimiento tasas'!$C$43/360,5)</f>
        <v>0</v>
      </c>
      <c r="E172" s="121">
        <f>ROUND(C172*'FR_Mantenimiento tasas'!$D$43/360,5)</f>
        <v>0</v>
      </c>
    </row>
    <row r="173" spans="1:5">
      <c r="A173" s="123">
        <f t="shared" si="4"/>
        <v>171</v>
      </c>
      <c r="B173" s="122">
        <f>IF(DAY(A173)=DAY('F-Ahorro Futuro Genérico'!$H$11),'F-Ahorro Futuro Genérico'!$H$9,0)</f>
        <v>0</v>
      </c>
      <c r="C173" s="122">
        <f t="shared" si="5"/>
        <v>0</v>
      </c>
      <c r="D173" s="121">
        <f>ROUND(C173*'FR_Mantenimiento tasas'!$C$43/360,5)</f>
        <v>0</v>
      </c>
      <c r="E173" s="121">
        <f>ROUND(C173*'FR_Mantenimiento tasas'!$D$43/360,5)</f>
        <v>0</v>
      </c>
    </row>
    <row r="174" spans="1:5">
      <c r="A174" s="123">
        <f t="shared" si="4"/>
        <v>172</v>
      </c>
      <c r="B174" s="122">
        <f>IF(DAY(A174)=DAY('F-Ahorro Futuro Genérico'!$H$11),'F-Ahorro Futuro Genérico'!$H$9,0)</f>
        <v>0</v>
      </c>
      <c r="C174" s="122">
        <f t="shared" si="5"/>
        <v>0</v>
      </c>
      <c r="D174" s="121">
        <f>ROUND(C174*'FR_Mantenimiento tasas'!$C$43/360,5)</f>
        <v>0</v>
      </c>
      <c r="E174" s="121">
        <f>ROUND(C174*'FR_Mantenimiento tasas'!$D$43/360,5)</f>
        <v>0</v>
      </c>
    </row>
    <row r="175" spans="1:5">
      <c r="A175" s="123">
        <f t="shared" si="4"/>
        <v>173</v>
      </c>
      <c r="B175" s="122">
        <f>IF(DAY(A175)=DAY('F-Ahorro Futuro Genérico'!$H$11),'F-Ahorro Futuro Genérico'!$H$9,0)</f>
        <v>0</v>
      </c>
      <c r="C175" s="122">
        <f t="shared" si="5"/>
        <v>0</v>
      </c>
      <c r="D175" s="121">
        <f>ROUND(C175*'FR_Mantenimiento tasas'!$C$43/360,5)</f>
        <v>0</v>
      </c>
      <c r="E175" s="121">
        <f>ROUND(C175*'FR_Mantenimiento tasas'!$D$43/360,5)</f>
        <v>0</v>
      </c>
    </row>
    <row r="176" spans="1:5">
      <c r="A176" s="123">
        <f t="shared" si="4"/>
        <v>174</v>
      </c>
      <c r="B176" s="122">
        <f>IF(DAY(A176)=DAY('F-Ahorro Futuro Genérico'!$H$11),'F-Ahorro Futuro Genérico'!$H$9,0)</f>
        <v>0</v>
      </c>
      <c r="C176" s="122">
        <f t="shared" si="5"/>
        <v>0</v>
      </c>
      <c r="D176" s="121">
        <f>ROUND(C176*'FR_Mantenimiento tasas'!$C$43/360,5)</f>
        <v>0</v>
      </c>
      <c r="E176" s="121">
        <f>ROUND(C176*'FR_Mantenimiento tasas'!$D$43/360,5)</f>
        <v>0</v>
      </c>
    </row>
    <row r="177" spans="1:5">
      <c r="A177" s="123">
        <f t="shared" si="4"/>
        <v>175</v>
      </c>
      <c r="B177" s="122">
        <f>IF(DAY(A177)=DAY('F-Ahorro Futuro Genérico'!$H$11),'F-Ahorro Futuro Genérico'!$H$9,0)</f>
        <v>0</v>
      </c>
      <c r="C177" s="122">
        <f t="shared" si="5"/>
        <v>0</v>
      </c>
      <c r="D177" s="121">
        <f>ROUND(C177*'FR_Mantenimiento tasas'!$C$43/360,5)</f>
        <v>0</v>
      </c>
      <c r="E177" s="121">
        <f>ROUND(C177*'FR_Mantenimiento tasas'!$D$43/360,5)</f>
        <v>0</v>
      </c>
    </row>
    <row r="178" spans="1:5">
      <c r="A178" s="123">
        <f t="shared" si="4"/>
        <v>176</v>
      </c>
      <c r="B178" s="122">
        <f>IF(DAY(A178)=DAY('F-Ahorro Futuro Genérico'!$H$11),'F-Ahorro Futuro Genérico'!$H$9,0)</f>
        <v>0</v>
      </c>
      <c r="C178" s="122">
        <f t="shared" si="5"/>
        <v>0</v>
      </c>
      <c r="D178" s="121">
        <f>ROUND(C178*'FR_Mantenimiento tasas'!$C$43/360,5)</f>
        <v>0</v>
      </c>
      <c r="E178" s="121">
        <f>ROUND(C178*'FR_Mantenimiento tasas'!$D$43/360,5)</f>
        <v>0</v>
      </c>
    </row>
    <row r="179" spans="1:5">
      <c r="A179" s="123">
        <f t="shared" si="4"/>
        <v>177</v>
      </c>
      <c r="B179" s="122">
        <f>IF(DAY(A179)=DAY('F-Ahorro Futuro Genérico'!$H$11),'F-Ahorro Futuro Genérico'!$H$9,0)</f>
        <v>0</v>
      </c>
      <c r="C179" s="122">
        <f t="shared" si="5"/>
        <v>0</v>
      </c>
      <c r="D179" s="121">
        <f>ROUND(C179*'FR_Mantenimiento tasas'!$C$43/360,5)</f>
        <v>0</v>
      </c>
      <c r="E179" s="121">
        <f>ROUND(C179*'FR_Mantenimiento tasas'!$D$43/360,5)</f>
        <v>0</v>
      </c>
    </row>
    <row r="180" spans="1:5">
      <c r="A180" s="123">
        <f t="shared" si="4"/>
        <v>178</v>
      </c>
      <c r="B180" s="122">
        <f>IF(DAY(A180)=DAY('F-Ahorro Futuro Genérico'!$H$11),'F-Ahorro Futuro Genérico'!$H$9,0)</f>
        <v>0</v>
      </c>
      <c r="C180" s="122">
        <f t="shared" si="5"/>
        <v>0</v>
      </c>
      <c r="D180" s="121">
        <f>ROUND(C180*'FR_Mantenimiento tasas'!$C$43/360,5)</f>
        <v>0</v>
      </c>
      <c r="E180" s="121">
        <f>ROUND(C180*'FR_Mantenimiento tasas'!$D$43/360,5)</f>
        <v>0</v>
      </c>
    </row>
    <row r="181" spans="1:5">
      <c r="A181" s="123">
        <f t="shared" si="4"/>
        <v>179</v>
      </c>
      <c r="B181" s="122">
        <f>IF(DAY(A181)=DAY('F-Ahorro Futuro Genérico'!$H$11),'F-Ahorro Futuro Genérico'!$H$9,0)</f>
        <v>0</v>
      </c>
      <c r="C181" s="122">
        <f t="shared" si="5"/>
        <v>0</v>
      </c>
      <c r="D181" s="121">
        <f>ROUND(C181*'FR_Mantenimiento tasas'!$C$43/360,5)</f>
        <v>0</v>
      </c>
      <c r="E181" s="121">
        <f>ROUND(C181*'FR_Mantenimiento tasas'!$D$43/360,5)</f>
        <v>0</v>
      </c>
    </row>
    <row r="182" spans="1:5">
      <c r="A182" s="123">
        <f t="shared" si="4"/>
        <v>180</v>
      </c>
      <c r="B182" s="122">
        <f>IF(DAY(A182)=DAY('F-Ahorro Futuro Genérico'!$H$11),'F-Ahorro Futuro Genérico'!$H$9,0)</f>
        <v>0</v>
      </c>
      <c r="C182" s="122">
        <f t="shared" si="5"/>
        <v>0</v>
      </c>
      <c r="D182" s="121">
        <f>ROUND(C182*'FR_Mantenimiento tasas'!$C$43/360,5)</f>
        <v>0</v>
      </c>
      <c r="E182" s="121">
        <f>ROUND(C182*'FR_Mantenimiento tasas'!$D$43/360,5)</f>
        <v>0</v>
      </c>
    </row>
    <row r="183" spans="1:5">
      <c r="A183" s="123">
        <f t="shared" si="4"/>
        <v>181</v>
      </c>
      <c r="B183" s="122">
        <f>IF(DAY(A183)=DAY('F-Ahorro Futuro Genérico'!$H$11),'F-Ahorro Futuro Genérico'!$H$9,0)</f>
        <v>0</v>
      </c>
      <c r="C183" s="122">
        <f t="shared" si="5"/>
        <v>0</v>
      </c>
      <c r="D183" s="121">
        <f>ROUND(C183*'FR_Mantenimiento tasas'!$C$43/360,5)</f>
        <v>0</v>
      </c>
      <c r="E183" s="121">
        <f>ROUND(C183*'FR_Mantenimiento tasas'!$D$43/360,5)</f>
        <v>0</v>
      </c>
    </row>
    <row r="184" spans="1:5">
      <c r="A184" s="123">
        <f t="shared" si="4"/>
        <v>182</v>
      </c>
      <c r="B184" s="122">
        <f>IF(DAY(A184)=DAY('F-Ahorro Futuro Genérico'!$H$11),'F-Ahorro Futuro Genérico'!$H$9,0)</f>
        <v>0</v>
      </c>
      <c r="C184" s="122">
        <f t="shared" si="5"/>
        <v>0</v>
      </c>
      <c r="D184" s="121">
        <f>ROUND(C184*'FR_Mantenimiento tasas'!$C$43/360,5)</f>
        <v>0</v>
      </c>
      <c r="E184" s="121">
        <f>ROUND(C184*'FR_Mantenimiento tasas'!$D$43/360,5)</f>
        <v>0</v>
      </c>
    </row>
    <row r="185" spans="1:5">
      <c r="A185" s="123">
        <f t="shared" si="4"/>
        <v>183</v>
      </c>
      <c r="B185" s="122">
        <f>IF(DAY(A185)=DAY('F-Ahorro Futuro Genérico'!$H$11),'F-Ahorro Futuro Genérico'!$H$9,0)</f>
        <v>0</v>
      </c>
      <c r="C185" s="122">
        <f t="shared" si="5"/>
        <v>0</v>
      </c>
      <c r="D185" s="121">
        <f>ROUND(C185*'FR_Mantenimiento tasas'!$C$43/360,5)</f>
        <v>0</v>
      </c>
      <c r="E185" s="121">
        <f>ROUND(C185*'FR_Mantenimiento tasas'!$D$43/360,5)</f>
        <v>0</v>
      </c>
    </row>
    <row r="186" spans="1:5">
      <c r="A186" s="123">
        <f t="shared" si="4"/>
        <v>184</v>
      </c>
      <c r="B186" s="122">
        <f>IF(DAY(A186)=DAY('F-Ahorro Futuro Genérico'!$H$11),'F-Ahorro Futuro Genérico'!$H$9,0)</f>
        <v>0</v>
      </c>
      <c r="C186" s="122">
        <f t="shared" si="5"/>
        <v>0</v>
      </c>
      <c r="D186" s="121">
        <f>ROUND(C186*'FR_Mantenimiento tasas'!$C$43/360,5)</f>
        <v>0</v>
      </c>
      <c r="E186" s="121">
        <f>ROUND(C186*'FR_Mantenimiento tasas'!$D$43/360,5)</f>
        <v>0</v>
      </c>
    </row>
    <row r="187" spans="1:5">
      <c r="A187" s="123">
        <f t="shared" si="4"/>
        <v>185</v>
      </c>
      <c r="B187" s="122">
        <f>IF(DAY(A187)=DAY('F-Ahorro Futuro Genérico'!$H$11),'F-Ahorro Futuro Genérico'!$H$9,0)</f>
        <v>0</v>
      </c>
      <c r="C187" s="122">
        <f t="shared" si="5"/>
        <v>0</v>
      </c>
      <c r="D187" s="121">
        <f>ROUND(C187*'FR_Mantenimiento tasas'!$C$43/360,5)</f>
        <v>0</v>
      </c>
      <c r="E187" s="121">
        <f>ROUND(C187*'FR_Mantenimiento tasas'!$D$43/360,5)</f>
        <v>0</v>
      </c>
    </row>
    <row r="188" spans="1:5">
      <c r="A188" s="123">
        <f t="shared" si="4"/>
        <v>186</v>
      </c>
      <c r="B188" s="122">
        <f>IF(DAY(A188)=DAY('F-Ahorro Futuro Genérico'!$H$11),'F-Ahorro Futuro Genérico'!$H$9,0)</f>
        <v>0</v>
      </c>
      <c r="C188" s="122">
        <f t="shared" si="5"/>
        <v>0</v>
      </c>
      <c r="D188" s="121">
        <f>ROUND(C188*'FR_Mantenimiento tasas'!$C$43/360,5)</f>
        <v>0</v>
      </c>
      <c r="E188" s="121">
        <f>ROUND(C188*'FR_Mantenimiento tasas'!$D$43/360,5)</f>
        <v>0</v>
      </c>
    </row>
    <row r="189" spans="1:5">
      <c r="A189" s="123">
        <f t="shared" si="4"/>
        <v>187</v>
      </c>
      <c r="B189" s="122">
        <f>IF(DAY(A189)=DAY('F-Ahorro Futuro Genérico'!$H$11),'F-Ahorro Futuro Genérico'!$H$9,0)</f>
        <v>0</v>
      </c>
      <c r="C189" s="122">
        <f t="shared" si="5"/>
        <v>0</v>
      </c>
      <c r="D189" s="121">
        <f>ROUND(C189*'FR_Mantenimiento tasas'!$C$43/360,5)</f>
        <v>0</v>
      </c>
      <c r="E189" s="121">
        <f>ROUND(C189*'FR_Mantenimiento tasas'!$D$43/360,5)</f>
        <v>0</v>
      </c>
    </row>
    <row r="190" spans="1:5">
      <c r="A190" s="123">
        <f t="shared" si="4"/>
        <v>188</v>
      </c>
      <c r="B190" s="122">
        <f>IF(DAY(A190)=DAY('F-Ahorro Futuro Genérico'!$H$11),'F-Ahorro Futuro Genérico'!$H$9,0)</f>
        <v>0</v>
      </c>
      <c r="C190" s="122">
        <f t="shared" si="5"/>
        <v>0</v>
      </c>
      <c r="D190" s="121">
        <f>ROUND(C190*'FR_Mantenimiento tasas'!$C$43/360,5)</f>
        <v>0</v>
      </c>
      <c r="E190" s="121">
        <f>ROUND(C190*'FR_Mantenimiento tasas'!$D$43/360,5)</f>
        <v>0</v>
      </c>
    </row>
    <row r="191" spans="1:5">
      <c r="A191" s="123">
        <f t="shared" si="4"/>
        <v>189</v>
      </c>
      <c r="B191" s="122">
        <f>IF(DAY(A191)=DAY('F-Ahorro Futuro Genérico'!$H$11),'F-Ahorro Futuro Genérico'!$H$9,0)</f>
        <v>0</v>
      </c>
      <c r="C191" s="122">
        <f t="shared" si="5"/>
        <v>0</v>
      </c>
      <c r="D191" s="121">
        <f>ROUND(C191*'FR_Mantenimiento tasas'!$C$43/360,5)</f>
        <v>0</v>
      </c>
      <c r="E191" s="121">
        <f>ROUND(C191*'FR_Mantenimiento tasas'!$D$43/360,5)</f>
        <v>0</v>
      </c>
    </row>
    <row r="192" spans="1:5">
      <c r="A192" s="123">
        <f t="shared" si="4"/>
        <v>190</v>
      </c>
      <c r="B192" s="122">
        <f>IF(DAY(A192)=DAY('F-Ahorro Futuro Genérico'!$H$11),'F-Ahorro Futuro Genérico'!$H$9,0)</f>
        <v>0</v>
      </c>
      <c r="C192" s="122">
        <f t="shared" si="5"/>
        <v>0</v>
      </c>
      <c r="D192" s="121">
        <f>ROUND(C192*'FR_Mantenimiento tasas'!$C$43/360,5)</f>
        <v>0</v>
      </c>
      <c r="E192" s="121">
        <f>ROUND(C192*'FR_Mantenimiento tasas'!$D$43/360,5)</f>
        <v>0</v>
      </c>
    </row>
    <row r="193" spans="1:5">
      <c r="A193" s="123">
        <f t="shared" si="4"/>
        <v>191</v>
      </c>
      <c r="B193" s="122">
        <f>IF(DAY(A193)=DAY('F-Ahorro Futuro Genérico'!$H$11),'F-Ahorro Futuro Genérico'!$H$9,0)</f>
        <v>0</v>
      </c>
      <c r="C193" s="122">
        <f t="shared" si="5"/>
        <v>0</v>
      </c>
      <c r="D193" s="121">
        <f>ROUND(C193*'FR_Mantenimiento tasas'!$C$43/360,5)</f>
        <v>0</v>
      </c>
      <c r="E193" s="121">
        <f>ROUND(C193*'FR_Mantenimiento tasas'!$D$43/360,5)</f>
        <v>0</v>
      </c>
    </row>
    <row r="194" spans="1:5">
      <c r="A194" s="123">
        <f t="shared" si="4"/>
        <v>192</v>
      </c>
      <c r="B194" s="122">
        <f>IF(DAY(A194)=DAY('F-Ahorro Futuro Genérico'!$H$11),'F-Ahorro Futuro Genérico'!$H$9,0)</f>
        <v>0</v>
      </c>
      <c r="C194" s="122">
        <f t="shared" si="5"/>
        <v>0</v>
      </c>
      <c r="D194" s="121">
        <f>ROUND(C194*'FR_Mantenimiento tasas'!$C$43/360,5)</f>
        <v>0</v>
      </c>
      <c r="E194" s="121">
        <f>ROUND(C194*'FR_Mantenimiento tasas'!$D$43/360,5)</f>
        <v>0</v>
      </c>
    </row>
    <row r="195" spans="1:5">
      <c r="A195" s="123">
        <f t="shared" si="4"/>
        <v>193</v>
      </c>
      <c r="B195" s="122">
        <f>IF(DAY(A195)=DAY('F-Ahorro Futuro Genérico'!$H$11),'F-Ahorro Futuro Genérico'!$H$9,0)</f>
        <v>0</v>
      </c>
      <c r="C195" s="122">
        <f t="shared" si="5"/>
        <v>0</v>
      </c>
      <c r="D195" s="121">
        <f>ROUND(C195*'FR_Mantenimiento tasas'!$C$43/360,5)</f>
        <v>0</v>
      </c>
      <c r="E195" s="121">
        <f>ROUND(C195*'FR_Mantenimiento tasas'!$D$43/360,5)</f>
        <v>0</v>
      </c>
    </row>
    <row r="196" spans="1:5">
      <c r="A196" s="123">
        <f t="shared" ref="A196:A259" si="6">+A195+1</f>
        <v>194</v>
      </c>
      <c r="B196" s="122">
        <f>IF(DAY(A196)=DAY('F-Ahorro Futuro Genérico'!$H$11),'F-Ahorro Futuro Genérico'!$H$9,0)</f>
        <v>0</v>
      </c>
      <c r="C196" s="122">
        <f t="shared" ref="C196:C259" si="7">+B196+C195+D195</f>
        <v>0</v>
      </c>
      <c r="D196" s="121">
        <f>ROUND(C196*'FR_Mantenimiento tasas'!$C$43/360,5)</f>
        <v>0</v>
      </c>
      <c r="E196" s="121">
        <f>ROUND(C196*'FR_Mantenimiento tasas'!$D$43/360,5)</f>
        <v>0</v>
      </c>
    </row>
    <row r="197" spans="1:5">
      <c r="A197" s="123">
        <f t="shared" si="6"/>
        <v>195</v>
      </c>
      <c r="B197" s="122">
        <f>IF(DAY(A197)=DAY('F-Ahorro Futuro Genérico'!$H$11),'F-Ahorro Futuro Genérico'!$H$9,0)</f>
        <v>0</v>
      </c>
      <c r="C197" s="122">
        <f t="shared" si="7"/>
        <v>0</v>
      </c>
      <c r="D197" s="121">
        <f>ROUND(C197*'FR_Mantenimiento tasas'!$C$43/360,5)</f>
        <v>0</v>
      </c>
      <c r="E197" s="121">
        <f>ROUND(C197*'FR_Mantenimiento tasas'!$D$43/360,5)</f>
        <v>0</v>
      </c>
    </row>
    <row r="198" spans="1:5">
      <c r="A198" s="123">
        <f t="shared" si="6"/>
        <v>196</v>
      </c>
      <c r="B198" s="122">
        <f>IF(DAY(A198)=DAY('F-Ahorro Futuro Genérico'!$H$11),'F-Ahorro Futuro Genérico'!$H$9,0)</f>
        <v>0</v>
      </c>
      <c r="C198" s="122">
        <f t="shared" si="7"/>
        <v>0</v>
      </c>
      <c r="D198" s="121">
        <f>ROUND(C198*'FR_Mantenimiento tasas'!$C$43/360,5)</f>
        <v>0</v>
      </c>
      <c r="E198" s="121">
        <f>ROUND(C198*'FR_Mantenimiento tasas'!$D$43/360,5)</f>
        <v>0</v>
      </c>
    </row>
    <row r="199" spans="1:5">
      <c r="A199" s="123">
        <f t="shared" si="6"/>
        <v>197</v>
      </c>
      <c r="B199" s="122">
        <f>IF(DAY(A199)=DAY('F-Ahorro Futuro Genérico'!$H$11),'F-Ahorro Futuro Genérico'!$H$9,0)</f>
        <v>0</v>
      </c>
      <c r="C199" s="122">
        <f t="shared" si="7"/>
        <v>0</v>
      </c>
      <c r="D199" s="121">
        <f>ROUND(C199*'FR_Mantenimiento tasas'!$C$43/360,5)</f>
        <v>0</v>
      </c>
      <c r="E199" s="121">
        <f>ROUND(C199*'FR_Mantenimiento tasas'!$D$43/360,5)</f>
        <v>0</v>
      </c>
    </row>
    <row r="200" spans="1:5">
      <c r="A200" s="123">
        <f t="shared" si="6"/>
        <v>198</v>
      </c>
      <c r="B200" s="122">
        <f>IF(DAY(A200)=DAY('F-Ahorro Futuro Genérico'!$H$11),'F-Ahorro Futuro Genérico'!$H$9,0)</f>
        <v>0</v>
      </c>
      <c r="C200" s="122">
        <f t="shared" si="7"/>
        <v>0</v>
      </c>
      <c r="D200" s="121">
        <f>ROUND(C200*'FR_Mantenimiento tasas'!$C$43/360,5)</f>
        <v>0</v>
      </c>
      <c r="E200" s="121">
        <f>ROUND(C200*'FR_Mantenimiento tasas'!$D$43/360,5)</f>
        <v>0</v>
      </c>
    </row>
    <row r="201" spans="1:5">
      <c r="A201" s="123">
        <f t="shared" si="6"/>
        <v>199</v>
      </c>
      <c r="B201" s="122">
        <f>IF(DAY(A201)=DAY('F-Ahorro Futuro Genérico'!$H$11),'F-Ahorro Futuro Genérico'!$H$9,0)</f>
        <v>0</v>
      </c>
      <c r="C201" s="122">
        <f t="shared" si="7"/>
        <v>0</v>
      </c>
      <c r="D201" s="121">
        <f>ROUND(C201*'FR_Mantenimiento tasas'!$C$43/360,5)</f>
        <v>0</v>
      </c>
      <c r="E201" s="121">
        <f>ROUND(C201*'FR_Mantenimiento tasas'!$D$43/360,5)</f>
        <v>0</v>
      </c>
    </row>
    <row r="202" spans="1:5">
      <c r="A202" s="123">
        <f t="shared" si="6"/>
        <v>200</v>
      </c>
      <c r="B202" s="122">
        <f>IF(DAY(A202)=DAY('F-Ahorro Futuro Genérico'!$H$11),'F-Ahorro Futuro Genérico'!$H$9,0)</f>
        <v>0</v>
      </c>
      <c r="C202" s="122">
        <f t="shared" si="7"/>
        <v>0</v>
      </c>
      <c r="D202" s="121">
        <f>ROUND(C202*'FR_Mantenimiento tasas'!$C$43/360,5)</f>
        <v>0</v>
      </c>
      <c r="E202" s="121">
        <f>ROUND(C202*'FR_Mantenimiento tasas'!$D$43/360,5)</f>
        <v>0</v>
      </c>
    </row>
    <row r="203" spans="1:5">
      <c r="A203" s="123">
        <f t="shared" si="6"/>
        <v>201</v>
      </c>
      <c r="B203" s="122">
        <f>IF(DAY(A203)=DAY('F-Ahorro Futuro Genérico'!$H$11),'F-Ahorro Futuro Genérico'!$H$9,0)</f>
        <v>0</v>
      </c>
      <c r="C203" s="122">
        <f t="shared" si="7"/>
        <v>0</v>
      </c>
      <c r="D203" s="121">
        <f>ROUND(C203*'FR_Mantenimiento tasas'!$C$43/360,5)</f>
        <v>0</v>
      </c>
      <c r="E203" s="121">
        <f>ROUND(C203*'FR_Mantenimiento tasas'!$D$43/360,5)</f>
        <v>0</v>
      </c>
    </row>
    <row r="204" spans="1:5">
      <c r="A204" s="123">
        <f t="shared" si="6"/>
        <v>202</v>
      </c>
      <c r="B204" s="122">
        <f>IF(DAY(A204)=DAY('F-Ahorro Futuro Genérico'!$H$11),'F-Ahorro Futuro Genérico'!$H$9,0)</f>
        <v>0</v>
      </c>
      <c r="C204" s="122">
        <f t="shared" si="7"/>
        <v>0</v>
      </c>
      <c r="D204" s="121">
        <f>ROUND(C204*'FR_Mantenimiento tasas'!$C$43/360,5)</f>
        <v>0</v>
      </c>
      <c r="E204" s="121">
        <f>ROUND(C204*'FR_Mantenimiento tasas'!$D$43/360,5)</f>
        <v>0</v>
      </c>
    </row>
    <row r="205" spans="1:5">
      <c r="A205" s="123">
        <f t="shared" si="6"/>
        <v>203</v>
      </c>
      <c r="B205" s="122">
        <f>IF(DAY(A205)=DAY('F-Ahorro Futuro Genérico'!$H$11),'F-Ahorro Futuro Genérico'!$H$9,0)</f>
        <v>0</v>
      </c>
      <c r="C205" s="122">
        <f t="shared" si="7"/>
        <v>0</v>
      </c>
      <c r="D205" s="121">
        <f>ROUND(C205*'FR_Mantenimiento tasas'!$C$43/360,5)</f>
        <v>0</v>
      </c>
      <c r="E205" s="121">
        <f>ROUND(C205*'FR_Mantenimiento tasas'!$D$43/360,5)</f>
        <v>0</v>
      </c>
    </row>
    <row r="206" spans="1:5">
      <c r="A206" s="123">
        <f t="shared" si="6"/>
        <v>204</v>
      </c>
      <c r="B206" s="122">
        <f>IF(DAY(A206)=DAY('F-Ahorro Futuro Genérico'!$H$11),'F-Ahorro Futuro Genérico'!$H$9,0)</f>
        <v>0</v>
      </c>
      <c r="C206" s="122">
        <f t="shared" si="7"/>
        <v>0</v>
      </c>
      <c r="D206" s="121">
        <f>ROUND(C206*'FR_Mantenimiento tasas'!$C$43/360,5)</f>
        <v>0</v>
      </c>
      <c r="E206" s="121">
        <f>ROUND(C206*'FR_Mantenimiento tasas'!$D$43/360,5)</f>
        <v>0</v>
      </c>
    </row>
    <row r="207" spans="1:5">
      <c r="A207" s="123">
        <f t="shared" si="6"/>
        <v>205</v>
      </c>
      <c r="B207" s="122">
        <f>IF(DAY(A207)=DAY('F-Ahorro Futuro Genérico'!$H$11),'F-Ahorro Futuro Genérico'!$H$9,0)</f>
        <v>0</v>
      </c>
      <c r="C207" s="122">
        <f t="shared" si="7"/>
        <v>0</v>
      </c>
      <c r="D207" s="121">
        <f>ROUND(C207*'FR_Mantenimiento tasas'!$C$43/360,5)</f>
        <v>0</v>
      </c>
      <c r="E207" s="121">
        <f>ROUND(C207*'FR_Mantenimiento tasas'!$D$43/360,5)</f>
        <v>0</v>
      </c>
    </row>
    <row r="208" spans="1:5">
      <c r="A208" s="123">
        <f t="shared" si="6"/>
        <v>206</v>
      </c>
      <c r="B208" s="122">
        <f>IF(DAY(A208)=DAY('F-Ahorro Futuro Genérico'!$H$11),'F-Ahorro Futuro Genérico'!$H$9,0)</f>
        <v>0</v>
      </c>
      <c r="C208" s="122">
        <f t="shared" si="7"/>
        <v>0</v>
      </c>
      <c r="D208" s="121">
        <f>ROUND(C208*'FR_Mantenimiento tasas'!$C$43/360,5)</f>
        <v>0</v>
      </c>
      <c r="E208" s="121">
        <f>ROUND(C208*'FR_Mantenimiento tasas'!$D$43/360,5)</f>
        <v>0</v>
      </c>
    </row>
    <row r="209" spans="1:5">
      <c r="A209" s="123">
        <f t="shared" si="6"/>
        <v>207</v>
      </c>
      <c r="B209" s="122">
        <f>IF(DAY(A209)=DAY('F-Ahorro Futuro Genérico'!$H$11),'F-Ahorro Futuro Genérico'!$H$9,0)</f>
        <v>0</v>
      </c>
      <c r="C209" s="122">
        <f t="shared" si="7"/>
        <v>0</v>
      </c>
      <c r="D209" s="121">
        <f>ROUND(C209*'FR_Mantenimiento tasas'!$C$43/360,5)</f>
        <v>0</v>
      </c>
      <c r="E209" s="121">
        <f>ROUND(C209*'FR_Mantenimiento tasas'!$D$43/360,5)</f>
        <v>0</v>
      </c>
    </row>
    <row r="210" spans="1:5">
      <c r="A210" s="123">
        <f t="shared" si="6"/>
        <v>208</v>
      </c>
      <c r="B210" s="122">
        <f>IF(DAY(A210)=DAY('F-Ahorro Futuro Genérico'!$H$11),'F-Ahorro Futuro Genérico'!$H$9,0)</f>
        <v>0</v>
      </c>
      <c r="C210" s="122">
        <f t="shared" si="7"/>
        <v>0</v>
      </c>
      <c r="D210" s="121">
        <f>ROUND(C210*'FR_Mantenimiento tasas'!$C$43/360,5)</f>
        <v>0</v>
      </c>
      <c r="E210" s="121">
        <f>ROUND(C210*'FR_Mantenimiento tasas'!$D$43/360,5)</f>
        <v>0</v>
      </c>
    </row>
    <row r="211" spans="1:5">
      <c r="A211" s="123">
        <f t="shared" si="6"/>
        <v>209</v>
      </c>
      <c r="B211" s="122">
        <f>IF(DAY(A211)=DAY('F-Ahorro Futuro Genérico'!$H$11),'F-Ahorro Futuro Genérico'!$H$9,0)</f>
        <v>0</v>
      </c>
      <c r="C211" s="122">
        <f t="shared" si="7"/>
        <v>0</v>
      </c>
      <c r="D211" s="121">
        <f>ROUND(C211*'FR_Mantenimiento tasas'!$C$43/360,5)</f>
        <v>0</v>
      </c>
      <c r="E211" s="121">
        <f>ROUND(C211*'FR_Mantenimiento tasas'!$D$43/360,5)</f>
        <v>0</v>
      </c>
    </row>
    <row r="212" spans="1:5">
      <c r="A212" s="123">
        <f t="shared" si="6"/>
        <v>210</v>
      </c>
      <c r="B212" s="122">
        <f>IF(DAY(A212)=DAY('F-Ahorro Futuro Genérico'!$H$11),'F-Ahorro Futuro Genérico'!$H$9,0)</f>
        <v>0</v>
      </c>
      <c r="C212" s="122">
        <f t="shared" si="7"/>
        <v>0</v>
      </c>
      <c r="D212" s="121">
        <f>ROUND(C212*'FR_Mantenimiento tasas'!$C$43/360,5)</f>
        <v>0</v>
      </c>
      <c r="E212" s="121">
        <f>ROUND(C212*'FR_Mantenimiento tasas'!$D$43/360,5)</f>
        <v>0</v>
      </c>
    </row>
    <row r="213" spans="1:5">
      <c r="A213" s="123">
        <f t="shared" si="6"/>
        <v>211</v>
      </c>
      <c r="B213" s="122">
        <f>IF(DAY(A213)=DAY('F-Ahorro Futuro Genérico'!$H$11),'F-Ahorro Futuro Genérico'!$H$9,0)</f>
        <v>0</v>
      </c>
      <c r="C213" s="122">
        <f t="shared" si="7"/>
        <v>0</v>
      </c>
      <c r="D213" s="121">
        <f>ROUND(C213*'FR_Mantenimiento tasas'!$C$43/360,5)</f>
        <v>0</v>
      </c>
      <c r="E213" s="121">
        <f>ROUND(C213*'FR_Mantenimiento tasas'!$D$43/360,5)</f>
        <v>0</v>
      </c>
    </row>
    <row r="214" spans="1:5">
      <c r="A214" s="123">
        <f t="shared" si="6"/>
        <v>212</v>
      </c>
      <c r="B214" s="122">
        <f>IF(DAY(A214)=DAY('F-Ahorro Futuro Genérico'!$H$11),'F-Ahorro Futuro Genérico'!$H$9,0)</f>
        <v>0</v>
      </c>
      <c r="C214" s="122">
        <f t="shared" si="7"/>
        <v>0</v>
      </c>
      <c r="D214" s="121">
        <f>ROUND(C214*'FR_Mantenimiento tasas'!$C$43/360,5)</f>
        <v>0</v>
      </c>
      <c r="E214" s="121">
        <f>ROUND(C214*'FR_Mantenimiento tasas'!$D$43/360,5)</f>
        <v>0</v>
      </c>
    </row>
    <row r="215" spans="1:5">
      <c r="A215" s="123">
        <f t="shared" si="6"/>
        <v>213</v>
      </c>
      <c r="B215" s="122">
        <f>IF(DAY(A215)=DAY('F-Ahorro Futuro Genérico'!$H$11),'F-Ahorro Futuro Genérico'!$H$9,0)</f>
        <v>0</v>
      </c>
      <c r="C215" s="122">
        <f t="shared" si="7"/>
        <v>0</v>
      </c>
      <c r="D215" s="121">
        <f>ROUND(C215*'FR_Mantenimiento tasas'!$C$43/360,5)</f>
        <v>0</v>
      </c>
      <c r="E215" s="121">
        <f>ROUND(C215*'FR_Mantenimiento tasas'!$D$43/360,5)</f>
        <v>0</v>
      </c>
    </row>
    <row r="216" spans="1:5">
      <c r="A216" s="123">
        <f t="shared" si="6"/>
        <v>214</v>
      </c>
      <c r="B216" s="122">
        <f>IF(DAY(A216)=DAY('F-Ahorro Futuro Genérico'!$H$11),'F-Ahorro Futuro Genérico'!$H$9,0)</f>
        <v>0</v>
      </c>
      <c r="C216" s="122">
        <f t="shared" si="7"/>
        <v>0</v>
      </c>
      <c r="D216" s="121">
        <f>ROUND(C216*'FR_Mantenimiento tasas'!$C$43/360,5)</f>
        <v>0</v>
      </c>
      <c r="E216" s="121">
        <f>ROUND(C216*'FR_Mantenimiento tasas'!$D$43/360,5)</f>
        <v>0</v>
      </c>
    </row>
    <row r="217" spans="1:5">
      <c r="A217" s="123">
        <f t="shared" si="6"/>
        <v>215</v>
      </c>
      <c r="B217" s="122">
        <f>IF(DAY(A217)=DAY('F-Ahorro Futuro Genérico'!$H$11),'F-Ahorro Futuro Genérico'!$H$9,0)</f>
        <v>0</v>
      </c>
      <c r="C217" s="122">
        <f t="shared" si="7"/>
        <v>0</v>
      </c>
      <c r="D217" s="121">
        <f>ROUND(C217*'FR_Mantenimiento tasas'!$C$43/360,5)</f>
        <v>0</v>
      </c>
      <c r="E217" s="121">
        <f>ROUND(C217*'FR_Mantenimiento tasas'!$D$43/360,5)</f>
        <v>0</v>
      </c>
    </row>
    <row r="218" spans="1:5">
      <c r="A218" s="123">
        <f t="shared" si="6"/>
        <v>216</v>
      </c>
      <c r="B218" s="122">
        <f>IF(DAY(A218)=DAY('F-Ahorro Futuro Genérico'!$H$11),'F-Ahorro Futuro Genérico'!$H$9,0)</f>
        <v>0</v>
      </c>
      <c r="C218" s="122">
        <f t="shared" si="7"/>
        <v>0</v>
      </c>
      <c r="D218" s="121">
        <f>ROUND(C218*'FR_Mantenimiento tasas'!$C$43/360,5)</f>
        <v>0</v>
      </c>
      <c r="E218" s="121">
        <f>ROUND(C218*'FR_Mantenimiento tasas'!$D$43/360,5)</f>
        <v>0</v>
      </c>
    </row>
    <row r="219" spans="1:5">
      <c r="A219" s="123">
        <f t="shared" si="6"/>
        <v>217</v>
      </c>
      <c r="B219" s="122">
        <f>IF(DAY(A219)=DAY('F-Ahorro Futuro Genérico'!$H$11),'F-Ahorro Futuro Genérico'!$H$9,0)</f>
        <v>0</v>
      </c>
      <c r="C219" s="122">
        <f t="shared" si="7"/>
        <v>0</v>
      </c>
      <c r="D219" s="121">
        <f>ROUND(C219*'FR_Mantenimiento tasas'!$C$43/360,5)</f>
        <v>0</v>
      </c>
      <c r="E219" s="121">
        <f>ROUND(C219*'FR_Mantenimiento tasas'!$D$43/360,5)</f>
        <v>0</v>
      </c>
    </row>
    <row r="220" spans="1:5">
      <c r="A220" s="123">
        <f t="shared" si="6"/>
        <v>218</v>
      </c>
      <c r="B220" s="122">
        <f>IF(DAY(A220)=DAY('F-Ahorro Futuro Genérico'!$H$11),'F-Ahorro Futuro Genérico'!$H$9,0)</f>
        <v>0</v>
      </c>
      <c r="C220" s="122">
        <f t="shared" si="7"/>
        <v>0</v>
      </c>
      <c r="D220" s="121">
        <f>ROUND(C220*'FR_Mantenimiento tasas'!$C$43/360,5)</f>
        <v>0</v>
      </c>
      <c r="E220" s="121">
        <f>ROUND(C220*'FR_Mantenimiento tasas'!$D$43/360,5)</f>
        <v>0</v>
      </c>
    </row>
    <row r="221" spans="1:5">
      <c r="A221" s="123">
        <f t="shared" si="6"/>
        <v>219</v>
      </c>
      <c r="B221" s="122">
        <f>IF(DAY(A221)=DAY('F-Ahorro Futuro Genérico'!$H$11),'F-Ahorro Futuro Genérico'!$H$9,0)</f>
        <v>0</v>
      </c>
      <c r="C221" s="122">
        <f t="shared" si="7"/>
        <v>0</v>
      </c>
      <c r="D221" s="121">
        <f>ROUND(C221*'FR_Mantenimiento tasas'!$C$43/360,5)</f>
        <v>0</v>
      </c>
      <c r="E221" s="121">
        <f>ROUND(C221*'FR_Mantenimiento tasas'!$D$43/360,5)</f>
        <v>0</v>
      </c>
    </row>
    <row r="222" spans="1:5">
      <c r="A222" s="123">
        <f t="shared" si="6"/>
        <v>220</v>
      </c>
      <c r="B222" s="122">
        <f>IF(DAY(A222)=DAY('F-Ahorro Futuro Genérico'!$H$11),'F-Ahorro Futuro Genérico'!$H$9,0)</f>
        <v>0</v>
      </c>
      <c r="C222" s="122">
        <f t="shared" si="7"/>
        <v>0</v>
      </c>
      <c r="D222" s="121">
        <f>ROUND(C222*'FR_Mantenimiento tasas'!$C$43/360,5)</f>
        <v>0</v>
      </c>
      <c r="E222" s="121">
        <f>ROUND(C222*'FR_Mantenimiento tasas'!$D$43/360,5)</f>
        <v>0</v>
      </c>
    </row>
    <row r="223" spans="1:5">
      <c r="A223" s="123">
        <f t="shared" si="6"/>
        <v>221</v>
      </c>
      <c r="B223" s="122">
        <f>IF(DAY(A223)=DAY('F-Ahorro Futuro Genérico'!$H$11),'F-Ahorro Futuro Genérico'!$H$9,0)</f>
        <v>0</v>
      </c>
      <c r="C223" s="122">
        <f t="shared" si="7"/>
        <v>0</v>
      </c>
      <c r="D223" s="121">
        <f>ROUND(C223*'FR_Mantenimiento tasas'!$C$43/360,5)</f>
        <v>0</v>
      </c>
      <c r="E223" s="121">
        <f>ROUND(C223*'FR_Mantenimiento tasas'!$D$43/360,5)</f>
        <v>0</v>
      </c>
    </row>
    <row r="224" spans="1:5">
      <c r="A224" s="123">
        <f t="shared" si="6"/>
        <v>222</v>
      </c>
      <c r="B224" s="122">
        <f>IF(DAY(A224)=DAY('F-Ahorro Futuro Genérico'!$H$11),'F-Ahorro Futuro Genérico'!$H$9,0)</f>
        <v>0</v>
      </c>
      <c r="C224" s="122">
        <f t="shared" si="7"/>
        <v>0</v>
      </c>
      <c r="D224" s="121">
        <f>ROUND(C224*'FR_Mantenimiento tasas'!$C$43/360,5)</f>
        <v>0</v>
      </c>
      <c r="E224" s="121">
        <f>ROUND(C224*'FR_Mantenimiento tasas'!$D$43/360,5)</f>
        <v>0</v>
      </c>
    </row>
    <row r="225" spans="1:5">
      <c r="A225" s="123">
        <f t="shared" si="6"/>
        <v>223</v>
      </c>
      <c r="B225" s="122">
        <f>IF(DAY(A225)=DAY('F-Ahorro Futuro Genérico'!$H$11),'F-Ahorro Futuro Genérico'!$H$9,0)</f>
        <v>0</v>
      </c>
      <c r="C225" s="122">
        <f t="shared" si="7"/>
        <v>0</v>
      </c>
      <c r="D225" s="121">
        <f>ROUND(C225*'FR_Mantenimiento tasas'!$C$43/360,5)</f>
        <v>0</v>
      </c>
      <c r="E225" s="121">
        <f>ROUND(C225*'FR_Mantenimiento tasas'!$D$43/360,5)</f>
        <v>0</v>
      </c>
    </row>
    <row r="226" spans="1:5">
      <c r="A226" s="123">
        <f t="shared" si="6"/>
        <v>224</v>
      </c>
      <c r="B226" s="122">
        <f>IF(DAY(A226)=DAY('F-Ahorro Futuro Genérico'!$H$11),'F-Ahorro Futuro Genérico'!$H$9,0)</f>
        <v>0</v>
      </c>
      <c r="C226" s="122">
        <f t="shared" si="7"/>
        <v>0</v>
      </c>
      <c r="D226" s="121">
        <f>ROUND(C226*'FR_Mantenimiento tasas'!$C$43/360,5)</f>
        <v>0</v>
      </c>
      <c r="E226" s="121">
        <f>ROUND(C226*'FR_Mantenimiento tasas'!$D$43/360,5)</f>
        <v>0</v>
      </c>
    </row>
    <row r="227" spans="1:5">
      <c r="A227" s="123">
        <f t="shared" si="6"/>
        <v>225</v>
      </c>
      <c r="B227" s="122">
        <f>IF(DAY(A227)=DAY('F-Ahorro Futuro Genérico'!$H$11),'F-Ahorro Futuro Genérico'!$H$9,0)</f>
        <v>0</v>
      </c>
      <c r="C227" s="122">
        <f t="shared" si="7"/>
        <v>0</v>
      </c>
      <c r="D227" s="121">
        <f>ROUND(C227*'FR_Mantenimiento tasas'!$C$43/360,5)</f>
        <v>0</v>
      </c>
      <c r="E227" s="121">
        <f>ROUND(C227*'FR_Mantenimiento tasas'!$D$43/360,5)</f>
        <v>0</v>
      </c>
    </row>
    <row r="228" spans="1:5">
      <c r="A228" s="123">
        <f t="shared" si="6"/>
        <v>226</v>
      </c>
      <c r="B228" s="122">
        <f>IF(DAY(A228)=DAY('F-Ahorro Futuro Genérico'!$H$11),'F-Ahorro Futuro Genérico'!$H$9,0)</f>
        <v>0</v>
      </c>
      <c r="C228" s="122">
        <f t="shared" si="7"/>
        <v>0</v>
      </c>
      <c r="D228" s="121">
        <f>ROUND(C228*'FR_Mantenimiento tasas'!$C$43/360,5)</f>
        <v>0</v>
      </c>
      <c r="E228" s="121">
        <f>ROUND(C228*'FR_Mantenimiento tasas'!$D$43/360,5)</f>
        <v>0</v>
      </c>
    </row>
    <row r="229" spans="1:5">
      <c r="A229" s="123">
        <f t="shared" si="6"/>
        <v>227</v>
      </c>
      <c r="B229" s="122">
        <f>IF(DAY(A229)=DAY('F-Ahorro Futuro Genérico'!$H$11),'F-Ahorro Futuro Genérico'!$H$9,0)</f>
        <v>0</v>
      </c>
      <c r="C229" s="122">
        <f t="shared" si="7"/>
        <v>0</v>
      </c>
      <c r="D229" s="121">
        <f>ROUND(C229*'FR_Mantenimiento tasas'!$C$43/360,5)</f>
        <v>0</v>
      </c>
      <c r="E229" s="121">
        <f>ROUND(C229*'FR_Mantenimiento tasas'!$D$43/360,5)</f>
        <v>0</v>
      </c>
    </row>
    <row r="230" spans="1:5">
      <c r="A230" s="123">
        <f t="shared" si="6"/>
        <v>228</v>
      </c>
      <c r="B230" s="122">
        <f>IF(DAY(A230)=DAY('F-Ahorro Futuro Genérico'!$H$11),'F-Ahorro Futuro Genérico'!$H$9,0)</f>
        <v>0</v>
      </c>
      <c r="C230" s="122">
        <f t="shared" si="7"/>
        <v>0</v>
      </c>
      <c r="D230" s="121">
        <f>ROUND(C230*'FR_Mantenimiento tasas'!$C$43/360,5)</f>
        <v>0</v>
      </c>
      <c r="E230" s="121">
        <f>ROUND(C230*'FR_Mantenimiento tasas'!$D$43/360,5)</f>
        <v>0</v>
      </c>
    </row>
    <row r="231" spans="1:5">
      <c r="A231" s="123">
        <f t="shared" si="6"/>
        <v>229</v>
      </c>
      <c r="B231" s="122">
        <f>IF(DAY(A231)=DAY('F-Ahorro Futuro Genérico'!$H$11),'F-Ahorro Futuro Genérico'!$H$9,0)</f>
        <v>0</v>
      </c>
      <c r="C231" s="122">
        <f t="shared" si="7"/>
        <v>0</v>
      </c>
      <c r="D231" s="121">
        <f>ROUND(C231*'FR_Mantenimiento tasas'!$C$43/360,5)</f>
        <v>0</v>
      </c>
      <c r="E231" s="121">
        <f>ROUND(C231*'FR_Mantenimiento tasas'!$D$43/360,5)</f>
        <v>0</v>
      </c>
    </row>
    <row r="232" spans="1:5">
      <c r="A232" s="123">
        <f t="shared" si="6"/>
        <v>230</v>
      </c>
      <c r="B232" s="122">
        <f>IF(DAY(A232)=DAY('F-Ahorro Futuro Genérico'!$H$11),'F-Ahorro Futuro Genérico'!$H$9,0)</f>
        <v>0</v>
      </c>
      <c r="C232" s="122">
        <f t="shared" si="7"/>
        <v>0</v>
      </c>
      <c r="D232" s="121">
        <f>ROUND(C232*'FR_Mantenimiento tasas'!$C$43/360,5)</f>
        <v>0</v>
      </c>
      <c r="E232" s="121">
        <f>ROUND(C232*'FR_Mantenimiento tasas'!$D$43/360,5)</f>
        <v>0</v>
      </c>
    </row>
    <row r="233" spans="1:5">
      <c r="A233" s="123">
        <f t="shared" si="6"/>
        <v>231</v>
      </c>
      <c r="B233" s="122">
        <f>IF(DAY(A233)=DAY('F-Ahorro Futuro Genérico'!$H$11),'F-Ahorro Futuro Genérico'!$H$9,0)</f>
        <v>0</v>
      </c>
      <c r="C233" s="122">
        <f t="shared" si="7"/>
        <v>0</v>
      </c>
      <c r="D233" s="121">
        <f>ROUND(C233*'FR_Mantenimiento tasas'!$C$43/360,5)</f>
        <v>0</v>
      </c>
      <c r="E233" s="121">
        <f>ROUND(C233*'FR_Mantenimiento tasas'!$D$43/360,5)</f>
        <v>0</v>
      </c>
    </row>
    <row r="234" spans="1:5">
      <c r="A234" s="123">
        <f t="shared" si="6"/>
        <v>232</v>
      </c>
      <c r="B234" s="122">
        <f>IF(DAY(A234)=DAY('F-Ahorro Futuro Genérico'!$H$11),'F-Ahorro Futuro Genérico'!$H$9,0)</f>
        <v>0</v>
      </c>
      <c r="C234" s="122">
        <f t="shared" si="7"/>
        <v>0</v>
      </c>
      <c r="D234" s="121">
        <f>ROUND(C234*'FR_Mantenimiento tasas'!$C$43/360,5)</f>
        <v>0</v>
      </c>
      <c r="E234" s="121">
        <f>ROUND(C234*'FR_Mantenimiento tasas'!$D$43/360,5)</f>
        <v>0</v>
      </c>
    </row>
    <row r="235" spans="1:5">
      <c r="A235" s="123">
        <f t="shared" si="6"/>
        <v>233</v>
      </c>
      <c r="B235" s="122">
        <f>IF(DAY(A235)=DAY('F-Ahorro Futuro Genérico'!$H$11),'F-Ahorro Futuro Genérico'!$H$9,0)</f>
        <v>0</v>
      </c>
      <c r="C235" s="122">
        <f t="shared" si="7"/>
        <v>0</v>
      </c>
      <c r="D235" s="121">
        <f>ROUND(C235*'FR_Mantenimiento tasas'!$C$43/360,5)</f>
        <v>0</v>
      </c>
      <c r="E235" s="121">
        <f>ROUND(C235*'FR_Mantenimiento tasas'!$D$43/360,5)</f>
        <v>0</v>
      </c>
    </row>
    <row r="236" spans="1:5">
      <c r="A236" s="123">
        <f t="shared" si="6"/>
        <v>234</v>
      </c>
      <c r="B236" s="122">
        <f>IF(DAY(A236)=DAY('F-Ahorro Futuro Genérico'!$H$11),'F-Ahorro Futuro Genérico'!$H$9,0)</f>
        <v>0</v>
      </c>
      <c r="C236" s="122">
        <f t="shared" si="7"/>
        <v>0</v>
      </c>
      <c r="D236" s="121">
        <f>ROUND(C236*'FR_Mantenimiento tasas'!$C$43/360,5)</f>
        <v>0</v>
      </c>
      <c r="E236" s="121">
        <f>ROUND(C236*'FR_Mantenimiento tasas'!$D$43/360,5)</f>
        <v>0</v>
      </c>
    </row>
    <row r="237" spans="1:5">
      <c r="A237" s="123">
        <f t="shared" si="6"/>
        <v>235</v>
      </c>
      <c r="B237" s="122">
        <f>IF(DAY(A237)=DAY('F-Ahorro Futuro Genérico'!$H$11),'F-Ahorro Futuro Genérico'!$H$9,0)</f>
        <v>0</v>
      </c>
      <c r="C237" s="122">
        <f t="shared" si="7"/>
        <v>0</v>
      </c>
      <c r="D237" s="121">
        <f>ROUND(C237*'FR_Mantenimiento tasas'!$C$43/360,5)</f>
        <v>0</v>
      </c>
      <c r="E237" s="121">
        <f>ROUND(C237*'FR_Mantenimiento tasas'!$D$43/360,5)</f>
        <v>0</v>
      </c>
    </row>
    <row r="238" spans="1:5">
      <c r="A238" s="123">
        <f t="shared" si="6"/>
        <v>236</v>
      </c>
      <c r="B238" s="122">
        <f>IF(DAY(A238)=DAY('F-Ahorro Futuro Genérico'!$H$11),'F-Ahorro Futuro Genérico'!$H$9,0)</f>
        <v>0</v>
      </c>
      <c r="C238" s="122">
        <f t="shared" si="7"/>
        <v>0</v>
      </c>
      <c r="D238" s="121">
        <f>ROUND(C238*'FR_Mantenimiento tasas'!$C$43/360,5)</f>
        <v>0</v>
      </c>
      <c r="E238" s="121">
        <f>ROUND(C238*'FR_Mantenimiento tasas'!$D$43/360,5)</f>
        <v>0</v>
      </c>
    </row>
    <row r="239" spans="1:5">
      <c r="A239" s="123">
        <f t="shared" si="6"/>
        <v>237</v>
      </c>
      <c r="B239" s="122">
        <f>IF(DAY(A239)=DAY('F-Ahorro Futuro Genérico'!$H$11),'F-Ahorro Futuro Genérico'!$H$9,0)</f>
        <v>0</v>
      </c>
      <c r="C239" s="122">
        <f t="shared" si="7"/>
        <v>0</v>
      </c>
      <c r="D239" s="121">
        <f>ROUND(C239*'FR_Mantenimiento tasas'!$C$43/360,5)</f>
        <v>0</v>
      </c>
      <c r="E239" s="121">
        <f>ROUND(C239*'FR_Mantenimiento tasas'!$D$43/360,5)</f>
        <v>0</v>
      </c>
    </row>
    <row r="240" spans="1:5">
      <c r="A240" s="123">
        <f t="shared" si="6"/>
        <v>238</v>
      </c>
      <c r="B240" s="122">
        <f>IF(DAY(A240)=DAY('F-Ahorro Futuro Genérico'!$H$11),'F-Ahorro Futuro Genérico'!$H$9,0)</f>
        <v>0</v>
      </c>
      <c r="C240" s="122">
        <f t="shared" si="7"/>
        <v>0</v>
      </c>
      <c r="D240" s="121">
        <f>ROUND(C240*'FR_Mantenimiento tasas'!$C$43/360,5)</f>
        <v>0</v>
      </c>
      <c r="E240" s="121">
        <f>ROUND(C240*'FR_Mantenimiento tasas'!$D$43/360,5)</f>
        <v>0</v>
      </c>
    </row>
    <row r="241" spans="1:5">
      <c r="A241" s="123">
        <f t="shared" si="6"/>
        <v>239</v>
      </c>
      <c r="B241" s="122">
        <f>IF(DAY(A241)=DAY('F-Ahorro Futuro Genérico'!$H$11),'F-Ahorro Futuro Genérico'!$H$9,0)</f>
        <v>0</v>
      </c>
      <c r="C241" s="122">
        <f t="shared" si="7"/>
        <v>0</v>
      </c>
      <c r="D241" s="121">
        <f>ROUND(C241*'FR_Mantenimiento tasas'!$C$43/360,5)</f>
        <v>0</v>
      </c>
      <c r="E241" s="121">
        <f>ROUND(C241*'FR_Mantenimiento tasas'!$D$43/360,5)</f>
        <v>0</v>
      </c>
    </row>
    <row r="242" spans="1:5">
      <c r="A242" s="123">
        <f t="shared" si="6"/>
        <v>240</v>
      </c>
      <c r="B242" s="122">
        <f>IF(DAY(A242)=DAY('F-Ahorro Futuro Genérico'!$H$11),'F-Ahorro Futuro Genérico'!$H$9,0)</f>
        <v>0</v>
      </c>
      <c r="C242" s="122">
        <f t="shared" si="7"/>
        <v>0</v>
      </c>
      <c r="D242" s="121">
        <f>ROUND(C242*'FR_Mantenimiento tasas'!$C$43/360,5)</f>
        <v>0</v>
      </c>
      <c r="E242" s="121">
        <f>ROUND(C242*'FR_Mantenimiento tasas'!$D$43/360,5)</f>
        <v>0</v>
      </c>
    </row>
    <row r="243" spans="1:5">
      <c r="A243" s="123">
        <f t="shared" si="6"/>
        <v>241</v>
      </c>
      <c r="B243" s="122">
        <f>IF(DAY(A243)=DAY('F-Ahorro Futuro Genérico'!$H$11),'F-Ahorro Futuro Genérico'!$H$9,0)</f>
        <v>0</v>
      </c>
      <c r="C243" s="122">
        <f t="shared" si="7"/>
        <v>0</v>
      </c>
      <c r="D243" s="121">
        <f>ROUND(C243*'FR_Mantenimiento tasas'!$C$43/360,5)</f>
        <v>0</v>
      </c>
      <c r="E243" s="121">
        <f>ROUND(C243*'FR_Mantenimiento tasas'!$D$43/360,5)</f>
        <v>0</v>
      </c>
    </row>
    <row r="244" spans="1:5">
      <c r="A244" s="123">
        <f t="shared" si="6"/>
        <v>242</v>
      </c>
      <c r="B244" s="122">
        <f>IF(DAY(A244)=DAY('F-Ahorro Futuro Genérico'!$H$11),'F-Ahorro Futuro Genérico'!$H$9,0)</f>
        <v>0</v>
      </c>
      <c r="C244" s="122">
        <f t="shared" si="7"/>
        <v>0</v>
      </c>
      <c r="D244" s="121">
        <f>ROUND(C244*'FR_Mantenimiento tasas'!$C$43/360,5)</f>
        <v>0</v>
      </c>
      <c r="E244" s="121">
        <f>ROUND(C244*'FR_Mantenimiento tasas'!$D$43/360,5)</f>
        <v>0</v>
      </c>
    </row>
    <row r="245" spans="1:5">
      <c r="A245" s="123">
        <f t="shared" si="6"/>
        <v>243</v>
      </c>
      <c r="B245" s="122">
        <f>IF(DAY(A245)=DAY('F-Ahorro Futuro Genérico'!$H$11),'F-Ahorro Futuro Genérico'!$H$9,0)</f>
        <v>0</v>
      </c>
      <c r="C245" s="122">
        <f t="shared" si="7"/>
        <v>0</v>
      </c>
      <c r="D245" s="121">
        <f>ROUND(C245*'FR_Mantenimiento tasas'!$C$43/360,5)</f>
        <v>0</v>
      </c>
      <c r="E245" s="121">
        <f>ROUND(C245*'FR_Mantenimiento tasas'!$D$43/360,5)</f>
        <v>0</v>
      </c>
    </row>
    <row r="246" spans="1:5">
      <c r="A246" s="123">
        <f t="shared" si="6"/>
        <v>244</v>
      </c>
      <c r="B246" s="122">
        <f>IF(DAY(A246)=DAY('F-Ahorro Futuro Genérico'!$H$11),'F-Ahorro Futuro Genérico'!$H$9,0)</f>
        <v>0</v>
      </c>
      <c r="C246" s="122">
        <f t="shared" si="7"/>
        <v>0</v>
      </c>
      <c r="D246" s="121">
        <f>ROUND(C246*'FR_Mantenimiento tasas'!$C$43/360,5)</f>
        <v>0</v>
      </c>
      <c r="E246" s="121">
        <f>ROUND(C246*'FR_Mantenimiento tasas'!$D$43/360,5)</f>
        <v>0</v>
      </c>
    </row>
    <row r="247" spans="1:5">
      <c r="A247" s="123">
        <f t="shared" si="6"/>
        <v>245</v>
      </c>
      <c r="B247" s="122">
        <f>IF(DAY(A247)=DAY('F-Ahorro Futuro Genérico'!$H$11),'F-Ahorro Futuro Genérico'!$H$9,0)</f>
        <v>0</v>
      </c>
      <c r="C247" s="122">
        <f t="shared" si="7"/>
        <v>0</v>
      </c>
      <c r="D247" s="121">
        <f>ROUND(C247*'FR_Mantenimiento tasas'!$C$43/360,5)</f>
        <v>0</v>
      </c>
      <c r="E247" s="121">
        <f>ROUND(C247*'FR_Mantenimiento tasas'!$D$43/360,5)</f>
        <v>0</v>
      </c>
    </row>
    <row r="248" spans="1:5">
      <c r="A248" s="123">
        <f t="shared" si="6"/>
        <v>246</v>
      </c>
      <c r="B248" s="122">
        <f>IF(DAY(A248)=DAY('F-Ahorro Futuro Genérico'!$H$11),'F-Ahorro Futuro Genérico'!$H$9,0)</f>
        <v>0</v>
      </c>
      <c r="C248" s="122">
        <f t="shared" si="7"/>
        <v>0</v>
      </c>
      <c r="D248" s="121">
        <f>ROUND(C248*'FR_Mantenimiento tasas'!$C$43/360,5)</f>
        <v>0</v>
      </c>
      <c r="E248" s="121">
        <f>ROUND(C248*'FR_Mantenimiento tasas'!$D$43/360,5)</f>
        <v>0</v>
      </c>
    </row>
    <row r="249" spans="1:5">
      <c r="A249" s="123">
        <f t="shared" si="6"/>
        <v>247</v>
      </c>
      <c r="B249" s="122">
        <f>IF(DAY(A249)=DAY('F-Ahorro Futuro Genérico'!$H$11),'F-Ahorro Futuro Genérico'!$H$9,0)</f>
        <v>0</v>
      </c>
      <c r="C249" s="122">
        <f t="shared" si="7"/>
        <v>0</v>
      </c>
      <c r="D249" s="121">
        <f>ROUND(C249*'FR_Mantenimiento tasas'!$C$43/360,5)</f>
        <v>0</v>
      </c>
      <c r="E249" s="121">
        <f>ROUND(C249*'FR_Mantenimiento tasas'!$D$43/360,5)</f>
        <v>0</v>
      </c>
    </row>
    <row r="250" spans="1:5">
      <c r="A250" s="123">
        <f t="shared" si="6"/>
        <v>248</v>
      </c>
      <c r="B250" s="122">
        <f>IF(DAY(A250)=DAY('F-Ahorro Futuro Genérico'!$H$11),'F-Ahorro Futuro Genérico'!$H$9,0)</f>
        <v>0</v>
      </c>
      <c r="C250" s="122">
        <f t="shared" si="7"/>
        <v>0</v>
      </c>
      <c r="D250" s="121">
        <f>ROUND(C250*'FR_Mantenimiento tasas'!$C$43/360,5)</f>
        <v>0</v>
      </c>
      <c r="E250" s="121">
        <f>ROUND(C250*'FR_Mantenimiento tasas'!$D$43/360,5)</f>
        <v>0</v>
      </c>
    </row>
    <row r="251" spans="1:5">
      <c r="A251" s="123">
        <f t="shared" si="6"/>
        <v>249</v>
      </c>
      <c r="B251" s="122">
        <f>IF(DAY(A251)=DAY('F-Ahorro Futuro Genérico'!$H$11),'F-Ahorro Futuro Genérico'!$H$9,0)</f>
        <v>0</v>
      </c>
      <c r="C251" s="122">
        <f t="shared" si="7"/>
        <v>0</v>
      </c>
      <c r="D251" s="121">
        <f>ROUND(C251*'FR_Mantenimiento tasas'!$C$43/360,5)</f>
        <v>0</v>
      </c>
      <c r="E251" s="121">
        <f>ROUND(C251*'FR_Mantenimiento tasas'!$D$43/360,5)</f>
        <v>0</v>
      </c>
    </row>
    <row r="252" spans="1:5">
      <c r="A252" s="123">
        <f t="shared" si="6"/>
        <v>250</v>
      </c>
      <c r="B252" s="122">
        <f>IF(DAY(A252)=DAY('F-Ahorro Futuro Genérico'!$H$11),'F-Ahorro Futuro Genérico'!$H$9,0)</f>
        <v>0</v>
      </c>
      <c r="C252" s="122">
        <f t="shared" si="7"/>
        <v>0</v>
      </c>
      <c r="D252" s="121">
        <f>ROUND(C252*'FR_Mantenimiento tasas'!$C$43/360,5)</f>
        <v>0</v>
      </c>
      <c r="E252" s="121">
        <f>ROUND(C252*'FR_Mantenimiento tasas'!$D$43/360,5)</f>
        <v>0</v>
      </c>
    </row>
    <row r="253" spans="1:5">
      <c r="A253" s="123">
        <f t="shared" si="6"/>
        <v>251</v>
      </c>
      <c r="B253" s="122">
        <f>IF(DAY(A253)=DAY('F-Ahorro Futuro Genérico'!$H$11),'F-Ahorro Futuro Genérico'!$H$9,0)</f>
        <v>0</v>
      </c>
      <c r="C253" s="122">
        <f t="shared" si="7"/>
        <v>0</v>
      </c>
      <c r="D253" s="121">
        <f>ROUND(C253*'FR_Mantenimiento tasas'!$C$43/360,5)</f>
        <v>0</v>
      </c>
      <c r="E253" s="121">
        <f>ROUND(C253*'FR_Mantenimiento tasas'!$D$43/360,5)</f>
        <v>0</v>
      </c>
    </row>
    <row r="254" spans="1:5">
      <c r="A254" s="123">
        <f t="shared" si="6"/>
        <v>252</v>
      </c>
      <c r="B254" s="122">
        <f>IF(DAY(A254)=DAY('F-Ahorro Futuro Genérico'!$H$11),'F-Ahorro Futuro Genérico'!$H$9,0)</f>
        <v>0</v>
      </c>
      <c r="C254" s="122">
        <f t="shared" si="7"/>
        <v>0</v>
      </c>
      <c r="D254" s="121">
        <f>ROUND(C254*'FR_Mantenimiento tasas'!$C$43/360,5)</f>
        <v>0</v>
      </c>
      <c r="E254" s="121">
        <f>ROUND(C254*'FR_Mantenimiento tasas'!$D$43/360,5)</f>
        <v>0</v>
      </c>
    </row>
    <row r="255" spans="1:5">
      <c r="A255" s="123">
        <f t="shared" si="6"/>
        <v>253</v>
      </c>
      <c r="B255" s="122">
        <f>IF(DAY(A255)=DAY('F-Ahorro Futuro Genérico'!$H$11),'F-Ahorro Futuro Genérico'!$H$9,0)</f>
        <v>0</v>
      </c>
      <c r="C255" s="122">
        <f t="shared" si="7"/>
        <v>0</v>
      </c>
      <c r="D255" s="121">
        <f>ROUND(C255*'FR_Mantenimiento tasas'!$C$43/360,5)</f>
        <v>0</v>
      </c>
      <c r="E255" s="121">
        <f>ROUND(C255*'FR_Mantenimiento tasas'!$D$43/360,5)</f>
        <v>0</v>
      </c>
    </row>
    <row r="256" spans="1:5">
      <c r="A256" s="123">
        <f t="shared" si="6"/>
        <v>254</v>
      </c>
      <c r="B256" s="122">
        <f>IF(DAY(A256)=DAY('F-Ahorro Futuro Genérico'!$H$11),'F-Ahorro Futuro Genérico'!$H$9,0)</f>
        <v>0</v>
      </c>
      <c r="C256" s="122">
        <f t="shared" si="7"/>
        <v>0</v>
      </c>
      <c r="D256" s="121">
        <f>ROUND(C256*'FR_Mantenimiento tasas'!$C$43/360,5)</f>
        <v>0</v>
      </c>
      <c r="E256" s="121">
        <f>ROUND(C256*'FR_Mantenimiento tasas'!$D$43/360,5)</f>
        <v>0</v>
      </c>
    </row>
    <row r="257" spans="1:5">
      <c r="A257" s="123">
        <f t="shared" si="6"/>
        <v>255</v>
      </c>
      <c r="B257" s="122">
        <f>IF(DAY(A257)=DAY('F-Ahorro Futuro Genérico'!$H$11),'F-Ahorro Futuro Genérico'!$H$9,0)</f>
        <v>0</v>
      </c>
      <c r="C257" s="122">
        <f t="shared" si="7"/>
        <v>0</v>
      </c>
      <c r="D257" s="121">
        <f>ROUND(C257*'FR_Mantenimiento tasas'!$C$43/360,5)</f>
        <v>0</v>
      </c>
      <c r="E257" s="121">
        <f>ROUND(C257*'FR_Mantenimiento tasas'!$D$43/360,5)</f>
        <v>0</v>
      </c>
    </row>
    <row r="258" spans="1:5">
      <c r="A258" s="123">
        <f t="shared" si="6"/>
        <v>256</v>
      </c>
      <c r="B258" s="122">
        <f>IF(DAY(A258)=DAY('F-Ahorro Futuro Genérico'!$H$11),'F-Ahorro Futuro Genérico'!$H$9,0)</f>
        <v>0</v>
      </c>
      <c r="C258" s="122">
        <f t="shared" si="7"/>
        <v>0</v>
      </c>
      <c r="D258" s="121">
        <f>ROUND(C258*'FR_Mantenimiento tasas'!$C$43/360,5)</f>
        <v>0</v>
      </c>
      <c r="E258" s="121">
        <f>ROUND(C258*'FR_Mantenimiento tasas'!$D$43/360,5)</f>
        <v>0</v>
      </c>
    </row>
    <row r="259" spans="1:5">
      <c r="A259" s="123">
        <f t="shared" si="6"/>
        <v>257</v>
      </c>
      <c r="B259" s="122">
        <f>IF(DAY(A259)=DAY('F-Ahorro Futuro Genérico'!$H$11),'F-Ahorro Futuro Genérico'!$H$9,0)</f>
        <v>0</v>
      </c>
      <c r="C259" s="122">
        <f t="shared" si="7"/>
        <v>0</v>
      </c>
      <c r="D259" s="121">
        <f>ROUND(C259*'FR_Mantenimiento tasas'!$C$43/360,5)</f>
        <v>0</v>
      </c>
      <c r="E259" s="121">
        <f>ROUND(C259*'FR_Mantenimiento tasas'!$D$43/360,5)</f>
        <v>0</v>
      </c>
    </row>
    <row r="260" spans="1:5">
      <c r="A260" s="123">
        <f t="shared" ref="A260:A323" si="8">+A259+1</f>
        <v>258</v>
      </c>
      <c r="B260" s="122">
        <f>IF(DAY(A260)=DAY('F-Ahorro Futuro Genérico'!$H$11),'F-Ahorro Futuro Genérico'!$H$9,0)</f>
        <v>0</v>
      </c>
      <c r="C260" s="122">
        <f t="shared" ref="C260:C323" si="9">+B260+C259+D259</f>
        <v>0</v>
      </c>
      <c r="D260" s="121">
        <f>ROUND(C260*'FR_Mantenimiento tasas'!$C$43/360,5)</f>
        <v>0</v>
      </c>
      <c r="E260" s="121">
        <f>ROUND(C260*'FR_Mantenimiento tasas'!$D$43/360,5)</f>
        <v>0</v>
      </c>
    </row>
    <row r="261" spans="1:5">
      <c r="A261" s="123">
        <f t="shared" si="8"/>
        <v>259</v>
      </c>
      <c r="B261" s="122">
        <f>IF(DAY(A261)=DAY('F-Ahorro Futuro Genérico'!$H$11),'F-Ahorro Futuro Genérico'!$H$9,0)</f>
        <v>0</v>
      </c>
      <c r="C261" s="122">
        <f t="shared" si="9"/>
        <v>0</v>
      </c>
      <c r="D261" s="121">
        <f>ROUND(C261*'FR_Mantenimiento tasas'!$C$43/360,5)</f>
        <v>0</v>
      </c>
      <c r="E261" s="121">
        <f>ROUND(C261*'FR_Mantenimiento tasas'!$D$43/360,5)</f>
        <v>0</v>
      </c>
    </row>
    <row r="262" spans="1:5">
      <c r="A262" s="123">
        <f t="shared" si="8"/>
        <v>260</v>
      </c>
      <c r="B262" s="122">
        <f>IF(DAY(A262)=DAY('F-Ahorro Futuro Genérico'!$H$11),'F-Ahorro Futuro Genérico'!$H$9,0)</f>
        <v>0</v>
      </c>
      <c r="C262" s="122">
        <f t="shared" si="9"/>
        <v>0</v>
      </c>
      <c r="D262" s="121">
        <f>ROUND(C262*'FR_Mantenimiento tasas'!$C$43/360,5)</f>
        <v>0</v>
      </c>
      <c r="E262" s="121">
        <f>ROUND(C262*'FR_Mantenimiento tasas'!$D$43/360,5)</f>
        <v>0</v>
      </c>
    </row>
    <row r="263" spans="1:5">
      <c r="A263" s="123">
        <f t="shared" si="8"/>
        <v>261</v>
      </c>
      <c r="B263" s="122">
        <f>IF(DAY(A263)=DAY('F-Ahorro Futuro Genérico'!$H$11),'F-Ahorro Futuro Genérico'!$H$9,0)</f>
        <v>0</v>
      </c>
      <c r="C263" s="122">
        <f t="shared" si="9"/>
        <v>0</v>
      </c>
      <c r="D263" s="121">
        <f>ROUND(C263*'FR_Mantenimiento tasas'!$C$43/360,5)</f>
        <v>0</v>
      </c>
      <c r="E263" s="121">
        <f>ROUND(C263*'FR_Mantenimiento tasas'!$D$43/360,5)</f>
        <v>0</v>
      </c>
    </row>
    <row r="264" spans="1:5">
      <c r="A264" s="123">
        <f t="shared" si="8"/>
        <v>262</v>
      </c>
      <c r="B264" s="122">
        <f>IF(DAY(A264)=DAY('F-Ahorro Futuro Genérico'!$H$11),'F-Ahorro Futuro Genérico'!$H$9,0)</f>
        <v>0</v>
      </c>
      <c r="C264" s="122">
        <f t="shared" si="9"/>
        <v>0</v>
      </c>
      <c r="D264" s="121">
        <f>ROUND(C264*'FR_Mantenimiento tasas'!$C$43/360,5)</f>
        <v>0</v>
      </c>
      <c r="E264" s="121">
        <f>ROUND(C264*'FR_Mantenimiento tasas'!$D$43/360,5)</f>
        <v>0</v>
      </c>
    </row>
    <row r="265" spans="1:5">
      <c r="A265" s="123">
        <f t="shared" si="8"/>
        <v>263</v>
      </c>
      <c r="B265" s="122">
        <f>IF(DAY(A265)=DAY('F-Ahorro Futuro Genérico'!$H$11),'F-Ahorro Futuro Genérico'!$H$9,0)</f>
        <v>0</v>
      </c>
      <c r="C265" s="122">
        <f t="shared" si="9"/>
        <v>0</v>
      </c>
      <c r="D265" s="121">
        <f>ROUND(C265*'FR_Mantenimiento tasas'!$C$43/360,5)</f>
        <v>0</v>
      </c>
      <c r="E265" s="121">
        <f>ROUND(C265*'FR_Mantenimiento tasas'!$D$43/360,5)</f>
        <v>0</v>
      </c>
    </row>
    <row r="266" spans="1:5">
      <c r="A266" s="123">
        <f t="shared" si="8"/>
        <v>264</v>
      </c>
      <c r="B266" s="122">
        <f>IF(DAY(A266)=DAY('F-Ahorro Futuro Genérico'!$H$11),'F-Ahorro Futuro Genérico'!$H$9,0)</f>
        <v>0</v>
      </c>
      <c r="C266" s="122">
        <f t="shared" si="9"/>
        <v>0</v>
      </c>
      <c r="D266" s="121">
        <f>ROUND(C266*'FR_Mantenimiento tasas'!$C$43/360,5)</f>
        <v>0</v>
      </c>
      <c r="E266" s="121">
        <f>ROUND(C266*'FR_Mantenimiento tasas'!$D$43/360,5)</f>
        <v>0</v>
      </c>
    </row>
    <row r="267" spans="1:5">
      <c r="A267" s="123">
        <f t="shared" si="8"/>
        <v>265</v>
      </c>
      <c r="B267" s="122">
        <f>IF(DAY(A267)=DAY('F-Ahorro Futuro Genérico'!$H$11),'F-Ahorro Futuro Genérico'!$H$9,0)</f>
        <v>0</v>
      </c>
      <c r="C267" s="122">
        <f t="shared" si="9"/>
        <v>0</v>
      </c>
      <c r="D267" s="121">
        <f>ROUND(C267*'FR_Mantenimiento tasas'!$C$43/360,5)</f>
        <v>0</v>
      </c>
      <c r="E267" s="121">
        <f>ROUND(C267*'FR_Mantenimiento tasas'!$D$43/360,5)</f>
        <v>0</v>
      </c>
    </row>
    <row r="268" spans="1:5">
      <c r="A268" s="123">
        <f t="shared" si="8"/>
        <v>266</v>
      </c>
      <c r="B268" s="122">
        <f>IF(DAY(A268)=DAY('F-Ahorro Futuro Genérico'!$H$11),'F-Ahorro Futuro Genérico'!$H$9,0)</f>
        <v>0</v>
      </c>
      <c r="C268" s="122">
        <f t="shared" si="9"/>
        <v>0</v>
      </c>
      <c r="D268" s="121">
        <f>ROUND(C268*'FR_Mantenimiento tasas'!$C$43/360,5)</f>
        <v>0</v>
      </c>
      <c r="E268" s="121">
        <f>ROUND(C268*'FR_Mantenimiento tasas'!$D$43/360,5)</f>
        <v>0</v>
      </c>
    </row>
    <row r="269" spans="1:5">
      <c r="A269" s="123">
        <f t="shared" si="8"/>
        <v>267</v>
      </c>
      <c r="B269" s="122">
        <f>IF(DAY(A269)=DAY('F-Ahorro Futuro Genérico'!$H$11),'F-Ahorro Futuro Genérico'!$H$9,0)</f>
        <v>0</v>
      </c>
      <c r="C269" s="122">
        <f t="shared" si="9"/>
        <v>0</v>
      </c>
      <c r="D269" s="121">
        <f>ROUND(C269*'FR_Mantenimiento tasas'!$C$43/360,5)</f>
        <v>0</v>
      </c>
      <c r="E269" s="121">
        <f>ROUND(C269*'FR_Mantenimiento tasas'!$D$43/360,5)</f>
        <v>0</v>
      </c>
    </row>
    <row r="270" spans="1:5">
      <c r="A270" s="123">
        <f t="shared" si="8"/>
        <v>268</v>
      </c>
      <c r="B270" s="122">
        <f>IF(DAY(A270)=DAY('F-Ahorro Futuro Genérico'!$H$11),'F-Ahorro Futuro Genérico'!$H$9,0)</f>
        <v>0</v>
      </c>
      <c r="C270" s="122">
        <f t="shared" si="9"/>
        <v>0</v>
      </c>
      <c r="D270" s="121">
        <f>ROUND(C270*'FR_Mantenimiento tasas'!$C$43/360,5)</f>
        <v>0</v>
      </c>
      <c r="E270" s="121">
        <f>ROUND(C270*'FR_Mantenimiento tasas'!$D$43/360,5)</f>
        <v>0</v>
      </c>
    </row>
    <row r="271" spans="1:5">
      <c r="A271" s="123">
        <f t="shared" si="8"/>
        <v>269</v>
      </c>
      <c r="B271" s="122">
        <f>IF(DAY(A271)=DAY('F-Ahorro Futuro Genérico'!$H$11),'F-Ahorro Futuro Genérico'!$H$9,0)</f>
        <v>0</v>
      </c>
      <c r="C271" s="122">
        <f t="shared" si="9"/>
        <v>0</v>
      </c>
      <c r="D271" s="121">
        <f>ROUND(C271*'FR_Mantenimiento tasas'!$C$43/360,5)</f>
        <v>0</v>
      </c>
      <c r="E271" s="121">
        <f>ROUND(C271*'FR_Mantenimiento tasas'!$D$43/360,5)</f>
        <v>0</v>
      </c>
    </row>
    <row r="272" spans="1:5">
      <c r="A272" s="123">
        <f t="shared" si="8"/>
        <v>270</v>
      </c>
      <c r="B272" s="122">
        <f>IF(DAY(A272)=DAY('F-Ahorro Futuro Genérico'!$H$11),'F-Ahorro Futuro Genérico'!$H$9,0)</f>
        <v>0</v>
      </c>
      <c r="C272" s="122">
        <f t="shared" si="9"/>
        <v>0</v>
      </c>
      <c r="D272" s="121">
        <f>ROUND(C272*'FR_Mantenimiento tasas'!$C$43/360,5)</f>
        <v>0</v>
      </c>
      <c r="E272" s="121">
        <f>ROUND(C272*'FR_Mantenimiento tasas'!$D$43/360,5)</f>
        <v>0</v>
      </c>
    </row>
    <row r="273" spans="1:5">
      <c r="A273" s="123">
        <f t="shared" si="8"/>
        <v>271</v>
      </c>
      <c r="B273" s="122">
        <f>IF(DAY(A273)=DAY('F-Ahorro Futuro Genérico'!$H$11),'F-Ahorro Futuro Genérico'!$H$9,0)</f>
        <v>0</v>
      </c>
      <c r="C273" s="122">
        <f t="shared" si="9"/>
        <v>0</v>
      </c>
      <c r="D273" s="121">
        <f>ROUND(C273*'FR_Mantenimiento tasas'!$C$43/360,5)</f>
        <v>0</v>
      </c>
      <c r="E273" s="121">
        <f>ROUND(C273*'FR_Mantenimiento tasas'!$D$43/360,5)</f>
        <v>0</v>
      </c>
    </row>
    <row r="274" spans="1:5">
      <c r="A274" s="123">
        <f t="shared" si="8"/>
        <v>272</v>
      </c>
      <c r="B274" s="122">
        <f>IF(DAY(A274)=DAY('F-Ahorro Futuro Genérico'!$H$11),'F-Ahorro Futuro Genérico'!$H$9,0)</f>
        <v>0</v>
      </c>
      <c r="C274" s="122">
        <f t="shared" si="9"/>
        <v>0</v>
      </c>
      <c r="D274" s="121">
        <f>ROUND(C274*'FR_Mantenimiento tasas'!$C$43/360,5)</f>
        <v>0</v>
      </c>
      <c r="E274" s="121">
        <f>ROUND(C274*'FR_Mantenimiento tasas'!$D$43/360,5)</f>
        <v>0</v>
      </c>
    </row>
    <row r="275" spans="1:5">
      <c r="A275" s="123">
        <f t="shared" si="8"/>
        <v>273</v>
      </c>
      <c r="B275" s="122">
        <f>IF(DAY(A275)=DAY('F-Ahorro Futuro Genérico'!$H$11),'F-Ahorro Futuro Genérico'!$H$9,0)</f>
        <v>0</v>
      </c>
      <c r="C275" s="122">
        <f t="shared" si="9"/>
        <v>0</v>
      </c>
      <c r="D275" s="121">
        <f>ROUND(C275*'FR_Mantenimiento tasas'!$C$43/360,5)</f>
        <v>0</v>
      </c>
      <c r="E275" s="121">
        <f>ROUND(C275*'FR_Mantenimiento tasas'!$D$43/360,5)</f>
        <v>0</v>
      </c>
    </row>
    <row r="276" spans="1:5">
      <c r="A276" s="123">
        <f t="shared" si="8"/>
        <v>274</v>
      </c>
      <c r="B276" s="122">
        <f>IF(DAY(A276)=DAY('F-Ahorro Futuro Genérico'!$H$11),'F-Ahorro Futuro Genérico'!$H$9,0)</f>
        <v>0</v>
      </c>
      <c r="C276" s="122">
        <f t="shared" si="9"/>
        <v>0</v>
      </c>
      <c r="D276" s="121">
        <f>ROUND(C276*'FR_Mantenimiento tasas'!$C$43/360,5)</f>
        <v>0</v>
      </c>
      <c r="E276" s="121">
        <f>ROUND(C276*'FR_Mantenimiento tasas'!$D$43/360,5)</f>
        <v>0</v>
      </c>
    </row>
    <row r="277" spans="1:5">
      <c r="A277" s="123">
        <f t="shared" si="8"/>
        <v>275</v>
      </c>
      <c r="B277" s="122">
        <f>IF(DAY(A277)=DAY('F-Ahorro Futuro Genérico'!$H$11),'F-Ahorro Futuro Genérico'!$H$9,0)</f>
        <v>0</v>
      </c>
      <c r="C277" s="122">
        <f t="shared" si="9"/>
        <v>0</v>
      </c>
      <c r="D277" s="121">
        <f>ROUND(C277*'FR_Mantenimiento tasas'!$C$43/360,5)</f>
        <v>0</v>
      </c>
      <c r="E277" s="121">
        <f>ROUND(C277*'FR_Mantenimiento tasas'!$D$43/360,5)</f>
        <v>0</v>
      </c>
    </row>
    <row r="278" spans="1:5">
      <c r="A278" s="123">
        <f t="shared" si="8"/>
        <v>276</v>
      </c>
      <c r="B278" s="122">
        <f>IF(DAY(A278)=DAY('F-Ahorro Futuro Genérico'!$H$11),'F-Ahorro Futuro Genérico'!$H$9,0)</f>
        <v>0</v>
      </c>
      <c r="C278" s="122">
        <f t="shared" si="9"/>
        <v>0</v>
      </c>
      <c r="D278" s="121">
        <f>ROUND(C278*'FR_Mantenimiento tasas'!$C$43/360,5)</f>
        <v>0</v>
      </c>
      <c r="E278" s="121">
        <f>ROUND(C278*'FR_Mantenimiento tasas'!$D$43/360,5)</f>
        <v>0</v>
      </c>
    </row>
    <row r="279" spans="1:5">
      <c r="A279" s="123">
        <f t="shared" si="8"/>
        <v>277</v>
      </c>
      <c r="B279" s="122">
        <f>IF(DAY(A279)=DAY('F-Ahorro Futuro Genérico'!$H$11),'F-Ahorro Futuro Genérico'!$H$9,0)</f>
        <v>0</v>
      </c>
      <c r="C279" s="122">
        <f t="shared" si="9"/>
        <v>0</v>
      </c>
      <c r="D279" s="121">
        <f>ROUND(C279*'FR_Mantenimiento tasas'!$C$43/360,5)</f>
        <v>0</v>
      </c>
      <c r="E279" s="121">
        <f>ROUND(C279*'FR_Mantenimiento tasas'!$D$43/360,5)</f>
        <v>0</v>
      </c>
    </row>
    <row r="280" spans="1:5">
      <c r="A280" s="123">
        <f t="shared" si="8"/>
        <v>278</v>
      </c>
      <c r="B280" s="122">
        <f>IF(DAY(A280)=DAY('F-Ahorro Futuro Genérico'!$H$11),'F-Ahorro Futuro Genérico'!$H$9,0)</f>
        <v>0</v>
      </c>
      <c r="C280" s="122">
        <f t="shared" si="9"/>
        <v>0</v>
      </c>
      <c r="D280" s="121">
        <f>ROUND(C280*'FR_Mantenimiento tasas'!$C$43/360,5)</f>
        <v>0</v>
      </c>
      <c r="E280" s="121">
        <f>ROUND(C280*'FR_Mantenimiento tasas'!$D$43/360,5)</f>
        <v>0</v>
      </c>
    </row>
    <row r="281" spans="1:5">
      <c r="A281" s="123">
        <f t="shared" si="8"/>
        <v>279</v>
      </c>
      <c r="B281" s="122">
        <f>IF(DAY(A281)=DAY('F-Ahorro Futuro Genérico'!$H$11),'F-Ahorro Futuro Genérico'!$H$9,0)</f>
        <v>0</v>
      </c>
      <c r="C281" s="122">
        <f t="shared" si="9"/>
        <v>0</v>
      </c>
      <c r="D281" s="121">
        <f>ROUND(C281*'FR_Mantenimiento tasas'!$C$43/360,5)</f>
        <v>0</v>
      </c>
      <c r="E281" s="121">
        <f>ROUND(C281*'FR_Mantenimiento tasas'!$D$43/360,5)</f>
        <v>0</v>
      </c>
    </row>
    <row r="282" spans="1:5">
      <c r="A282" s="123">
        <f t="shared" si="8"/>
        <v>280</v>
      </c>
      <c r="B282" s="122">
        <f>IF(DAY(A282)=DAY('F-Ahorro Futuro Genérico'!$H$11),'F-Ahorro Futuro Genérico'!$H$9,0)</f>
        <v>0</v>
      </c>
      <c r="C282" s="122">
        <f t="shared" si="9"/>
        <v>0</v>
      </c>
      <c r="D282" s="121">
        <f>ROUND(C282*'FR_Mantenimiento tasas'!$C$43/360,5)</f>
        <v>0</v>
      </c>
      <c r="E282" s="121">
        <f>ROUND(C282*'FR_Mantenimiento tasas'!$D$43/360,5)</f>
        <v>0</v>
      </c>
    </row>
    <row r="283" spans="1:5">
      <c r="A283" s="123">
        <f t="shared" si="8"/>
        <v>281</v>
      </c>
      <c r="B283" s="122">
        <f>IF(DAY(A283)=DAY('F-Ahorro Futuro Genérico'!$H$11),'F-Ahorro Futuro Genérico'!$H$9,0)</f>
        <v>0</v>
      </c>
      <c r="C283" s="122">
        <f t="shared" si="9"/>
        <v>0</v>
      </c>
      <c r="D283" s="121">
        <f>ROUND(C283*'FR_Mantenimiento tasas'!$C$43/360,5)</f>
        <v>0</v>
      </c>
      <c r="E283" s="121">
        <f>ROUND(C283*'FR_Mantenimiento tasas'!$D$43/360,5)</f>
        <v>0</v>
      </c>
    </row>
    <row r="284" spans="1:5">
      <c r="A284" s="123">
        <f t="shared" si="8"/>
        <v>282</v>
      </c>
      <c r="B284" s="122">
        <f>IF(DAY(A284)=DAY('F-Ahorro Futuro Genérico'!$H$11),'F-Ahorro Futuro Genérico'!$H$9,0)</f>
        <v>0</v>
      </c>
      <c r="C284" s="122">
        <f t="shared" si="9"/>
        <v>0</v>
      </c>
      <c r="D284" s="121">
        <f>ROUND(C284*'FR_Mantenimiento tasas'!$C$43/360,5)</f>
        <v>0</v>
      </c>
      <c r="E284" s="121">
        <f>ROUND(C284*'FR_Mantenimiento tasas'!$D$43/360,5)</f>
        <v>0</v>
      </c>
    </row>
    <row r="285" spans="1:5">
      <c r="A285" s="123">
        <f t="shared" si="8"/>
        <v>283</v>
      </c>
      <c r="B285" s="122">
        <f>IF(DAY(A285)=DAY('F-Ahorro Futuro Genérico'!$H$11),'F-Ahorro Futuro Genérico'!$H$9,0)</f>
        <v>0</v>
      </c>
      <c r="C285" s="122">
        <f t="shared" si="9"/>
        <v>0</v>
      </c>
      <c r="D285" s="121">
        <f>ROUND(C285*'FR_Mantenimiento tasas'!$C$43/360,5)</f>
        <v>0</v>
      </c>
      <c r="E285" s="121">
        <f>ROUND(C285*'FR_Mantenimiento tasas'!$D$43/360,5)</f>
        <v>0</v>
      </c>
    </row>
    <row r="286" spans="1:5">
      <c r="A286" s="123">
        <f t="shared" si="8"/>
        <v>284</v>
      </c>
      <c r="B286" s="122">
        <f>IF(DAY(A286)=DAY('F-Ahorro Futuro Genérico'!$H$11),'F-Ahorro Futuro Genérico'!$H$9,0)</f>
        <v>0</v>
      </c>
      <c r="C286" s="122">
        <f t="shared" si="9"/>
        <v>0</v>
      </c>
      <c r="D286" s="121">
        <f>ROUND(C286*'FR_Mantenimiento tasas'!$C$43/360,5)</f>
        <v>0</v>
      </c>
      <c r="E286" s="121">
        <f>ROUND(C286*'FR_Mantenimiento tasas'!$D$43/360,5)</f>
        <v>0</v>
      </c>
    </row>
    <row r="287" spans="1:5">
      <c r="A287" s="123">
        <f t="shared" si="8"/>
        <v>285</v>
      </c>
      <c r="B287" s="122">
        <f>IF(DAY(A287)=DAY('F-Ahorro Futuro Genérico'!$H$11),'F-Ahorro Futuro Genérico'!$H$9,0)</f>
        <v>0</v>
      </c>
      <c r="C287" s="122">
        <f t="shared" si="9"/>
        <v>0</v>
      </c>
      <c r="D287" s="121">
        <f>ROUND(C287*'FR_Mantenimiento tasas'!$C$43/360,5)</f>
        <v>0</v>
      </c>
      <c r="E287" s="121">
        <f>ROUND(C287*'FR_Mantenimiento tasas'!$D$43/360,5)</f>
        <v>0</v>
      </c>
    </row>
    <row r="288" spans="1:5">
      <c r="A288" s="123">
        <f t="shared" si="8"/>
        <v>286</v>
      </c>
      <c r="B288" s="122">
        <f>IF(DAY(A288)=DAY('F-Ahorro Futuro Genérico'!$H$11),'F-Ahorro Futuro Genérico'!$H$9,0)</f>
        <v>0</v>
      </c>
      <c r="C288" s="122">
        <f t="shared" si="9"/>
        <v>0</v>
      </c>
      <c r="D288" s="121">
        <f>ROUND(C288*'FR_Mantenimiento tasas'!$C$43/360,5)</f>
        <v>0</v>
      </c>
      <c r="E288" s="121">
        <f>ROUND(C288*'FR_Mantenimiento tasas'!$D$43/360,5)</f>
        <v>0</v>
      </c>
    </row>
    <row r="289" spans="1:5">
      <c r="A289" s="123">
        <f t="shared" si="8"/>
        <v>287</v>
      </c>
      <c r="B289" s="122">
        <f>IF(DAY(A289)=DAY('F-Ahorro Futuro Genérico'!$H$11),'F-Ahorro Futuro Genérico'!$H$9,0)</f>
        <v>0</v>
      </c>
      <c r="C289" s="122">
        <f t="shared" si="9"/>
        <v>0</v>
      </c>
      <c r="D289" s="121">
        <f>ROUND(C289*'FR_Mantenimiento tasas'!$C$43/360,5)</f>
        <v>0</v>
      </c>
      <c r="E289" s="121">
        <f>ROUND(C289*'FR_Mantenimiento tasas'!$D$43/360,5)</f>
        <v>0</v>
      </c>
    </row>
    <row r="290" spans="1:5">
      <c r="A290" s="123">
        <f t="shared" si="8"/>
        <v>288</v>
      </c>
      <c r="B290" s="122">
        <f>IF(DAY(A290)=DAY('F-Ahorro Futuro Genérico'!$H$11),'F-Ahorro Futuro Genérico'!$H$9,0)</f>
        <v>0</v>
      </c>
      <c r="C290" s="122">
        <f t="shared" si="9"/>
        <v>0</v>
      </c>
      <c r="D290" s="121">
        <f>ROUND(C290*'FR_Mantenimiento tasas'!$C$43/360,5)</f>
        <v>0</v>
      </c>
      <c r="E290" s="121">
        <f>ROUND(C290*'FR_Mantenimiento tasas'!$D$43/360,5)</f>
        <v>0</v>
      </c>
    </row>
    <row r="291" spans="1:5">
      <c r="A291" s="123">
        <f t="shared" si="8"/>
        <v>289</v>
      </c>
      <c r="B291" s="122">
        <f>IF(DAY(A291)=DAY('F-Ahorro Futuro Genérico'!$H$11),'F-Ahorro Futuro Genérico'!$H$9,0)</f>
        <v>0</v>
      </c>
      <c r="C291" s="122">
        <f t="shared" si="9"/>
        <v>0</v>
      </c>
      <c r="D291" s="121">
        <f>ROUND(C291*'FR_Mantenimiento tasas'!$C$43/360,5)</f>
        <v>0</v>
      </c>
      <c r="E291" s="121">
        <f>ROUND(C291*'FR_Mantenimiento tasas'!$D$43/360,5)</f>
        <v>0</v>
      </c>
    </row>
    <row r="292" spans="1:5">
      <c r="A292" s="123">
        <f t="shared" si="8"/>
        <v>290</v>
      </c>
      <c r="B292" s="122">
        <f>IF(DAY(A292)=DAY('F-Ahorro Futuro Genérico'!$H$11),'F-Ahorro Futuro Genérico'!$H$9,0)</f>
        <v>0</v>
      </c>
      <c r="C292" s="122">
        <f t="shared" si="9"/>
        <v>0</v>
      </c>
      <c r="D292" s="121">
        <f>ROUND(C292*'FR_Mantenimiento tasas'!$C$43/360,5)</f>
        <v>0</v>
      </c>
      <c r="E292" s="121">
        <f>ROUND(C292*'FR_Mantenimiento tasas'!$D$43/360,5)</f>
        <v>0</v>
      </c>
    </row>
    <row r="293" spans="1:5">
      <c r="A293" s="123">
        <f t="shared" si="8"/>
        <v>291</v>
      </c>
      <c r="B293" s="122">
        <f>IF(DAY(A293)=DAY('F-Ahorro Futuro Genérico'!$H$11),'F-Ahorro Futuro Genérico'!$H$9,0)</f>
        <v>0</v>
      </c>
      <c r="C293" s="122">
        <f t="shared" si="9"/>
        <v>0</v>
      </c>
      <c r="D293" s="121">
        <f>ROUND(C293*'FR_Mantenimiento tasas'!$C$43/360,5)</f>
        <v>0</v>
      </c>
      <c r="E293" s="121">
        <f>ROUND(C293*'FR_Mantenimiento tasas'!$D$43/360,5)</f>
        <v>0</v>
      </c>
    </row>
    <row r="294" spans="1:5">
      <c r="A294" s="123">
        <f t="shared" si="8"/>
        <v>292</v>
      </c>
      <c r="B294" s="122">
        <f>IF(DAY(A294)=DAY('F-Ahorro Futuro Genérico'!$H$11),'F-Ahorro Futuro Genérico'!$H$9,0)</f>
        <v>0</v>
      </c>
      <c r="C294" s="122">
        <f t="shared" si="9"/>
        <v>0</v>
      </c>
      <c r="D294" s="121">
        <f>ROUND(C294*'FR_Mantenimiento tasas'!$C$43/360,5)</f>
        <v>0</v>
      </c>
      <c r="E294" s="121">
        <f>ROUND(C294*'FR_Mantenimiento tasas'!$D$43/360,5)</f>
        <v>0</v>
      </c>
    </row>
    <row r="295" spans="1:5">
      <c r="A295" s="123">
        <f t="shared" si="8"/>
        <v>293</v>
      </c>
      <c r="B295" s="122">
        <f>IF(DAY(A295)=DAY('F-Ahorro Futuro Genérico'!$H$11),'F-Ahorro Futuro Genérico'!$H$9,0)</f>
        <v>0</v>
      </c>
      <c r="C295" s="122">
        <f t="shared" si="9"/>
        <v>0</v>
      </c>
      <c r="D295" s="121">
        <f>ROUND(C295*'FR_Mantenimiento tasas'!$C$43/360,5)</f>
        <v>0</v>
      </c>
      <c r="E295" s="121">
        <f>ROUND(C295*'FR_Mantenimiento tasas'!$D$43/360,5)</f>
        <v>0</v>
      </c>
    </row>
    <row r="296" spans="1:5">
      <c r="A296" s="123">
        <f t="shared" si="8"/>
        <v>294</v>
      </c>
      <c r="B296" s="122">
        <f>IF(DAY(A296)=DAY('F-Ahorro Futuro Genérico'!$H$11),'F-Ahorro Futuro Genérico'!$H$9,0)</f>
        <v>0</v>
      </c>
      <c r="C296" s="122">
        <f t="shared" si="9"/>
        <v>0</v>
      </c>
      <c r="D296" s="121">
        <f>ROUND(C296*'FR_Mantenimiento tasas'!$C$43/360,5)</f>
        <v>0</v>
      </c>
      <c r="E296" s="121">
        <f>ROUND(C296*'FR_Mantenimiento tasas'!$D$43/360,5)</f>
        <v>0</v>
      </c>
    </row>
    <row r="297" spans="1:5">
      <c r="A297" s="123">
        <f t="shared" si="8"/>
        <v>295</v>
      </c>
      <c r="B297" s="122">
        <f>IF(DAY(A297)=DAY('F-Ahorro Futuro Genérico'!$H$11),'F-Ahorro Futuro Genérico'!$H$9,0)</f>
        <v>0</v>
      </c>
      <c r="C297" s="122">
        <f t="shared" si="9"/>
        <v>0</v>
      </c>
      <c r="D297" s="121">
        <f>ROUND(C297*'FR_Mantenimiento tasas'!$C$43/360,5)</f>
        <v>0</v>
      </c>
      <c r="E297" s="121">
        <f>ROUND(C297*'FR_Mantenimiento tasas'!$D$43/360,5)</f>
        <v>0</v>
      </c>
    </row>
    <row r="298" spans="1:5">
      <c r="A298" s="123">
        <f t="shared" si="8"/>
        <v>296</v>
      </c>
      <c r="B298" s="122">
        <f>IF(DAY(A298)=DAY('F-Ahorro Futuro Genérico'!$H$11),'F-Ahorro Futuro Genérico'!$H$9,0)</f>
        <v>0</v>
      </c>
      <c r="C298" s="122">
        <f t="shared" si="9"/>
        <v>0</v>
      </c>
      <c r="D298" s="121">
        <f>ROUND(C298*'FR_Mantenimiento tasas'!$C$43/360,5)</f>
        <v>0</v>
      </c>
      <c r="E298" s="121">
        <f>ROUND(C298*'FR_Mantenimiento tasas'!$D$43/360,5)</f>
        <v>0</v>
      </c>
    </row>
    <row r="299" spans="1:5">
      <c r="A299" s="123">
        <f t="shared" si="8"/>
        <v>297</v>
      </c>
      <c r="B299" s="122">
        <f>IF(DAY(A299)=DAY('F-Ahorro Futuro Genérico'!$H$11),'F-Ahorro Futuro Genérico'!$H$9,0)</f>
        <v>0</v>
      </c>
      <c r="C299" s="122">
        <f t="shared" si="9"/>
        <v>0</v>
      </c>
      <c r="D299" s="121">
        <f>ROUND(C299*'FR_Mantenimiento tasas'!$C$43/360,5)</f>
        <v>0</v>
      </c>
      <c r="E299" s="121">
        <f>ROUND(C299*'FR_Mantenimiento tasas'!$D$43/360,5)</f>
        <v>0</v>
      </c>
    </row>
    <row r="300" spans="1:5">
      <c r="A300" s="123">
        <f t="shared" si="8"/>
        <v>298</v>
      </c>
      <c r="B300" s="122">
        <f>IF(DAY(A300)=DAY('F-Ahorro Futuro Genérico'!$H$11),'F-Ahorro Futuro Genérico'!$H$9,0)</f>
        <v>0</v>
      </c>
      <c r="C300" s="122">
        <f t="shared" si="9"/>
        <v>0</v>
      </c>
      <c r="D300" s="121">
        <f>ROUND(C300*'FR_Mantenimiento tasas'!$C$43/360,5)</f>
        <v>0</v>
      </c>
      <c r="E300" s="121">
        <f>ROUND(C300*'FR_Mantenimiento tasas'!$D$43/360,5)</f>
        <v>0</v>
      </c>
    </row>
    <row r="301" spans="1:5">
      <c r="A301" s="123">
        <f t="shared" si="8"/>
        <v>299</v>
      </c>
      <c r="B301" s="122">
        <f>IF(DAY(A301)=DAY('F-Ahorro Futuro Genérico'!$H$11),'F-Ahorro Futuro Genérico'!$H$9,0)</f>
        <v>0</v>
      </c>
      <c r="C301" s="122">
        <f t="shared" si="9"/>
        <v>0</v>
      </c>
      <c r="D301" s="121">
        <f>ROUND(C301*'FR_Mantenimiento tasas'!$C$43/360,5)</f>
        <v>0</v>
      </c>
      <c r="E301" s="121">
        <f>ROUND(C301*'FR_Mantenimiento tasas'!$D$43/360,5)</f>
        <v>0</v>
      </c>
    </row>
    <row r="302" spans="1:5">
      <c r="A302" s="123">
        <f t="shared" si="8"/>
        <v>300</v>
      </c>
      <c r="B302" s="122">
        <f>IF(DAY(A302)=DAY('F-Ahorro Futuro Genérico'!$H$11),'F-Ahorro Futuro Genérico'!$H$9,0)</f>
        <v>0</v>
      </c>
      <c r="C302" s="122">
        <f t="shared" si="9"/>
        <v>0</v>
      </c>
      <c r="D302" s="121">
        <f>ROUND(C302*'FR_Mantenimiento tasas'!$C$43/360,5)</f>
        <v>0</v>
      </c>
      <c r="E302" s="121">
        <f>ROUND(C302*'FR_Mantenimiento tasas'!$D$43/360,5)</f>
        <v>0</v>
      </c>
    </row>
    <row r="303" spans="1:5">
      <c r="A303" s="123">
        <f t="shared" si="8"/>
        <v>301</v>
      </c>
      <c r="B303" s="122">
        <f>IF(DAY(A303)=DAY('F-Ahorro Futuro Genérico'!$H$11),'F-Ahorro Futuro Genérico'!$H$9,0)</f>
        <v>0</v>
      </c>
      <c r="C303" s="122">
        <f t="shared" si="9"/>
        <v>0</v>
      </c>
      <c r="D303" s="121">
        <f>ROUND(C303*'FR_Mantenimiento tasas'!$C$43/360,5)</f>
        <v>0</v>
      </c>
      <c r="E303" s="121">
        <f>ROUND(C303*'FR_Mantenimiento tasas'!$D$43/360,5)</f>
        <v>0</v>
      </c>
    </row>
    <row r="304" spans="1:5">
      <c r="A304" s="123">
        <f t="shared" si="8"/>
        <v>302</v>
      </c>
      <c r="B304" s="122">
        <f>IF(DAY(A304)=DAY('F-Ahorro Futuro Genérico'!$H$11),'F-Ahorro Futuro Genérico'!$H$9,0)</f>
        <v>0</v>
      </c>
      <c r="C304" s="122">
        <f t="shared" si="9"/>
        <v>0</v>
      </c>
      <c r="D304" s="121">
        <f>ROUND(C304*'FR_Mantenimiento tasas'!$C$43/360,5)</f>
        <v>0</v>
      </c>
      <c r="E304" s="121">
        <f>ROUND(C304*'FR_Mantenimiento tasas'!$D$43/360,5)</f>
        <v>0</v>
      </c>
    </row>
    <row r="305" spans="1:5">
      <c r="A305" s="123">
        <f t="shared" si="8"/>
        <v>303</v>
      </c>
      <c r="B305" s="122">
        <f>IF(DAY(A305)=DAY('F-Ahorro Futuro Genérico'!$H$11),'F-Ahorro Futuro Genérico'!$H$9,0)</f>
        <v>0</v>
      </c>
      <c r="C305" s="122">
        <f t="shared" si="9"/>
        <v>0</v>
      </c>
      <c r="D305" s="121">
        <f>ROUND(C305*'FR_Mantenimiento tasas'!$C$43/360,5)</f>
        <v>0</v>
      </c>
      <c r="E305" s="121">
        <f>ROUND(C305*'FR_Mantenimiento tasas'!$D$43/360,5)</f>
        <v>0</v>
      </c>
    </row>
    <row r="306" spans="1:5">
      <c r="A306" s="123">
        <f t="shared" si="8"/>
        <v>304</v>
      </c>
      <c r="B306" s="122">
        <f>IF(DAY(A306)=DAY('F-Ahorro Futuro Genérico'!$H$11),'F-Ahorro Futuro Genérico'!$H$9,0)</f>
        <v>0</v>
      </c>
      <c r="C306" s="122">
        <f t="shared" si="9"/>
        <v>0</v>
      </c>
      <c r="D306" s="121">
        <f>ROUND(C306*'FR_Mantenimiento tasas'!$C$43/360,5)</f>
        <v>0</v>
      </c>
      <c r="E306" s="121">
        <f>ROUND(C306*'FR_Mantenimiento tasas'!$D$43/360,5)</f>
        <v>0</v>
      </c>
    </row>
    <row r="307" spans="1:5">
      <c r="A307" s="123">
        <f t="shared" si="8"/>
        <v>305</v>
      </c>
      <c r="B307" s="122">
        <f>IF(DAY(A307)=DAY('F-Ahorro Futuro Genérico'!$H$11),'F-Ahorro Futuro Genérico'!$H$9,0)</f>
        <v>0</v>
      </c>
      <c r="C307" s="122">
        <f t="shared" si="9"/>
        <v>0</v>
      </c>
      <c r="D307" s="121">
        <f>ROUND(C307*'FR_Mantenimiento tasas'!$C$43/360,5)</f>
        <v>0</v>
      </c>
      <c r="E307" s="121">
        <f>ROUND(C307*'FR_Mantenimiento tasas'!$D$43/360,5)</f>
        <v>0</v>
      </c>
    </row>
    <row r="308" spans="1:5">
      <c r="A308" s="123">
        <f t="shared" si="8"/>
        <v>306</v>
      </c>
      <c r="B308" s="122">
        <f>IF(DAY(A308)=DAY('F-Ahorro Futuro Genérico'!$H$11),'F-Ahorro Futuro Genérico'!$H$9,0)</f>
        <v>0</v>
      </c>
      <c r="C308" s="122">
        <f t="shared" si="9"/>
        <v>0</v>
      </c>
      <c r="D308" s="121">
        <f>ROUND(C308*'FR_Mantenimiento tasas'!$C$43/360,5)</f>
        <v>0</v>
      </c>
      <c r="E308" s="121">
        <f>ROUND(C308*'FR_Mantenimiento tasas'!$D$43/360,5)</f>
        <v>0</v>
      </c>
    </row>
    <row r="309" spans="1:5">
      <c r="A309" s="123">
        <f t="shared" si="8"/>
        <v>307</v>
      </c>
      <c r="B309" s="122">
        <f>IF(DAY(A309)=DAY('F-Ahorro Futuro Genérico'!$H$11),'F-Ahorro Futuro Genérico'!$H$9,0)</f>
        <v>0</v>
      </c>
      <c r="C309" s="122">
        <f t="shared" si="9"/>
        <v>0</v>
      </c>
      <c r="D309" s="121">
        <f>ROUND(C309*'FR_Mantenimiento tasas'!$C$43/360,5)</f>
        <v>0</v>
      </c>
      <c r="E309" s="121">
        <f>ROUND(C309*'FR_Mantenimiento tasas'!$D$43/360,5)</f>
        <v>0</v>
      </c>
    </row>
    <row r="310" spans="1:5">
      <c r="A310" s="123">
        <f t="shared" si="8"/>
        <v>308</v>
      </c>
      <c r="B310" s="122">
        <f>IF(DAY(A310)=DAY('F-Ahorro Futuro Genérico'!$H$11),'F-Ahorro Futuro Genérico'!$H$9,0)</f>
        <v>0</v>
      </c>
      <c r="C310" s="122">
        <f t="shared" si="9"/>
        <v>0</v>
      </c>
      <c r="D310" s="121">
        <f>ROUND(C310*'FR_Mantenimiento tasas'!$C$43/360,5)</f>
        <v>0</v>
      </c>
      <c r="E310" s="121">
        <f>ROUND(C310*'FR_Mantenimiento tasas'!$D$43/360,5)</f>
        <v>0</v>
      </c>
    </row>
    <row r="311" spans="1:5">
      <c r="A311" s="123">
        <f t="shared" si="8"/>
        <v>309</v>
      </c>
      <c r="B311" s="122">
        <f>IF(DAY(A311)=DAY('F-Ahorro Futuro Genérico'!$H$11),'F-Ahorro Futuro Genérico'!$H$9,0)</f>
        <v>0</v>
      </c>
      <c r="C311" s="122">
        <f t="shared" si="9"/>
        <v>0</v>
      </c>
      <c r="D311" s="121">
        <f>ROUND(C311*'FR_Mantenimiento tasas'!$C$43/360,5)</f>
        <v>0</v>
      </c>
      <c r="E311" s="121">
        <f>ROUND(C311*'FR_Mantenimiento tasas'!$D$43/360,5)</f>
        <v>0</v>
      </c>
    </row>
    <row r="312" spans="1:5">
      <c r="A312" s="123">
        <f t="shared" si="8"/>
        <v>310</v>
      </c>
      <c r="B312" s="122">
        <f>IF(DAY(A312)=DAY('F-Ahorro Futuro Genérico'!$H$11),'F-Ahorro Futuro Genérico'!$H$9,0)</f>
        <v>0</v>
      </c>
      <c r="C312" s="122">
        <f t="shared" si="9"/>
        <v>0</v>
      </c>
      <c r="D312" s="121">
        <f>ROUND(C312*'FR_Mantenimiento tasas'!$C$43/360,5)</f>
        <v>0</v>
      </c>
      <c r="E312" s="121">
        <f>ROUND(C312*'FR_Mantenimiento tasas'!$D$43/360,5)</f>
        <v>0</v>
      </c>
    </row>
    <row r="313" spans="1:5">
      <c r="A313" s="123">
        <f t="shared" si="8"/>
        <v>311</v>
      </c>
      <c r="B313" s="122">
        <f>IF(DAY(A313)=DAY('F-Ahorro Futuro Genérico'!$H$11),'F-Ahorro Futuro Genérico'!$H$9,0)</f>
        <v>0</v>
      </c>
      <c r="C313" s="122">
        <f t="shared" si="9"/>
        <v>0</v>
      </c>
      <c r="D313" s="121">
        <f>ROUND(C313*'FR_Mantenimiento tasas'!$C$43/360,5)</f>
        <v>0</v>
      </c>
      <c r="E313" s="121">
        <f>ROUND(C313*'FR_Mantenimiento tasas'!$D$43/360,5)</f>
        <v>0</v>
      </c>
    </row>
    <row r="314" spans="1:5">
      <c r="A314" s="123">
        <f t="shared" si="8"/>
        <v>312</v>
      </c>
      <c r="B314" s="122">
        <f>IF(DAY(A314)=DAY('F-Ahorro Futuro Genérico'!$H$11),'F-Ahorro Futuro Genérico'!$H$9,0)</f>
        <v>0</v>
      </c>
      <c r="C314" s="122">
        <f t="shared" si="9"/>
        <v>0</v>
      </c>
      <c r="D314" s="121">
        <f>ROUND(C314*'FR_Mantenimiento tasas'!$C$43/360,5)</f>
        <v>0</v>
      </c>
      <c r="E314" s="121">
        <f>ROUND(C314*'FR_Mantenimiento tasas'!$D$43/360,5)</f>
        <v>0</v>
      </c>
    </row>
    <row r="315" spans="1:5">
      <c r="A315" s="123">
        <f t="shared" si="8"/>
        <v>313</v>
      </c>
      <c r="B315" s="122">
        <f>IF(DAY(A315)=DAY('F-Ahorro Futuro Genérico'!$H$11),'F-Ahorro Futuro Genérico'!$H$9,0)</f>
        <v>0</v>
      </c>
      <c r="C315" s="122">
        <f t="shared" si="9"/>
        <v>0</v>
      </c>
      <c r="D315" s="121">
        <f>ROUND(C315*'FR_Mantenimiento tasas'!$C$43/360,5)</f>
        <v>0</v>
      </c>
      <c r="E315" s="121">
        <f>ROUND(C315*'FR_Mantenimiento tasas'!$D$43/360,5)</f>
        <v>0</v>
      </c>
    </row>
    <row r="316" spans="1:5">
      <c r="A316" s="123">
        <f t="shared" si="8"/>
        <v>314</v>
      </c>
      <c r="B316" s="122">
        <f>IF(DAY(A316)=DAY('F-Ahorro Futuro Genérico'!$H$11),'F-Ahorro Futuro Genérico'!$H$9,0)</f>
        <v>0</v>
      </c>
      <c r="C316" s="122">
        <f t="shared" si="9"/>
        <v>0</v>
      </c>
      <c r="D316" s="121">
        <f>ROUND(C316*'FR_Mantenimiento tasas'!$C$43/360,5)</f>
        <v>0</v>
      </c>
      <c r="E316" s="121">
        <f>ROUND(C316*'FR_Mantenimiento tasas'!$D$43/360,5)</f>
        <v>0</v>
      </c>
    </row>
    <row r="317" spans="1:5">
      <c r="A317" s="123">
        <f t="shared" si="8"/>
        <v>315</v>
      </c>
      <c r="B317" s="122">
        <f>IF(DAY(A317)=DAY('F-Ahorro Futuro Genérico'!$H$11),'F-Ahorro Futuro Genérico'!$H$9,0)</f>
        <v>0</v>
      </c>
      <c r="C317" s="122">
        <f t="shared" si="9"/>
        <v>0</v>
      </c>
      <c r="D317" s="121">
        <f>ROUND(C317*'FR_Mantenimiento tasas'!$C$43/360,5)</f>
        <v>0</v>
      </c>
      <c r="E317" s="121">
        <f>ROUND(C317*'FR_Mantenimiento tasas'!$D$43/360,5)</f>
        <v>0</v>
      </c>
    </row>
    <row r="318" spans="1:5">
      <c r="A318" s="123">
        <f t="shared" si="8"/>
        <v>316</v>
      </c>
      <c r="B318" s="122">
        <f>IF(DAY(A318)=DAY('F-Ahorro Futuro Genérico'!$H$11),'F-Ahorro Futuro Genérico'!$H$9,0)</f>
        <v>0</v>
      </c>
      <c r="C318" s="122">
        <f t="shared" si="9"/>
        <v>0</v>
      </c>
      <c r="D318" s="121">
        <f>ROUND(C318*'FR_Mantenimiento tasas'!$C$43/360,5)</f>
        <v>0</v>
      </c>
      <c r="E318" s="121">
        <f>ROUND(C318*'FR_Mantenimiento tasas'!$D$43/360,5)</f>
        <v>0</v>
      </c>
    </row>
    <row r="319" spans="1:5">
      <c r="A319" s="123">
        <f t="shared" si="8"/>
        <v>317</v>
      </c>
      <c r="B319" s="122">
        <f>IF(DAY(A319)=DAY('F-Ahorro Futuro Genérico'!$H$11),'F-Ahorro Futuro Genérico'!$H$9,0)</f>
        <v>0</v>
      </c>
      <c r="C319" s="122">
        <f t="shared" si="9"/>
        <v>0</v>
      </c>
      <c r="D319" s="121">
        <f>ROUND(C319*'FR_Mantenimiento tasas'!$C$43/360,5)</f>
        <v>0</v>
      </c>
      <c r="E319" s="121">
        <f>ROUND(C319*'FR_Mantenimiento tasas'!$D$43/360,5)</f>
        <v>0</v>
      </c>
    </row>
    <row r="320" spans="1:5">
      <c r="A320" s="123">
        <f t="shared" si="8"/>
        <v>318</v>
      </c>
      <c r="B320" s="122">
        <f>IF(DAY(A320)=DAY('F-Ahorro Futuro Genérico'!$H$11),'F-Ahorro Futuro Genérico'!$H$9,0)</f>
        <v>0</v>
      </c>
      <c r="C320" s="122">
        <f t="shared" si="9"/>
        <v>0</v>
      </c>
      <c r="D320" s="121">
        <f>ROUND(C320*'FR_Mantenimiento tasas'!$C$43/360,5)</f>
        <v>0</v>
      </c>
      <c r="E320" s="121">
        <f>ROUND(C320*'FR_Mantenimiento tasas'!$D$43/360,5)</f>
        <v>0</v>
      </c>
    </row>
    <row r="321" spans="1:5">
      <c r="A321" s="123">
        <f t="shared" si="8"/>
        <v>319</v>
      </c>
      <c r="B321" s="122">
        <f>IF(DAY(A321)=DAY('F-Ahorro Futuro Genérico'!$H$11),'F-Ahorro Futuro Genérico'!$H$9,0)</f>
        <v>0</v>
      </c>
      <c r="C321" s="122">
        <f t="shared" si="9"/>
        <v>0</v>
      </c>
      <c r="D321" s="121">
        <f>ROUND(C321*'FR_Mantenimiento tasas'!$C$43/360,5)</f>
        <v>0</v>
      </c>
      <c r="E321" s="121">
        <f>ROUND(C321*'FR_Mantenimiento tasas'!$D$43/360,5)</f>
        <v>0</v>
      </c>
    </row>
    <row r="322" spans="1:5">
      <c r="A322" s="123">
        <f t="shared" si="8"/>
        <v>320</v>
      </c>
      <c r="B322" s="122">
        <f>IF(DAY(A322)=DAY('F-Ahorro Futuro Genérico'!$H$11),'F-Ahorro Futuro Genérico'!$H$9,0)</f>
        <v>0</v>
      </c>
      <c r="C322" s="122">
        <f t="shared" si="9"/>
        <v>0</v>
      </c>
      <c r="D322" s="121">
        <f>ROUND(C322*'FR_Mantenimiento tasas'!$C$43/360,5)</f>
        <v>0</v>
      </c>
      <c r="E322" s="121">
        <f>ROUND(C322*'FR_Mantenimiento tasas'!$D$43/360,5)</f>
        <v>0</v>
      </c>
    </row>
    <row r="323" spans="1:5">
      <c r="A323" s="123">
        <f t="shared" si="8"/>
        <v>321</v>
      </c>
      <c r="B323" s="122">
        <f>IF(DAY(A323)=DAY('F-Ahorro Futuro Genérico'!$H$11),'F-Ahorro Futuro Genérico'!$H$9,0)</f>
        <v>0</v>
      </c>
      <c r="C323" s="122">
        <f t="shared" si="9"/>
        <v>0</v>
      </c>
      <c r="D323" s="121">
        <f>ROUND(C323*'FR_Mantenimiento tasas'!$C$43/360,5)</f>
        <v>0</v>
      </c>
      <c r="E323" s="121">
        <f>ROUND(C323*'FR_Mantenimiento tasas'!$D$43/360,5)</f>
        <v>0</v>
      </c>
    </row>
    <row r="324" spans="1:5">
      <c r="A324" s="123">
        <f t="shared" ref="A324:A387" si="10">+A323+1</f>
        <v>322</v>
      </c>
      <c r="B324" s="122">
        <f>IF(DAY(A324)=DAY('F-Ahorro Futuro Genérico'!$H$11),'F-Ahorro Futuro Genérico'!$H$9,0)</f>
        <v>0</v>
      </c>
      <c r="C324" s="122">
        <f t="shared" ref="C324:C387" si="11">+B324+C323+D323</f>
        <v>0</v>
      </c>
      <c r="D324" s="121">
        <f>ROUND(C324*'FR_Mantenimiento tasas'!$C$43/360,5)</f>
        <v>0</v>
      </c>
      <c r="E324" s="121">
        <f>ROUND(C324*'FR_Mantenimiento tasas'!$D$43/360,5)</f>
        <v>0</v>
      </c>
    </row>
    <row r="325" spans="1:5">
      <c r="A325" s="123">
        <f t="shared" si="10"/>
        <v>323</v>
      </c>
      <c r="B325" s="122">
        <f>IF(DAY(A325)=DAY('F-Ahorro Futuro Genérico'!$H$11),'F-Ahorro Futuro Genérico'!$H$9,0)</f>
        <v>0</v>
      </c>
      <c r="C325" s="122">
        <f t="shared" si="11"/>
        <v>0</v>
      </c>
      <c r="D325" s="121">
        <f>ROUND(C325*'FR_Mantenimiento tasas'!$C$43/360,5)</f>
        <v>0</v>
      </c>
      <c r="E325" s="121">
        <f>ROUND(C325*'FR_Mantenimiento tasas'!$D$43/360,5)</f>
        <v>0</v>
      </c>
    </row>
    <row r="326" spans="1:5">
      <c r="A326" s="123">
        <f t="shared" si="10"/>
        <v>324</v>
      </c>
      <c r="B326" s="122">
        <f>IF(DAY(A326)=DAY('F-Ahorro Futuro Genérico'!$H$11),'F-Ahorro Futuro Genérico'!$H$9,0)</f>
        <v>0</v>
      </c>
      <c r="C326" s="122">
        <f t="shared" si="11"/>
        <v>0</v>
      </c>
      <c r="D326" s="121">
        <f>ROUND(C326*'FR_Mantenimiento tasas'!$C$43/360,5)</f>
        <v>0</v>
      </c>
      <c r="E326" s="121">
        <f>ROUND(C326*'FR_Mantenimiento tasas'!$D$43/360,5)</f>
        <v>0</v>
      </c>
    </row>
    <row r="327" spans="1:5">
      <c r="A327" s="123">
        <f t="shared" si="10"/>
        <v>325</v>
      </c>
      <c r="B327" s="122">
        <f>IF(DAY(A327)=DAY('F-Ahorro Futuro Genérico'!$H$11),'F-Ahorro Futuro Genérico'!$H$9,0)</f>
        <v>0</v>
      </c>
      <c r="C327" s="122">
        <f t="shared" si="11"/>
        <v>0</v>
      </c>
      <c r="D327" s="121">
        <f>ROUND(C327*'FR_Mantenimiento tasas'!$C$43/360,5)</f>
        <v>0</v>
      </c>
      <c r="E327" s="121">
        <f>ROUND(C327*'FR_Mantenimiento tasas'!$D$43/360,5)</f>
        <v>0</v>
      </c>
    </row>
    <row r="328" spans="1:5">
      <c r="A328" s="123">
        <f t="shared" si="10"/>
        <v>326</v>
      </c>
      <c r="B328" s="122">
        <f>IF(DAY(A328)=DAY('F-Ahorro Futuro Genérico'!$H$11),'F-Ahorro Futuro Genérico'!$H$9,0)</f>
        <v>0</v>
      </c>
      <c r="C328" s="122">
        <f t="shared" si="11"/>
        <v>0</v>
      </c>
      <c r="D328" s="121">
        <f>ROUND(C328*'FR_Mantenimiento tasas'!$C$43/360,5)</f>
        <v>0</v>
      </c>
      <c r="E328" s="121">
        <f>ROUND(C328*'FR_Mantenimiento tasas'!$D$43/360,5)</f>
        <v>0</v>
      </c>
    </row>
    <row r="329" spans="1:5">
      <c r="A329" s="123">
        <f t="shared" si="10"/>
        <v>327</v>
      </c>
      <c r="B329" s="122">
        <f>IF(DAY(A329)=DAY('F-Ahorro Futuro Genérico'!$H$11),'F-Ahorro Futuro Genérico'!$H$9,0)</f>
        <v>0</v>
      </c>
      <c r="C329" s="122">
        <f t="shared" si="11"/>
        <v>0</v>
      </c>
      <c r="D329" s="121">
        <f>ROUND(C329*'FR_Mantenimiento tasas'!$C$43/360,5)</f>
        <v>0</v>
      </c>
      <c r="E329" s="121">
        <f>ROUND(C329*'FR_Mantenimiento tasas'!$D$43/360,5)</f>
        <v>0</v>
      </c>
    </row>
    <row r="330" spans="1:5">
      <c r="A330" s="123">
        <f t="shared" si="10"/>
        <v>328</v>
      </c>
      <c r="B330" s="122">
        <f>IF(DAY(A330)=DAY('F-Ahorro Futuro Genérico'!$H$11),'F-Ahorro Futuro Genérico'!$H$9,0)</f>
        <v>0</v>
      </c>
      <c r="C330" s="122">
        <f t="shared" si="11"/>
        <v>0</v>
      </c>
      <c r="D330" s="121">
        <f>ROUND(C330*'FR_Mantenimiento tasas'!$C$43/360,5)</f>
        <v>0</v>
      </c>
      <c r="E330" s="121">
        <f>ROUND(C330*'FR_Mantenimiento tasas'!$D$43/360,5)</f>
        <v>0</v>
      </c>
    </row>
    <row r="331" spans="1:5">
      <c r="A331" s="123">
        <f t="shared" si="10"/>
        <v>329</v>
      </c>
      <c r="B331" s="122">
        <f>IF(DAY(A331)=DAY('F-Ahorro Futuro Genérico'!$H$11),'F-Ahorro Futuro Genérico'!$H$9,0)</f>
        <v>0</v>
      </c>
      <c r="C331" s="122">
        <f t="shared" si="11"/>
        <v>0</v>
      </c>
      <c r="D331" s="121">
        <f>ROUND(C331*'FR_Mantenimiento tasas'!$C$43/360,5)</f>
        <v>0</v>
      </c>
      <c r="E331" s="121">
        <f>ROUND(C331*'FR_Mantenimiento tasas'!$D$43/360,5)</f>
        <v>0</v>
      </c>
    </row>
    <row r="332" spans="1:5">
      <c r="A332" s="123">
        <f t="shared" si="10"/>
        <v>330</v>
      </c>
      <c r="B332" s="122">
        <f>IF(DAY(A332)=DAY('F-Ahorro Futuro Genérico'!$H$11),'F-Ahorro Futuro Genérico'!$H$9,0)</f>
        <v>0</v>
      </c>
      <c r="C332" s="122">
        <f t="shared" si="11"/>
        <v>0</v>
      </c>
      <c r="D332" s="121">
        <f>ROUND(C332*'FR_Mantenimiento tasas'!$C$43/360,5)</f>
        <v>0</v>
      </c>
      <c r="E332" s="121">
        <f>ROUND(C332*'FR_Mantenimiento tasas'!$D$43/360,5)</f>
        <v>0</v>
      </c>
    </row>
    <row r="333" spans="1:5">
      <c r="A333" s="123">
        <f t="shared" si="10"/>
        <v>331</v>
      </c>
      <c r="B333" s="122">
        <f>IF(DAY(A333)=DAY('F-Ahorro Futuro Genérico'!$H$11),'F-Ahorro Futuro Genérico'!$H$9,0)</f>
        <v>0</v>
      </c>
      <c r="C333" s="122">
        <f t="shared" si="11"/>
        <v>0</v>
      </c>
      <c r="D333" s="121">
        <f>ROUND(C333*'FR_Mantenimiento tasas'!$C$43/360,5)</f>
        <v>0</v>
      </c>
      <c r="E333" s="121">
        <f>ROUND(C333*'FR_Mantenimiento tasas'!$D$43/360,5)</f>
        <v>0</v>
      </c>
    </row>
    <row r="334" spans="1:5">
      <c r="A334" s="123">
        <f t="shared" si="10"/>
        <v>332</v>
      </c>
      <c r="B334" s="122">
        <f>IF(DAY(A334)=DAY('F-Ahorro Futuro Genérico'!$H$11),'F-Ahorro Futuro Genérico'!$H$9,0)</f>
        <v>0</v>
      </c>
      <c r="C334" s="122">
        <f t="shared" si="11"/>
        <v>0</v>
      </c>
      <c r="D334" s="121">
        <f>ROUND(C334*'FR_Mantenimiento tasas'!$C$43/360,5)</f>
        <v>0</v>
      </c>
      <c r="E334" s="121">
        <f>ROUND(C334*'FR_Mantenimiento tasas'!$D$43/360,5)</f>
        <v>0</v>
      </c>
    </row>
    <row r="335" spans="1:5">
      <c r="A335" s="123">
        <f t="shared" si="10"/>
        <v>333</v>
      </c>
      <c r="B335" s="122">
        <f>IF(DAY(A335)=DAY('F-Ahorro Futuro Genérico'!$H$11),'F-Ahorro Futuro Genérico'!$H$9,0)</f>
        <v>0</v>
      </c>
      <c r="C335" s="122">
        <f t="shared" si="11"/>
        <v>0</v>
      </c>
      <c r="D335" s="121">
        <f>ROUND(C335*'FR_Mantenimiento tasas'!$C$43/360,5)</f>
        <v>0</v>
      </c>
      <c r="E335" s="121">
        <f>ROUND(C335*'FR_Mantenimiento tasas'!$D$43/360,5)</f>
        <v>0</v>
      </c>
    </row>
    <row r="336" spans="1:5">
      <c r="A336" s="123">
        <f t="shared" si="10"/>
        <v>334</v>
      </c>
      <c r="B336" s="122">
        <f>IF(DAY(A336)=DAY('F-Ahorro Futuro Genérico'!$H$11),'F-Ahorro Futuro Genérico'!$H$9,0)</f>
        <v>0</v>
      </c>
      <c r="C336" s="122">
        <f t="shared" si="11"/>
        <v>0</v>
      </c>
      <c r="D336" s="121">
        <f>ROUND(C336*'FR_Mantenimiento tasas'!$C$43/360,5)</f>
        <v>0</v>
      </c>
      <c r="E336" s="121">
        <f>ROUND(C336*'FR_Mantenimiento tasas'!$D$43/360,5)</f>
        <v>0</v>
      </c>
    </row>
    <row r="337" spans="1:5">
      <c r="A337" s="123">
        <f t="shared" si="10"/>
        <v>335</v>
      </c>
      <c r="B337" s="122">
        <f>IF(DAY(A337)=DAY('F-Ahorro Futuro Genérico'!$H$11),'F-Ahorro Futuro Genérico'!$H$9,0)</f>
        <v>0</v>
      </c>
      <c r="C337" s="122">
        <f t="shared" si="11"/>
        <v>0</v>
      </c>
      <c r="D337" s="121">
        <f>ROUND(C337*'FR_Mantenimiento tasas'!$C$43/360,5)</f>
        <v>0</v>
      </c>
      <c r="E337" s="121">
        <f>ROUND(C337*'FR_Mantenimiento tasas'!$D$43/360,5)</f>
        <v>0</v>
      </c>
    </row>
    <row r="338" spans="1:5">
      <c r="A338" s="123">
        <f t="shared" si="10"/>
        <v>336</v>
      </c>
      <c r="B338" s="122">
        <f>IF(DAY(A338)=DAY('F-Ahorro Futuro Genérico'!$H$11),'F-Ahorro Futuro Genérico'!$H$9,0)</f>
        <v>0</v>
      </c>
      <c r="C338" s="122">
        <f t="shared" si="11"/>
        <v>0</v>
      </c>
      <c r="D338" s="121">
        <f>ROUND(C338*'FR_Mantenimiento tasas'!$C$43/360,5)</f>
        <v>0</v>
      </c>
      <c r="E338" s="121">
        <f>ROUND(C338*'FR_Mantenimiento tasas'!$D$43/360,5)</f>
        <v>0</v>
      </c>
    </row>
    <row r="339" spans="1:5">
      <c r="A339" s="123">
        <f t="shared" si="10"/>
        <v>337</v>
      </c>
      <c r="B339" s="122">
        <f>IF(DAY(A339)=DAY('F-Ahorro Futuro Genérico'!$H$11),'F-Ahorro Futuro Genérico'!$H$9,0)</f>
        <v>0</v>
      </c>
      <c r="C339" s="122">
        <f t="shared" si="11"/>
        <v>0</v>
      </c>
      <c r="D339" s="121">
        <f>ROUND(C339*'FR_Mantenimiento tasas'!$C$43/360,5)</f>
        <v>0</v>
      </c>
      <c r="E339" s="121">
        <f>ROUND(C339*'FR_Mantenimiento tasas'!$D$43/360,5)</f>
        <v>0</v>
      </c>
    </row>
    <row r="340" spans="1:5">
      <c r="A340" s="123">
        <f t="shared" si="10"/>
        <v>338</v>
      </c>
      <c r="B340" s="122">
        <f>IF(DAY(A340)=DAY('F-Ahorro Futuro Genérico'!$H$11),'F-Ahorro Futuro Genérico'!$H$9,0)</f>
        <v>0</v>
      </c>
      <c r="C340" s="122">
        <f t="shared" si="11"/>
        <v>0</v>
      </c>
      <c r="D340" s="121">
        <f>ROUND(C340*'FR_Mantenimiento tasas'!$C$43/360,5)</f>
        <v>0</v>
      </c>
      <c r="E340" s="121">
        <f>ROUND(C340*'FR_Mantenimiento tasas'!$D$43/360,5)</f>
        <v>0</v>
      </c>
    </row>
    <row r="341" spans="1:5">
      <c r="A341" s="123">
        <f t="shared" si="10"/>
        <v>339</v>
      </c>
      <c r="B341" s="122">
        <f>IF(DAY(A341)=DAY('F-Ahorro Futuro Genérico'!$H$11),'F-Ahorro Futuro Genérico'!$H$9,0)</f>
        <v>0</v>
      </c>
      <c r="C341" s="122">
        <f t="shared" si="11"/>
        <v>0</v>
      </c>
      <c r="D341" s="121">
        <f>ROUND(C341*'FR_Mantenimiento tasas'!$C$43/360,5)</f>
        <v>0</v>
      </c>
      <c r="E341" s="121">
        <f>ROUND(C341*'FR_Mantenimiento tasas'!$D$43/360,5)</f>
        <v>0</v>
      </c>
    </row>
    <row r="342" spans="1:5">
      <c r="A342" s="123">
        <f t="shared" si="10"/>
        <v>340</v>
      </c>
      <c r="B342" s="122">
        <f>IF(DAY(A342)=DAY('F-Ahorro Futuro Genérico'!$H$11),'F-Ahorro Futuro Genérico'!$H$9,0)</f>
        <v>0</v>
      </c>
      <c r="C342" s="122">
        <f t="shared" si="11"/>
        <v>0</v>
      </c>
      <c r="D342" s="121">
        <f>ROUND(C342*'FR_Mantenimiento tasas'!$C$43/360,5)</f>
        <v>0</v>
      </c>
      <c r="E342" s="121">
        <f>ROUND(C342*'FR_Mantenimiento tasas'!$D$43/360,5)</f>
        <v>0</v>
      </c>
    </row>
    <row r="343" spans="1:5">
      <c r="A343" s="123">
        <f t="shared" si="10"/>
        <v>341</v>
      </c>
      <c r="B343" s="122">
        <f>IF(DAY(A343)=DAY('F-Ahorro Futuro Genérico'!$H$11),'F-Ahorro Futuro Genérico'!$H$9,0)</f>
        <v>0</v>
      </c>
      <c r="C343" s="122">
        <f t="shared" si="11"/>
        <v>0</v>
      </c>
      <c r="D343" s="121">
        <f>ROUND(C343*'FR_Mantenimiento tasas'!$C$43/360,5)</f>
        <v>0</v>
      </c>
      <c r="E343" s="121">
        <f>ROUND(C343*'FR_Mantenimiento tasas'!$D$43/360,5)</f>
        <v>0</v>
      </c>
    </row>
    <row r="344" spans="1:5">
      <c r="A344" s="123">
        <f t="shared" si="10"/>
        <v>342</v>
      </c>
      <c r="B344" s="122">
        <f>IF(DAY(A344)=DAY('F-Ahorro Futuro Genérico'!$H$11),'F-Ahorro Futuro Genérico'!$H$9,0)</f>
        <v>0</v>
      </c>
      <c r="C344" s="122">
        <f t="shared" si="11"/>
        <v>0</v>
      </c>
      <c r="D344" s="121">
        <f>ROUND(C344*'FR_Mantenimiento tasas'!$C$43/360,5)</f>
        <v>0</v>
      </c>
      <c r="E344" s="121">
        <f>ROUND(C344*'FR_Mantenimiento tasas'!$D$43/360,5)</f>
        <v>0</v>
      </c>
    </row>
    <row r="345" spans="1:5">
      <c r="A345" s="123">
        <f t="shared" si="10"/>
        <v>343</v>
      </c>
      <c r="B345" s="122">
        <f>IF(DAY(A345)=DAY('F-Ahorro Futuro Genérico'!$H$11),'F-Ahorro Futuro Genérico'!$H$9,0)</f>
        <v>0</v>
      </c>
      <c r="C345" s="122">
        <f t="shared" si="11"/>
        <v>0</v>
      </c>
      <c r="D345" s="121">
        <f>ROUND(C345*'FR_Mantenimiento tasas'!$C$43/360,5)</f>
        <v>0</v>
      </c>
      <c r="E345" s="121">
        <f>ROUND(C345*'FR_Mantenimiento tasas'!$D$43/360,5)</f>
        <v>0</v>
      </c>
    </row>
    <row r="346" spans="1:5">
      <c r="A346" s="123">
        <f t="shared" si="10"/>
        <v>344</v>
      </c>
      <c r="B346" s="122">
        <f>IF(DAY(A346)=DAY('F-Ahorro Futuro Genérico'!$H$11),'F-Ahorro Futuro Genérico'!$H$9,0)</f>
        <v>0</v>
      </c>
      <c r="C346" s="122">
        <f t="shared" si="11"/>
        <v>0</v>
      </c>
      <c r="D346" s="121">
        <f>ROUND(C346*'FR_Mantenimiento tasas'!$C$43/360,5)</f>
        <v>0</v>
      </c>
      <c r="E346" s="121">
        <f>ROUND(C346*'FR_Mantenimiento tasas'!$D$43/360,5)</f>
        <v>0</v>
      </c>
    </row>
    <row r="347" spans="1:5">
      <c r="A347" s="123">
        <f t="shared" si="10"/>
        <v>345</v>
      </c>
      <c r="B347" s="122">
        <f>IF(DAY(A347)=DAY('F-Ahorro Futuro Genérico'!$H$11),'F-Ahorro Futuro Genérico'!$H$9,0)</f>
        <v>0</v>
      </c>
      <c r="C347" s="122">
        <f t="shared" si="11"/>
        <v>0</v>
      </c>
      <c r="D347" s="121">
        <f>ROUND(C347*'FR_Mantenimiento tasas'!$C$43/360,5)</f>
        <v>0</v>
      </c>
      <c r="E347" s="121">
        <f>ROUND(C347*'FR_Mantenimiento tasas'!$D$43/360,5)</f>
        <v>0</v>
      </c>
    </row>
    <row r="348" spans="1:5">
      <c r="A348" s="123">
        <f t="shared" si="10"/>
        <v>346</v>
      </c>
      <c r="B348" s="122">
        <f>IF(DAY(A348)=DAY('F-Ahorro Futuro Genérico'!$H$11),'F-Ahorro Futuro Genérico'!$H$9,0)</f>
        <v>0</v>
      </c>
      <c r="C348" s="122">
        <f t="shared" si="11"/>
        <v>0</v>
      </c>
      <c r="D348" s="121">
        <f>ROUND(C348*'FR_Mantenimiento tasas'!$C$43/360,5)</f>
        <v>0</v>
      </c>
      <c r="E348" s="121">
        <f>ROUND(C348*'FR_Mantenimiento tasas'!$D$43/360,5)</f>
        <v>0</v>
      </c>
    </row>
    <row r="349" spans="1:5">
      <c r="A349" s="123">
        <f t="shared" si="10"/>
        <v>347</v>
      </c>
      <c r="B349" s="122">
        <f>IF(DAY(A349)=DAY('F-Ahorro Futuro Genérico'!$H$11),'F-Ahorro Futuro Genérico'!$H$9,0)</f>
        <v>0</v>
      </c>
      <c r="C349" s="122">
        <f t="shared" si="11"/>
        <v>0</v>
      </c>
      <c r="D349" s="121">
        <f>ROUND(C349*'FR_Mantenimiento tasas'!$C$43/360,5)</f>
        <v>0</v>
      </c>
      <c r="E349" s="121">
        <f>ROUND(C349*'FR_Mantenimiento tasas'!$D$43/360,5)</f>
        <v>0</v>
      </c>
    </row>
    <row r="350" spans="1:5">
      <c r="A350" s="123">
        <f t="shared" si="10"/>
        <v>348</v>
      </c>
      <c r="B350" s="122">
        <f>IF(DAY(A350)=DAY('F-Ahorro Futuro Genérico'!$H$11),'F-Ahorro Futuro Genérico'!$H$9,0)</f>
        <v>0</v>
      </c>
      <c r="C350" s="122">
        <f t="shared" si="11"/>
        <v>0</v>
      </c>
      <c r="D350" s="121">
        <f>ROUND(C350*'FR_Mantenimiento tasas'!$C$43/360,5)</f>
        <v>0</v>
      </c>
      <c r="E350" s="121">
        <f>ROUND(C350*'FR_Mantenimiento tasas'!$D$43/360,5)</f>
        <v>0</v>
      </c>
    </row>
    <row r="351" spans="1:5">
      <c r="A351" s="123">
        <f t="shared" si="10"/>
        <v>349</v>
      </c>
      <c r="B351" s="122">
        <f>IF(DAY(A351)=DAY('F-Ahorro Futuro Genérico'!$H$11),'F-Ahorro Futuro Genérico'!$H$9,0)</f>
        <v>0</v>
      </c>
      <c r="C351" s="122">
        <f t="shared" si="11"/>
        <v>0</v>
      </c>
      <c r="D351" s="121">
        <f>ROUND(C351*'FR_Mantenimiento tasas'!$C$43/360,5)</f>
        <v>0</v>
      </c>
      <c r="E351" s="121">
        <f>ROUND(C351*'FR_Mantenimiento tasas'!$D$43/360,5)</f>
        <v>0</v>
      </c>
    </row>
    <row r="352" spans="1:5">
      <c r="A352" s="123">
        <f t="shared" si="10"/>
        <v>350</v>
      </c>
      <c r="B352" s="122">
        <f>IF(DAY(A352)=DAY('F-Ahorro Futuro Genérico'!$H$11),'F-Ahorro Futuro Genérico'!$H$9,0)</f>
        <v>0</v>
      </c>
      <c r="C352" s="122">
        <f t="shared" si="11"/>
        <v>0</v>
      </c>
      <c r="D352" s="121">
        <f>ROUND(C352*'FR_Mantenimiento tasas'!$C$43/360,5)</f>
        <v>0</v>
      </c>
      <c r="E352" s="121">
        <f>ROUND(C352*'FR_Mantenimiento tasas'!$D$43/360,5)</f>
        <v>0</v>
      </c>
    </row>
    <row r="353" spans="1:5">
      <c r="A353" s="123">
        <f t="shared" si="10"/>
        <v>351</v>
      </c>
      <c r="B353" s="122">
        <f>IF(DAY(A353)=DAY('F-Ahorro Futuro Genérico'!$H$11),'F-Ahorro Futuro Genérico'!$H$9,0)</f>
        <v>0</v>
      </c>
      <c r="C353" s="122">
        <f t="shared" si="11"/>
        <v>0</v>
      </c>
      <c r="D353" s="121">
        <f>ROUND(C353*'FR_Mantenimiento tasas'!$C$43/360,5)</f>
        <v>0</v>
      </c>
      <c r="E353" s="121">
        <f>ROUND(C353*'FR_Mantenimiento tasas'!$D$43/360,5)</f>
        <v>0</v>
      </c>
    </row>
    <row r="354" spans="1:5">
      <c r="A354" s="123">
        <f t="shared" si="10"/>
        <v>352</v>
      </c>
      <c r="B354" s="122">
        <f>IF(DAY(A354)=DAY('F-Ahorro Futuro Genérico'!$H$11),'F-Ahorro Futuro Genérico'!$H$9,0)</f>
        <v>0</v>
      </c>
      <c r="C354" s="122">
        <f t="shared" si="11"/>
        <v>0</v>
      </c>
      <c r="D354" s="121">
        <f>ROUND(C354*'FR_Mantenimiento tasas'!$C$43/360,5)</f>
        <v>0</v>
      </c>
      <c r="E354" s="121">
        <f>ROUND(C354*'FR_Mantenimiento tasas'!$D$43/360,5)</f>
        <v>0</v>
      </c>
    </row>
    <row r="355" spans="1:5">
      <c r="A355" s="123">
        <f t="shared" si="10"/>
        <v>353</v>
      </c>
      <c r="B355" s="122">
        <f>IF(DAY(A355)=DAY('F-Ahorro Futuro Genérico'!$H$11),'F-Ahorro Futuro Genérico'!$H$9,0)</f>
        <v>0</v>
      </c>
      <c r="C355" s="122">
        <f t="shared" si="11"/>
        <v>0</v>
      </c>
      <c r="D355" s="121">
        <f>ROUND(C355*'FR_Mantenimiento tasas'!$C$43/360,5)</f>
        <v>0</v>
      </c>
      <c r="E355" s="121">
        <f>ROUND(C355*'FR_Mantenimiento tasas'!$D$43/360,5)</f>
        <v>0</v>
      </c>
    </row>
    <row r="356" spans="1:5">
      <c r="A356" s="123">
        <f t="shared" si="10"/>
        <v>354</v>
      </c>
      <c r="B356" s="122">
        <f>IF(DAY(A356)=DAY('F-Ahorro Futuro Genérico'!$H$11),'F-Ahorro Futuro Genérico'!$H$9,0)</f>
        <v>0</v>
      </c>
      <c r="C356" s="122">
        <f t="shared" si="11"/>
        <v>0</v>
      </c>
      <c r="D356" s="121">
        <f>ROUND(C356*'FR_Mantenimiento tasas'!$C$43/360,5)</f>
        <v>0</v>
      </c>
      <c r="E356" s="121">
        <f>ROUND(C356*'FR_Mantenimiento tasas'!$D$43/360,5)</f>
        <v>0</v>
      </c>
    </row>
    <row r="357" spans="1:5">
      <c r="A357" s="123">
        <f t="shared" si="10"/>
        <v>355</v>
      </c>
      <c r="B357" s="122">
        <f>IF(DAY(A357)=DAY('F-Ahorro Futuro Genérico'!$H$11),'F-Ahorro Futuro Genérico'!$H$9,0)</f>
        <v>0</v>
      </c>
      <c r="C357" s="122">
        <f t="shared" si="11"/>
        <v>0</v>
      </c>
      <c r="D357" s="121">
        <f>ROUND(C357*'FR_Mantenimiento tasas'!$C$43/360,5)</f>
        <v>0</v>
      </c>
      <c r="E357" s="121">
        <f>ROUND(C357*'FR_Mantenimiento tasas'!$D$43/360,5)</f>
        <v>0</v>
      </c>
    </row>
    <row r="358" spans="1:5">
      <c r="A358" s="123">
        <f t="shared" si="10"/>
        <v>356</v>
      </c>
      <c r="B358" s="122">
        <f>IF(DAY(A358)=DAY('F-Ahorro Futuro Genérico'!$H$11),'F-Ahorro Futuro Genérico'!$H$9,0)</f>
        <v>0</v>
      </c>
      <c r="C358" s="122">
        <f t="shared" si="11"/>
        <v>0</v>
      </c>
      <c r="D358" s="121">
        <f>ROUND(C358*'FR_Mantenimiento tasas'!$C$43/360,5)</f>
        <v>0</v>
      </c>
      <c r="E358" s="121">
        <f>ROUND(C358*'FR_Mantenimiento tasas'!$D$43/360,5)</f>
        <v>0</v>
      </c>
    </row>
    <row r="359" spans="1:5">
      <c r="A359" s="123">
        <f t="shared" si="10"/>
        <v>357</v>
      </c>
      <c r="B359" s="122">
        <f>IF(DAY(A359)=DAY('F-Ahorro Futuro Genérico'!$H$11),'F-Ahorro Futuro Genérico'!$H$9,0)</f>
        <v>0</v>
      </c>
      <c r="C359" s="122">
        <f t="shared" si="11"/>
        <v>0</v>
      </c>
      <c r="D359" s="121">
        <f>ROUND(C359*'FR_Mantenimiento tasas'!$C$43/360,5)</f>
        <v>0</v>
      </c>
      <c r="E359" s="121">
        <f>ROUND(C359*'FR_Mantenimiento tasas'!$D$43/360,5)</f>
        <v>0</v>
      </c>
    </row>
    <row r="360" spans="1:5">
      <c r="A360" s="123">
        <f t="shared" si="10"/>
        <v>358</v>
      </c>
      <c r="B360" s="122">
        <f>IF(DAY(A360)=DAY('F-Ahorro Futuro Genérico'!$H$11),'F-Ahorro Futuro Genérico'!$H$9,0)</f>
        <v>0</v>
      </c>
      <c r="C360" s="122">
        <f t="shared" si="11"/>
        <v>0</v>
      </c>
      <c r="D360" s="121">
        <f>ROUND(C360*'FR_Mantenimiento tasas'!$C$43/360,5)</f>
        <v>0</v>
      </c>
      <c r="E360" s="121">
        <f>ROUND(C360*'FR_Mantenimiento tasas'!$D$43/360,5)</f>
        <v>0</v>
      </c>
    </row>
    <row r="361" spans="1:5">
      <c r="A361" s="123">
        <f t="shared" si="10"/>
        <v>359</v>
      </c>
      <c r="B361" s="122">
        <f>IF(DAY(A361)=DAY('F-Ahorro Futuro Genérico'!$H$11),'F-Ahorro Futuro Genérico'!$H$9,0)</f>
        <v>0</v>
      </c>
      <c r="C361" s="122">
        <f t="shared" si="11"/>
        <v>0</v>
      </c>
      <c r="D361" s="121">
        <f>ROUND(C361*'FR_Mantenimiento tasas'!$C$43/360,5)</f>
        <v>0</v>
      </c>
      <c r="E361" s="121">
        <f>ROUND(C361*'FR_Mantenimiento tasas'!$D$43/360,5)</f>
        <v>0</v>
      </c>
    </row>
    <row r="362" spans="1:5">
      <c r="A362" s="123">
        <f t="shared" si="10"/>
        <v>360</v>
      </c>
      <c r="B362" s="122">
        <f>IF(DAY(A362)=DAY('F-Ahorro Futuro Genérico'!$H$11),'F-Ahorro Futuro Genérico'!$H$9,0)</f>
        <v>0</v>
      </c>
      <c r="C362" s="122">
        <f t="shared" si="11"/>
        <v>0</v>
      </c>
      <c r="D362" s="121">
        <f>ROUND(C362*'FR_Mantenimiento tasas'!$C$43/360,5)</f>
        <v>0</v>
      </c>
      <c r="E362" s="121">
        <f>ROUND(C362*'FR_Mantenimiento tasas'!$D$43/360,5)</f>
        <v>0</v>
      </c>
    </row>
    <row r="363" spans="1:5">
      <c r="A363" s="123">
        <f t="shared" si="10"/>
        <v>361</v>
      </c>
      <c r="B363" s="122">
        <f>IF(DAY(A363)=DAY('F-Ahorro Futuro Genérico'!$H$11),'F-Ahorro Futuro Genérico'!$H$9,0)</f>
        <v>0</v>
      </c>
      <c r="C363" s="122">
        <f t="shared" si="11"/>
        <v>0</v>
      </c>
      <c r="D363" s="121">
        <f>ROUND(C363*'FR_Mantenimiento tasas'!$C$43/360,5)</f>
        <v>0</v>
      </c>
      <c r="E363" s="121">
        <f>ROUND(C363*'FR_Mantenimiento tasas'!$D$43/360,5)</f>
        <v>0</v>
      </c>
    </row>
    <row r="364" spans="1:5">
      <c r="A364" s="123">
        <f t="shared" si="10"/>
        <v>362</v>
      </c>
      <c r="B364" s="122">
        <f>IF(DAY(A364)=DAY('F-Ahorro Futuro Genérico'!$H$11),'F-Ahorro Futuro Genérico'!$H$9,0)</f>
        <v>0</v>
      </c>
      <c r="C364" s="122">
        <f t="shared" si="11"/>
        <v>0</v>
      </c>
      <c r="D364" s="121">
        <f>ROUND(C364*'FR_Mantenimiento tasas'!$C$43/360,5)</f>
        <v>0</v>
      </c>
      <c r="E364" s="121">
        <f>ROUND(C364*'FR_Mantenimiento tasas'!$D$43/360,5)</f>
        <v>0</v>
      </c>
    </row>
    <row r="365" spans="1:5">
      <c r="A365" s="123">
        <f t="shared" si="10"/>
        <v>363</v>
      </c>
      <c r="B365" s="122">
        <f>IF(DAY(A365)=DAY('F-Ahorro Futuro Genérico'!$H$11),'F-Ahorro Futuro Genérico'!$H$9,0)</f>
        <v>0</v>
      </c>
      <c r="C365" s="122">
        <f t="shared" si="11"/>
        <v>0</v>
      </c>
      <c r="D365" s="121">
        <f>ROUND(C365*'FR_Mantenimiento tasas'!$C$43/360,5)</f>
        <v>0</v>
      </c>
      <c r="E365" s="121">
        <f>ROUND(C365*'FR_Mantenimiento tasas'!$D$43/360,5)</f>
        <v>0</v>
      </c>
    </row>
    <row r="366" spans="1:5">
      <c r="A366" s="123">
        <f t="shared" si="10"/>
        <v>364</v>
      </c>
      <c r="B366" s="122">
        <f>IF(DAY(A366)=DAY('F-Ahorro Futuro Genérico'!$H$11),'F-Ahorro Futuro Genérico'!$H$9,0)</f>
        <v>0</v>
      </c>
      <c r="C366" s="122">
        <f t="shared" si="11"/>
        <v>0</v>
      </c>
      <c r="D366" s="121">
        <f>ROUND(C366*'FR_Mantenimiento tasas'!$C$43/360,5)</f>
        <v>0</v>
      </c>
      <c r="E366" s="121">
        <f>ROUND(C366*'FR_Mantenimiento tasas'!$D$43/360,5)</f>
        <v>0</v>
      </c>
    </row>
    <row r="367" spans="1:5">
      <c r="A367" s="123">
        <f t="shared" si="10"/>
        <v>365</v>
      </c>
      <c r="B367" s="122">
        <f>IF(DAY(A367)=DAY('F-Ahorro Futuro Genérico'!$H$11),'F-Ahorro Futuro Genérico'!$H$9,0)</f>
        <v>0</v>
      </c>
      <c r="C367" s="122">
        <f t="shared" si="11"/>
        <v>0</v>
      </c>
      <c r="D367" s="121">
        <f>ROUND(C367*'FR_Mantenimiento tasas'!$C$43/360,5)</f>
        <v>0</v>
      </c>
      <c r="E367" s="121">
        <f>ROUND(C367*'FR_Mantenimiento tasas'!$D$43/360,5)</f>
        <v>0</v>
      </c>
    </row>
    <row r="368" spans="1:5">
      <c r="A368" s="123">
        <f t="shared" si="10"/>
        <v>366</v>
      </c>
      <c r="B368" s="122">
        <f>IF(DAY(A368)=DAY('F-Ahorro Futuro Genérico'!$H$11),'F-Ahorro Futuro Genérico'!$H$9,0)</f>
        <v>0</v>
      </c>
      <c r="C368" s="122">
        <f t="shared" si="11"/>
        <v>0</v>
      </c>
      <c r="D368" s="121">
        <f>ROUND(C368*'FR_Mantenimiento tasas'!$C$43/360,5)</f>
        <v>0</v>
      </c>
      <c r="E368" s="121">
        <f>ROUND(C368*'FR_Mantenimiento tasas'!$D$43/360,5)</f>
        <v>0</v>
      </c>
    </row>
    <row r="369" spans="1:5">
      <c r="A369" s="123">
        <f t="shared" si="10"/>
        <v>367</v>
      </c>
      <c r="B369" s="122">
        <f>IF(DAY(A369)=DAY('F-Ahorro Futuro Genérico'!$H$11),'F-Ahorro Futuro Genérico'!$H$9,0)</f>
        <v>0</v>
      </c>
      <c r="C369" s="122">
        <f t="shared" si="11"/>
        <v>0</v>
      </c>
      <c r="D369" s="121">
        <f>ROUND(C369*'FR_Mantenimiento tasas'!$C$43/360,5)</f>
        <v>0</v>
      </c>
      <c r="E369" s="121">
        <f>ROUND(C369*'FR_Mantenimiento tasas'!$D$43/360,5)</f>
        <v>0</v>
      </c>
    </row>
    <row r="370" spans="1:5">
      <c r="A370" s="123">
        <f t="shared" si="10"/>
        <v>368</v>
      </c>
      <c r="B370" s="122">
        <f>IF(DAY(A370)=DAY('F-Ahorro Futuro Genérico'!$H$11),'F-Ahorro Futuro Genérico'!$H$9,0)</f>
        <v>0</v>
      </c>
      <c r="C370" s="122">
        <f t="shared" si="11"/>
        <v>0</v>
      </c>
      <c r="D370" s="121">
        <f>ROUND(C370*'FR_Mantenimiento tasas'!$C$43/360,5)</f>
        <v>0</v>
      </c>
      <c r="E370" s="121">
        <f>ROUND(C370*'FR_Mantenimiento tasas'!$D$43/360,5)</f>
        <v>0</v>
      </c>
    </row>
    <row r="371" spans="1:5">
      <c r="A371" s="123">
        <f t="shared" si="10"/>
        <v>369</v>
      </c>
      <c r="B371" s="122">
        <f>IF(DAY(A371)=DAY('F-Ahorro Futuro Genérico'!$H$11),'F-Ahorro Futuro Genérico'!$H$9,0)</f>
        <v>0</v>
      </c>
      <c r="C371" s="122">
        <f t="shared" si="11"/>
        <v>0</v>
      </c>
      <c r="D371" s="121">
        <f>ROUND(C371*'FR_Mantenimiento tasas'!$C$43/360,5)</f>
        <v>0</v>
      </c>
      <c r="E371" s="121">
        <f>ROUND(C371*'FR_Mantenimiento tasas'!$D$43/360,5)</f>
        <v>0</v>
      </c>
    </row>
    <row r="372" spans="1:5">
      <c r="A372" s="123">
        <f t="shared" si="10"/>
        <v>370</v>
      </c>
      <c r="B372" s="122">
        <f>IF(DAY(A372)=DAY('F-Ahorro Futuro Genérico'!$H$11),'F-Ahorro Futuro Genérico'!$H$9,0)</f>
        <v>0</v>
      </c>
      <c r="C372" s="122">
        <f t="shared" si="11"/>
        <v>0</v>
      </c>
      <c r="D372" s="121">
        <f>ROUND(C372*'FR_Mantenimiento tasas'!$C$43/360,5)</f>
        <v>0</v>
      </c>
      <c r="E372" s="121">
        <f>ROUND(C372*'FR_Mantenimiento tasas'!$D$43/360,5)</f>
        <v>0</v>
      </c>
    </row>
    <row r="373" spans="1:5">
      <c r="A373" s="123">
        <f t="shared" si="10"/>
        <v>371</v>
      </c>
      <c r="B373" s="122">
        <f>IF(DAY(A373)=DAY('F-Ahorro Futuro Genérico'!$H$11),'F-Ahorro Futuro Genérico'!$H$9,0)</f>
        <v>0</v>
      </c>
      <c r="C373" s="122">
        <f t="shared" si="11"/>
        <v>0</v>
      </c>
      <c r="D373" s="121">
        <f>ROUND(C373*'FR_Mantenimiento tasas'!$C$43/360,5)</f>
        <v>0</v>
      </c>
      <c r="E373" s="121">
        <f>ROUND(C373*'FR_Mantenimiento tasas'!$D$43/360,5)</f>
        <v>0</v>
      </c>
    </row>
    <row r="374" spans="1:5">
      <c r="A374" s="123">
        <f t="shared" si="10"/>
        <v>372</v>
      </c>
      <c r="B374" s="122">
        <f>IF(DAY(A374)=DAY('F-Ahorro Futuro Genérico'!$H$11),'F-Ahorro Futuro Genérico'!$H$9,0)</f>
        <v>0</v>
      </c>
      <c r="C374" s="122">
        <f t="shared" si="11"/>
        <v>0</v>
      </c>
      <c r="D374" s="121">
        <f>ROUND(C374*'FR_Mantenimiento tasas'!$C$43/360,5)</f>
        <v>0</v>
      </c>
      <c r="E374" s="121">
        <f>ROUND(C374*'FR_Mantenimiento tasas'!$D$43/360,5)</f>
        <v>0</v>
      </c>
    </row>
    <row r="375" spans="1:5">
      <c r="A375" s="123">
        <f t="shared" si="10"/>
        <v>373</v>
      </c>
      <c r="B375" s="122">
        <f>IF(DAY(A375)=DAY('F-Ahorro Futuro Genérico'!$H$11),'F-Ahorro Futuro Genérico'!$H$9,0)</f>
        <v>0</v>
      </c>
      <c r="C375" s="122">
        <f t="shared" si="11"/>
        <v>0</v>
      </c>
      <c r="D375" s="121">
        <f>ROUND(C375*'FR_Mantenimiento tasas'!$C$43/360,5)</f>
        <v>0</v>
      </c>
      <c r="E375" s="121">
        <f>ROUND(C375*'FR_Mantenimiento tasas'!$D$43/360,5)</f>
        <v>0</v>
      </c>
    </row>
    <row r="376" spans="1:5">
      <c r="A376" s="123">
        <f t="shared" si="10"/>
        <v>374</v>
      </c>
      <c r="B376" s="122">
        <f>IF(DAY(A376)=DAY('F-Ahorro Futuro Genérico'!$H$11),'F-Ahorro Futuro Genérico'!$H$9,0)</f>
        <v>0</v>
      </c>
      <c r="C376" s="122">
        <f t="shared" si="11"/>
        <v>0</v>
      </c>
      <c r="D376" s="121">
        <f>ROUND(C376*'FR_Mantenimiento tasas'!$C$43/360,5)</f>
        <v>0</v>
      </c>
      <c r="E376" s="121">
        <f>ROUND(C376*'FR_Mantenimiento tasas'!$D$43/360,5)</f>
        <v>0</v>
      </c>
    </row>
    <row r="377" spans="1:5">
      <c r="A377" s="123">
        <f t="shared" si="10"/>
        <v>375</v>
      </c>
      <c r="B377" s="122">
        <f>IF(DAY(A377)=DAY('F-Ahorro Futuro Genérico'!$H$11),'F-Ahorro Futuro Genérico'!$H$9,0)</f>
        <v>0</v>
      </c>
      <c r="C377" s="122">
        <f t="shared" si="11"/>
        <v>0</v>
      </c>
      <c r="D377" s="121">
        <f>ROUND(C377*'FR_Mantenimiento tasas'!$C$43/360,5)</f>
        <v>0</v>
      </c>
      <c r="E377" s="121">
        <f>ROUND(C377*'FR_Mantenimiento tasas'!$D$43/360,5)</f>
        <v>0</v>
      </c>
    </row>
    <row r="378" spans="1:5">
      <c r="A378" s="123">
        <f t="shared" si="10"/>
        <v>376</v>
      </c>
      <c r="B378" s="122">
        <f>IF(DAY(A378)=DAY('F-Ahorro Futuro Genérico'!$H$11),'F-Ahorro Futuro Genérico'!$H$9,0)</f>
        <v>0</v>
      </c>
      <c r="C378" s="122">
        <f t="shared" si="11"/>
        <v>0</v>
      </c>
      <c r="D378" s="121">
        <f>ROUND(C378*'FR_Mantenimiento tasas'!$C$43/360,5)</f>
        <v>0</v>
      </c>
      <c r="E378" s="121">
        <f>ROUND(C378*'FR_Mantenimiento tasas'!$D$43/360,5)</f>
        <v>0</v>
      </c>
    </row>
    <row r="379" spans="1:5">
      <c r="A379" s="123">
        <f t="shared" si="10"/>
        <v>377</v>
      </c>
      <c r="B379" s="122">
        <f>IF(DAY(A379)=DAY('F-Ahorro Futuro Genérico'!$H$11),'F-Ahorro Futuro Genérico'!$H$9,0)</f>
        <v>0</v>
      </c>
      <c r="C379" s="122">
        <f t="shared" si="11"/>
        <v>0</v>
      </c>
      <c r="D379" s="121">
        <f>ROUND(C379*'FR_Mantenimiento tasas'!$C$43/360,5)</f>
        <v>0</v>
      </c>
      <c r="E379" s="121">
        <f>ROUND(C379*'FR_Mantenimiento tasas'!$D$43/360,5)</f>
        <v>0</v>
      </c>
    </row>
    <row r="380" spans="1:5">
      <c r="A380" s="123">
        <f t="shared" si="10"/>
        <v>378</v>
      </c>
      <c r="B380" s="122">
        <f>IF(DAY(A380)=DAY('F-Ahorro Futuro Genérico'!$H$11),'F-Ahorro Futuro Genérico'!$H$9,0)</f>
        <v>0</v>
      </c>
      <c r="C380" s="122">
        <f t="shared" si="11"/>
        <v>0</v>
      </c>
      <c r="D380" s="121">
        <f>ROUND(C380*'FR_Mantenimiento tasas'!$C$43/360,5)</f>
        <v>0</v>
      </c>
      <c r="E380" s="121">
        <f>ROUND(C380*'FR_Mantenimiento tasas'!$D$43/360,5)</f>
        <v>0</v>
      </c>
    </row>
    <row r="381" spans="1:5">
      <c r="A381" s="123">
        <f t="shared" si="10"/>
        <v>379</v>
      </c>
      <c r="B381" s="122">
        <f>IF(DAY(A381)=DAY('F-Ahorro Futuro Genérico'!$H$11),'F-Ahorro Futuro Genérico'!$H$9,0)</f>
        <v>0</v>
      </c>
      <c r="C381" s="122">
        <f t="shared" si="11"/>
        <v>0</v>
      </c>
      <c r="D381" s="121">
        <f>ROUND(C381*'FR_Mantenimiento tasas'!$C$43/360,5)</f>
        <v>0</v>
      </c>
      <c r="E381" s="121">
        <f>ROUND(C381*'FR_Mantenimiento tasas'!$D$43/360,5)</f>
        <v>0</v>
      </c>
    </row>
    <row r="382" spans="1:5">
      <c r="A382" s="123">
        <f t="shared" si="10"/>
        <v>380</v>
      </c>
      <c r="B382" s="122">
        <f>IF(DAY(A382)=DAY('F-Ahorro Futuro Genérico'!$H$11),'F-Ahorro Futuro Genérico'!$H$9,0)</f>
        <v>0</v>
      </c>
      <c r="C382" s="122">
        <f t="shared" si="11"/>
        <v>0</v>
      </c>
      <c r="D382" s="121">
        <f>ROUND(C382*'FR_Mantenimiento tasas'!$C$43/360,5)</f>
        <v>0</v>
      </c>
      <c r="E382" s="121">
        <f>ROUND(C382*'FR_Mantenimiento tasas'!$D$43/360,5)</f>
        <v>0</v>
      </c>
    </row>
    <row r="383" spans="1:5">
      <c r="A383" s="123">
        <f t="shared" si="10"/>
        <v>381</v>
      </c>
      <c r="B383" s="122">
        <f>IF(DAY(A383)=DAY('F-Ahorro Futuro Genérico'!$H$11),'F-Ahorro Futuro Genérico'!$H$9,0)</f>
        <v>0</v>
      </c>
      <c r="C383" s="122">
        <f t="shared" si="11"/>
        <v>0</v>
      </c>
      <c r="D383" s="121">
        <f>ROUND(C383*'FR_Mantenimiento tasas'!$C$43/360,5)</f>
        <v>0</v>
      </c>
      <c r="E383" s="121">
        <f>ROUND(C383*'FR_Mantenimiento tasas'!$D$43/360,5)</f>
        <v>0</v>
      </c>
    </row>
    <row r="384" spans="1:5">
      <c r="A384" s="123">
        <f t="shared" si="10"/>
        <v>382</v>
      </c>
      <c r="B384" s="122">
        <f>IF(DAY(A384)=DAY('F-Ahorro Futuro Genérico'!$H$11),'F-Ahorro Futuro Genérico'!$H$9,0)</f>
        <v>0</v>
      </c>
      <c r="C384" s="122">
        <f t="shared" si="11"/>
        <v>0</v>
      </c>
      <c r="D384" s="121">
        <f>ROUND(C384*'FR_Mantenimiento tasas'!$C$43/360,5)</f>
        <v>0</v>
      </c>
      <c r="E384" s="121">
        <f>ROUND(C384*'FR_Mantenimiento tasas'!$D$43/360,5)</f>
        <v>0</v>
      </c>
    </row>
    <row r="385" spans="1:5">
      <c r="A385" s="123">
        <f t="shared" si="10"/>
        <v>383</v>
      </c>
      <c r="B385" s="122">
        <f>IF(DAY(A385)=DAY('F-Ahorro Futuro Genérico'!$H$11),'F-Ahorro Futuro Genérico'!$H$9,0)</f>
        <v>0</v>
      </c>
      <c r="C385" s="122">
        <f t="shared" si="11"/>
        <v>0</v>
      </c>
      <c r="D385" s="121">
        <f>ROUND(C385*'FR_Mantenimiento tasas'!$C$43/360,5)</f>
        <v>0</v>
      </c>
      <c r="E385" s="121">
        <f>ROUND(C385*'FR_Mantenimiento tasas'!$D$43/360,5)</f>
        <v>0</v>
      </c>
    </row>
    <row r="386" spans="1:5">
      <c r="A386" s="123">
        <f t="shared" si="10"/>
        <v>384</v>
      </c>
      <c r="B386" s="122">
        <f>IF(DAY(A386)=DAY('F-Ahorro Futuro Genérico'!$H$11),'F-Ahorro Futuro Genérico'!$H$9,0)</f>
        <v>0</v>
      </c>
      <c r="C386" s="122">
        <f t="shared" si="11"/>
        <v>0</v>
      </c>
      <c r="D386" s="121">
        <f>ROUND(C386*'FR_Mantenimiento tasas'!$C$43/360,5)</f>
        <v>0</v>
      </c>
      <c r="E386" s="121">
        <f>ROUND(C386*'FR_Mantenimiento tasas'!$D$43/360,5)</f>
        <v>0</v>
      </c>
    </row>
    <row r="387" spans="1:5">
      <c r="A387" s="123">
        <f t="shared" si="10"/>
        <v>385</v>
      </c>
      <c r="B387" s="122">
        <f>IF(DAY(A387)=DAY('F-Ahorro Futuro Genérico'!$H$11),'F-Ahorro Futuro Genérico'!$H$9,0)</f>
        <v>0</v>
      </c>
      <c r="C387" s="122">
        <f t="shared" si="11"/>
        <v>0</v>
      </c>
      <c r="D387" s="121">
        <f>ROUND(C387*'FR_Mantenimiento tasas'!$C$43/360,5)</f>
        <v>0</v>
      </c>
      <c r="E387" s="121">
        <f>ROUND(C387*'FR_Mantenimiento tasas'!$D$43/360,5)</f>
        <v>0</v>
      </c>
    </row>
    <row r="388" spans="1:5">
      <c r="A388" s="123">
        <f t="shared" ref="A388:A451" si="12">+A387+1</f>
        <v>386</v>
      </c>
      <c r="B388" s="122">
        <f>IF(DAY(A388)=DAY('F-Ahorro Futuro Genérico'!$H$11),'F-Ahorro Futuro Genérico'!$H$9,0)</f>
        <v>0</v>
      </c>
      <c r="C388" s="122">
        <f t="shared" ref="C388:C451" si="13">+B388+C387+D387</f>
        <v>0</v>
      </c>
      <c r="D388" s="121">
        <f>ROUND(C388*'FR_Mantenimiento tasas'!$C$43/360,5)</f>
        <v>0</v>
      </c>
      <c r="E388" s="121">
        <f>ROUND(C388*'FR_Mantenimiento tasas'!$D$43/360,5)</f>
        <v>0</v>
      </c>
    </row>
    <row r="389" spans="1:5">
      <c r="A389" s="123">
        <f t="shared" si="12"/>
        <v>387</v>
      </c>
      <c r="B389" s="122">
        <f>IF(DAY(A389)=DAY('F-Ahorro Futuro Genérico'!$H$11),'F-Ahorro Futuro Genérico'!$H$9,0)</f>
        <v>0</v>
      </c>
      <c r="C389" s="122">
        <f t="shared" si="13"/>
        <v>0</v>
      </c>
      <c r="D389" s="121">
        <f>ROUND(C389*'FR_Mantenimiento tasas'!$C$43/360,5)</f>
        <v>0</v>
      </c>
      <c r="E389" s="121">
        <f>ROUND(C389*'FR_Mantenimiento tasas'!$D$43/360,5)</f>
        <v>0</v>
      </c>
    </row>
    <row r="390" spans="1:5">
      <c r="A390" s="123">
        <f t="shared" si="12"/>
        <v>388</v>
      </c>
      <c r="B390" s="122">
        <f>IF(DAY(A390)=DAY('F-Ahorro Futuro Genérico'!$H$11),'F-Ahorro Futuro Genérico'!$H$9,0)</f>
        <v>0</v>
      </c>
      <c r="C390" s="122">
        <f t="shared" si="13"/>
        <v>0</v>
      </c>
      <c r="D390" s="121">
        <f>ROUND(C390*'FR_Mantenimiento tasas'!$C$43/360,5)</f>
        <v>0</v>
      </c>
      <c r="E390" s="121">
        <f>ROUND(C390*'FR_Mantenimiento tasas'!$D$43/360,5)</f>
        <v>0</v>
      </c>
    </row>
    <row r="391" spans="1:5">
      <c r="A391" s="123">
        <f t="shared" si="12"/>
        <v>389</v>
      </c>
      <c r="B391" s="122">
        <f>IF(DAY(A391)=DAY('F-Ahorro Futuro Genérico'!$H$11),'F-Ahorro Futuro Genérico'!$H$9,0)</f>
        <v>0</v>
      </c>
      <c r="C391" s="122">
        <f t="shared" si="13"/>
        <v>0</v>
      </c>
      <c r="D391" s="121">
        <f>ROUND(C391*'FR_Mantenimiento tasas'!$C$43/360,5)</f>
        <v>0</v>
      </c>
      <c r="E391" s="121">
        <f>ROUND(C391*'FR_Mantenimiento tasas'!$D$43/360,5)</f>
        <v>0</v>
      </c>
    </row>
    <row r="392" spans="1:5">
      <c r="A392" s="123">
        <f t="shared" si="12"/>
        <v>390</v>
      </c>
      <c r="B392" s="122">
        <f>IF(DAY(A392)=DAY('F-Ahorro Futuro Genérico'!$H$11),'F-Ahorro Futuro Genérico'!$H$9,0)</f>
        <v>0</v>
      </c>
      <c r="C392" s="122">
        <f t="shared" si="13"/>
        <v>0</v>
      </c>
      <c r="D392" s="121">
        <f>ROUND(C392*'FR_Mantenimiento tasas'!$C$43/360,5)</f>
        <v>0</v>
      </c>
      <c r="E392" s="121">
        <f>ROUND(C392*'FR_Mantenimiento tasas'!$D$43/360,5)</f>
        <v>0</v>
      </c>
    </row>
    <row r="393" spans="1:5">
      <c r="A393" s="123">
        <f t="shared" si="12"/>
        <v>391</v>
      </c>
      <c r="B393" s="122">
        <f>IF(DAY(A393)=DAY('F-Ahorro Futuro Genérico'!$H$11),'F-Ahorro Futuro Genérico'!$H$9,0)</f>
        <v>0</v>
      </c>
      <c r="C393" s="122">
        <f t="shared" si="13"/>
        <v>0</v>
      </c>
      <c r="D393" s="121">
        <f>ROUND(C393*'FR_Mantenimiento tasas'!$C$43/360,5)</f>
        <v>0</v>
      </c>
      <c r="E393" s="121">
        <f>ROUND(C393*'FR_Mantenimiento tasas'!$D$43/360,5)</f>
        <v>0</v>
      </c>
    </row>
    <row r="394" spans="1:5">
      <c r="A394" s="123">
        <f t="shared" si="12"/>
        <v>392</v>
      </c>
      <c r="B394" s="122">
        <f>IF(DAY(A394)=DAY('F-Ahorro Futuro Genérico'!$H$11),'F-Ahorro Futuro Genérico'!$H$9,0)</f>
        <v>0</v>
      </c>
      <c r="C394" s="122">
        <f t="shared" si="13"/>
        <v>0</v>
      </c>
      <c r="D394" s="121">
        <f>ROUND(C394*'FR_Mantenimiento tasas'!$C$43/360,5)</f>
        <v>0</v>
      </c>
      <c r="E394" s="121">
        <f>ROUND(C394*'FR_Mantenimiento tasas'!$D$43/360,5)</f>
        <v>0</v>
      </c>
    </row>
    <row r="395" spans="1:5">
      <c r="A395" s="123">
        <f t="shared" si="12"/>
        <v>393</v>
      </c>
      <c r="B395" s="122">
        <f>IF(DAY(A395)=DAY('F-Ahorro Futuro Genérico'!$H$11),'F-Ahorro Futuro Genérico'!$H$9,0)</f>
        <v>0</v>
      </c>
      <c r="C395" s="122">
        <f t="shared" si="13"/>
        <v>0</v>
      </c>
      <c r="D395" s="121">
        <f>ROUND(C395*'FR_Mantenimiento tasas'!$C$43/360,5)</f>
        <v>0</v>
      </c>
      <c r="E395" s="121">
        <f>ROUND(C395*'FR_Mantenimiento tasas'!$D$43/360,5)</f>
        <v>0</v>
      </c>
    </row>
    <row r="396" spans="1:5">
      <c r="A396" s="123">
        <f t="shared" si="12"/>
        <v>394</v>
      </c>
      <c r="B396" s="122">
        <f>IF(DAY(A396)=DAY('F-Ahorro Futuro Genérico'!$H$11),'F-Ahorro Futuro Genérico'!$H$9,0)</f>
        <v>0</v>
      </c>
      <c r="C396" s="122">
        <f t="shared" si="13"/>
        <v>0</v>
      </c>
      <c r="D396" s="121">
        <f>ROUND(C396*'FR_Mantenimiento tasas'!$C$43/360,5)</f>
        <v>0</v>
      </c>
      <c r="E396" s="121">
        <f>ROUND(C396*'FR_Mantenimiento tasas'!$D$43/360,5)</f>
        <v>0</v>
      </c>
    </row>
    <row r="397" spans="1:5">
      <c r="A397" s="123">
        <f t="shared" si="12"/>
        <v>395</v>
      </c>
      <c r="B397" s="122">
        <f>IF(DAY(A397)=DAY('F-Ahorro Futuro Genérico'!$H$11),'F-Ahorro Futuro Genérico'!$H$9,0)</f>
        <v>0</v>
      </c>
      <c r="C397" s="122">
        <f t="shared" si="13"/>
        <v>0</v>
      </c>
      <c r="D397" s="121">
        <f>ROUND(C397*'FR_Mantenimiento tasas'!$C$43/360,5)</f>
        <v>0</v>
      </c>
      <c r="E397" s="121">
        <f>ROUND(C397*'FR_Mantenimiento tasas'!$D$43/360,5)</f>
        <v>0</v>
      </c>
    </row>
    <row r="398" spans="1:5">
      <c r="A398" s="123">
        <f t="shared" si="12"/>
        <v>396</v>
      </c>
      <c r="B398" s="122">
        <f>IF(DAY(A398)=DAY('F-Ahorro Futuro Genérico'!$H$11),'F-Ahorro Futuro Genérico'!$H$9,0)</f>
        <v>0</v>
      </c>
      <c r="C398" s="122">
        <f t="shared" si="13"/>
        <v>0</v>
      </c>
      <c r="D398" s="121">
        <f>ROUND(C398*'FR_Mantenimiento tasas'!$C$43/360,5)</f>
        <v>0</v>
      </c>
      <c r="E398" s="121">
        <f>ROUND(C398*'FR_Mantenimiento tasas'!$D$43/360,5)</f>
        <v>0</v>
      </c>
    </row>
    <row r="399" spans="1:5">
      <c r="A399" s="123">
        <f t="shared" si="12"/>
        <v>397</v>
      </c>
      <c r="B399" s="122">
        <f>IF(DAY(A399)=DAY('F-Ahorro Futuro Genérico'!$H$11),'F-Ahorro Futuro Genérico'!$H$9,0)</f>
        <v>0</v>
      </c>
      <c r="C399" s="122">
        <f t="shared" si="13"/>
        <v>0</v>
      </c>
      <c r="D399" s="121">
        <f>ROUND(C399*'FR_Mantenimiento tasas'!$C$43/360,5)</f>
        <v>0</v>
      </c>
      <c r="E399" s="121">
        <f>ROUND(C399*'FR_Mantenimiento tasas'!$D$43/360,5)</f>
        <v>0</v>
      </c>
    </row>
    <row r="400" spans="1:5">
      <c r="A400" s="123">
        <f t="shared" si="12"/>
        <v>398</v>
      </c>
      <c r="B400" s="122">
        <f>IF(DAY(A400)=DAY('F-Ahorro Futuro Genérico'!$H$11),'F-Ahorro Futuro Genérico'!$H$9,0)</f>
        <v>0</v>
      </c>
      <c r="C400" s="122">
        <f t="shared" si="13"/>
        <v>0</v>
      </c>
      <c r="D400" s="121">
        <f>ROUND(C400*'FR_Mantenimiento tasas'!$C$43/360,5)</f>
        <v>0</v>
      </c>
      <c r="E400" s="121">
        <f>ROUND(C400*'FR_Mantenimiento tasas'!$D$43/360,5)</f>
        <v>0</v>
      </c>
    </row>
    <row r="401" spans="1:5">
      <c r="A401" s="123">
        <f t="shared" si="12"/>
        <v>399</v>
      </c>
      <c r="B401" s="122">
        <f>IF(DAY(A401)=DAY('F-Ahorro Futuro Genérico'!$H$11),'F-Ahorro Futuro Genérico'!$H$9,0)</f>
        <v>0</v>
      </c>
      <c r="C401" s="122">
        <f t="shared" si="13"/>
        <v>0</v>
      </c>
      <c r="D401" s="121">
        <f>ROUND(C401*'FR_Mantenimiento tasas'!$C$43/360,5)</f>
        <v>0</v>
      </c>
      <c r="E401" s="121">
        <f>ROUND(C401*'FR_Mantenimiento tasas'!$D$43/360,5)</f>
        <v>0</v>
      </c>
    </row>
    <row r="402" spans="1:5">
      <c r="A402" s="123">
        <f t="shared" si="12"/>
        <v>400</v>
      </c>
      <c r="B402" s="122">
        <f>IF(DAY(A402)=DAY('F-Ahorro Futuro Genérico'!$H$11),'F-Ahorro Futuro Genérico'!$H$9,0)</f>
        <v>0</v>
      </c>
      <c r="C402" s="122">
        <f t="shared" si="13"/>
        <v>0</v>
      </c>
      <c r="D402" s="121">
        <f>ROUND(C402*'FR_Mantenimiento tasas'!$C$43/360,5)</f>
        <v>0</v>
      </c>
      <c r="E402" s="121">
        <f>ROUND(C402*'FR_Mantenimiento tasas'!$D$43/360,5)</f>
        <v>0</v>
      </c>
    </row>
    <row r="403" spans="1:5">
      <c r="A403" s="123">
        <f t="shared" si="12"/>
        <v>401</v>
      </c>
      <c r="B403" s="122">
        <f>IF(DAY(A403)=DAY('F-Ahorro Futuro Genérico'!$H$11),'F-Ahorro Futuro Genérico'!$H$9,0)</f>
        <v>0</v>
      </c>
      <c r="C403" s="122">
        <f t="shared" si="13"/>
        <v>0</v>
      </c>
      <c r="D403" s="121">
        <f>ROUND(C403*'FR_Mantenimiento tasas'!$C$43/360,5)</f>
        <v>0</v>
      </c>
      <c r="E403" s="121">
        <f>ROUND(C403*'FR_Mantenimiento tasas'!$D$43/360,5)</f>
        <v>0</v>
      </c>
    </row>
    <row r="404" spans="1:5">
      <c r="A404" s="123">
        <f t="shared" si="12"/>
        <v>402</v>
      </c>
      <c r="B404" s="122">
        <f>IF(DAY(A404)=DAY('F-Ahorro Futuro Genérico'!$H$11),'F-Ahorro Futuro Genérico'!$H$9,0)</f>
        <v>0</v>
      </c>
      <c r="C404" s="122">
        <f t="shared" si="13"/>
        <v>0</v>
      </c>
      <c r="D404" s="121">
        <f>ROUND(C404*'FR_Mantenimiento tasas'!$C$43/360,5)</f>
        <v>0</v>
      </c>
      <c r="E404" s="121">
        <f>ROUND(C404*'FR_Mantenimiento tasas'!$D$43/360,5)</f>
        <v>0</v>
      </c>
    </row>
    <row r="405" spans="1:5">
      <c r="A405" s="123">
        <f t="shared" si="12"/>
        <v>403</v>
      </c>
      <c r="B405" s="122">
        <f>IF(DAY(A405)=DAY('F-Ahorro Futuro Genérico'!$H$11),'F-Ahorro Futuro Genérico'!$H$9,0)</f>
        <v>0</v>
      </c>
      <c r="C405" s="122">
        <f t="shared" si="13"/>
        <v>0</v>
      </c>
      <c r="D405" s="121">
        <f>ROUND(C405*'FR_Mantenimiento tasas'!$C$43/360,5)</f>
        <v>0</v>
      </c>
      <c r="E405" s="121">
        <f>ROUND(C405*'FR_Mantenimiento tasas'!$D$43/360,5)</f>
        <v>0</v>
      </c>
    </row>
    <row r="406" spans="1:5">
      <c r="A406" s="123">
        <f t="shared" si="12"/>
        <v>404</v>
      </c>
      <c r="B406" s="122">
        <f>IF(DAY(A406)=DAY('F-Ahorro Futuro Genérico'!$H$11),'F-Ahorro Futuro Genérico'!$H$9,0)</f>
        <v>0</v>
      </c>
      <c r="C406" s="122">
        <f t="shared" si="13"/>
        <v>0</v>
      </c>
      <c r="D406" s="121">
        <f>ROUND(C406*'FR_Mantenimiento tasas'!$C$43/360,5)</f>
        <v>0</v>
      </c>
      <c r="E406" s="121">
        <f>ROUND(C406*'FR_Mantenimiento tasas'!$D$43/360,5)</f>
        <v>0</v>
      </c>
    </row>
    <row r="407" spans="1:5">
      <c r="A407" s="123">
        <f t="shared" si="12"/>
        <v>405</v>
      </c>
      <c r="B407" s="122">
        <f>IF(DAY(A407)=DAY('F-Ahorro Futuro Genérico'!$H$11),'F-Ahorro Futuro Genérico'!$H$9,0)</f>
        <v>0</v>
      </c>
      <c r="C407" s="122">
        <f t="shared" si="13"/>
        <v>0</v>
      </c>
      <c r="D407" s="121">
        <f>ROUND(C407*'FR_Mantenimiento tasas'!$C$43/360,5)</f>
        <v>0</v>
      </c>
      <c r="E407" s="121">
        <f>ROUND(C407*'FR_Mantenimiento tasas'!$D$43/360,5)</f>
        <v>0</v>
      </c>
    </row>
    <row r="408" spans="1:5">
      <c r="A408" s="123">
        <f t="shared" si="12"/>
        <v>406</v>
      </c>
      <c r="B408" s="122">
        <f>IF(DAY(A408)=DAY('F-Ahorro Futuro Genérico'!$H$11),'F-Ahorro Futuro Genérico'!$H$9,0)</f>
        <v>0</v>
      </c>
      <c r="C408" s="122">
        <f t="shared" si="13"/>
        <v>0</v>
      </c>
      <c r="D408" s="121">
        <f>ROUND(C408*'FR_Mantenimiento tasas'!$C$43/360,5)</f>
        <v>0</v>
      </c>
      <c r="E408" s="121">
        <f>ROUND(C408*'FR_Mantenimiento tasas'!$D$43/360,5)</f>
        <v>0</v>
      </c>
    </row>
    <row r="409" spans="1:5">
      <c r="A409" s="123">
        <f t="shared" si="12"/>
        <v>407</v>
      </c>
      <c r="B409" s="122">
        <f>IF(DAY(A409)=DAY('F-Ahorro Futuro Genérico'!$H$11),'F-Ahorro Futuro Genérico'!$H$9,0)</f>
        <v>0</v>
      </c>
      <c r="C409" s="122">
        <f t="shared" si="13"/>
        <v>0</v>
      </c>
      <c r="D409" s="121">
        <f>ROUND(C409*'FR_Mantenimiento tasas'!$C$43/360,5)</f>
        <v>0</v>
      </c>
      <c r="E409" s="121">
        <f>ROUND(C409*'FR_Mantenimiento tasas'!$D$43/360,5)</f>
        <v>0</v>
      </c>
    </row>
    <row r="410" spans="1:5">
      <c r="A410" s="123">
        <f t="shared" si="12"/>
        <v>408</v>
      </c>
      <c r="B410" s="122">
        <f>IF(DAY(A410)=DAY('F-Ahorro Futuro Genérico'!$H$11),'F-Ahorro Futuro Genérico'!$H$9,0)</f>
        <v>0</v>
      </c>
      <c r="C410" s="122">
        <f t="shared" si="13"/>
        <v>0</v>
      </c>
      <c r="D410" s="121">
        <f>ROUND(C410*'FR_Mantenimiento tasas'!$C$43/360,5)</f>
        <v>0</v>
      </c>
      <c r="E410" s="121">
        <f>ROUND(C410*'FR_Mantenimiento tasas'!$D$43/360,5)</f>
        <v>0</v>
      </c>
    </row>
    <row r="411" spans="1:5">
      <c r="A411" s="123">
        <f t="shared" si="12"/>
        <v>409</v>
      </c>
      <c r="B411" s="122">
        <f>IF(DAY(A411)=DAY('F-Ahorro Futuro Genérico'!$H$11),'F-Ahorro Futuro Genérico'!$H$9,0)</f>
        <v>0</v>
      </c>
      <c r="C411" s="122">
        <f t="shared" si="13"/>
        <v>0</v>
      </c>
      <c r="D411" s="121">
        <f>ROUND(C411*'FR_Mantenimiento tasas'!$C$43/360,5)</f>
        <v>0</v>
      </c>
      <c r="E411" s="121">
        <f>ROUND(C411*'FR_Mantenimiento tasas'!$D$43/360,5)</f>
        <v>0</v>
      </c>
    </row>
    <row r="412" spans="1:5">
      <c r="A412" s="123">
        <f t="shared" si="12"/>
        <v>410</v>
      </c>
      <c r="B412" s="122">
        <f>IF(DAY(A412)=DAY('F-Ahorro Futuro Genérico'!$H$11),'F-Ahorro Futuro Genérico'!$H$9,0)</f>
        <v>0</v>
      </c>
      <c r="C412" s="122">
        <f t="shared" si="13"/>
        <v>0</v>
      </c>
      <c r="D412" s="121">
        <f>ROUND(C412*'FR_Mantenimiento tasas'!$C$43/360,5)</f>
        <v>0</v>
      </c>
      <c r="E412" s="121">
        <f>ROUND(C412*'FR_Mantenimiento tasas'!$D$43/360,5)</f>
        <v>0</v>
      </c>
    </row>
    <row r="413" spans="1:5">
      <c r="A413" s="123">
        <f t="shared" si="12"/>
        <v>411</v>
      </c>
      <c r="B413" s="122">
        <f>IF(DAY(A413)=DAY('F-Ahorro Futuro Genérico'!$H$11),'F-Ahorro Futuro Genérico'!$H$9,0)</f>
        <v>0</v>
      </c>
      <c r="C413" s="122">
        <f t="shared" si="13"/>
        <v>0</v>
      </c>
      <c r="D413" s="121">
        <f>ROUND(C413*'FR_Mantenimiento tasas'!$C$43/360,5)</f>
        <v>0</v>
      </c>
      <c r="E413" s="121">
        <f>ROUND(C413*'FR_Mantenimiento tasas'!$D$43/360,5)</f>
        <v>0</v>
      </c>
    </row>
    <row r="414" spans="1:5">
      <c r="A414" s="123">
        <f t="shared" si="12"/>
        <v>412</v>
      </c>
      <c r="B414" s="122">
        <f>IF(DAY(A414)=DAY('F-Ahorro Futuro Genérico'!$H$11),'F-Ahorro Futuro Genérico'!$H$9,0)</f>
        <v>0</v>
      </c>
      <c r="C414" s="122">
        <f t="shared" si="13"/>
        <v>0</v>
      </c>
      <c r="D414" s="121">
        <f>ROUND(C414*'FR_Mantenimiento tasas'!$C$43/360,5)</f>
        <v>0</v>
      </c>
      <c r="E414" s="121">
        <f>ROUND(C414*'FR_Mantenimiento tasas'!$D$43/360,5)</f>
        <v>0</v>
      </c>
    </row>
    <row r="415" spans="1:5">
      <c r="A415" s="123">
        <f t="shared" si="12"/>
        <v>413</v>
      </c>
      <c r="B415" s="122">
        <f>IF(DAY(A415)=DAY('F-Ahorro Futuro Genérico'!$H$11),'F-Ahorro Futuro Genérico'!$H$9,0)</f>
        <v>0</v>
      </c>
      <c r="C415" s="122">
        <f t="shared" si="13"/>
        <v>0</v>
      </c>
      <c r="D415" s="121">
        <f>ROUND(C415*'FR_Mantenimiento tasas'!$C$43/360,5)</f>
        <v>0</v>
      </c>
      <c r="E415" s="121">
        <f>ROUND(C415*'FR_Mantenimiento tasas'!$D$43/360,5)</f>
        <v>0</v>
      </c>
    </row>
    <row r="416" spans="1:5">
      <c r="A416" s="123">
        <f t="shared" si="12"/>
        <v>414</v>
      </c>
      <c r="B416" s="122">
        <f>IF(DAY(A416)=DAY('F-Ahorro Futuro Genérico'!$H$11),'F-Ahorro Futuro Genérico'!$H$9,0)</f>
        <v>0</v>
      </c>
      <c r="C416" s="122">
        <f t="shared" si="13"/>
        <v>0</v>
      </c>
      <c r="D416" s="121">
        <f>ROUND(C416*'FR_Mantenimiento tasas'!$C$43/360,5)</f>
        <v>0</v>
      </c>
      <c r="E416" s="121">
        <f>ROUND(C416*'FR_Mantenimiento tasas'!$D$43/360,5)</f>
        <v>0</v>
      </c>
    </row>
    <row r="417" spans="1:5">
      <c r="A417" s="123">
        <f t="shared" si="12"/>
        <v>415</v>
      </c>
      <c r="B417" s="122">
        <f>IF(DAY(A417)=DAY('F-Ahorro Futuro Genérico'!$H$11),'F-Ahorro Futuro Genérico'!$H$9,0)</f>
        <v>0</v>
      </c>
      <c r="C417" s="122">
        <f t="shared" si="13"/>
        <v>0</v>
      </c>
      <c r="D417" s="121">
        <f>ROUND(C417*'FR_Mantenimiento tasas'!$C$43/360,5)</f>
        <v>0</v>
      </c>
      <c r="E417" s="121">
        <f>ROUND(C417*'FR_Mantenimiento tasas'!$D$43/360,5)</f>
        <v>0</v>
      </c>
    </row>
    <row r="418" spans="1:5">
      <c r="A418" s="123">
        <f t="shared" si="12"/>
        <v>416</v>
      </c>
      <c r="B418" s="122">
        <f>IF(DAY(A418)=DAY('F-Ahorro Futuro Genérico'!$H$11),'F-Ahorro Futuro Genérico'!$H$9,0)</f>
        <v>0</v>
      </c>
      <c r="C418" s="122">
        <f t="shared" si="13"/>
        <v>0</v>
      </c>
      <c r="D418" s="121">
        <f>ROUND(C418*'FR_Mantenimiento tasas'!$C$43/360,5)</f>
        <v>0</v>
      </c>
      <c r="E418" s="121">
        <f>ROUND(C418*'FR_Mantenimiento tasas'!$D$43/360,5)</f>
        <v>0</v>
      </c>
    </row>
    <row r="419" spans="1:5">
      <c r="A419" s="123">
        <f t="shared" si="12"/>
        <v>417</v>
      </c>
      <c r="B419" s="122">
        <f>IF(DAY(A419)=DAY('F-Ahorro Futuro Genérico'!$H$11),'F-Ahorro Futuro Genérico'!$H$9,0)</f>
        <v>0</v>
      </c>
      <c r="C419" s="122">
        <f t="shared" si="13"/>
        <v>0</v>
      </c>
      <c r="D419" s="121">
        <f>ROUND(C419*'FR_Mantenimiento tasas'!$C$43/360,5)</f>
        <v>0</v>
      </c>
      <c r="E419" s="121">
        <f>ROUND(C419*'FR_Mantenimiento tasas'!$D$43/360,5)</f>
        <v>0</v>
      </c>
    </row>
    <row r="420" spans="1:5">
      <c r="A420" s="123">
        <f t="shared" si="12"/>
        <v>418</v>
      </c>
      <c r="B420" s="122">
        <f>IF(DAY(A420)=DAY('F-Ahorro Futuro Genérico'!$H$11),'F-Ahorro Futuro Genérico'!$H$9,0)</f>
        <v>0</v>
      </c>
      <c r="C420" s="122">
        <f t="shared" si="13"/>
        <v>0</v>
      </c>
      <c r="D420" s="121">
        <f>ROUND(C420*'FR_Mantenimiento tasas'!$C$43/360,5)</f>
        <v>0</v>
      </c>
      <c r="E420" s="121">
        <f>ROUND(C420*'FR_Mantenimiento tasas'!$D$43/360,5)</f>
        <v>0</v>
      </c>
    </row>
    <row r="421" spans="1:5">
      <c r="A421" s="123">
        <f t="shared" si="12"/>
        <v>419</v>
      </c>
      <c r="B421" s="122">
        <f>IF(DAY(A421)=DAY('F-Ahorro Futuro Genérico'!$H$11),'F-Ahorro Futuro Genérico'!$H$9,0)</f>
        <v>0</v>
      </c>
      <c r="C421" s="122">
        <f t="shared" si="13"/>
        <v>0</v>
      </c>
      <c r="D421" s="121">
        <f>ROUND(C421*'FR_Mantenimiento tasas'!$C$43/360,5)</f>
        <v>0</v>
      </c>
      <c r="E421" s="121">
        <f>ROUND(C421*'FR_Mantenimiento tasas'!$D$43/360,5)</f>
        <v>0</v>
      </c>
    </row>
    <row r="422" spans="1:5">
      <c r="A422" s="123">
        <f t="shared" si="12"/>
        <v>420</v>
      </c>
      <c r="B422" s="122">
        <f>IF(DAY(A422)=DAY('F-Ahorro Futuro Genérico'!$H$11),'F-Ahorro Futuro Genérico'!$H$9,0)</f>
        <v>0</v>
      </c>
      <c r="C422" s="122">
        <f t="shared" si="13"/>
        <v>0</v>
      </c>
      <c r="D422" s="121">
        <f>ROUND(C422*'FR_Mantenimiento tasas'!$C$43/360,5)</f>
        <v>0</v>
      </c>
      <c r="E422" s="121">
        <f>ROUND(C422*'FR_Mantenimiento tasas'!$D$43/360,5)</f>
        <v>0</v>
      </c>
    </row>
    <row r="423" spans="1:5">
      <c r="A423" s="123">
        <f t="shared" si="12"/>
        <v>421</v>
      </c>
      <c r="B423" s="122">
        <f>IF(DAY(A423)=DAY('F-Ahorro Futuro Genérico'!$H$11),'F-Ahorro Futuro Genérico'!$H$9,0)</f>
        <v>0</v>
      </c>
      <c r="C423" s="122">
        <f t="shared" si="13"/>
        <v>0</v>
      </c>
      <c r="D423" s="121">
        <f>ROUND(C423*'FR_Mantenimiento tasas'!$C$43/360,5)</f>
        <v>0</v>
      </c>
      <c r="E423" s="121">
        <f>ROUND(C423*'FR_Mantenimiento tasas'!$D$43/360,5)</f>
        <v>0</v>
      </c>
    </row>
    <row r="424" spans="1:5">
      <c r="A424" s="123">
        <f t="shared" si="12"/>
        <v>422</v>
      </c>
      <c r="B424" s="122">
        <f>IF(DAY(A424)=DAY('F-Ahorro Futuro Genérico'!$H$11),'F-Ahorro Futuro Genérico'!$H$9,0)</f>
        <v>0</v>
      </c>
      <c r="C424" s="122">
        <f t="shared" si="13"/>
        <v>0</v>
      </c>
      <c r="D424" s="121">
        <f>ROUND(C424*'FR_Mantenimiento tasas'!$C$43/360,5)</f>
        <v>0</v>
      </c>
      <c r="E424" s="121">
        <f>ROUND(C424*'FR_Mantenimiento tasas'!$D$43/360,5)</f>
        <v>0</v>
      </c>
    </row>
    <row r="425" spans="1:5">
      <c r="A425" s="123">
        <f t="shared" si="12"/>
        <v>423</v>
      </c>
      <c r="B425" s="122">
        <f>IF(DAY(A425)=DAY('F-Ahorro Futuro Genérico'!$H$11),'F-Ahorro Futuro Genérico'!$H$9,0)</f>
        <v>0</v>
      </c>
      <c r="C425" s="122">
        <f t="shared" si="13"/>
        <v>0</v>
      </c>
      <c r="D425" s="121">
        <f>ROUND(C425*'FR_Mantenimiento tasas'!$C$43/360,5)</f>
        <v>0</v>
      </c>
      <c r="E425" s="121">
        <f>ROUND(C425*'FR_Mantenimiento tasas'!$D$43/360,5)</f>
        <v>0</v>
      </c>
    </row>
    <row r="426" spans="1:5">
      <c r="A426" s="123">
        <f t="shared" si="12"/>
        <v>424</v>
      </c>
      <c r="B426" s="122">
        <f>IF(DAY(A426)=DAY('F-Ahorro Futuro Genérico'!$H$11),'F-Ahorro Futuro Genérico'!$H$9,0)</f>
        <v>0</v>
      </c>
      <c r="C426" s="122">
        <f t="shared" si="13"/>
        <v>0</v>
      </c>
      <c r="D426" s="121">
        <f>ROUND(C426*'FR_Mantenimiento tasas'!$C$43/360,5)</f>
        <v>0</v>
      </c>
      <c r="E426" s="121">
        <f>ROUND(C426*'FR_Mantenimiento tasas'!$D$43/360,5)</f>
        <v>0</v>
      </c>
    </row>
    <row r="427" spans="1:5">
      <c r="A427" s="123">
        <f t="shared" si="12"/>
        <v>425</v>
      </c>
      <c r="B427" s="122">
        <f>IF(DAY(A427)=DAY('F-Ahorro Futuro Genérico'!$H$11),'F-Ahorro Futuro Genérico'!$H$9,0)</f>
        <v>0</v>
      </c>
      <c r="C427" s="122">
        <f t="shared" si="13"/>
        <v>0</v>
      </c>
      <c r="D427" s="121">
        <f>ROUND(C427*'FR_Mantenimiento tasas'!$C$43/360,5)</f>
        <v>0</v>
      </c>
      <c r="E427" s="121">
        <f>ROUND(C427*'FR_Mantenimiento tasas'!$D$43/360,5)</f>
        <v>0</v>
      </c>
    </row>
    <row r="428" spans="1:5">
      <c r="A428" s="123">
        <f t="shared" si="12"/>
        <v>426</v>
      </c>
      <c r="B428" s="122">
        <f>IF(DAY(A428)=DAY('F-Ahorro Futuro Genérico'!$H$11),'F-Ahorro Futuro Genérico'!$H$9,0)</f>
        <v>0</v>
      </c>
      <c r="C428" s="122">
        <f t="shared" si="13"/>
        <v>0</v>
      </c>
      <c r="D428" s="121">
        <f>ROUND(C428*'FR_Mantenimiento tasas'!$C$43/360,5)</f>
        <v>0</v>
      </c>
      <c r="E428" s="121">
        <f>ROUND(C428*'FR_Mantenimiento tasas'!$D$43/360,5)</f>
        <v>0</v>
      </c>
    </row>
    <row r="429" spans="1:5">
      <c r="A429" s="123">
        <f t="shared" si="12"/>
        <v>427</v>
      </c>
      <c r="B429" s="122">
        <f>IF(DAY(A429)=DAY('F-Ahorro Futuro Genérico'!$H$11),'F-Ahorro Futuro Genérico'!$H$9,0)</f>
        <v>0</v>
      </c>
      <c r="C429" s="122">
        <f t="shared" si="13"/>
        <v>0</v>
      </c>
      <c r="D429" s="121">
        <f>ROUND(C429*'FR_Mantenimiento tasas'!$C$43/360,5)</f>
        <v>0</v>
      </c>
      <c r="E429" s="121">
        <f>ROUND(C429*'FR_Mantenimiento tasas'!$D$43/360,5)</f>
        <v>0</v>
      </c>
    </row>
    <row r="430" spans="1:5">
      <c r="A430" s="123">
        <f t="shared" si="12"/>
        <v>428</v>
      </c>
      <c r="B430" s="122">
        <f>IF(DAY(A430)=DAY('F-Ahorro Futuro Genérico'!$H$11),'F-Ahorro Futuro Genérico'!$H$9,0)</f>
        <v>0</v>
      </c>
      <c r="C430" s="122">
        <f t="shared" si="13"/>
        <v>0</v>
      </c>
      <c r="D430" s="121">
        <f>ROUND(C430*'FR_Mantenimiento tasas'!$C$43/360,5)</f>
        <v>0</v>
      </c>
      <c r="E430" s="121">
        <f>ROUND(C430*'FR_Mantenimiento tasas'!$D$43/360,5)</f>
        <v>0</v>
      </c>
    </row>
    <row r="431" spans="1:5">
      <c r="A431" s="123">
        <f t="shared" si="12"/>
        <v>429</v>
      </c>
      <c r="B431" s="122">
        <f>IF(DAY(A431)=DAY('F-Ahorro Futuro Genérico'!$H$11),'F-Ahorro Futuro Genérico'!$H$9,0)</f>
        <v>0</v>
      </c>
      <c r="C431" s="122">
        <f t="shared" si="13"/>
        <v>0</v>
      </c>
      <c r="D431" s="121">
        <f>ROUND(C431*'FR_Mantenimiento tasas'!$C$43/360,5)</f>
        <v>0</v>
      </c>
      <c r="E431" s="121">
        <f>ROUND(C431*'FR_Mantenimiento tasas'!$D$43/360,5)</f>
        <v>0</v>
      </c>
    </row>
    <row r="432" spans="1:5">
      <c r="A432" s="123">
        <f t="shared" si="12"/>
        <v>430</v>
      </c>
      <c r="B432" s="122">
        <f>IF(DAY(A432)=DAY('F-Ahorro Futuro Genérico'!$H$11),'F-Ahorro Futuro Genérico'!$H$9,0)</f>
        <v>0</v>
      </c>
      <c r="C432" s="122">
        <f t="shared" si="13"/>
        <v>0</v>
      </c>
      <c r="D432" s="121">
        <f>ROUND(C432*'FR_Mantenimiento tasas'!$C$43/360,5)</f>
        <v>0</v>
      </c>
      <c r="E432" s="121">
        <f>ROUND(C432*'FR_Mantenimiento tasas'!$D$43/360,5)</f>
        <v>0</v>
      </c>
    </row>
    <row r="433" spans="1:5">
      <c r="A433" s="123">
        <f t="shared" si="12"/>
        <v>431</v>
      </c>
      <c r="B433" s="122">
        <f>IF(DAY(A433)=DAY('F-Ahorro Futuro Genérico'!$H$11),'F-Ahorro Futuro Genérico'!$H$9,0)</f>
        <v>0</v>
      </c>
      <c r="C433" s="122">
        <f t="shared" si="13"/>
        <v>0</v>
      </c>
      <c r="D433" s="121">
        <f>ROUND(C433*'FR_Mantenimiento tasas'!$C$43/360,5)</f>
        <v>0</v>
      </c>
      <c r="E433" s="121">
        <f>ROUND(C433*'FR_Mantenimiento tasas'!$D$43/360,5)</f>
        <v>0</v>
      </c>
    </row>
    <row r="434" spans="1:5">
      <c r="A434" s="123">
        <f t="shared" si="12"/>
        <v>432</v>
      </c>
      <c r="B434" s="122">
        <f>IF(DAY(A434)=DAY('F-Ahorro Futuro Genérico'!$H$11),'F-Ahorro Futuro Genérico'!$H$9,0)</f>
        <v>0</v>
      </c>
      <c r="C434" s="122">
        <f t="shared" si="13"/>
        <v>0</v>
      </c>
      <c r="D434" s="121">
        <f>ROUND(C434*'FR_Mantenimiento tasas'!$C$43/360,5)</f>
        <v>0</v>
      </c>
      <c r="E434" s="121">
        <f>ROUND(C434*'FR_Mantenimiento tasas'!$D$43/360,5)</f>
        <v>0</v>
      </c>
    </row>
    <row r="435" spans="1:5">
      <c r="A435" s="123">
        <f t="shared" si="12"/>
        <v>433</v>
      </c>
      <c r="B435" s="122">
        <f>IF(DAY(A435)=DAY('F-Ahorro Futuro Genérico'!$H$11),'F-Ahorro Futuro Genérico'!$H$9,0)</f>
        <v>0</v>
      </c>
      <c r="C435" s="122">
        <f t="shared" si="13"/>
        <v>0</v>
      </c>
      <c r="D435" s="121">
        <f>ROUND(C435*'FR_Mantenimiento tasas'!$C$43/360,5)</f>
        <v>0</v>
      </c>
      <c r="E435" s="121">
        <f>ROUND(C435*'FR_Mantenimiento tasas'!$D$43/360,5)</f>
        <v>0</v>
      </c>
    </row>
    <row r="436" spans="1:5">
      <c r="A436" s="123">
        <f t="shared" si="12"/>
        <v>434</v>
      </c>
      <c r="B436" s="122">
        <f>IF(DAY(A436)=DAY('F-Ahorro Futuro Genérico'!$H$11),'F-Ahorro Futuro Genérico'!$H$9,0)</f>
        <v>0</v>
      </c>
      <c r="C436" s="122">
        <f t="shared" si="13"/>
        <v>0</v>
      </c>
      <c r="D436" s="121">
        <f>ROUND(C436*'FR_Mantenimiento tasas'!$C$43/360,5)</f>
        <v>0</v>
      </c>
      <c r="E436" s="121">
        <f>ROUND(C436*'FR_Mantenimiento tasas'!$D$43/360,5)</f>
        <v>0</v>
      </c>
    </row>
    <row r="437" spans="1:5">
      <c r="A437" s="123">
        <f t="shared" si="12"/>
        <v>435</v>
      </c>
      <c r="B437" s="122">
        <f>IF(DAY(A437)=DAY('F-Ahorro Futuro Genérico'!$H$11),'F-Ahorro Futuro Genérico'!$H$9,0)</f>
        <v>0</v>
      </c>
      <c r="C437" s="122">
        <f t="shared" si="13"/>
        <v>0</v>
      </c>
      <c r="D437" s="121">
        <f>ROUND(C437*'FR_Mantenimiento tasas'!$C$43/360,5)</f>
        <v>0</v>
      </c>
      <c r="E437" s="121">
        <f>ROUND(C437*'FR_Mantenimiento tasas'!$D$43/360,5)</f>
        <v>0</v>
      </c>
    </row>
    <row r="438" spans="1:5">
      <c r="A438" s="123">
        <f t="shared" si="12"/>
        <v>436</v>
      </c>
      <c r="B438" s="122">
        <f>IF(DAY(A438)=DAY('F-Ahorro Futuro Genérico'!$H$11),'F-Ahorro Futuro Genérico'!$H$9,0)</f>
        <v>0</v>
      </c>
      <c r="C438" s="122">
        <f t="shared" si="13"/>
        <v>0</v>
      </c>
      <c r="D438" s="121">
        <f>ROUND(C438*'FR_Mantenimiento tasas'!$C$43/360,5)</f>
        <v>0</v>
      </c>
      <c r="E438" s="121">
        <f>ROUND(C438*'FR_Mantenimiento tasas'!$D$43/360,5)</f>
        <v>0</v>
      </c>
    </row>
    <row r="439" spans="1:5">
      <c r="A439" s="123">
        <f t="shared" si="12"/>
        <v>437</v>
      </c>
      <c r="B439" s="122">
        <f>IF(DAY(A439)=DAY('F-Ahorro Futuro Genérico'!$H$11),'F-Ahorro Futuro Genérico'!$H$9,0)</f>
        <v>0</v>
      </c>
      <c r="C439" s="122">
        <f t="shared" si="13"/>
        <v>0</v>
      </c>
      <c r="D439" s="121">
        <f>ROUND(C439*'FR_Mantenimiento tasas'!$C$43/360,5)</f>
        <v>0</v>
      </c>
      <c r="E439" s="121">
        <f>ROUND(C439*'FR_Mantenimiento tasas'!$D$43/360,5)</f>
        <v>0</v>
      </c>
    </row>
    <row r="440" spans="1:5">
      <c r="A440" s="123">
        <f t="shared" si="12"/>
        <v>438</v>
      </c>
      <c r="B440" s="122">
        <f>IF(DAY(A440)=DAY('F-Ahorro Futuro Genérico'!$H$11),'F-Ahorro Futuro Genérico'!$H$9,0)</f>
        <v>0</v>
      </c>
      <c r="C440" s="122">
        <f t="shared" si="13"/>
        <v>0</v>
      </c>
      <c r="D440" s="121">
        <f>ROUND(C440*'FR_Mantenimiento tasas'!$C$43/360,5)</f>
        <v>0</v>
      </c>
      <c r="E440" s="121">
        <f>ROUND(C440*'FR_Mantenimiento tasas'!$D$43/360,5)</f>
        <v>0</v>
      </c>
    </row>
    <row r="441" spans="1:5">
      <c r="A441" s="123">
        <f t="shared" si="12"/>
        <v>439</v>
      </c>
      <c r="B441" s="122">
        <f>IF(DAY(A441)=DAY('F-Ahorro Futuro Genérico'!$H$11),'F-Ahorro Futuro Genérico'!$H$9,0)</f>
        <v>0</v>
      </c>
      <c r="C441" s="122">
        <f t="shared" si="13"/>
        <v>0</v>
      </c>
      <c r="D441" s="121">
        <f>ROUND(C441*'FR_Mantenimiento tasas'!$C$43/360,5)</f>
        <v>0</v>
      </c>
      <c r="E441" s="121">
        <f>ROUND(C441*'FR_Mantenimiento tasas'!$D$43/360,5)</f>
        <v>0</v>
      </c>
    </row>
    <row r="442" spans="1:5">
      <c r="A442" s="123">
        <f t="shared" si="12"/>
        <v>440</v>
      </c>
      <c r="B442" s="122">
        <f>IF(DAY(A442)=DAY('F-Ahorro Futuro Genérico'!$H$11),'F-Ahorro Futuro Genérico'!$H$9,0)</f>
        <v>0</v>
      </c>
      <c r="C442" s="122">
        <f t="shared" si="13"/>
        <v>0</v>
      </c>
      <c r="D442" s="121">
        <f>ROUND(C442*'FR_Mantenimiento tasas'!$C$43/360,5)</f>
        <v>0</v>
      </c>
      <c r="E442" s="121">
        <f>ROUND(C442*'FR_Mantenimiento tasas'!$D$43/360,5)</f>
        <v>0</v>
      </c>
    </row>
    <row r="443" spans="1:5">
      <c r="A443" s="123">
        <f t="shared" si="12"/>
        <v>441</v>
      </c>
      <c r="B443" s="122">
        <f>IF(DAY(A443)=DAY('F-Ahorro Futuro Genérico'!$H$11),'F-Ahorro Futuro Genérico'!$H$9,0)</f>
        <v>0</v>
      </c>
      <c r="C443" s="122">
        <f t="shared" si="13"/>
        <v>0</v>
      </c>
      <c r="D443" s="121">
        <f>ROUND(C443*'FR_Mantenimiento tasas'!$C$43/360,5)</f>
        <v>0</v>
      </c>
      <c r="E443" s="121">
        <f>ROUND(C443*'FR_Mantenimiento tasas'!$D$43/360,5)</f>
        <v>0</v>
      </c>
    </row>
    <row r="444" spans="1:5">
      <c r="A444" s="123">
        <f t="shared" si="12"/>
        <v>442</v>
      </c>
      <c r="B444" s="122">
        <f>IF(DAY(A444)=DAY('F-Ahorro Futuro Genérico'!$H$11),'F-Ahorro Futuro Genérico'!$H$9,0)</f>
        <v>0</v>
      </c>
      <c r="C444" s="122">
        <f t="shared" si="13"/>
        <v>0</v>
      </c>
      <c r="D444" s="121">
        <f>ROUND(C444*'FR_Mantenimiento tasas'!$C$43/360,5)</f>
        <v>0</v>
      </c>
      <c r="E444" s="121">
        <f>ROUND(C444*'FR_Mantenimiento tasas'!$D$43/360,5)</f>
        <v>0</v>
      </c>
    </row>
    <row r="445" spans="1:5">
      <c r="A445" s="123">
        <f t="shared" si="12"/>
        <v>443</v>
      </c>
      <c r="B445" s="122">
        <f>IF(DAY(A445)=DAY('F-Ahorro Futuro Genérico'!$H$11),'F-Ahorro Futuro Genérico'!$H$9,0)</f>
        <v>0</v>
      </c>
      <c r="C445" s="122">
        <f t="shared" si="13"/>
        <v>0</v>
      </c>
      <c r="D445" s="121">
        <f>ROUND(C445*'FR_Mantenimiento tasas'!$C$43/360,5)</f>
        <v>0</v>
      </c>
      <c r="E445" s="121">
        <f>ROUND(C445*'FR_Mantenimiento tasas'!$D$43/360,5)</f>
        <v>0</v>
      </c>
    </row>
    <row r="446" spans="1:5">
      <c r="A446" s="123">
        <f t="shared" si="12"/>
        <v>444</v>
      </c>
      <c r="B446" s="122">
        <f>IF(DAY(A446)=DAY('F-Ahorro Futuro Genérico'!$H$11),'F-Ahorro Futuro Genérico'!$H$9,0)</f>
        <v>0</v>
      </c>
      <c r="C446" s="122">
        <f t="shared" si="13"/>
        <v>0</v>
      </c>
      <c r="D446" s="121">
        <f>ROUND(C446*'FR_Mantenimiento tasas'!$C$43/360,5)</f>
        <v>0</v>
      </c>
      <c r="E446" s="121">
        <f>ROUND(C446*'FR_Mantenimiento tasas'!$D$43/360,5)</f>
        <v>0</v>
      </c>
    </row>
    <row r="447" spans="1:5">
      <c r="A447" s="123">
        <f t="shared" si="12"/>
        <v>445</v>
      </c>
      <c r="B447" s="122">
        <f>IF(DAY(A447)=DAY('F-Ahorro Futuro Genérico'!$H$11),'F-Ahorro Futuro Genérico'!$H$9,0)</f>
        <v>0</v>
      </c>
      <c r="C447" s="122">
        <f t="shared" si="13"/>
        <v>0</v>
      </c>
      <c r="D447" s="121">
        <f>ROUND(C447*'FR_Mantenimiento tasas'!$C$43/360,5)</f>
        <v>0</v>
      </c>
      <c r="E447" s="121">
        <f>ROUND(C447*'FR_Mantenimiento tasas'!$D$43/360,5)</f>
        <v>0</v>
      </c>
    </row>
    <row r="448" spans="1:5">
      <c r="A448" s="123">
        <f t="shared" si="12"/>
        <v>446</v>
      </c>
      <c r="B448" s="122">
        <f>IF(DAY(A448)=DAY('F-Ahorro Futuro Genérico'!$H$11),'F-Ahorro Futuro Genérico'!$H$9,0)</f>
        <v>0</v>
      </c>
      <c r="C448" s="122">
        <f t="shared" si="13"/>
        <v>0</v>
      </c>
      <c r="D448" s="121">
        <f>ROUND(C448*'FR_Mantenimiento tasas'!$C$43/360,5)</f>
        <v>0</v>
      </c>
      <c r="E448" s="121">
        <f>ROUND(C448*'FR_Mantenimiento tasas'!$D$43/360,5)</f>
        <v>0</v>
      </c>
    </row>
    <row r="449" spans="1:5">
      <c r="A449" s="123">
        <f t="shared" si="12"/>
        <v>447</v>
      </c>
      <c r="B449" s="122">
        <f>IF(DAY(A449)=DAY('F-Ahorro Futuro Genérico'!$H$11),'F-Ahorro Futuro Genérico'!$H$9,0)</f>
        <v>0</v>
      </c>
      <c r="C449" s="122">
        <f t="shared" si="13"/>
        <v>0</v>
      </c>
      <c r="D449" s="121">
        <f>ROUND(C449*'FR_Mantenimiento tasas'!$C$43/360,5)</f>
        <v>0</v>
      </c>
      <c r="E449" s="121">
        <f>ROUND(C449*'FR_Mantenimiento tasas'!$D$43/360,5)</f>
        <v>0</v>
      </c>
    </row>
    <row r="450" spans="1:5">
      <c r="A450" s="123">
        <f t="shared" si="12"/>
        <v>448</v>
      </c>
      <c r="B450" s="122">
        <f>IF(DAY(A450)=DAY('F-Ahorro Futuro Genérico'!$H$11),'F-Ahorro Futuro Genérico'!$H$9,0)</f>
        <v>0</v>
      </c>
      <c r="C450" s="122">
        <f t="shared" si="13"/>
        <v>0</v>
      </c>
      <c r="D450" s="121">
        <f>ROUND(C450*'FR_Mantenimiento tasas'!$C$43/360,5)</f>
        <v>0</v>
      </c>
      <c r="E450" s="121">
        <f>ROUND(C450*'FR_Mantenimiento tasas'!$D$43/360,5)</f>
        <v>0</v>
      </c>
    </row>
    <row r="451" spans="1:5">
      <c r="A451" s="123">
        <f t="shared" si="12"/>
        <v>449</v>
      </c>
      <c r="B451" s="122">
        <f>IF(DAY(A451)=DAY('F-Ahorro Futuro Genérico'!$H$11),'F-Ahorro Futuro Genérico'!$H$9,0)</f>
        <v>0</v>
      </c>
      <c r="C451" s="122">
        <f t="shared" si="13"/>
        <v>0</v>
      </c>
      <c r="D451" s="121">
        <f>ROUND(C451*'FR_Mantenimiento tasas'!$C$43/360,5)</f>
        <v>0</v>
      </c>
      <c r="E451" s="121">
        <f>ROUND(C451*'FR_Mantenimiento tasas'!$D$43/360,5)</f>
        <v>0</v>
      </c>
    </row>
    <row r="452" spans="1:5">
      <c r="A452" s="123">
        <f t="shared" ref="A452:A515" si="14">+A451+1</f>
        <v>450</v>
      </c>
      <c r="B452" s="122">
        <f>IF(DAY(A452)=DAY('F-Ahorro Futuro Genérico'!$H$11),'F-Ahorro Futuro Genérico'!$H$9,0)</f>
        <v>0</v>
      </c>
      <c r="C452" s="122">
        <f t="shared" ref="C452:C515" si="15">+B452+C451+D451</f>
        <v>0</v>
      </c>
      <c r="D452" s="121">
        <f>ROUND(C452*'FR_Mantenimiento tasas'!$C$43/360,5)</f>
        <v>0</v>
      </c>
      <c r="E452" s="121">
        <f>ROUND(C452*'FR_Mantenimiento tasas'!$D$43/360,5)</f>
        <v>0</v>
      </c>
    </row>
    <row r="453" spans="1:5">
      <c r="A453" s="123">
        <f t="shared" si="14"/>
        <v>451</v>
      </c>
      <c r="B453" s="122">
        <f>IF(DAY(A453)=DAY('F-Ahorro Futuro Genérico'!$H$11),'F-Ahorro Futuro Genérico'!$H$9,0)</f>
        <v>0</v>
      </c>
      <c r="C453" s="122">
        <f t="shared" si="15"/>
        <v>0</v>
      </c>
      <c r="D453" s="121">
        <f>ROUND(C453*'FR_Mantenimiento tasas'!$C$43/360,5)</f>
        <v>0</v>
      </c>
      <c r="E453" s="121">
        <f>ROUND(C453*'FR_Mantenimiento tasas'!$D$43/360,5)</f>
        <v>0</v>
      </c>
    </row>
    <row r="454" spans="1:5">
      <c r="A454" s="123">
        <f t="shared" si="14"/>
        <v>452</v>
      </c>
      <c r="B454" s="122">
        <f>IF(DAY(A454)=DAY('F-Ahorro Futuro Genérico'!$H$11),'F-Ahorro Futuro Genérico'!$H$9,0)</f>
        <v>0</v>
      </c>
      <c r="C454" s="122">
        <f t="shared" si="15"/>
        <v>0</v>
      </c>
      <c r="D454" s="121">
        <f>ROUND(C454*'FR_Mantenimiento tasas'!$C$43/360,5)</f>
        <v>0</v>
      </c>
      <c r="E454" s="121">
        <f>ROUND(C454*'FR_Mantenimiento tasas'!$D$43/360,5)</f>
        <v>0</v>
      </c>
    </row>
    <row r="455" spans="1:5">
      <c r="A455" s="123">
        <f t="shared" si="14"/>
        <v>453</v>
      </c>
      <c r="B455" s="122">
        <f>IF(DAY(A455)=DAY('F-Ahorro Futuro Genérico'!$H$11),'F-Ahorro Futuro Genérico'!$H$9,0)</f>
        <v>0</v>
      </c>
      <c r="C455" s="122">
        <f t="shared" si="15"/>
        <v>0</v>
      </c>
      <c r="D455" s="121">
        <f>ROUND(C455*'FR_Mantenimiento tasas'!$C$43/360,5)</f>
        <v>0</v>
      </c>
      <c r="E455" s="121">
        <f>ROUND(C455*'FR_Mantenimiento tasas'!$D$43/360,5)</f>
        <v>0</v>
      </c>
    </row>
    <row r="456" spans="1:5">
      <c r="A456" s="123">
        <f t="shared" si="14"/>
        <v>454</v>
      </c>
      <c r="B456" s="122">
        <f>IF(DAY(A456)=DAY('F-Ahorro Futuro Genérico'!$H$11),'F-Ahorro Futuro Genérico'!$H$9,0)</f>
        <v>0</v>
      </c>
      <c r="C456" s="122">
        <f t="shared" si="15"/>
        <v>0</v>
      </c>
      <c r="D456" s="121">
        <f>ROUND(C456*'FR_Mantenimiento tasas'!$C$43/360,5)</f>
        <v>0</v>
      </c>
      <c r="E456" s="121">
        <f>ROUND(C456*'FR_Mantenimiento tasas'!$D$43/360,5)</f>
        <v>0</v>
      </c>
    </row>
    <row r="457" spans="1:5">
      <c r="A457" s="123">
        <f t="shared" si="14"/>
        <v>455</v>
      </c>
      <c r="B457" s="122">
        <f>IF(DAY(A457)=DAY('F-Ahorro Futuro Genérico'!$H$11),'F-Ahorro Futuro Genérico'!$H$9,0)</f>
        <v>0</v>
      </c>
      <c r="C457" s="122">
        <f t="shared" si="15"/>
        <v>0</v>
      </c>
      <c r="D457" s="121">
        <f>ROUND(C457*'FR_Mantenimiento tasas'!$C$43/360,5)</f>
        <v>0</v>
      </c>
      <c r="E457" s="121">
        <f>ROUND(C457*'FR_Mantenimiento tasas'!$D$43/360,5)</f>
        <v>0</v>
      </c>
    </row>
    <row r="458" spans="1:5">
      <c r="A458" s="123">
        <f t="shared" si="14"/>
        <v>456</v>
      </c>
      <c r="B458" s="122">
        <f>IF(DAY(A458)=DAY('F-Ahorro Futuro Genérico'!$H$11),'F-Ahorro Futuro Genérico'!$H$9,0)</f>
        <v>0</v>
      </c>
      <c r="C458" s="122">
        <f t="shared" si="15"/>
        <v>0</v>
      </c>
      <c r="D458" s="121">
        <f>ROUND(C458*'FR_Mantenimiento tasas'!$C$43/360,5)</f>
        <v>0</v>
      </c>
      <c r="E458" s="121">
        <f>ROUND(C458*'FR_Mantenimiento tasas'!$D$43/360,5)</f>
        <v>0</v>
      </c>
    </row>
    <row r="459" spans="1:5">
      <c r="A459" s="123">
        <f t="shared" si="14"/>
        <v>457</v>
      </c>
      <c r="B459" s="122">
        <f>IF(DAY(A459)=DAY('F-Ahorro Futuro Genérico'!$H$11),'F-Ahorro Futuro Genérico'!$H$9,0)</f>
        <v>0</v>
      </c>
      <c r="C459" s="122">
        <f t="shared" si="15"/>
        <v>0</v>
      </c>
      <c r="D459" s="121">
        <f>ROUND(C459*'FR_Mantenimiento tasas'!$C$43/360,5)</f>
        <v>0</v>
      </c>
      <c r="E459" s="121">
        <f>ROUND(C459*'FR_Mantenimiento tasas'!$D$43/360,5)</f>
        <v>0</v>
      </c>
    </row>
    <row r="460" spans="1:5">
      <c r="A460" s="123">
        <f t="shared" si="14"/>
        <v>458</v>
      </c>
      <c r="B460" s="122">
        <f>IF(DAY(A460)=DAY('F-Ahorro Futuro Genérico'!$H$11),'F-Ahorro Futuro Genérico'!$H$9,0)</f>
        <v>0</v>
      </c>
      <c r="C460" s="122">
        <f t="shared" si="15"/>
        <v>0</v>
      </c>
      <c r="D460" s="121">
        <f>ROUND(C460*'FR_Mantenimiento tasas'!$C$43/360,5)</f>
        <v>0</v>
      </c>
      <c r="E460" s="121">
        <f>ROUND(C460*'FR_Mantenimiento tasas'!$D$43/360,5)</f>
        <v>0</v>
      </c>
    </row>
    <row r="461" spans="1:5">
      <c r="A461" s="123">
        <f t="shared" si="14"/>
        <v>459</v>
      </c>
      <c r="B461" s="122">
        <f>IF(DAY(A461)=DAY('F-Ahorro Futuro Genérico'!$H$11),'F-Ahorro Futuro Genérico'!$H$9,0)</f>
        <v>0</v>
      </c>
      <c r="C461" s="122">
        <f t="shared" si="15"/>
        <v>0</v>
      </c>
      <c r="D461" s="121">
        <f>ROUND(C461*'FR_Mantenimiento tasas'!$C$43/360,5)</f>
        <v>0</v>
      </c>
      <c r="E461" s="121">
        <f>ROUND(C461*'FR_Mantenimiento tasas'!$D$43/360,5)</f>
        <v>0</v>
      </c>
    </row>
    <row r="462" spans="1:5">
      <c r="A462" s="123">
        <f t="shared" si="14"/>
        <v>460</v>
      </c>
      <c r="B462" s="122">
        <f>IF(DAY(A462)=DAY('F-Ahorro Futuro Genérico'!$H$11),'F-Ahorro Futuro Genérico'!$H$9,0)</f>
        <v>0</v>
      </c>
      <c r="C462" s="122">
        <f t="shared" si="15"/>
        <v>0</v>
      </c>
      <c r="D462" s="121">
        <f>ROUND(C462*'FR_Mantenimiento tasas'!$C$43/360,5)</f>
        <v>0</v>
      </c>
      <c r="E462" s="121">
        <f>ROUND(C462*'FR_Mantenimiento tasas'!$D$43/360,5)</f>
        <v>0</v>
      </c>
    </row>
    <row r="463" spans="1:5">
      <c r="A463" s="123">
        <f t="shared" si="14"/>
        <v>461</v>
      </c>
      <c r="B463" s="122">
        <f>IF(DAY(A463)=DAY('F-Ahorro Futuro Genérico'!$H$11),'F-Ahorro Futuro Genérico'!$H$9,0)</f>
        <v>0</v>
      </c>
      <c r="C463" s="122">
        <f t="shared" si="15"/>
        <v>0</v>
      </c>
      <c r="D463" s="121">
        <f>ROUND(C463*'FR_Mantenimiento tasas'!$C$43/360,5)</f>
        <v>0</v>
      </c>
      <c r="E463" s="121">
        <f>ROUND(C463*'FR_Mantenimiento tasas'!$D$43/360,5)</f>
        <v>0</v>
      </c>
    </row>
    <row r="464" spans="1:5">
      <c r="A464" s="123">
        <f t="shared" si="14"/>
        <v>462</v>
      </c>
      <c r="B464" s="122">
        <f>IF(DAY(A464)=DAY('F-Ahorro Futuro Genérico'!$H$11),'F-Ahorro Futuro Genérico'!$H$9,0)</f>
        <v>0</v>
      </c>
      <c r="C464" s="122">
        <f t="shared" si="15"/>
        <v>0</v>
      </c>
      <c r="D464" s="121">
        <f>ROUND(C464*'FR_Mantenimiento tasas'!$C$43/360,5)</f>
        <v>0</v>
      </c>
      <c r="E464" s="121">
        <f>ROUND(C464*'FR_Mantenimiento tasas'!$D$43/360,5)</f>
        <v>0</v>
      </c>
    </row>
    <row r="465" spans="1:5">
      <c r="A465" s="123">
        <f t="shared" si="14"/>
        <v>463</v>
      </c>
      <c r="B465" s="122">
        <f>IF(DAY(A465)=DAY('F-Ahorro Futuro Genérico'!$H$11),'F-Ahorro Futuro Genérico'!$H$9,0)</f>
        <v>0</v>
      </c>
      <c r="C465" s="122">
        <f t="shared" si="15"/>
        <v>0</v>
      </c>
      <c r="D465" s="121">
        <f>ROUND(C465*'FR_Mantenimiento tasas'!$C$43/360,5)</f>
        <v>0</v>
      </c>
      <c r="E465" s="121">
        <f>ROUND(C465*'FR_Mantenimiento tasas'!$D$43/360,5)</f>
        <v>0</v>
      </c>
    </row>
    <row r="466" spans="1:5">
      <c r="A466" s="123">
        <f t="shared" si="14"/>
        <v>464</v>
      </c>
      <c r="B466" s="122">
        <f>IF(DAY(A466)=DAY('F-Ahorro Futuro Genérico'!$H$11),'F-Ahorro Futuro Genérico'!$H$9,0)</f>
        <v>0</v>
      </c>
      <c r="C466" s="122">
        <f t="shared" si="15"/>
        <v>0</v>
      </c>
      <c r="D466" s="121">
        <f>ROUND(C466*'FR_Mantenimiento tasas'!$C$43/360,5)</f>
        <v>0</v>
      </c>
      <c r="E466" s="121">
        <f>ROUND(C466*'FR_Mantenimiento tasas'!$D$43/360,5)</f>
        <v>0</v>
      </c>
    </row>
    <row r="467" spans="1:5">
      <c r="A467" s="123">
        <f t="shared" si="14"/>
        <v>465</v>
      </c>
      <c r="B467" s="122">
        <f>IF(DAY(A467)=DAY('F-Ahorro Futuro Genérico'!$H$11),'F-Ahorro Futuro Genérico'!$H$9,0)</f>
        <v>0</v>
      </c>
      <c r="C467" s="122">
        <f t="shared" si="15"/>
        <v>0</v>
      </c>
      <c r="D467" s="121">
        <f>ROUND(C467*'FR_Mantenimiento tasas'!$C$43/360,5)</f>
        <v>0</v>
      </c>
      <c r="E467" s="121">
        <f>ROUND(C467*'FR_Mantenimiento tasas'!$D$43/360,5)</f>
        <v>0</v>
      </c>
    </row>
    <row r="468" spans="1:5">
      <c r="A468" s="123">
        <f t="shared" si="14"/>
        <v>466</v>
      </c>
      <c r="B468" s="122">
        <f>IF(DAY(A468)=DAY('F-Ahorro Futuro Genérico'!$H$11),'F-Ahorro Futuro Genérico'!$H$9,0)</f>
        <v>0</v>
      </c>
      <c r="C468" s="122">
        <f t="shared" si="15"/>
        <v>0</v>
      </c>
      <c r="D468" s="121">
        <f>ROUND(C468*'FR_Mantenimiento tasas'!$C$43/360,5)</f>
        <v>0</v>
      </c>
      <c r="E468" s="121">
        <f>ROUND(C468*'FR_Mantenimiento tasas'!$D$43/360,5)</f>
        <v>0</v>
      </c>
    </row>
    <row r="469" spans="1:5">
      <c r="A469" s="123">
        <f t="shared" si="14"/>
        <v>467</v>
      </c>
      <c r="B469" s="122">
        <f>IF(DAY(A469)=DAY('F-Ahorro Futuro Genérico'!$H$11),'F-Ahorro Futuro Genérico'!$H$9,0)</f>
        <v>0</v>
      </c>
      <c r="C469" s="122">
        <f t="shared" si="15"/>
        <v>0</v>
      </c>
      <c r="D469" s="121">
        <f>ROUND(C469*'FR_Mantenimiento tasas'!$C$43/360,5)</f>
        <v>0</v>
      </c>
      <c r="E469" s="121">
        <f>ROUND(C469*'FR_Mantenimiento tasas'!$D$43/360,5)</f>
        <v>0</v>
      </c>
    </row>
    <row r="470" spans="1:5">
      <c r="A470" s="123">
        <f t="shared" si="14"/>
        <v>468</v>
      </c>
      <c r="B470" s="122">
        <f>IF(DAY(A470)=DAY('F-Ahorro Futuro Genérico'!$H$11),'F-Ahorro Futuro Genérico'!$H$9,0)</f>
        <v>0</v>
      </c>
      <c r="C470" s="122">
        <f t="shared" si="15"/>
        <v>0</v>
      </c>
      <c r="D470" s="121">
        <f>ROUND(C470*'FR_Mantenimiento tasas'!$C$43/360,5)</f>
        <v>0</v>
      </c>
      <c r="E470" s="121">
        <f>ROUND(C470*'FR_Mantenimiento tasas'!$D$43/360,5)</f>
        <v>0</v>
      </c>
    </row>
    <row r="471" spans="1:5">
      <c r="A471" s="123">
        <f t="shared" si="14"/>
        <v>469</v>
      </c>
      <c r="B471" s="122">
        <f>IF(DAY(A471)=DAY('F-Ahorro Futuro Genérico'!$H$11),'F-Ahorro Futuro Genérico'!$H$9,0)</f>
        <v>0</v>
      </c>
      <c r="C471" s="122">
        <f t="shared" si="15"/>
        <v>0</v>
      </c>
      <c r="D471" s="121">
        <f>ROUND(C471*'FR_Mantenimiento tasas'!$C$43/360,5)</f>
        <v>0</v>
      </c>
      <c r="E471" s="121">
        <f>ROUND(C471*'FR_Mantenimiento tasas'!$D$43/360,5)</f>
        <v>0</v>
      </c>
    </row>
    <row r="472" spans="1:5">
      <c r="A472" s="123">
        <f t="shared" si="14"/>
        <v>470</v>
      </c>
      <c r="B472" s="122">
        <f>IF(DAY(A472)=DAY('F-Ahorro Futuro Genérico'!$H$11),'F-Ahorro Futuro Genérico'!$H$9,0)</f>
        <v>0</v>
      </c>
      <c r="C472" s="122">
        <f t="shared" si="15"/>
        <v>0</v>
      </c>
      <c r="D472" s="121">
        <f>ROUND(C472*'FR_Mantenimiento tasas'!$C$43/360,5)</f>
        <v>0</v>
      </c>
      <c r="E472" s="121">
        <f>ROUND(C472*'FR_Mantenimiento tasas'!$D$43/360,5)</f>
        <v>0</v>
      </c>
    </row>
    <row r="473" spans="1:5">
      <c r="A473" s="123">
        <f t="shared" si="14"/>
        <v>471</v>
      </c>
      <c r="B473" s="122">
        <f>IF(DAY(A473)=DAY('F-Ahorro Futuro Genérico'!$H$11),'F-Ahorro Futuro Genérico'!$H$9,0)</f>
        <v>0</v>
      </c>
      <c r="C473" s="122">
        <f t="shared" si="15"/>
        <v>0</v>
      </c>
      <c r="D473" s="121">
        <f>ROUND(C473*'FR_Mantenimiento tasas'!$C$43/360,5)</f>
        <v>0</v>
      </c>
      <c r="E473" s="121">
        <f>ROUND(C473*'FR_Mantenimiento tasas'!$D$43/360,5)</f>
        <v>0</v>
      </c>
    </row>
    <row r="474" spans="1:5">
      <c r="A474" s="123">
        <f t="shared" si="14"/>
        <v>472</v>
      </c>
      <c r="B474" s="122">
        <f>IF(DAY(A474)=DAY('F-Ahorro Futuro Genérico'!$H$11),'F-Ahorro Futuro Genérico'!$H$9,0)</f>
        <v>0</v>
      </c>
      <c r="C474" s="122">
        <f t="shared" si="15"/>
        <v>0</v>
      </c>
      <c r="D474" s="121">
        <f>ROUND(C474*'FR_Mantenimiento tasas'!$C$43/360,5)</f>
        <v>0</v>
      </c>
      <c r="E474" s="121">
        <f>ROUND(C474*'FR_Mantenimiento tasas'!$D$43/360,5)</f>
        <v>0</v>
      </c>
    </row>
    <row r="475" spans="1:5">
      <c r="A475" s="123">
        <f t="shared" si="14"/>
        <v>473</v>
      </c>
      <c r="B475" s="122">
        <f>IF(DAY(A475)=DAY('F-Ahorro Futuro Genérico'!$H$11),'F-Ahorro Futuro Genérico'!$H$9,0)</f>
        <v>0</v>
      </c>
      <c r="C475" s="122">
        <f t="shared" si="15"/>
        <v>0</v>
      </c>
      <c r="D475" s="121">
        <f>ROUND(C475*'FR_Mantenimiento tasas'!$C$43/360,5)</f>
        <v>0</v>
      </c>
      <c r="E475" s="121">
        <f>ROUND(C475*'FR_Mantenimiento tasas'!$D$43/360,5)</f>
        <v>0</v>
      </c>
    </row>
    <row r="476" spans="1:5">
      <c r="A476" s="123">
        <f t="shared" si="14"/>
        <v>474</v>
      </c>
      <c r="B476" s="122">
        <f>IF(DAY(A476)=DAY('F-Ahorro Futuro Genérico'!$H$11),'F-Ahorro Futuro Genérico'!$H$9,0)</f>
        <v>0</v>
      </c>
      <c r="C476" s="122">
        <f t="shared" si="15"/>
        <v>0</v>
      </c>
      <c r="D476" s="121">
        <f>ROUND(C476*'FR_Mantenimiento tasas'!$C$43/360,5)</f>
        <v>0</v>
      </c>
      <c r="E476" s="121">
        <f>ROUND(C476*'FR_Mantenimiento tasas'!$D$43/360,5)</f>
        <v>0</v>
      </c>
    </row>
    <row r="477" spans="1:5">
      <c r="A477" s="123">
        <f t="shared" si="14"/>
        <v>475</v>
      </c>
      <c r="B477" s="122">
        <f>IF(DAY(A477)=DAY('F-Ahorro Futuro Genérico'!$H$11),'F-Ahorro Futuro Genérico'!$H$9,0)</f>
        <v>0</v>
      </c>
      <c r="C477" s="122">
        <f t="shared" si="15"/>
        <v>0</v>
      </c>
      <c r="D477" s="121">
        <f>ROUND(C477*'FR_Mantenimiento tasas'!$C$43/360,5)</f>
        <v>0</v>
      </c>
      <c r="E477" s="121">
        <f>ROUND(C477*'FR_Mantenimiento tasas'!$D$43/360,5)</f>
        <v>0</v>
      </c>
    </row>
    <row r="478" spans="1:5">
      <c r="A478" s="123">
        <f t="shared" si="14"/>
        <v>476</v>
      </c>
      <c r="B478" s="122">
        <f>IF(DAY(A478)=DAY('F-Ahorro Futuro Genérico'!$H$11),'F-Ahorro Futuro Genérico'!$H$9,0)</f>
        <v>0</v>
      </c>
      <c r="C478" s="122">
        <f t="shared" si="15"/>
        <v>0</v>
      </c>
      <c r="D478" s="121">
        <f>ROUND(C478*'FR_Mantenimiento tasas'!$C$43/360,5)</f>
        <v>0</v>
      </c>
      <c r="E478" s="121">
        <f>ROUND(C478*'FR_Mantenimiento tasas'!$D$43/360,5)</f>
        <v>0</v>
      </c>
    </row>
    <row r="479" spans="1:5">
      <c r="A479" s="123">
        <f t="shared" si="14"/>
        <v>477</v>
      </c>
      <c r="B479" s="122">
        <f>IF(DAY(A479)=DAY('F-Ahorro Futuro Genérico'!$H$11),'F-Ahorro Futuro Genérico'!$H$9,0)</f>
        <v>0</v>
      </c>
      <c r="C479" s="122">
        <f t="shared" si="15"/>
        <v>0</v>
      </c>
      <c r="D479" s="121">
        <f>ROUND(C479*'FR_Mantenimiento tasas'!$C$43/360,5)</f>
        <v>0</v>
      </c>
      <c r="E479" s="121">
        <f>ROUND(C479*'FR_Mantenimiento tasas'!$D$43/360,5)</f>
        <v>0</v>
      </c>
    </row>
    <row r="480" spans="1:5">
      <c r="A480" s="123">
        <f t="shared" si="14"/>
        <v>478</v>
      </c>
      <c r="B480" s="122">
        <f>IF(DAY(A480)=DAY('F-Ahorro Futuro Genérico'!$H$11),'F-Ahorro Futuro Genérico'!$H$9,0)</f>
        <v>0</v>
      </c>
      <c r="C480" s="122">
        <f t="shared" si="15"/>
        <v>0</v>
      </c>
      <c r="D480" s="121">
        <f>ROUND(C480*'FR_Mantenimiento tasas'!$C$43/360,5)</f>
        <v>0</v>
      </c>
      <c r="E480" s="121">
        <f>ROUND(C480*'FR_Mantenimiento tasas'!$D$43/360,5)</f>
        <v>0</v>
      </c>
    </row>
    <row r="481" spans="1:5">
      <c r="A481" s="123">
        <f t="shared" si="14"/>
        <v>479</v>
      </c>
      <c r="B481" s="122">
        <f>IF(DAY(A481)=DAY('F-Ahorro Futuro Genérico'!$H$11),'F-Ahorro Futuro Genérico'!$H$9,0)</f>
        <v>0</v>
      </c>
      <c r="C481" s="122">
        <f t="shared" si="15"/>
        <v>0</v>
      </c>
      <c r="D481" s="121">
        <f>ROUND(C481*'FR_Mantenimiento tasas'!$C$43/360,5)</f>
        <v>0</v>
      </c>
      <c r="E481" s="121">
        <f>ROUND(C481*'FR_Mantenimiento tasas'!$D$43/360,5)</f>
        <v>0</v>
      </c>
    </row>
    <row r="482" spans="1:5">
      <c r="A482" s="123">
        <f t="shared" si="14"/>
        <v>480</v>
      </c>
      <c r="B482" s="122">
        <f>IF(DAY(A482)=DAY('F-Ahorro Futuro Genérico'!$H$11),'F-Ahorro Futuro Genérico'!$H$9,0)</f>
        <v>0</v>
      </c>
      <c r="C482" s="122">
        <f t="shared" si="15"/>
        <v>0</v>
      </c>
      <c r="D482" s="121">
        <f>ROUND(C482*'FR_Mantenimiento tasas'!$C$43/360,5)</f>
        <v>0</v>
      </c>
      <c r="E482" s="121">
        <f>ROUND(C482*'FR_Mantenimiento tasas'!$D$43/360,5)</f>
        <v>0</v>
      </c>
    </row>
    <row r="483" spans="1:5">
      <c r="A483" s="123">
        <f t="shared" si="14"/>
        <v>481</v>
      </c>
      <c r="B483" s="122">
        <f>IF(DAY(A483)=DAY('F-Ahorro Futuro Genérico'!$H$11),'F-Ahorro Futuro Genérico'!$H$9,0)</f>
        <v>0</v>
      </c>
      <c r="C483" s="122">
        <f t="shared" si="15"/>
        <v>0</v>
      </c>
      <c r="D483" s="121">
        <f>ROUND(C483*'FR_Mantenimiento tasas'!$C$43/360,5)</f>
        <v>0</v>
      </c>
      <c r="E483" s="121">
        <f>ROUND(C483*'FR_Mantenimiento tasas'!$D$43/360,5)</f>
        <v>0</v>
      </c>
    </row>
    <row r="484" spans="1:5">
      <c r="A484" s="123">
        <f t="shared" si="14"/>
        <v>482</v>
      </c>
      <c r="B484" s="122">
        <f>IF(DAY(A484)=DAY('F-Ahorro Futuro Genérico'!$H$11),'F-Ahorro Futuro Genérico'!$H$9,0)</f>
        <v>0</v>
      </c>
      <c r="C484" s="122">
        <f t="shared" si="15"/>
        <v>0</v>
      </c>
      <c r="D484" s="121">
        <f>ROUND(C484*'FR_Mantenimiento tasas'!$C$43/360,5)</f>
        <v>0</v>
      </c>
      <c r="E484" s="121">
        <f>ROUND(C484*'FR_Mantenimiento tasas'!$D$43/360,5)</f>
        <v>0</v>
      </c>
    </row>
    <row r="485" spans="1:5">
      <c r="A485" s="123">
        <f t="shared" si="14"/>
        <v>483</v>
      </c>
      <c r="B485" s="122">
        <f>IF(DAY(A485)=DAY('F-Ahorro Futuro Genérico'!$H$11),'F-Ahorro Futuro Genérico'!$H$9,0)</f>
        <v>0</v>
      </c>
      <c r="C485" s="122">
        <f t="shared" si="15"/>
        <v>0</v>
      </c>
      <c r="D485" s="121">
        <f>ROUND(C485*'FR_Mantenimiento tasas'!$C$43/360,5)</f>
        <v>0</v>
      </c>
      <c r="E485" s="121">
        <f>ROUND(C485*'FR_Mantenimiento tasas'!$D$43/360,5)</f>
        <v>0</v>
      </c>
    </row>
    <row r="486" spans="1:5">
      <c r="A486" s="123">
        <f t="shared" si="14"/>
        <v>484</v>
      </c>
      <c r="B486" s="122">
        <f>IF(DAY(A486)=DAY('F-Ahorro Futuro Genérico'!$H$11),'F-Ahorro Futuro Genérico'!$H$9,0)</f>
        <v>0</v>
      </c>
      <c r="C486" s="122">
        <f t="shared" si="15"/>
        <v>0</v>
      </c>
      <c r="D486" s="121">
        <f>ROUND(C486*'FR_Mantenimiento tasas'!$C$43/360,5)</f>
        <v>0</v>
      </c>
      <c r="E486" s="121">
        <f>ROUND(C486*'FR_Mantenimiento tasas'!$D$43/360,5)</f>
        <v>0</v>
      </c>
    </row>
    <row r="487" spans="1:5">
      <c r="A487" s="123">
        <f t="shared" si="14"/>
        <v>485</v>
      </c>
      <c r="B487" s="122">
        <f>IF(DAY(A487)=DAY('F-Ahorro Futuro Genérico'!$H$11),'F-Ahorro Futuro Genérico'!$H$9,0)</f>
        <v>0</v>
      </c>
      <c r="C487" s="122">
        <f t="shared" si="15"/>
        <v>0</v>
      </c>
      <c r="D487" s="121">
        <f>ROUND(C487*'FR_Mantenimiento tasas'!$C$43/360,5)</f>
        <v>0</v>
      </c>
      <c r="E487" s="121">
        <f>ROUND(C487*'FR_Mantenimiento tasas'!$D$43/360,5)</f>
        <v>0</v>
      </c>
    </row>
    <row r="488" spans="1:5">
      <c r="A488" s="123">
        <f t="shared" si="14"/>
        <v>486</v>
      </c>
      <c r="B488" s="122">
        <f>IF(DAY(A488)=DAY('F-Ahorro Futuro Genérico'!$H$11),'F-Ahorro Futuro Genérico'!$H$9,0)</f>
        <v>0</v>
      </c>
      <c r="C488" s="122">
        <f t="shared" si="15"/>
        <v>0</v>
      </c>
      <c r="D488" s="121">
        <f>ROUND(C488*'FR_Mantenimiento tasas'!$C$43/360,5)</f>
        <v>0</v>
      </c>
      <c r="E488" s="121">
        <f>ROUND(C488*'FR_Mantenimiento tasas'!$D$43/360,5)</f>
        <v>0</v>
      </c>
    </row>
    <row r="489" spans="1:5">
      <c r="A489" s="123">
        <f t="shared" si="14"/>
        <v>487</v>
      </c>
      <c r="B489" s="122">
        <f>IF(DAY(A489)=DAY('F-Ahorro Futuro Genérico'!$H$11),'F-Ahorro Futuro Genérico'!$H$9,0)</f>
        <v>0</v>
      </c>
      <c r="C489" s="122">
        <f t="shared" si="15"/>
        <v>0</v>
      </c>
      <c r="D489" s="121">
        <f>ROUND(C489*'FR_Mantenimiento tasas'!$C$43/360,5)</f>
        <v>0</v>
      </c>
      <c r="E489" s="121">
        <f>ROUND(C489*'FR_Mantenimiento tasas'!$D$43/360,5)</f>
        <v>0</v>
      </c>
    </row>
    <row r="490" spans="1:5">
      <c r="A490" s="123">
        <f t="shared" si="14"/>
        <v>488</v>
      </c>
      <c r="B490" s="122">
        <f>IF(DAY(A490)=DAY('F-Ahorro Futuro Genérico'!$H$11),'F-Ahorro Futuro Genérico'!$H$9,0)</f>
        <v>0</v>
      </c>
      <c r="C490" s="122">
        <f t="shared" si="15"/>
        <v>0</v>
      </c>
      <c r="D490" s="121">
        <f>ROUND(C490*'FR_Mantenimiento tasas'!$C$43/360,5)</f>
        <v>0</v>
      </c>
      <c r="E490" s="121">
        <f>ROUND(C490*'FR_Mantenimiento tasas'!$D$43/360,5)</f>
        <v>0</v>
      </c>
    </row>
    <row r="491" spans="1:5">
      <c r="A491" s="123">
        <f t="shared" si="14"/>
        <v>489</v>
      </c>
      <c r="B491" s="122">
        <f>IF(DAY(A491)=DAY('F-Ahorro Futuro Genérico'!$H$11),'F-Ahorro Futuro Genérico'!$H$9,0)</f>
        <v>0</v>
      </c>
      <c r="C491" s="122">
        <f t="shared" si="15"/>
        <v>0</v>
      </c>
      <c r="D491" s="121">
        <f>ROUND(C491*'FR_Mantenimiento tasas'!$C$43/360,5)</f>
        <v>0</v>
      </c>
      <c r="E491" s="121">
        <f>ROUND(C491*'FR_Mantenimiento tasas'!$D$43/360,5)</f>
        <v>0</v>
      </c>
    </row>
    <row r="492" spans="1:5">
      <c r="A492" s="123">
        <f t="shared" si="14"/>
        <v>490</v>
      </c>
      <c r="B492" s="122">
        <f>IF(DAY(A492)=DAY('F-Ahorro Futuro Genérico'!$H$11),'F-Ahorro Futuro Genérico'!$H$9,0)</f>
        <v>0</v>
      </c>
      <c r="C492" s="122">
        <f t="shared" si="15"/>
        <v>0</v>
      </c>
      <c r="D492" s="121">
        <f>ROUND(C492*'FR_Mantenimiento tasas'!$C$43/360,5)</f>
        <v>0</v>
      </c>
      <c r="E492" s="121">
        <f>ROUND(C492*'FR_Mantenimiento tasas'!$D$43/360,5)</f>
        <v>0</v>
      </c>
    </row>
    <row r="493" spans="1:5">
      <c r="A493" s="123">
        <f t="shared" si="14"/>
        <v>491</v>
      </c>
      <c r="B493" s="122">
        <f>IF(DAY(A493)=DAY('F-Ahorro Futuro Genérico'!$H$11),'F-Ahorro Futuro Genérico'!$H$9,0)</f>
        <v>0</v>
      </c>
      <c r="C493" s="122">
        <f t="shared" si="15"/>
        <v>0</v>
      </c>
      <c r="D493" s="121">
        <f>ROUND(C493*'FR_Mantenimiento tasas'!$C$43/360,5)</f>
        <v>0</v>
      </c>
      <c r="E493" s="121">
        <f>ROUND(C493*'FR_Mantenimiento tasas'!$D$43/360,5)</f>
        <v>0</v>
      </c>
    </row>
    <row r="494" spans="1:5">
      <c r="A494" s="123">
        <f t="shared" si="14"/>
        <v>492</v>
      </c>
      <c r="B494" s="122">
        <f>IF(DAY(A494)=DAY('F-Ahorro Futuro Genérico'!$H$11),'F-Ahorro Futuro Genérico'!$H$9,0)</f>
        <v>0</v>
      </c>
      <c r="C494" s="122">
        <f t="shared" si="15"/>
        <v>0</v>
      </c>
      <c r="D494" s="121">
        <f>ROUND(C494*'FR_Mantenimiento tasas'!$C$43/360,5)</f>
        <v>0</v>
      </c>
      <c r="E494" s="121">
        <f>ROUND(C494*'FR_Mantenimiento tasas'!$D$43/360,5)</f>
        <v>0</v>
      </c>
    </row>
    <row r="495" spans="1:5">
      <c r="A495" s="123">
        <f t="shared" si="14"/>
        <v>493</v>
      </c>
      <c r="B495" s="122">
        <f>IF(DAY(A495)=DAY('F-Ahorro Futuro Genérico'!$H$11),'F-Ahorro Futuro Genérico'!$H$9,0)</f>
        <v>0</v>
      </c>
      <c r="C495" s="122">
        <f t="shared" si="15"/>
        <v>0</v>
      </c>
      <c r="D495" s="121">
        <f>ROUND(C495*'FR_Mantenimiento tasas'!$C$43/360,5)</f>
        <v>0</v>
      </c>
      <c r="E495" s="121">
        <f>ROUND(C495*'FR_Mantenimiento tasas'!$D$43/360,5)</f>
        <v>0</v>
      </c>
    </row>
    <row r="496" spans="1:5">
      <c r="A496" s="123">
        <f t="shared" si="14"/>
        <v>494</v>
      </c>
      <c r="B496" s="122">
        <f>IF(DAY(A496)=DAY('F-Ahorro Futuro Genérico'!$H$11),'F-Ahorro Futuro Genérico'!$H$9,0)</f>
        <v>0</v>
      </c>
      <c r="C496" s="122">
        <f t="shared" si="15"/>
        <v>0</v>
      </c>
      <c r="D496" s="121">
        <f>ROUND(C496*'FR_Mantenimiento tasas'!$C$43/360,5)</f>
        <v>0</v>
      </c>
      <c r="E496" s="121">
        <f>ROUND(C496*'FR_Mantenimiento tasas'!$D$43/360,5)</f>
        <v>0</v>
      </c>
    </row>
    <row r="497" spans="1:5">
      <c r="A497" s="123">
        <f t="shared" si="14"/>
        <v>495</v>
      </c>
      <c r="B497" s="122">
        <f>IF(DAY(A497)=DAY('F-Ahorro Futuro Genérico'!$H$11),'F-Ahorro Futuro Genérico'!$H$9,0)</f>
        <v>0</v>
      </c>
      <c r="C497" s="122">
        <f t="shared" si="15"/>
        <v>0</v>
      </c>
      <c r="D497" s="121">
        <f>ROUND(C497*'FR_Mantenimiento tasas'!$C$43/360,5)</f>
        <v>0</v>
      </c>
      <c r="E497" s="121">
        <f>ROUND(C497*'FR_Mantenimiento tasas'!$D$43/360,5)</f>
        <v>0</v>
      </c>
    </row>
    <row r="498" spans="1:5">
      <c r="A498" s="123">
        <f t="shared" si="14"/>
        <v>496</v>
      </c>
      <c r="B498" s="122">
        <f>IF(DAY(A498)=DAY('F-Ahorro Futuro Genérico'!$H$11),'F-Ahorro Futuro Genérico'!$H$9,0)</f>
        <v>0</v>
      </c>
      <c r="C498" s="122">
        <f t="shared" si="15"/>
        <v>0</v>
      </c>
      <c r="D498" s="121">
        <f>ROUND(C498*'FR_Mantenimiento tasas'!$C$43/360,5)</f>
        <v>0</v>
      </c>
      <c r="E498" s="121">
        <f>ROUND(C498*'FR_Mantenimiento tasas'!$D$43/360,5)</f>
        <v>0</v>
      </c>
    </row>
    <row r="499" spans="1:5">
      <c r="A499" s="123">
        <f t="shared" si="14"/>
        <v>497</v>
      </c>
      <c r="B499" s="122">
        <f>IF(DAY(A499)=DAY('F-Ahorro Futuro Genérico'!$H$11),'F-Ahorro Futuro Genérico'!$H$9,0)</f>
        <v>0</v>
      </c>
      <c r="C499" s="122">
        <f t="shared" si="15"/>
        <v>0</v>
      </c>
      <c r="D499" s="121">
        <f>ROUND(C499*'FR_Mantenimiento tasas'!$C$43/360,5)</f>
        <v>0</v>
      </c>
      <c r="E499" s="121">
        <f>ROUND(C499*'FR_Mantenimiento tasas'!$D$43/360,5)</f>
        <v>0</v>
      </c>
    </row>
    <row r="500" spans="1:5">
      <c r="A500" s="123">
        <f t="shared" si="14"/>
        <v>498</v>
      </c>
      <c r="B500" s="122">
        <f>IF(DAY(A500)=DAY('F-Ahorro Futuro Genérico'!$H$11),'F-Ahorro Futuro Genérico'!$H$9,0)</f>
        <v>0</v>
      </c>
      <c r="C500" s="122">
        <f t="shared" si="15"/>
        <v>0</v>
      </c>
      <c r="D500" s="121">
        <f>ROUND(C500*'FR_Mantenimiento tasas'!$C$43/360,5)</f>
        <v>0</v>
      </c>
      <c r="E500" s="121">
        <f>ROUND(C500*'FR_Mantenimiento tasas'!$D$43/360,5)</f>
        <v>0</v>
      </c>
    </row>
    <row r="501" spans="1:5">
      <c r="A501" s="123">
        <f t="shared" si="14"/>
        <v>499</v>
      </c>
      <c r="B501" s="122">
        <f>IF(DAY(A501)=DAY('F-Ahorro Futuro Genérico'!$H$11),'F-Ahorro Futuro Genérico'!$H$9,0)</f>
        <v>0</v>
      </c>
      <c r="C501" s="122">
        <f t="shared" si="15"/>
        <v>0</v>
      </c>
      <c r="D501" s="121">
        <f>ROUND(C501*'FR_Mantenimiento tasas'!$C$43/360,5)</f>
        <v>0</v>
      </c>
      <c r="E501" s="121">
        <f>ROUND(C501*'FR_Mantenimiento tasas'!$D$43/360,5)</f>
        <v>0</v>
      </c>
    </row>
    <row r="502" spans="1:5">
      <c r="A502" s="123">
        <f t="shared" si="14"/>
        <v>500</v>
      </c>
      <c r="B502" s="122">
        <f>IF(DAY(A502)=DAY('F-Ahorro Futuro Genérico'!$H$11),'F-Ahorro Futuro Genérico'!$H$9,0)</f>
        <v>0</v>
      </c>
      <c r="C502" s="122">
        <f t="shared" si="15"/>
        <v>0</v>
      </c>
      <c r="D502" s="121">
        <f>ROUND(C502*'FR_Mantenimiento tasas'!$C$43/360,5)</f>
        <v>0</v>
      </c>
      <c r="E502" s="121">
        <f>ROUND(C502*'FR_Mantenimiento tasas'!$D$43/360,5)</f>
        <v>0</v>
      </c>
    </row>
    <row r="503" spans="1:5">
      <c r="A503" s="123">
        <f t="shared" si="14"/>
        <v>501</v>
      </c>
      <c r="B503" s="122">
        <f>IF(DAY(A503)=DAY('F-Ahorro Futuro Genérico'!$H$11),'F-Ahorro Futuro Genérico'!$H$9,0)</f>
        <v>0</v>
      </c>
      <c r="C503" s="122">
        <f t="shared" si="15"/>
        <v>0</v>
      </c>
      <c r="D503" s="121">
        <f>ROUND(C503*'FR_Mantenimiento tasas'!$C$43/360,5)</f>
        <v>0</v>
      </c>
      <c r="E503" s="121">
        <f>ROUND(C503*'FR_Mantenimiento tasas'!$D$43/360,5)</f>
        <v>0</v>
      </c>
    </row>
    <row r="504" spans="1:5">
      <c r="A504" s="123">
        <f t="shared" si="14"/>
        <v>502</v>
      </c>
      <c r="B504" s="122">
        <f>IF(DAY(A504)=DAY('F-Ahorro Futuro Genérico'!$H$11),'F-Ahorro Futuro Genérico'!$H$9,0)</f>
        <v>0</v>
      </c>
      <c r="C504" s="122">
        <f t="shared" si="15"/>
        <v>0</v>
      </c>
      <c r="D504" s="121">
        <f>ROUND(C504*'FR_Mantenimiento tasas'!$C$43/360,5)</f>
        <v>0</v>
      </c>
      <c r="E504" s="121">
        <f>ROUND(C504*'FR_Mantenimiento tasas'!$D$43/360,5)</f>
        <v>0</v>
      </c>
    </row>
    <row r="505" spans="1:5">
      <c r="A505" s="123">
        <f t="shared" si="14"/>
        <v>503</v>
      </c>
      <c r="B505" s="122">
        <f>IF(DAY(A505)=DAY('F-Ahorro Futuro Genérico'!$H$11),'F-Ahorro Futuro Genérico'!$H$9,0)</f>
        <v>0</v>
      </c>
      <c r="C505" s="122">
        <f t="shared" si="15"/>
        <v>0</v>
      </c>
      <c r="D505" s="121">
        <f>ROUND(C505*'FR_Mantenimiento tasas'!$C$43/360,5)</f>
        <v>0</v>
      </c>
      <c r="E505" s="121">
        <f>ROUND(C505*'FR_Mantenimiento tasas'!$D$43/360,5)</f>
        <v>0</v>
      </c>
    </row>
    <row r="506" spans="1:5">
      <c r="A506" s="123">
        <f t="shared" si="14"/>
        <v>504</v>
      </c>
      <c r="B506" s="122">
        <f>IF(DAY(A506)=DAY('F-Ahorro Futuro Genérico'!$H$11),'F-Ahorro Futuro Genérico'!$H$9,0)</f>
        <v>0</v>
      </c>
      <c r="C506" s="122">
        <f t="shared" si="15"/>
        <v>0</v>
      </c>
      <c r="D506" s="121">
        <f>ROUND(C506*'FR_Mantenimiento tasas'!$C$43/360,5)</f>
        <v>0</v>
      </c>
      <c r="E506" s="121">
        <f>ROUND(C506*'FR_Mantenimiento tasas'!$D$43/360,5)</f>
        <v>0</v>
      </c>
    </row>
    <row r="507" spans="1:5">
      <c r="A507" s="123">
        <f t="shared" si="14"/>
        <v>505</v>
      </c>
      <c r="B507" s="122">
        <f>IF(DAY(A507)=DAY('F-Ahorro Futuro Genérico'!$H$11),'F-Ahorro Futuro Genérico'!$H$9,0)</f>
        <v>0</v>
      </c>
      <c r="C507" s="122">
        <f t="shared" si="15"/>
        <v>0</v>
      </c>
      <c r="D507" s="121">
        <f>ROUND(C507*'FR_Mantenimiento tasas'!$C$43/360,5)</f>
        <v>0</v>
      </c>
      <c r="E507" s="121">
        <f>ROUND(C507*'FR_Mantenimiento tasas'!$D$43/360,5)</f>
        <v>0</v>
      </c>
    </row>
    <row r="508" spans="1:5">
      <c r="A508" s="123">
        <f t="shared" si="14"/>
        <v>506</v>
      </c>
      <c r="B508" s="122">
        <f>IF(DAY(A508)=DAY('F-Ahorro Futuro Genérico'!$H$11),'F-Ahorro Futuro Genérico'!$H$9,0)</f>
        <v>0</v>
      </c>
      <c r="C508" s="122">
        <f t="shared" si="15"/>
        <v>0</v>
      </c>
      <c r="D508" s="121">
        <f>ROUND(C508*'FR_Mantenimiento tasas'!$C$43/360,5)</f>
        <v>0</v>
      </c>
      <c r="E508" s="121">
        <f>ROUND(C508*'FR_Mantenimiento tasas'!$D$43/360,5)</f>
        <v>0</v>
      </c>
    </row>
    <row r="509" spans="1:5">
      <c r="A509" s="123">
        <f t="shared" si="14"/>
        <v>507</v>
      </c>
      <c r="B509" s="122">
        <f>IF(DAY(A509)=DAY('F-Ahorro Futuro Genérico'!$H$11),'F-Ahorro Futuro Genérico'!$H$9,0)</f>
        <v>0</v>
      </c>
      <c r="C509" s="122">
        <f t="shared" si="15"/>
        <v>0</v>
      </c>
      <c r="D509" s="121">
        <f>ROUND(C509*'FR_Mantenimiento tasas'!$C$43/360,5)</f>
        <v>0</v>
      </c>
      <c r="E509" s="121">
        <f>ROUND(C509*'FR_Mantenimiento tasas'!$D$43/360,5)</f>
        <v>0</v>
      </c>
    </row>
    <row r="510" spans="1:5">
      <c r="A510" s="123">
        <f t="shared" si="14"/>
        <v>508</v>
      </c>
      <c r="B510" s="122">
        <f>IF(DAY(A510)=DAY('F-Ahorro Futuro Genérico'!$H$11),'F-Ahorro Futuro Genérico'!$H$9,0)</f>
        <v>0</v>
      </c>
      <c r="C510" s="122">
        <f t="shared" si="15"/>
        <v>0</v>
      </c>
      <c r="D510" s="121">
        <f>ROUND(C510*'FR_Mantenimiento tasas'!$C$43/360,5)</f>
        <v>0</v>
      </c>
      <c r="E510" s="121">
        <f>ROUND(C510*'FR_Mantenimiento tasas'!$D$43/360,5)</f>
        <v>0</v>
      </c>
    </row>
    <row r="511" spans="1:5">
      <c r="A511" s="123">
        <f t="shared" si="14"/>
        <v>509</v>
      </c>
      <c r="B511" s="122">
        <f>IF(DAY(A511)=DAY('F-Ahorro Futuro Genérico'!$H$11),'F-Ahorro Futuro Genérico'!$H$9,0)</f>
        <v>0</v>
      </c>
      <c r="C511" s="122">
        <f t="shared" si="15"/>
        <v>0</v>
      </c>
      <c r="D511" s="121">
        <f>ROUND(C511*'FR_Mantenimiento tasas'!$C$43/360,5)</f>
        <v>0</v>
      </c>
      <c r="E511" s="121">
        <f>ROUND(C511*'FR_Mantenimiento tasas'!$D$43/360,5)</f>
        <v>0</v>
      </c>
    </row>
    <row r="512" spans="1:5">
      <c r="A512" s="123">
        <f t="shared" si="14"/>
        <v>510</v>
      </c>
      <c r="B512" s="122">
        <f>IF(DAY(A512)=DAY('F-Ahorro Futuro Genérico'!$H$11),'F-Ahorro Futuro Genérico'!$H$9,0)</f>
        <v>0</v>
      </c>
      <c r="C512" s="122">
        <f t="shared" si="15"/>
        <v>0</v>
      </c>
      <c r="D512" s="121">
        <f>ROUND(C512*'FR_Mantenimiento tasas'!$C$43/360,5)</f>
        <v>0</v>
      </c>
      <c r="E512" s="121">
        <f>ROUND(C512*'FR_Mantenimiento tasas'!$D$43/360,5)</f>
        <v>0</v>
      </c>
    </row>
    <row r="513" spans="1:5">
      <c r="A513" s="123">
        <f t="shared" si="14"/>
        <v>511</v>
      </c>
      <c r="B513" s="122">
        <f>IF(DAY(A513)=DAY('F-Ahorro Futuro Genérico'!$H$11),'F-Ahorro Futuro Genérico'!$H$9,0)</f>
        <v>0</v>
      </c>
      <c r="C513" s="122">
        <f t="shared" si="15"/>
        <v>0</v>
      </c>
      <c r="D513" s="121">
        <f>ROUND(C513*'FR_Mantenimiento tasas'!$C$43/360,5)</f>
        <v>0</v>
      </c>
      <c r="E513" s="121">
        <f>ROUND(C513*'FR_Mantenimiento tasas'!$D$43/360,5)</f>
        <v>0</v>
      </c>
    </row>
    <row r="514" spans="1:5">
      <c r="A514" s="123">
        <f t="shared" si="14"/>
        <v>512</v>
      </c>
      <c r="B514" s="122">
        <f>IF(DAY(A514)=DAY('F-Ahorro Futuro Genérico'!$H$11),'F-Ahorro Futuro Genérico'!$H$9,0)</f>
        <v>0</v>
      </c>
      <c r="C514" s="122">
        <f t="shared" si="15"/>
        <v>0</v>
      </c>
      <c r="D514" s="121">
        <f>ROUND(C514*'FR_Mantenimiento tasas'!$C$43/360,5)</f>
        <v>0</v>
      </c>
      <c r="E514" s="121">
        <f>ROUND(C514*'FR_Mantenimiento tasas'!$D$43/360,5)</f>
        <v>0</v>
      </c>
    </row>
    <row r="515" spans="1:5">
      <c r="A515" s="123">
        <f t="shared" si="14"/>
        <v>513</v>
      </c>
      <c r="B515" s="122">
        <f>IF(DAY(A515)=DAY('F-Ahorro Futuro Genérico'!$H$11),'F-Ahorro Futuro Genérico'!$H$9,0)</f>
        <v>0</v>
      </c>
      <c r="C515" s="122">
        <f t="shared" si="15"/>
        <v>0</v>
      </c>
      <c r="D515" s="121">
        <f>ROUND(C515*'FR_Mantenimiento tasas'!$C$43/360,5)</f>
        <v>0</v>
      </c>
      <c r="E515" s="121">
        <f>ROUND(C515*'FR_Mantenimiento tasas'!$D$43/360,5)</f>
        <v>0</v>
      </c>
    </row>
    <row r="516" spans="1:5">
      <c r="A516" s="123">
        <f t="shared" ref="A516:A579" si="16">+A515+1</f>
        <v>514</v>
      </c>
      <c r="B516" s="122">
        <f>IF(DAY(A516)=DAY('F-Ahorro Futuro Genérico'!$H$11),'F-Ahorro Futuro Genérico'!$H$9,0)</f>
        <v>0</v>
      </c>
      <c r="C516" s="122">
        <f t="shared" ref="C516:C579" si="17">+B516+C515+D515</f>
        <v>0</v>
      </c>
      <c r="D516" s="121">
        <f>ROUND(C516*'FR_Mantenimiento tasas'!$C$43/360,5)</f>
        <v>0</v>
      </c>
      <c r="E516" s="121">
        <f>ROUND(C516*'FR_Mantenimiento tasas'!$D$43/360,5)</f>
        <v>0</v>
      </c>
    </row>
    <row r="517" spans="1:5">
      <c r="A517" s="123">
        <f t="shared" si="16"/>
        <v>515</v>
      </c>
      <c r="B517" s="122">
        <f>IF(DAY(A517)=DAY('F-Ahorro Futuro Genérico'!$H$11),'F-Ahorro Futuro Genérico'!$H$9,0)</f>
        <v>0</v>
      </c>
      <c r="C517" s="122">
        <f t="shared" si="17"/>
        <v>0</v>
      </c>
      <c r="D517" s="121">
        <f>ROUND(C517*'FR_Mantenimiento tasas'!$C$43/360,5)</f>
        <v>0</v>
      </c>
      <c r="E517" s="121">
        <f>ROUND(C517*'FR_Mantenimiento tasas'!$D$43/360,5)</f>
        <v>0</v>
      </c>
    </row>
    <row r="518" spans="1:5">
      <c r="A518" s="123">
        <f t="shared" si="16"/>
        <v>516</v>
      </c>
      <c r="B518" s="122">
        <f>IF(DAY(A518)=DAY('F-Ahorro Futuro Genérico'!$H$11),'F-Ahorro Futuro Genérico'!$H$9,0)</f>
        <v>0</v>
      </c>
      <c r="C518" s="122">
        <f t="shared" si="17"/>
        <v>0</v>
      </c>
      <c r="D518" s="121">
        <f>ROUND(C518*'FR_Mantenimiento tasas'!$C$43/360,5)</f>
        <v>0</v>
      </c>
      <c r="E518" s="121">
        <f>ROUND(C518*'FR_Mantenimiento tasas'!$D$43/360,5)</f>
        <v>0</v>
      </c>
    </row>
    <row r="519" spans="1:5">
      <c r="A519" s="123">
        <f t="shared" si="16"/>
        <v>517</v>
      </c>
      <c r="B519" s="122">
        <f>IF(DAY(A519)=DAY('F-Ahorro Futuro Genérico'!$H$11),'F-Ahorro Futuro Genérico'!$H$9,0)</f>
        <v>0</v>
      </c>
      <c r="C519" s="122">
        <f t="shared" si="17"/>
        <v>0</v>
      </c>
      <c r="D519" s="121">
        <f>ROUND(C519*'FR_Mantenimiento tasas'!$C$43/360,5)</f>
        <v>0</v>
      </c>
      <c r="E519" s="121">
        <f>ROUND(C519*'FR_Mantenimiento tasas'!$D$43/360,5)</f>
        <v>0</v>
      </c>
    </row>
    <row r="520" spans="1:5">
      <c r="A520" s="123">
        <f t="shared" si="16"/>
        <v>518</v>
      </c>
      <c r="B520" s="122">
        <f>IF(DAY(A520)=DAY('F-Ahorro Futuro Genérico'!$H$11),'F-Ahorro Futuro Genérico'!$H$9,0)</f>
        <v>0</v>
      </c>
      <c r="C520" s="122">
        <f t="shared" si="17"/>
        <v>0</v>
      </c>
      <c r="D520" s="121">
        <f>ROUND(C520*'FR_Mantenimiento tasas'!$C$43/360,5)</f>
        <v>0</v>
      </c>
      <c r="E520" s="121">
        <f>ROUND(C520*'FR_Mantenimiento tasas'!$D$43/360,5)</f>
        <v>0</v>
      </c>
    </row>
    <row r="521" spans="1:5">
      <c r="A521" s="123">
        <f t="shared" si="16"/>
        <v>519</v>
      </c>
      <c r="B521" s="122">
        <f>IF(DAY(A521)=DAY('F-Ahorro Futuro Genérico'!$H$11),'F-Ahorro Futuro Genérico'!$H$9,0)</f>
        <v>0</v>
      </c>
      <c r="C521" s="122">
        <f t="shared" si="17"/>
        <v>0</v>
      </c>
      <c r="D521" s="121">
        <f>ROUND(C521*'FR_Mantenimiento tasas'!$C$43/360,5)</f>
        <v>0</v>
      </c>
      <c r="E521" s="121">
        <f>ROUND(C521*'FR_Mantenimiento tasas'!$D$43/360,5)</f>
        <v>0</v>
      </c>
    </row>
    <row r="522" spans="1:5">
      <c r="A522" s="123">
        <f t="shared" si="16"/>
        <v>520</v>
      </c>
      <c r="B522" s="122">
        <f>IF(DAY(A522)=DAY('F-Ahorro Futuro Genérico'!$H$11),'F-Ahorro Futuro Genérico'!$H$9,0)</f>
        <v>0</v>
      </c>
      <c r="C522" s="122">
        <f t="shared" si="17"/>
        <v>0</v>
      </c>
      <c r="D522" s="121">
        <f>ROUND(C522*'FR_Mantenimiento tasas'!$C$43/360,5)</f>
        <v>0</v>
      </c>
      <c r="E522" s="121">
        <f>ROUND(C522*'FR_Mantenimiento tasas'!$D$43/360,5)</f>
        <v>0</v>
      </c>
    </row>
    <row r="523" spans="1:5">
      <c r="A523" s="123">
        <f t="shared" si="16"/>
        <v>521</v>
      </c>
      <c r="B523" s="122">
        <f>IF(DAY(A523)=DAY('F-Ahorro Futuro Genérico'!$H$11),'F-Ahorro Futuro Genérico'!$H$9,0)</f>
        <v>0</v>
      </c>
      <c r="C523" s="122">
        <f t="shared" si="17"/>
        <v>0</v>
      </c>
      <c r="D523" s="121">
        <f>ROUND(C523*'FR_Mantenimiento tasas'!$C$43/360,5)</f>
        <v>0</v>
      </c>
      <c r="E523" s="121">
        <f>ROUND(C523*'FR_Mantenimiento tasas'!$D$43/360,5)</f>
        <v>0</v>
      </c>
    </row>
    <row r="524" spans="1:5">
      <c r="A524" s="123">
        <f t="shared" si="16"/>
        <v>522</v>
      </c>
      <c r="B524" s="122">
        <f>IF(DAY(A524)=DAY('F-Ahorro Futuro Genérico'!$H$11),'F-Ahorro Futuro Genérico'!$H$9,0)</f>
        <v>0</v>
      </c>
      <c r="C524" s="122">
        <f t="shared" si="17"/>
        <v>0</v>
      </c>
      <c r="D524" s="121">
        <f>ROUND(C524*'FR_Mantenimiento tasas'!$C$43/360,5)</f>
        <v>0</v>
      </c>
      <c r="E524" s="121">
        <f>ROUND(C524*'FR_Mantenimiento tasas'!$D$43/360,5)</f>
        <v>0</v>
      </c>
    </row>
    <row r="525" spans="1:5">
      <c r="A525" s="123">
        <f t="shared" si="16"/>
        <v>523</v>
      </c>
      <c r="B525" s="122">
        <f>IF(DAY(A525)=DAY('F-Ahorro Futuro Genérico'!$H$11),'F-Ahorro Futuro Genérico'!$H$9,0)</f>
        <v>0</v>
      </c>
      <c r="C525" s="122">
        <f t="shared" si="17"/>
        <v>0</v>
      </c>
      <c r="D525" s="121">
        <f>ROUND(C525*'FR_Mantenimiento tasas'!$C$43/360,5)</f>
        <v>0</v>
      </c>
      <c r="E525" s="121">
        <f>ROUND(C525*'FR_Mantenimiento tasas'!$D$43/360,5)</f>
        <v>0</v>
      </c>
    </row>
    <row r="526" spans="1:5">
      <c r="A526" s="123">
        <f t="shared" si="16"/>
        <v>524</v>
      </c>
      <c r="B526" s="122">
        <f>IF(DAY(A526)=DAY('F-Ahorro Futuro Genérico'!$H$11),'F-Ahorro Futuro Genérico'!$H$9,0)</f>
        <v>0</v>
      </c>
      <c r="C526" s="122">
        <f t="shared" si="17"/>
        <v>0</v>
      </c>
      <c r="D526" s="121">
        <f>ROUND(C526*'FR_Mantenimiento tasas'!$C$43/360,5)</f>
        <v>0</v>
      </c>
      <c r="E526" s="121">
        <f>ROUND(C526*'FR_Mantenimiento tasas'!$D$43/360,5)</f>
        <v>0</v>
      </c>
    </row>
    <row r="527" spans="1:5">
      <c r="A527" s="123">
        <f t="shared" si="16"/>
        <v>525</v>
      </c>
      <c r="B527" s="122">
        <f>IF(DAY(A527)=DAY('F-Ahorro Futuro Genérico'!$H$11),'F-Ahorro Futuro Genérico'!$H$9,0)</f>
        <v>0</v>
      </c>
      <c r="C527" s="122">
        <f t="shared" si="17"/>
        <v>0</v>
      </c>
      <c r="D527" s="121">
        <f>ROUND(C527*'FR_Mantenimiento tasas'!$C$43/360,5)</f>
        <v>0</v>
      </c>
      <c r="E527" s="121">
        <f>ROUND(C527*'FR_Mantenimiento tasas'!$D$43/360,5)</f>
        <v>0</v>
      </c>
    </row>
    <row r="528" spans="1:5">
      <c r="A528" s="123">
        <f t="shared" si="16"/>
        <v>526</v>
      </c>
      <c r="B528" s="122">
        <f>IF(DAY(A528)=DAY('F-Ahorro Futuro Genérico'!$H$11),'F-Ahorro Futuro Genérico'!$H$9,0)</f>
        <v>0</v>
      </c>
      <c r="C528" s="122">
        <f t="shared" si="17"/>
        <v>0</v>
      </c>
      <c r="D528" s="121">
        <f>ROUND(C528*'FR_Mantenimiento tasas'!$C$43/360,5)</f>
        <v>0</v>
      </c>
      <c r="E528" s="121">
        <f>ROUND(C528*'FR_Mantenimiento tasas'!$D$43/360,5)</f>
        <v>0</v>
      </c>
    </row>
    <row r="529" spans="1:5">
      <c r="A529" s="123">
        <f t="shared" si="16"/>
        <v>527</v>
      </c>
      <c r="B529" s="122">
        <f>IF(DAY(A529)=DAY('F-Ahorro Futuro Genérico'!$H$11),'F-Ahorro Futuro Genérico'!$H$9,0)</f>
        <v>0</v>
      </c>
      <c r="C529" s="122">
        <f t="shared" si="17"/>
        <v>0</v>
      </c>
      <c r="D529" s="121">
        <f>ROUND(C529*'FR_Mantenimiento tasas'!$C$43/360,5)</f>
        <v>0</v>
      </c>
      <c r="E529" s="121">
        <f>ROUND(C529*'FR_Mantenimiento tasas'!$D$43/360,5)</f>
        <v>0</v>
      </c>
    </row>
    <row r="530" spans="1:5">
      <c r="A530" s="123">
        <f t="shared" si="16"/>
        <v>528</v>
      </c>
      <c r="B530" s="122">
        <f>IF(DAY(A530)=DAY('F-Ahorro Futuro Genérico'!$H$11),'F-Ahorro Futuro Genérico'!$H$9,0)</f>
        <v>0</v>
      </c>
      <c r="C530" s="122">
        <f t="shared" si="17"/>
        <v>0</v>
      </c>
      <c r="D530" s="121">
        <f>ROUND(C530*'FR_Mantenimiento tasas'!$C$43/360,5)</f>
        <v>0</v>
      </c>
      <c r="E530" s="121">
        <f>ROUND(C530*'FR_Mantenimiento tasas'!$D$43/360,5)</f>
        <v>0</v>
      </c>
    </row>
    <row r="531" spans="1:5">
      <c r="A531" s="123">
        <f t="shared" si="16"/>
        <v>529</v>
      </c>
      <c r="B531" s="122">
        <f>IF(DAY(A531)=DAY('F-Ahorro Futuro Genérico'!$H$11),'F-Ahorro Futuro Genérico'!$H$9,0)</f>
        <v>0</v>
      </c>
      <c r="C531" s="122">
        <f t="shared" si="17"/>
        <v>0</v>
      </c>
      <c r="D531" s="121">
        <f>ROUND(C531*'FR_Mantenimiento tasas'!$C$43/360,5)</f>
        <v>0</v>
      </c>
      <c r="E531" s="121">
        <f>ROUND(C531*'FR_Mantenimiento tasas'!$D$43/360,5)</f>
        <v>0</v>
      </c>
    </row>
    <row r="532" spans="1:5">
      <c r="A532" s="123">
        <f t="shared" si="16"/>
        <v>530</v>
      </c>
      <c r="B532" s="122">
        <f>IF(DAY(A532)=DAY('F-Ahorro Futuro Genérico'!$H$11),'F-Ahorro Futuro Genérico'!$H$9,0)</f>
        <v>0</v>
      </c>
      <c r="C532" s="122">
        <f t="shared" si="17"/>
        <v>0</v>
      </c>
      <c r="D532" s="121">
        <f>ROUND(C532*'FR_Mantenimiento tasas'!$C$43/360,5)</f>
        <v>0</v>
      </c>
      <c r="E532" s="121">
        <f>ROUND(C532*'FR_Mantenimiento tasas'!$D$43/360,5)</f>
        <v>0</v>
      </c>
    </row>
    <row r="533" spans="1:5">
      <c r="A533" s="123">
        <f t="shared" si="16"/>
        <v>531</v>
      </c>
      <c r="B533" s="122">
        <f>IF(DAY(A533)=DAY('F-Ahorro Futuro Genérico'!$H$11),'F-Ahorro Futuro Genérico'!$H$9,0)</f>
        <v>0</v>
      </c>
      <c r="C533" s="122">
        <f t="shared" si="17"/>
        <v>0</v>
      </c>
      <c r="D533" s="121">
        <f>ROUND(C533*'FR_Mantenimiento tasas'!$C$43/360,5)</f>
        <v>0</v>
      </c>
      <c r="E533" s="121">
        <f>ROUND(C533*'FR_Mantenimiento tasas'!$D$43/360,5)</f>
        <v>0</v>
      </c>
    </row>
    <row r="534" spans="1:5">
      <c r="A534" s="123">
        <f t="shared" si="16"/>
        <v>532</v>
      </c>
      <c r="B534" s="122">
        <f>IF(DAY(A534)=DAY('F-Ahorro Futuro Genérico'!$H$11),'F-Ahorro Futuro Genérico'!$H$9,0)</f>
        <v>0</v>
      </c>
      <c r="C534" s="122">
        <f t="shared" si="17"/>
        <v>0</v>
      </c>
      <c r="D534" s="121">
        <f>ROUND(C534*'FR_Mantenimiento tasas'!$C$43/360,5)</f>
        <v>0</v>
      </c>
      <c r="E534" s="121">
        <f>ROUND(C534*'FR_Mantenimiento tasas'!$D$43/360,5)</f>
        <v>0</v>
      </c>
    </row>
    <row r="535" spans="1:5">
      <c r="A535" s="123">
        <f t="shared" si="16"/>
        <v>533</v>
      </c>
      <c r="B535" s="122">
        <f>IF(DAY(A535)=DAY('F-Ahorro Futuro Genérico'!$H$11),'F-Ahorro Futuro Genérico'!$H$9,0)</f>
        <v>0</v>
      </c>
      <c r="C535" s="122">
        <f t="shared" si="17"/>
        <v>0</v>
      </c>
      <c r="D535" s="121">
        <f>ROUND(C535*'FR_Mantenimiento tasas'!$C$43/360,5)</f>
        <v>0</v>
      </c>
      <c r="E535" s="121">
        <f>ROUND(C535*'FR_Mantenimiento tasas'!$D$43/360,5)</f>
        <v>0</v>
      </c>
    </row>
    <row r="536" spans="1:5">
      <c r="A536" s="123">
        <f t="shared" si="16"/>
        <v>534</v>
      </c>
      <c r="B536" s="122">
        <f>IF(DAY(A536)=DAY('F-Ahorro Futuro Genérico'!$H$11),'F-Ahorro Futuro Genérico'!$H$9,0)</f>
        <v>0</v>
      </c>
      <c r="C536" s="122">
        <f t="shared" si="17"/>
        <v>0</v>
      </c>
      <c r="D536" s="121">
        <f>ROUND(C536*'FR_Mantenimiento tasas'!$C$43/360,5)</f>
        <v>0</v>
      </c>
      <c r="E536" s="121">
        <f>ROUND(C536*'FR_Mantenimiento tasas'!$D$43/360,5)</f>
        <v>0</v>
      </c>
    </row>
    <row r="537" spans="1:5">
      <c r="A537" s="123">
        <f t="shared" si="16"/>
        <v>535</v>
      </c>
      <c r="B537" s="122">
        <f>IF(DAY(A537)=DAY('F-Ahorro Futuro Genérico'!$H$11),'F-Ahorro Futuro Genérico'!$H$9,0)</f>
        <v>0</v>
      </c>
      <c r="C537" s="122">
        <f t="shared" si="17"/>
        <v>0</v>
      </c>
      <c r="D537" s="121">
        <f>ROUND(C537*'FR_Mantenimiento tasas'!$C$43/360,5)</f>
        <v>0</v>
      </c>
      <c r="E537" s="121">
        <f>ROUND(C537*'FR_Mantenimiento tasas'!$D$43/360,5)</f>
        <v>0</v>
      </c>
    </row>
    <row r="538" spans="1:5">
      <c r="A538" s="123">
        <f t="shared" si="16"/>
        <v>536</v>
      </c>
      <c r="B538" s="122">
        <f>IF(DAY(A538)=DAY('F-Ahorro Futuro Genérico'!$H$11),'F-Ahorro Futuro Genérico'!$H$9,0)</f>
        <v>0</v>
      </c>
      <c r="C538" s="122">
        <f t="shared" si="17"/>
        <v>0</v>
      </c>
      <c r="D538" s="121">
        <f>ROUND(C538*'FR_Mantenimiento tasas'!$C$43/360,5)</f>
        <v>0</v>
      </c>
      <c r="E538" s="121">
        <f>ROUND(C538*'FR_Mantenimiento tasas'!$D$43/360,5)</f>
        <v>0</v>
      </c>
    </row>
    <row r="539" spans="1:5">
      <c r="A539" s="123">
        <f t="shared" si="16"/>
        <v>537</v>
      </c>
      <c r="B539" s="122">
        <f>IF(DAY(A539)=DAY('F-Ahorro Futuro Genérico'!$H$11),'F-Ahorro Futuro Genérico'!$H$9,0)</f>
        <v>0</v>
      </c>
      <c r="C539" s="122">
        <f t="shared" si="17"/>
        <v>0</v>
      </c>
      <c r="D539" s="121">
        <f>ROUND(C539*'FR_Mantenimiento tasas'!$C$43/360,5)</f>
        <v>0</v>
      </c>
      <c r="E539" s="121">
        <f>ROUND(C539*'FR_Mantenimiento tasas'!$D$43/360,5)</f>
        <v>0</v>
      </c>
    </row>
    <row r="540" spans="1:5">
      <c r="A540" s="123">
        <f t="shared" si="16"/>
        <v>538</v>
      </c>
      <c r="B540" s="122">
        <f>IF(DAY(A540)=DAY('F-Ahorro Futuro Genérico'!$H$11),'F-Ahorro Futuro Genérico'!$H$9,0)</f>
        <v>0</v>
      </c>
      <c r="C540" s="122">
        <f t="shared" si="17"/>
        <v>0</v>
      </c>
      <c r="D540" s="121">
        <f>ROUND(C540*'FR_Mantenimiento tasas'!$C$43/360,5)</f>
        <v>0</v>
      </c>
      <c r="E540" s="121">
        <f>ROUND(C540*'FR_Mantenimiento tasas'!$D$43/360,5)</f>
        <v>0</v>
      </c>
    </row>
    <row r="541" spans="1:5">
      <c r="A541" s="123">
        <f t="shared" si="16"/>
        <v>539</v>
      </c>
      <c r="B541" s="122">
        <f>IF(DAY(A541)=DAY('F-Ahorro Futuro Genérico'!$H$11),'F-Ahorro Futuro Genérico'!$H$9,0)</f>
        <v>0</v>
      </c>
      <c r="C541" s="122">
        <f t="shared" si="17"/>
        <v>0</v>
      </c>
      <c r="D541" s="121">
        <f>ROUND(C541*'FR_Mantenimiento tasas'!$C$43/360,5)</f>
        <v>0</v>
      </c>
      <c r="E541" s="121">
        <f>ROUND(C541*'FR_Mantenimiento tasas'!$D$43/360,5)</f>
        <v>0</v>
      </c>
    </row>
    <row r="542" spans="1:5">
      <c r="A542" s="123">
        <f t="shared" si="16"/>
        <v>540</v>
      </c>
      <c r="B542" s="122">
        <f>IF(DAY(A542)=DAY('F-Ahorro Futuro Genérico'!$H$11),'F-Ahorro Futuro Genérico'!$H$9,0)</f>
        <v>0</v>
      </c>
      <c r="C542" s="122">
        <f t="shared" si="17"/>
        <v>0</v>
      </c>
      <c r="D542" s="121">
        <f>ROUND(C542*'FR_Mantenimiento tasas'!$C$43/360,5)</f>
        <v>0</v>
      </c>
      <c r="E542" s="121">
        <f>ROUND(C542*'FR_Mantenimiento tasas'!$D$43/360,5)</f>
        <v>0</v>
      </c>
    </row>
    <row r="543" spans="1:5">
      <c r="A543" s="123">
        <f t="shared" si="16"/>
        <v>541</v>
      </c>
      <c r="B543" s="122">
        <f>IF(DAY(A543)=DAY('F-Ahorro Futuro Genérico'!$H$11),'F-Ahorro Futuro Genérico'!$H$9,0)</f>
        <v>0</v>
      </c>
      <c r="C543" s="122">
        <f t="shared" si="17"/>
        <v>0</v>
      </c>
      <c r="D543" s="121">
        <f>ROUND(C543*'FR_Mantenimiento tasas'!$C$43/360,5)</f>
        <v>0</v>
      </c>
      <c r="E543" s="121">
        <f>ROUND(C543*'FR_Mantenimiento tasas'!$D$43/360,5)</f>
        <v>0</v>
      </c>
    </row>
    <row r="544" spans="1:5">
      <c r="A544" s="123">
        <f t="shared" si="16"/>
        <v>542</v>
      </c>
      <c r="B544" s="122">
        <f>IF(DAY(A544)=DAY('F-Ahorro Futuro Genérico'!$H$11),'F-Ahorro Futuro Genérico'!$H$9,0)</f>
        <v>0</v>
      </c>
      <c r="C544" s="122">
        <f t="shared" si="17"/>
        <v>0</v>
      </c>
      <c r="D544" s="121">
        <f>ROUND(C544*'FR_Mantenimiento tasas'!$C$43/360,5)</f>
        <v>0</v>
      </c>
      <c r="E544" s="121">
        <f>ROUND(C544*'FR_Mantenimiento tasas'!$D$43/360,5)</f>
        <v>0</v>
      </c>
    </row>
    <row r="545" spans="1:5">
      <c r="A545" s="123">
        <f t="shared" si="16"/>
        <v>543</v>
      </c>
      <c r="B545" s="122">
        <f>IF(DAY(A545)=DAY('F-Ahorro Futuro Genérico'!$H$11),'F-Ahorro Futuro Genérico'!$H$9,0)</f>
        <v>0</v>
      </c>
      <c r="C545" s="122">
        <f t="shared" si="17"/>
        <v>0</v>
      </c>
      <c r="D545" s="121">
        <f>ROUND(C545*'FR_Mantenimiento tasas'!$C$43/360,5)</f>
        <v>0</v>
      </c>
      <c r="E545" s="121">
        <f>ROUND(C545*'FR_Mantenimiento tasas'!$D$43/360,5)</f>
        <v>0</v>
      </c>
    </row>
    <row r="546" spans="1:5">
      <c r="A546" s="123">
        <f t="shared" si="16"/>
        <v>544</v>
      </c>
      <c r="B546" s="122">
        <f>IF(DAY(A546)=DAY('F-Ahorro Futuro Genérico'!$H$11),'F-Ahorro Futuro Genérico'!$H$9,0)</f>
        <v>0</v>
      </c>
      <c r="C546" s="122">
        <f t="shared" si="17"/>
        <v>0</v>
      </c>
      <c r="D546" s="121">
        <f>ROUND(C546*'FR_Mantenimiento tasas'!$C$43/360,5)</f>
        <v>0</v>
      </c>
      <c r="E546" s="121">
        <f>ROUND(C546*'FR_Mantenimiento tasas'!$D$43/360,5)</f>
        <v>0</v>
      </c>
    </row>
    <row r="547" spans="1:5">
      <c r="A547" s="123">
        <f t="shared" si="16"/>
        <v>545</v>
      </c>
      <c r="B547" s="122">
        <f>IF(DAY(A547)=DAY('F-Ahorro Futuro Genérico'!$H$11),'F-Ahorro Futuro Genérico'!$H$9,0)</f>
        <v>0</v>
      </c>
      <c r="C547" s="122">
        <f t="shared" si="17"/>
        <v>0</v>
      </c>
      <c r="D547" s="121">
        <f>ROUND(C547*'FR_Mantenimiento tasas'!$C$43/360,5)</f>
        <v>0</v>
      </c>
      <c r="E547" s="121">
        <f>ROUND(C547*'FR_Mantenimiento tasas'!$D$43/360,5)</f>
        <v>0</v>
      </c>
    </row>
    <row r="548" spans="1:5">
      <c r="A548" s="123">
        <f t="shared" si="16"/>
        <v>546</v>
      </c>
      <c r="B548" s="122">
        <f>IF(DAY(A548)=DAY('F-Ahorro Futuro Genérico'!$H$11),'F-Ahorro Futuro Genérico'!$H$9,0)</f>
        <v>0</v>
      </c>
      <c r="C548" s="122">
        <f t="shared" si="17"/>
        <v>0</v>
      </c>
      <c r="D548" s="121">
        <f>ROUND(C548*'FR_Mantenimiento tasas'!$C$43/360,5)</f>
        <v>0</v>
      </c>
      <c r="E548" s="121">
        <f>ROUND(C548*'FR_Mantenimiento tasas'!$D$43/360,5)</f>
        <v>0</v>
      </c>
    </row>
    <row r="549" spans="1:5">
      <c r="A549" s="123">
        <f t="shared" si="16"/>
        <v>547</v>
      </c>
      <c r="B549" s="122">
        <f>IF(DAY(A549)=DAY('F-Ahorro Futuro Genérico'!$H$11),'F-Ahorro Futuro Genérico'!$H$9,0)</f>
        <v>0</v>
      </c>
      <c r="C549" s="122">
        <f t="shared" si="17"/>
        <v>0</v>
      </c>
      <c r="D549" s="121">
        <f>ROUND(C549*'FR_Mantenimiento tasas'!$C$43/360,5)</f>
        <v>0</v>
      </c>
      <c r="E549" s="121">
        <f>ROUND(C549*'FR_Mantenimiento tasas'!$D$43/360,5)</f>
        <v>0</v>
      </c>
    </row>
    <row r="550" spans="1:5">
      <c r="A550" s="123">
        <f t="shared" si="16"/>
        <v>548</v>
      </c>
      <c r="B550" s="122">
        <f>IF(DAY(A550)=DAY('F-Ahorro Futuro Genérico'!$H$11),'F-Ahorro Futuro Genérico'!$H$9,0)</f>
        <v>0</v>
      </c>
      <c r="C550" s="122">
        <f t="shared" si="17"/>
        <v>0</v>
      </c>
      <c r="D550" s="121">
        <f>ROUND(C550*'FR_Mantenimiento tasas'!$C$43/360,5)</f>
        <v>0</v>
      </c>
      <c r="E550" s="121">
        <f>ROUND(C550*'FR_Mantenimiento tasas'!$D$43/360,5)</f>
        <v>0</v>
      </c>
    </row>
    <row r="551" spans="1:5">
      <c r="A551" s="123">
        <f t="shared" si="16"/>
        <v>549</v>
      </c>
      <c r="B551" s="122">
        <f>IF(DAY(A551)=DAY('F-Ahorro Futuro Genérico'!$H$11),'F-Ahorro Futuro Genérico'!$H$9,0)</f>
        <v>0</v>
      </c>
      <c r="C551" s="122">
        <f t="shared" si="17"/>
        <v>0</v>
      </c>
      <c r="D551" s="121">
        <f>ROUND(C551*'FR_Mantenimiento tasas'!$C$43/360,5)</f>
        <v>0</v>
      </c>
      <c r="E551" s="121">
        <f>ROUND(C551*'FR_Mantenimiento tasas'!$D$43/360,5)</f>
        <v>0</v>
      </c>
    </row>
    <row r="552" spans="1:5">
      <c r="A552" s="123">
        <f t="shared" si="16"/>
        <v>550</v>
      </c>
      <c r="B552" s="122">
        <f>IF(DAY(A552)=DAY('F-Ahorro Futuro Genérico'!$H$11),'F-Ahorro Futuro Genérico'!$H$9,0)</f>
        <v>0</v>
      </c>
      <c r="C552" s="122">
        <f t="shared" si="17"/>
        <v>0</v>
      </c>
      <c r="D552" s="121">
        <f>ROUND(C552*'FR_Mantenimiento tasas'!$C$43/360,5)</f>
        <v>0</v>
      </c>
      <c r="E552" s="121">
        <f>ROUND(C552*'FR_Mantenimiento tasas'!$D$43/360,5)</f>
        <v>0</v>
      </c>
    </row>
    <row r="553" spans="1:5">
      <c r="A553" s="123">
        <f t="shared" si="16"/>
        <v>551</v>
      </c>
      <c r="B553" s="122">
        <f>IF(DAY(A553)=DAY('F-Ahorro Futuro Genérico'!$H$11),'F-Ahorro Futuro Genérico'!$H$9,0)</f>
        <v>0</v>
      </c>
      <c r="C553" s="122">
        <f t="shared" si="17"/>
        <v>0</v>
      </c>
      <c r="D553" s="121">
        <f>ROUND(C553*'FR_Mantenimiento tasas'!$C$43/360,5)</f>
        <v>0</v>
      </c>
      <c r="E553" s="121">
        <f>ROUND(C553*'FR_Mantenimiento tasas'!$D$43/360,5)</f>
        <v>0</v>
      </c>
    </row>
    <row r="554" spans="1:5">
      <c r="A554" s="123">
        <f t="shared" si="16"/>
        <v>552</v>
      </c>
      <c r="B554" s="122">
        <f>IF(DAY(A554)=DAY('F-Ahorro Futuro Genérico'!$H$11),'F-Ahorro Futuro Genérico'!$H$9,0)</f>
        <v>0</v>
      </c>
      <c r="C554" s="122">
        <f t="shared" si="17"/>
        <v>0</v>
      </c>
      <c r="D554" s="121">
        <f>ROUND(C554*'FR_Mantenimiento tasas'!$C$43/360,5)</f>
        <v>0</v>
      </c>
      <c r="E554" s="121">
        <f>ROUND(C554*'FR_Mantenimiento tasas'!$D$43/360,5)</f>
        <v>0</v>
      </c>
    </row>
    <row r="555" spans="1:5">
      <c r="A555" s="123">
        <f t="shared" si="16"/>
        <v>553</v>
      </c>
      <c r="B555" s="122">
        <f>IF(DAY(A555)=DAY('F-Ahorro Futuro Genérico'!$H$11),'F-Ahorro Futuro Genérico'!$H$9,0)</f>
        <v>0</v>
      </c>
      <c r="C555" s="122">
        <f t="shared" si="17"/>
        <v>0</v>
      </c>
      <c r="D555" s="121">
        <f>ROUND(C555*'FR_Mantenimiento tasas'!$C$43/360,5)</f>
        <v>0</v>
      </c>
      <c r="E555" s="121">
        <f>ROUND(C555*'FR_Mantenimiento tasas'!$D$43/360,5)</f>
        <v>0</v>
      </c>
    </row>
    <row r="556" spans="1:5">
      <c r="A556" s="123">
        <f t="shared" si="16"/>
        <v>554</v>
      </c>
      <c r="B556" s="122">
        <f>IF(DAY(A556)=DAY('F-Ahorro Futuro Genérico'!$H$11),'F-Ahorro Futuro Genérico'!$H$9,0)</f>
        <v>0</v>
      </c>
      <c r="C556" s="122">
        <f t="shared" si="17"/>
        <v>0</v>
      </c>
      <c r="D556" s="121">
        <f>ROUND(C556*'FR_Mantenimiento tasas'!$C$43/360,5)</f>
        <v>0</v>
      </c>
      <c r="E556" s="121">
        <f>ROUND(C556*'FR_Mantenimiento tasas'!$D$43/360,5)</f>
        <v>0</v>
      </c>
    </row>
    <row r="557" spans="1:5">
      <c r="A557" s="123">
        <f t="shared" si="16"/>
        <v>555</v>
      </c>
      <c r="B557" s="122">
        <f>IF(DAY(A557)=DAY('F-Ahorro Futuro Genérico'!$H$11),'F-Ahorro Futuro Genérico'!$H$9,0)</f>
        <v>0</v>
      </c>
      <c r="C557" s="122">
        <f t="shared" si="17"/>
        <v>0</v>
      </c>
      <c r="D557" s="121">
        <f>ROUND(C557*'FR_Mantenimiento tasas'!$C$43/360,5)</f>
        <v>0</v>
      </c>
      <c r="E557" s="121">
        <f>ROUND(C557*'FR_Mantenimiento tasas'!$D$43/360,5)</f>
        <v>0</v>
      </c>
    </row>
    <row r="558" spans="1:5">
      <c r="A558" s="123">
        <f t="shared" si="16"/>
        <v>556</v>
      </c>
      <c r="B558" s="122">
        <f>IF(DAY(A558)=DAY('F-Ahorro Futuro Genérico'!$H$11),'F-Ahorro Futuro Genérico'!$H$9,0)</f>
        <v>0</v>
      </c>
      <c r="C558" s="122">
        <f t="shared" si="17"/>
        <v>0</v>
      </c>
      <c r="D558" s="121">
        <f>ROUND(C558*'FR_Mantenimiento tasas'!$C$43/360,5)</f>
        <v>0</v>
      </c>
      <c r="E558" s="121">
        <f>ROUND(C558*'FR_Mantenimiento tasas'!$D$43/360,5)</f>
        <v>0</v>
      </c>
    </row>
    <row r="559" spans="1:5">
      <c r="A559" s="123">
        <f t="shared" si="16"/>
        <v>557</v>
      </c>
      <c r="B559" s="122">
        <f>IF(DAY(A559)=DAY('F-Ahorro Futuro Genérico'!$H$11),'F-Ahorro Futuro Genérico'!$H$9,0)</f>
        <v>0</v>
      </c>
      <c r="C559" s="122">
        <f t="shared" si="17"/>
        <v>0</v>
      </c>
      <c r="D559" s="121">
        <f>ROUND(C559*'FR_Mantenimiento tasas'!$C$43/360,5)</f>
        <v>0</v>
      </c>
      <c r="E559" s="121">
        <f>ROUND(C559*'FR_Mantenimiento tasas'!$D$43/360,5)</f>
        <v>0</v>
      </c>
    </row>
    <row r="560" spans="1:5">
      <c r="A560" s="123">
        <f t="shared" si="16"/>
        <v>558</v>
      </c>
      <c r="B560" s="122">
        <f>IF(DAY(A560)=DAY('F-Ahorro Futuro Genérico'!$H$11),'F-Ahorro Futuro Genérico'!$H$9,0)</f>
        <v>0</v>
      </c>
      <c r="C560" s="122">
        <f t="shared" si="17"/>
        <v>0</v>
      </c>
      <c r="D560" s="121">
        <f>ROUND(C560*'FR_Mantenimiento tasas'!$C$43/360,5)</f>
        <v>0</v>
      </c>
      <c r="E560" s="121">
        <f>ROUND(C560*'FR_Mantenimiento tasas'!$D$43/360,5)</f>
        <v>0</v>
      </c>
    </row>
    <row r="561" spans="1:5">
      <c r="A561" s="123">
        <f t="shared" si="16"/>
        <v>559</v>
      </c>
      <c r="B561" s="122">
        <f>IF(DAY(A561)=DAY('F-Ahorro Futuro Genérico'!$H$11),'F-Ahorro Futuro Genérico'!$H$9,0)</f>
        <v>0</v>
      </c>
      <c r="C561" s="122">
        <f t="shared" si="17"/>
        <v>0</v>
      </c>
      <c r="D561" s="121">
        <f>ROUND(C561*'FR_Mantenimiento tasas'!$C$43/360,5)</f>
        <v>0</v>
      </c>
      <c r="E561" s="121">
        <f>ROUND(C561*'FR_Mantenimiento tasas'!$D$43/360,5)</f>
        <v>0</v>
      </c>
    </row>
    <row r="562" spans="1:5">
      <c r="A562" s="123">
        <f t="shared" si="16"/>
        <v>560</v>
      </c>
      <c r="B562" s="122">
        <f>IF(DAY(A562)=DAY('F-Ahorro Futuro Genérico'!$H$11),'F-Ahorro Futuro Genérico'!$H$9,0)</f>
        <v>0</v>
      </c>
      <c r="C562" s="122">
        <f t="shared" si="17"/>
        <v>0</v>
      </c>
      <c r="D562" s="121">
        <f>ROUND(C562*'FR_Mantenimiento tasas'!$C$43/360,5)</f>
        <v>0</v>
      </c>
      <c r="E562" s="121">
        <f>ROUND(C562*'FR_Mantenimiento tasas'!$D$43/360,5)</f>
        <v>0</v>
      </c>
    </row>
    <row r="563" spans="1:5">
      <c r="A563" s="123">
        <f t="shared" si="16"/>
        <v>561</v>
      </c>
      <c r="B563" s="122">
        <f>IF(DAY(A563)=DAY('F-Ahorro Futuro Genérico'!$H$11),'F-Ahorro Futuro Genérico'!$H$9,0)</f>
        <v>0</v>
      </c>
      <c r="C563" s="122">
        <f t="shared" si="17"/>
        <v>0</v>
      </c>
      <c r="D563" s="121">
        <f>ROUND(C563*'FR_Mantenimiento tasas'!$C$43/360,5)</f>
        <v>0</v>
      </c>
      <c r="E563" s="121">
        <f>ROUND(C563*'FR_Mantenimiento tasas'!$D$43/360,5)</f>
        <v>0</v>
      </c>
    </row>
    <row r="564" spans="1:5">
      <c r="A564" s="123">
        <f t="shared" si="16"/>
        <v>562</v>
      </c>
      <c r="B564" s="122">
        <f>IF(DAY(A564)=DAY('F-Ahorro Futuro Genérico'!$H$11),'F-Ahorro Futuro Genérico'!$H$9,0)</f>
        <v>0</v>
      </c>
      <c r="C564" s="122">
        <f t="shared" si="17"/>
        <v>0</v>
      </c>
      <c r="D564" s="121">
        <f>ROUND(C564*'FR_Mantenimiento tasas'!$C$43/360,5)</f>
        <v>0</v>
      </c>
      <c r="E564" s="121">
        <f>ROUND(C564*'FR_Mantenimiento tasas'!$D$43/360,5)</f>
        <v>0</v>
      </c>
    </row>
    <row r="565" spans="1:5">
      <c r="A565" s="123">
        <f t="shared" si="16"/>
        <v>563</v>
      </c>
      <c r="B565" s="122">
        <f>IF(DAY(A565)=DAY('F-Ahorro Futuro Genérico'!$H$11),'F-Ahorro Futuro Genérico'!$H$9,0)</f>
        <v>0</v>
      </c>
      <c r="C565" s="122">
        <f t="shared" si="17"/>
        <v>0</v>
      </c>
      <c r="D565" s="121">
        <f>ROUND(C565*'FR_Mantenimiento tasas'!$C$43/360,5)</f>
        <v>0</v>
      </c>
      <c r="E565" s="121">
        <f>ROUND(C565*'FR_Mantenimiento tasas'!$D$43/360,5)</f>
        <v>0</v>
      </c>
    </row>
    <row r="566" spans="1:5">
      <c r="A566" s="123">
        <f t="shared" si="16"/>
        <v>564</v>
      </c>
      <c r="B566" s="122">
        <f>IF(DAY(A566)=DAY('F-Ahorro Futuro Genérico'!$H$11),'F-Ahorro Futuro Genérico'!$H$9,0)</f>
        <v>0</v>
      </c>
      <c r="C566" s="122">
        <f t="shared" si="17"/>
        <v>0</v>
      </c>
      <c r="D566" s="121">
        <f>ROUND(C566*'FR_Mantenimiento tasas'!$C$43/360,5)</f>
        <v>0</v>
      </c>
      <c r="E566" s="121">
        <f>ROUND(C566*'FR_Mantenimiento tasas'!$D$43/360,5)</f>
        <v>0</v>
      </c>
    </row>
    <row r="567" spans="1:5">
      <c r="A567" s="123">
        <f t="shared" si="16"/>
        <v>565</v>
      </c>
      <c r="B567" s="122">
        <f>IF(DAY(A567)=DAY('F-Ahorro Futuro Genérico'!$H$11),'F-Ahorro Futuro Genérico'!$H$9,0)</f>
        <v>0</v>
      </c>
      <c r="C567" s="122">
        <f t="shared" si="17"/>
        <v>0</v>
      </c>
      <c r="D567" s="121">
        <f>ROUND(C567*'FR_Mantenimiento tasas'!$C$43/360,5)</f>
        <v>0</v>
      </c>
      <c r="E567" s="121">
        <f>ROUND(C567*'FR_Mantenimiento tasas'!$D$43/360,5)</f>
        <v>0</v>
      </c>
    </row>
    <row r="568" spans="1:5">
      <c r="A568" s="123">
        <f t="shared" si="16"/>
        <v>566</v>
      </c>
      <c r="B568" s="122">
        <f>IF(DAY(A568)=DAY('F-Ahorro Futuro Genérico'!$H$11),'F-Ahorro Futuro Genérico'!$H$9,0)</f>
        <v>0</v>
      </c>
      <c r="C568" s="122">
        <f t="shared" si="17"/>
        <v>0</v>
      </c>
      <c r="D568" s="121">
        <f>ROUND(C568*'FR_Mantenimiento tasas'!$C$43/360,5)</f>
        <v>0</v>
      </c>
      <c r="E568" s="121">
        <f>ROUND(C568*'FR_Mantenimiento tasas'!$D$43/360,5)</f>
        <v>0</v>
      </c>
    </row>
    <row r="569" spans="1:5">
      <c r="A569" s="123">
        <f t="shared" si="16"/>
        <v>567</v>
      </c>
      <c r="B569" s="122">
        <f>IF(DAY(A569)=DAY('F-Ahorro Futuro Genérico'!$H$11),'F-Ahorro Futuro Genérico'!$H$9,0)</f>
        <v>0</v>
      </c>
      <c r="C569" s="122">
        <f t="shared" si="17"/>
        <v>0</v>
      </c>
      <c r="D569" s="121">
        <f>ROUND(C569*'FR_Mantenimiento tasas'!$C$43/360,5)</f>
        <v>0</v>
      </c>
      <c r="E569" s="121">
        <f>ROUND(C569*'FR_Mantenimiento tasas'!$D$43/360,5)</f>
        <v>0</v>
      </c>
    </row>
    <row r="570" spans="1:5">
      <c r="A570" s="123">
        <f t="shared" si="16"/>
        <v>568</v>
      </c>
      <c r="B570" s="122">
        <f>IF(DAY(A570)=DAY('F-Ahorro Futuro Genérico'!$H$11),'F-Ahorro Futuro Genérico'!$H$9,0)</f>
        <v>0</v>
      </c>
      <c r="C570" s="122">
        <f t="shared" si="17"/>
        <v>0</v>
      </c>
      <c r="D570" s="121">
        <f>ROUND(C570*'FR_Mantenimiento tasas'!$C$43/360,5)</f>
        <v>0</v>
      </c>
      <c r="E570" s="121">
        <f>ROUND(C570*'FR_Mantenimiento tasas'!$D$43/360,5)</f>
        <v>0</v>
      </c>
    </row>
    <row r="571" spans="1:5">
      <c r="A571" s="123">
        <f t="shared" si="16"/>
        <v>569</v>
      </c>
      <c r="B571" s="122">
        <f>IF(DAY(A571)=DAY('F-Ahorro Futuro Genérico'!$H$11),'F-Ahorro Futuro Genérico'!$H$9,0)</f>
        <v>0</v>
      </c>
      <c r="C571" s="122">
        <f t="shared" si="17"/>
        <v>0</v>
      </c>
      <c r="D571" s="121">
        <f>ROUND(C571*'FR_Mantenimiento tasas'!$C$43/360,5)</f>
        <v>0</v>
      </c>
      <c r="E571" s="121">
        <f>ROUND(C571*'FR_Mantenimiento tasas'!$D$43/360,5)</f>
        <v>0</v>
      </c>
    </row>
    <row r="572" spans="1:5">
      <c r="A572" s="123">
        <f t="shared" si="16"/>
        <v>570</v>
      </c>
      <c r="B572" s="122">
        <f>IF(DAY(A572)=DAY('F-Ahorro Futuro Genérico'!$H$11),'F-Ahorro Futuro Genérico'!$H$9,0)</f>
        <v>0</v>
      </c>
      <c r="C572" s="122">
        <f t="shared" si="17"/>
        <v>0</v>
      </c>
      <c r="D572" s="121">
        <f>ROUND(C572*'FR_Mantenimiento tasas'!$C$43/360,5)</f>
        <v>0</v>
      </c>
      <c r="E572" s="121">
        <f>ROUND(C572*'FR_Mantenimiento tasas'!$D$43/360,5)</f>
        <v>0</v>
      </c>
    </row>
    <row r="573" spans="1:5">
      <c r="A573" s="123">
        <f t="shared" si="16"/>
        <v>571</v>
      </c>
      <c r="B573" s="122">
        <f>IF(DAY(A573)=DAY('F-Ahorro Futuro Genérico'!$H$11),'F-Ahorro Futuro Genérico'!$H$9,0)</f>
        <v>0</v>
      </c>
      <c r="C573" s="122">
        <f t="shared" si="17"/>
        <v>0</v>
      </c>
      <c r="D573" s="121">
        <f>ROUND(C573*'FR_Mantenimiento tasas'!$C$43/360,5)</f>
        <v>0</v>
      </c>
      <c r="E573" s="121">
        <f>ROUND(C573*'FR_Mantenimiento tasas'!$D$43/360,5)</f>
        <v>0</v>
      </c>
    </row>
    <row r="574" spans="1:5">
      <c r="A574" s="123">
        <f t="shared" si="16"/>
        <v>572</v>
      </c>
      <c r="B574" s="122">
        <f>IF(DAY(A574)=DAY('F-Ahorro Futuro Genérico'!$H$11),'F-Ahorro Futuro Genérico'!$H$9,0)</f>
        <v>0</v>
      </c>
      <c r="C574" s="122">
        <f t="shared" si="17"/>
        <v>0</v>
      </c>
      <c r="D574" s="121">
        <f>ROUND(C574*'FR_Mantenimiento tasas'!$C$43/360,5)</f>
        <v>0</v>
      </c>
      <c r="E574" s="121">
        <f>ROUND(C574*'FR_Mantenimiento tasas'!$D$43/360,5)</f>
        <v>0</v>
      </c>
    </row>
    <row r="575" spans="1:5">
      <c r="A575" s="123">
        <f t="shared" si="16"/>
        <v>573</v>
      </c>
      <c r="B575" s="122">
        <f>IF(DAY(A575)=DAY('F-Ahorro Futuro Genérico'!$H$11),'F-Ahorro Futuro Genérico'!$H$9,0)</f>
        <v>0</v>
      </c>
      <c r="C575" s="122">
        <f t="shared" si="17"/>
        <v>0</v>
      </c>
      <c r="D575" s="121">
        <f>ROUND(C575*'FR_Mantenimiento tasas'!$C$43/360,5)</f>
        <v>0</v>
      </c>
      <c r="E575" s="121">
        <f>ROUND(C575*'FR_Mantenimiento tasas'!$D$43/360,5)</f>
        <v>0</v>
      </c>
    </row>
    <row r="576" spans="1:5">
      <c r="A576" s="123">
        <f t="shared" si="16"/>
        <v>574</v>
      </c>
      <c r="B576" s="122">
        <f>IF(DAY(A576)=DAY('F-Ahorro Futuro Genérico'!$H$11),'F-Ahorro Futuro Genérico'!$H$9,0)</f>
        <v>0</v>
      </c>
      <c r="C576" s="122">
        <f t="shared" si="17"/>
        <v>0</v>
      </c>
      <c r="D576" s="121">
        <f>ROUND(C576*'FR_Mantenimiento tasas'!$C$43/360,5)</f>
        <v>0</v>
      </c>
      <c r="E576" s="121">
        <f>ROUND(C576*'FR_Mantenimiento tasas'!$D$43/360,5)</f>
        <v>0</v>
      </c>
    </row>
    <row r="577" spans="1:5">
      <c r="A577" s="123">
        <f t="shared" si="16"/>
        <v>575</v>
      </c>
      <c r="B577" s="122">
        <f>IF(DAY(A577)=DAY('F-Ahorro Futuro Genérico'!$H$11),'F-Ahorro Futuro Genérico'!$H$9,0)</f>
        <v>0</v>
      </c>
      <c r="C577" s="122">
        <f t="shared" si="17"/>
        <v>0</v>
      </c>
      <c r="D577" s="121">
        <f>ROUND(C577*'FR_Mantenimiento tasas'!$C$43/360,5)</f>
        <v>0</v>
      </c>
      <c r="E577" s="121">
        <f>ROUND(C577*'FR_Mantenimiento tasas'!$D$43/360,5)</f>
        <v>0</v>
      </c>
    </row>
    <row r="578" spans="1:5">
      <c r="A578" s="123">
        <f t="shared" si="16"/>
        <v>576</v>
      </c>
      <c r="B578" s="122">
        <f>IF(DAY(A578)=DAY('F-Ahorro Futuro Genérico'!$H$11),'F-Ahorro Futuro Genérico'!$H$9,0)</f>
        <v>0</v>
      </c>
      <c r="C578" s="122">
        <f t="shared" si="17"/>
        <v>0</v>
      </c>
      <c r="D578" s="121">
        <f>ROUND(C578*'FR_Mantenimiento tasas'!$C$43/360,5)</f>
        <v>0</v>
      </c>
      <c r="E578" s="121">
        <f>ROUND(C578*'FR_Mantenimiento tasas'!$D$43/360,5)</f>
        <v>0</v>
      </c>
    </row>
    <row r="579" spans="1:5">
      <c r="A579" s="123">
        <f t="shared" si="16"/>
        <v>577</v>
      </c>
      <c r="B579" s="122">
        <f>IF(DAY(A579)=DAY('F-Ahorro Futuro Genérico'!$H$11),'F-Ahorro Futuro Genérico'!$H$9,0)</f>
        <v>0</v>
      </c>
      <c r="C579" s="122">
        <f t="shared" si="17"/>
        <v>0</v>
      </c>
      <c r="D579" s="121">
        <f>ROUND(C579*'FR_Mantenimiento tasas'!$C$43/360,5)</f>
        <v>0</v>
      </c>
      <c r="E579" s="121">
        <f>ROUND(C579*'FR_Mantenimiento tasas'!$D$43/360,5)</f>
        <v>0</v>
      </c>
    </row>
    <row r="580" spans="1:5">
      <c r="A580" s="123">
        <f t="shared" ref="A580:A643" si="18">+A579+1</f>
        <v>578</v>
      </c>
      <c r="B580" s="122">
        <f>IF(DAY(A580)=DAY('F-Ahorro Futuro Genérico'!$H$11),'F-Ahorro Futuro Genérico'!$H$9,0)</f>
        <v>0</v>
      </c>
      <c r="C580" s="122">
        <f t="shared" ref="C580:C643" si="19">+B580+C579+D579</f>
        <v>0</v>
      </c>
      <c r="D580" s="121">
        <f>ROUND(C580*'FR_Mantenimiento tasas'!$C$43/360,5)</f>
        <v>0</v>
      </c>
      <c r="E580" s="121">
        <f>ROUND(C580*'FR_Mantenimiento tasas'!$D$43/360,5)</f>
        <v>0</v>
      </c>
    </row>
    <row r="581" spans="1:5">
      <c r="A581" s="123">
        <f t="shared" si="18"/>
        <v>579</v>
      </c>
      <c r="B581" s="122">
        <f>IF(DAY(A581)=DAY('F-Ahorro Futuro Genérico'!$H$11),'F-Ahorro Futuro Genérico'!$H$9,0)</f>
        <v>0</v>
      </c>
      <c r="C581" s="122">
        <f t="shared" si="19"/>
        <v>0</v>
      </c>
      <c r="D581" s="121">
        <f>ROUND(C581*'FR_Mantenimiento tasas'!$C$43/360,5)</f>
        <v>0</v>
      </c>
      <c r="E581" s="121">
        <f>ROUND(C581*'FR_Mantenimiento tasas'!$D$43/360,5)</f>
        <v>0</v>
      </c>
    </row>
    <row r="582" spans="1:5">
      <c r="A582" s="123">
        <f t="shared" si="18"/>
        <v>580</v>
      </c>
      <c r="B582" s="122">
        <f>IF(DAY(A582)=DAY('F-Ahorro Futuro Genérico'!$H$11),'F-Ahorro Futuro Genérico'!$H$9,0)</f>
        <v>0</v>
      </c>
      <c r="C582" s="122">
        <f t="shared" si="19"/>
        <v>0</v>
      </c>
      <c r="D582" s="121">
        <f>ROUND(C582*'FR_Mantenimiento tasas'!$C$43/360,5)</f>
        <v>0</v>
      </c>
      <c r="E582" s="121">
        <f>ROUND(C582*'FR_Mantenimiento tasas'!$D$43/360,5)</f>
        <v>0</v>
      </c>
    </row>
    <row r="583" spans="1:5">
      <c r="A583" s="123">
        <f t="shared" si="18"/>
        <v>581</v>
      </c>
      <c r="B583" s="122">
        <f>IF(DAY(A583)=DAY('F-Ahorro Futuro Genérico'!$H$11),'F-Ahorro Futuro Genérico'!$H$9,0)</f>
        <v>0</v>
      </c>
      <c r="C583" s="122">
        <f t="shared" si="19"/>
        <v>0</v>
      </c>
      <c r="D583" s="121">
        <f>ROUND(C583*'FR_Mantenimiento tasas'!$C$43/360,5)</f>
        <v>0</v>
      </c>
      <c r="E583" s="121">
        <f>ROUND(C583*'FR_Mantenimiento tasas'!$D$43/360,5)</f>
        <v>0</v>
      </c>
    </row>
    <row r="584" spans="1:5">
      <c r="A584" s="123">
        <f t="shared" si="18"/>
        <v>582</v>
      </c>
      <c r="B584" s="122">
        <f>IF(DAY(A584)=DAY('F-Ahorro Futuro Genérico'!$H$11),'F-Ahorro Futuro Genérico'!$H$9,0)</f>
        <v>0</v>
      </c>
      <c r="C584" s="122">
        <f t="shared" si="19"/>
        <v>0</v>
      </c>
      <c r="D584" s="121">
        <f>ROUND(C584*'FR_Mantenimiento tasas'!$C$43/360,5)</f>
        <v>0</v>
      </c>
      <c r="E584" s="121">
        <f>ROUND(C584*'FR_Mantenimiento tasas'!$D$43/360,5)</f>
        <v>0</v>
      </c>
    </row>
    <row r="585" spans="1:5">
      <c r="A585" s="123">
        <f t="shared" si="18"/>
        <v>583</v>
      </c>
      <c r="B585" s="122">
        <f>IF(DAY(A585)=DAY('F-Ahorro Futuro Genérico'!$H$11),'F-Ahorro Futuro Genérico'!$H$9,0)</f>
        <v>0</v>
      </c>
      <c r="C585" s="122">
        <f t="shared" si="19"/>
        <v>0</v>
      </c>
      <c r="D585" s="121">
        <f>ROUND(C585*'FR_Mantenimiento tasas'!$C$43/360,5)</f>
        <v>0</v>
      </c>
      <c r="E585" s="121">
        <f>ROUND(C585*'FR_Mantenimiento tasas'!$D$43/360,5)</f>
        <v>0</v>
      </c>
    </row>
    <row r="586" spans="1:5">
      <c r="A586" s="123">
        <f t="shared" si="18"/>
        <v>584</v>
      </c>
      <c r="B586" s="122">
        <f>IF(DAY(A586)=DAY('F-Ahorro Futuro Genérico'!$H$11),'F-Ahorro Futuro Genérico'!$H$9,0)</f>
        <v>0</v>
      </c>
      <c r="C586" s="122">
        <f t="shared" si="19"/>
        <v>0</v>
      </c>
      <c r="D586" s="121">
        <f>ROUND(C586*'FR_Mantenimiento tasas'!$C$43/360,5)</f>
        <v>0</v>
      </c>
      <c r="E586" s="121">
        <f>ROUND(C586*'FR_Mantenimiento tasas'!$D$43/360,5)</f>
        <v>0</v>
      </c>
    </row>
    <row r="587" spans="1:5">
      <c r="A587" s="123">
        <f t="shared" si="18"/>
        <v>585</v>
      </c>
      <c r="B587" s="122">
        <f>IF(DAY(A587)=DAY('F-Ahorro Futuro Genérico'!$H$11),'F-Ahorro Futuro Genérico'!$H$9,0)</f>
        <v>0</v>
      </c>
      <c r="C587" s="122">
        <f t="shared" si="19"/>
        <v>0</v>
      </c>
      <c r="D587" s="121">
        <f>ROUND(C587*'FR_Mantenimiento tasas'!$C$43/360,5)</f>
        <v>0</v>
      </c>
      <c r="E587" s="121">
        <f>ROUND(C587*'FR_Mantenimiento tasas'!$D$43/360,5)</f>
        <v>0</v>
      </c>
    </row>
    <row r="588" spans="1:5">
      <c r="A588" s="123">
        <f t="shared" si="18"/>
        <v>586</v>
      </c>
      <c r="B588" s="122">
        <f>IF(DAY(A588)=DAY('F-Ahorro Futuro Genérico'!$H$11),'F-Ahorro Futuro Genérico'!$H$9,0)</f>
        <v>0</v>
      </c>
      <c r="C588" s="122">
        <f t="shared" si="19"/>
        <v>0</v>
      </c>
      <c r="D588" s="121">
        <f>ROUND(C588*'FR_Mantenimiento tasas'!$C$43/360,5)</f>
        <v>0</v>
      </c>
      <c r="E588" s="121">
        <f>ROUND(C588*'FR_Mantenimiento tasas'!$D$43/360,5)</f>
        <v>0</v>
      </c>
    </row>
    <row r="589" spans="1:5">
      <c r="A589" s="123">
        <f t="shared" si="18"/>
        <v>587</v>
      </c>
      <c r="B589" s="122">
        <f>IF(DAY(A589)=DAY('F-Ahorro Futuro Genérico'!$H$11),'F-Ahorro Futuro Genérico'!$H$9,0)</f>
        <v>0</v>
      </c>
      <c r="C589" s="122">
        <f t="shared" si="19"/>
        <v>0</v>
      </c>
      <c r="D589" s="121">
        <f>ROUND(C589*'FR_Mantenimiento tasas'!$C$43/360,5)</f>
        <v>0</v>
      </c>
      <c r="E589" s="121">
        <f>ROUND(C589*'FR_Mantenimiento tasas'!$D$43/360,5)</f>
        <v>0</v>
      </c>
    </row>
    <row r="590" spans="1:5">
      <c r="A590" s="123">
        <f t="shared" si="18"/>
        <v>588</v>
      </c>
      <c r="B590" s="122">
        <f>IF(DAY(A590)=DAY('F-Ahorro Futuro Genérico'!$H$11),'F-Ahorro Futuro Genérico'!$H$9,0)</f>
        <v>0</v>
      </c>
      <c r="C590" s="122">
        <f t="shared" si="19"/>
        <v>0</v>
      </c>
      <c r="D590" s="121">
        <f>ROUND(C590*'FR_Mantenimiento tasas'!$C$43/360,5)</f>
        <v>0</v>
      </c>
      <c r="E590" s="121">
        <f>ROUND(C590*'FR_Mantenimiento tasas'!$D$43/360,5)</f>
        <v>0</v>
      </c>
    </row>
    <row r="591" spans="1:5">
      <c r="A591" s="123">
        <f t="shared" si="18"/>
        <v>589</v>
      </c>
      <c r="B591" s="122">
        <f>IF(DAY(A591)=DAY('F-Ahorro Futuro Genérico'!$H$11),'F-Ahorro Futuro Genérico'!$H$9,0)</f>
        <v>0</v>
      </c>
      <c r="C591" s="122">
        <f t="shared" si="19"/>
        <v>0</v>
      </c>
      <c r="D591" s="121">
        <f>ROUND(C591*'FR_Mantenimiento tasas'!$C$43/360,5)</f>
        <v>0</v>
      </c>
      <c r="E591" s="121">
        <f>ROUND(C591*'FR_Mantenimiento tasas'!$D$43/360,5)</f>
        <v>0</v>
      </c>
    </row>
    <row r="592" spans="1:5">
      <c r="A592" s="123">
        <f t="shared" si="18"/>
        <v>590</v>
      </c>
      <c r="B592" s="122">
        <f>IF(DAY(A592)=DAY('F-Ahorro Futuro Genérico'!$H$11),'F-Ahorro Futuro Genérico'!$H$9,0)</f>
        <v>0</v>
      </c>
      <c r="C592" s="122">
        <f t="shared" si="19"/>
        <v>0</v>
      </c>
      <c r="D592" s="121">
        <f>ROUND(C592*'FR_Mantenimiento tasas'!$C$43/360,5)</f>
        <v>0</v>
      </c>
      <c r="E592" s="121">
        <f>ROUND(C592*'FR_Mantenimiento tasas'!$D$43/360,5)</f>
        <v>0</v>
      </c>
    </row>
    <row r="593" spans="1:5">
      <c r="A593" s="123">
        <f t="shared" si="18"/>
        <v>591</v>
      </c>
      <c r="B593" s="122">
        <f>IF(DAY(A593)=DAY('F-Ahorro Futuro Genérico'!$H$11),'F-Ahorro Futuro Genérico'!$H$9,0)</f>
        <v>0</v>
      </c>
      <c r="C593" s="122">
        <f t="shared" si="19"/>
        <v>0</v>
      </c>
      <c r="D593" s="121">
        <f>ROUND(C593*'FR_Mantenimiento tasas'!$C$43/360,5)</f>
        <v>0</v>
      </c>
      <c r="E593" s="121">
        <f>ROUND(C593*'FR_Mantenimiento tasas'!$D$43/360,5)</f>
        <v>0</v>
      </c>
    </row>
    <row r="594" spans="1:5">
      <c r="A594" s="123">
        <f t="shared" si="18"/>
        <v>592</v>
      </c>
      <c r="B594" s="122">
        <f>IF(DAY(A594)=DAY('F-Ahorro Futuro Genérico'!$H$11),'F-Ahorro Futuro Genérico'!$H$9,0)</f>
        <v>0</v>
      </c>
      <c r="C594" s="122">
        <f t="shared" si="19"/>
        <v>0</v>
      </c>
      <c r="D594" s="121">
        <f>ROUND(C594*'FR_Mantenimiento tasas'!$C$43/360,5)</f>
        <v>0</v>
      </c>
      <c r="E594" s="121">
        <f>ROUND(C594*'FR_Mantenimiento tasas'!$D$43/360,5)</f>
        <v>0</v>
      </c>
    </row>
    <row r="595" spans="1:5">
      <c r="A595" s="123">
        <f t="shared" si="18"/>
        <v>593</v>
      </c>
      <c r="B595" s="122">
        <f>IF(DAY(A595)=DAY('F-Ahorro Futuro Genérico'!$H$11),'F-Ahorro Futuro Genérico'!$H$9,0)</f>
        <v>0</v>
      </c>
      <c r="C595" s="122">
        <f t="shared" si="19"/>
        <v>0</v>
      </c>
      <c r="D595" s="121">
        <f>ROUND(C595*'FR_Mantenimiento tasas'!$C$43/360,5)</f>
        <v>0</v>
      </c>
      <c r="E595" s="121">
        <f>ROUND(C595*'FR_Mantenimiento tasas'!$D$43/360,5)</f>
        <v>0</v>
      </c>
    </row>
    <row r="596" spans="1:5">
      <c r="A596" s="123">
        <f t="shared" si="18"/>
        <v>594</v>
      </c>
      <c r="B596" s="122">
        <f>IF(DAY(A596)=DAY('F-Ahorro Futuro Genérico'!$H$11),'F-Ahorro Futuro Genérico'!$H$9,0)</f>
        <v>0</v>
      </c>
      <c r="C596" s="122">
        <f t="shared" si="19"/>
        <v>0</v>
      </c>
      <c r="D596" s="121">
        <f>ROUND(C596*'FR_Mantenimiento tasas'!$C$43/360,5)</f>
        <v>0</v>
      </c>
      <c r="E596" s="121">
        <f>ROUND(C596*'FR_Mantenimiento tasas'!$D$43/360,5)</f>
        <v>0</v>
      </c>
    </row>
    <row r="597" spans="1:5">
      <c r="A597" s="123">
        <f t="shared" si="18"/>
        <v>595</v>
      </c>
      <c r="B597" s="122">
        <f>IF(DAY(A597)=DAY('F-Ahorro Futuro Genérico'!$H$11),'F-Ahorro Futuro Genérico'!$H$9,0)</f>
        <v>0</v>
      </c>
      <c r="C597" s="122">
        <f t="shared" si="19"/>
        <v>0</v>
      </c>
      <c r="D597" s="121">
        <f>ROUND(C597*'FR_Mantenimiento tasas'!$C$43/360,5)</f>
        <v>0</v>
      </c>
      <c r="E597" s="121">
        <f>ROUND(C597*'FR_Mantenimiento tasas'!$D$43/360,5)</f>
        <v>0</v>
      </c>
    </row>
    <row r="598" spans="1:5">
      <c r="A598" s="123">
        <f t="shared" si="18"/>
        <v>596</v>
      </c>
      <c r="B598" s="122">
        <f>IF(DAY(A598)=DAY('F-Ahorro Futuro Genérico'!$H$11),'F-Ahorro Futuro Genérico'!$H$9,0)</f>
        <v>0</v>
      </c>
      <c r="C598" s="122">
        <f t="shared" si="19"/>
        <v>0</v>
      </c>
      <c r="D598" s="121">
        <f>ROUND(C598*'FR_Mantenimiento tasas'!$C$43/360,5)</f>
        <v>0</v>
      </c>
      <c r="E598" s="121">
        <f>ROUND(C598*'FR_Mantenimiento tasas'!$D$43/360,5)</f>
        <v>0</v>
      </c>
    </row>
    <row r="599" spans="1:5">
      <c r="A599" s="123">
        <f t="shared" si="18"/>
        <v>597</v>
      </c>
      <c r="B599" s="122">
        <f>IF(DAY(A599)=DAY('F-Ahorro Futuro Genérico'!$H$11),'F-Ahorro Futuro Genérico'!$H$9,0)</f>
        <v>0</v>
      </c>
      <c r="C599" s="122">
        <f t="shared" si="19"/>
        <v>0</v>
      </c>
      <c r="D599" s="121">
        <f>ROUND(C599*'FR_Mantenimiento tasas'!$C$43/360,5)</f>
        <v>0</v>
      </c>
      <c r="E599" s="121">
        <f>ROUND(C599*'FR_Mantenimiento tasas'!$D$43/360,5)</f>
        <v>0</v>
      </c>
    </row>
    <row r="600" spans="1:5">
      <c r="A600" s="123">
        <f t="shared" si="18"/>
        <v>598</v>
      </c>
      <c r="B600" s="122">
        <f>IF(DAY(A600)=DAY('F-Ahorro Futuro Genérico'!$H$11),'F-Ahorro Futuro Genérico'!$H$9,0)</f>
        <v>0</v>
      </c>
      <c r="C600" s="122">
        <f t="shared" si="19"/>
        <v>0</v>
      </c>
      <c r="D600" s="121">
        <f>ROUND(C600*'FR_Mantenimiento tasas'!$C$43/360,5)</f>
        <v>0</v>
      </c>
      <c r="E600" s="121">
        <f>ROUND(C600*'FR_Mantenimiento tasas'!$D$43/360,5)</f>
        <v>0</v>
      </c>
    </row>
    <row r="601" spans="1:5">
      <c r="A601" s="123">
        <f t="shared" si="18"/>
        <v>599</v>
      </c>
      <c r="B601" s="122">
        <f>IF(DAY(A601)=DAY('F-Ahorro Futuro Genérico'!$H$11),'F-Ahorro Futuro Genérico'!$H$9,0)</f>
        <v>0</v>
      </c>
      <c r="C601" s="122">
        <f t="shared" si="19"/>
        <v>0</v>
      </c>
      <c r="D601" s="121">
        <f>ROUND(C601*'FR_Mantenimiento tasas'!$C$43/360,5)</f>
        <v>0</v>
      </c>
      <c r="E601" s="121">
        <f>ROUND(C601*'FR_Mantenimiento tasas'!$D$43/360,5)</f>
        <v>0</v>
      </c>
    </row>
    <row r="602" spans="1:5">
      <c r="A602" s="123">
        <f t="shared" si="18"/>
        <v>600</v>
      </c>
      <c r="B602" s="122">
        <f>IF(DAY(A602)=DAY('F-Ahorro Futuro Genérico'!$H$11),'F-Ahorro Futuro Genérico'!$H$9,0)</f>
        <v>0</v>
      </c>
      <c r="C602" s="122">
        <f t="shared" si="19"/>
        <v>0</v>
      </c>
      <c r="D602" s="121">
        <f>ROUND(C602*'FR_Mantenimiento tasas'!$C$43/360,5)</f>
        <v>0</v>
      </c>
      <c r="E602" s="121">
        <f>ROUND(C602*'FR_Mantenimiento tasas'!$D$43/360,5)</f>
        <v>0</v>
      </c>
    </row>
    <row r="603" spans="1:5">
      <c r="A603" s="123">
        <f t="shared" si="18"/>
        <v>601</v>
      </c>
      <c r="B603" s="122">
        <f>IF(DAY(A603)=DAY('F-Ahorro Futuro Genérico'!$H$11),'F-Ahorro Futuro Genérico'!$H$9,0)</f>
        <v>0</v>
      </c>
      <c r="C603" s="122">
        <f t="shared" si="19"/>
        <v>0</v>
      </c>
      <c r="D603" s="121">
        <f>ROUND(C603*'FR_Mantenimiento tasas'!$C$43/360,5)</f>
        <v>0</v>
      </c>
      <c r="E603" s="121">
        <f>ROUND(C603*'FR_Mantenimiento tasas'!$D$43/360,5)</f>
        <v>0</v>
      </c>
    </row>
    <row r="604" spans="1:5">
      <c r="A604" s="123">
        <f t="shared" si="18"/>
        <v>602</v>
      </c>
      <c r="B604" s="122">
        <f>IF(DAY(A604)=DAY('F-Ahorro Futuro Genérico'!$H$11),'F-Ahorro Futuro Genérico'!$H$9,0)</f>
        <v>0</v>
      </c>
      <c r="C604" s="122">
        <f t="shared" si="19"/>
        <v>0</v>
      </c>
      <c r="D604" s="121">
        <f>ROUND(C604*'FR_Mantenimiento tasas'!$C$43/360,5)</f>
        <v>0</v>
      </c>
      <c r="E604" s="121">
        <f>ROUND(C604*'FR_Mantenimiento tasas'!$D$43/360,5)</f>
        <v>0</v>
      </c>
    </row>
    <row r="605" spans="1:5">
      <c r="A605" s="123">
        <f t="shared" si="18"/>
        <v>603</v>
      </c>
      <c r="B605" s="122">
        <f>IF(DAY(A605)=DAY('F-Ahorro Futuro Genérico'!$H$11),'F-Ahorro Futuro Genérico'!$H$9,0)</f>
        <v>0</v>
      </c>
      <c r="C605" s="122">
        <f t="shared" si="19"/>
        <v>0</v>
      </c>
      <c r="D605" s="121">
        <f>ROUND(C605*'FR_Mantenimiento tasas'!$C$43/360,5)</f>
        <v>0</v>
      </c>
      <c r="E605" s="121">
        <f>ROUND(C605*'FR_Mantenimiento tasas'!$D$43/360,5)</f>
        <v>0</v>
      </c>
    </row>
    <row r="606" spans="1:5">
      <c r="A606" s="123">
        <f t="shared" si="18"/>
        <v>604</v>
      </c>
      <c r="B606" s="122">
        <f>IF(DAY(A606)=DAY('F-Ahorro Futuro Genérico'!$H$11),'F-Ahorro Futuro Genérico'!$H$9,0)</f>
        <v>0</v>
      </c>
      <c r="C606" s="122">
        <f t="shared" si="19"/>
        <v>0</v>
      </c>
      <c r="D606" s="121">
        <f>ROUND(C606*'FR_Mantenimiento tasas'!$C$43/360,5)</f>
        <v>0</v>
      </c>
      <c r="E606" s="121">
        <f>ROUND(C606*'FR_Mantenimiento tasas'!$D$43/360,5)</f>
        <v>0</v>
      </c>
    </row>
    <row r="607" spans="1:5">
      <c r="A607" s="123">
        <f t="shared" si="18"/>
        <v>605</v>
      </c>
      <c r="B607" s="122">
        <f>IF(DAY(A607)=DAY('F-Ahorro Futuro Genérico'!$H$11),'F-Ahorro Futuro Genérico'!$H$9,0)</f>
        <v>0</v>
      </c>
      <c r="C607" s="122">
        <f t="shared" si="19"/>
        <v>0</v>
      </c>
      <c r="D607" s="121">
        <f>ROUND(C607*'FR_Mantenimiento tasas'!$C$43/360,5)</f>
        <v>0</v>
      </c>
      <c r="E607" s="121">
        <f>ROUND(C607*'FR_Mantenimiento tasas'!$D$43/360,5)</f>
        <v>0</v>
      </c>
    </row>
    <row r="608" spans="1:5">
      <c r="A608" s="123">
        <f t="shared" si="18"/>
        <v>606</v>
      </c>
      <c r="B608" s="122">
        <f>IF(DAY(A608)=DAY('F-Ahorro Futuro Genérico'!$H$11),'F-Ahorro Futuro Genérico'!$H$9,0)</f>
        <v>0</v>
      </c>
      <c r="C608" s="122">
        <f t="shared" si="19"/>
        <v>0</v>
      </c>
      <c r="D608" s="121">
        <f>ROUND(C608*'FR_Mantenimiento tasas'!$C$43/360,5)</f>
        <v>0</v>
      </c>
      <c r="E608" s="121">
        <f>ROUND(C608*'FR_Mantenimiento tasas'!$D$43/360,5)</f>
        <v>0</v>
      </c>
    </row>
    <row r="609" spans="1:5">
      <c r="A609" s="123">
        <f t="shared" si="18"/>
        <v>607</v>
      </c>
      <c r="B609" s="122">
        <f>IF(DAY(A609)=DAY('F-Ahorro Futuro Genérico'!$H$11),'F-Ahorro Futuro Genérico'!$H$9,0)</f>
        <v>0</v>
      </c>
      <c r="C609" s="122">
        <f t="shared" si="19"/>
        <v>0</v>
      </c>
      <c r="D609" s="121">
        <f>ROUND(C609*'FR_Mantenimiento tasas'!$C$43/360,5)</f>
        <v>0</v>
      </c>
      <c r="E609" s="121">
        <f>ROUND(C609*'FR_Mantenimiento tasas'!$D$43/360,5)</f>
        <v>0</v>
      </c>
    </row>
    <row r="610" spans="1:5">
      <c r="A610" s="123">
        <f t="shared" si="18"/>
        <v>608</v>
      </c>
      <c r="B610" s="122">
        <f>IF(DAY(A610)=DAY('F-Ahorro Futuro Genérico'!$H$11),'F-Ahorro Futuro Genérico'!$H$9,0)</f>
        <v>0</v>
      </c>
      <c r="C610" s="122">
        <f t="shared" si="19"/>
        <v>0</v>
      </c>
      <c r="D610" s="121">
        <f>ROUND(C610*'FR_Mantenimiento tasas'!$C$43/360,5)</f>
        <v>0</v>
      </c>
      <c r="E610" s="121">
        <f>ROUND(C610*'FR_Mantenimiento tasas'!$D$43/360,5)</f>
        <v>0</v>
      </c>
    </row>
    <row r="611" spans="1:5">
      <c r="A611" s="123">
        <f t="shared" si="18"/>
        <v>609</v>
      </c>
      <c r="B611" s="122">
        <f>IF(DAY(A611)=DAY('F-Ahorro Futuro Genérico'!$H$11),'F-Ahorro Futuro Genérico'!$H$9,0)</f>
        <v>0</v>
      </c>
      <c r="C611" s="122">
        <f t="shared" si="19"/>
        <v>0</v>
      </c>
      <c r="D611" s="121">
        <f>ROUND(C611*'FR_Mantenimiento tasas'!$C$43/360,5)</f>
        <v>0</v>
      </c>
      <c r="E611" s="121">
        <f>ROUND(C611*'FR_Mantenimiento tasas'!$D$43/360,5)</f>
        <v>0</v>
      </c>
    </row>
    <row r="612" spans="1:5">
      <c r="A612" s="123">
        <f t="shared" si="18"/>
        <v>610</v>
      </c>
      <c r="B612" s="122">
        <f>IF(DAY(A612)=DAY('F-Ahorro Futuro Genérico'!$H$11),'F-Ahorro Futuro Genérico'!$H$9,0)</f>
        <v>0</v>
      </c>
      <c r="C612" s="122">
        <f t="shared" si="19"/>
        <v>0</v>
      </c>
      <c r="D612" s="121">
        <f>ROUND(C612*'FR_Mantenimiento tasas'!$C$43/360,5)</f>
        <v>0</v>
      </c>
      <c r="E612" s="121">
        <f>ROUND(C612*'FR_Mantenimiento tasas'!$D$43/360,5)</f>
        <v>0</v>
      </c>
    </row>
    <row r="613" spans="1:5">
      <c r="A613" s="123">
        <f t="shared" si="18"/>
        <v>611</v>
      </c>
      <c r="B613" s="122">
        <f>IF(DAY(A613)=DAY('F-Ahorro Futuro Genérico'!$H$11),'F-Ahorro Futuro Genérico'!$H$9,0)</f>
        <v>0</v>
      </c>
      <c r="C613" s="122">
        <f t="shared" si="19"/>
        <v>0</v>
      </c>
      <c r="D613" s="121">
        <f>ROUND(C613*'FR_Mantenimiento tasas'!$C$43/360,5)</f>
        <v>0</v>
      </c>
      <c r="E613" s="121">
        <f>ROUND(C613*'FR_Mantenimiento tasas'!$D$43/360,5)</f>
        <v>0</v>
      </c>
    </row>
    <row r="614" spans="1:5">
      <c r="A614" s="123">
        <f t="shared" si="18"/>
        <v>612</v>
      </c>
      <c r="B614" s="122">
        <f>IF(DAY(A614)=DAY('F-Ahorro Futuro Genérico'!$H$11),'F-Ahorro Futuro Genérico'!$H$9,0)</f>
        <v>0</v>
      </c>
      <c r="C614" s="122">
        <f t="shared" si="19"/>
        <v>0</v>
      </c>
      <c r="D614" s="121">
        <f>ROUND(C614*'FR_Mantenimiento tasas'!$C$43/360,5)</f>
        <v>0</v>
      </c>
      <c r="E614" s="121">
        <f>ROUND(C614*'FR_Mantenimiento tasas'!$D$43/360,5)</f>
        <v>0</v>
      </c>
    </row>
    <row r="615" spans="1:5">
      <c r="A615" s="123">
        <f t="shared" si="18"/>
        <v>613</v>
      </c>
      <c r="B615" s="122">
        <f>IF(DAY(A615)=DAY('F-Ahorro Futuro Genérico'!$H$11),'F-Ahorro Futuro Genérico'!$H$9,0)</f>
        <v>0</v>
      </c>
      <c r="C615" s="122">
        <f t="shared" si="19"/>
        <v>0</v>
      </c>
      <c r="D615" s="121">
        <f>ROUND(C615*'FR_Mantenimiento tasas'!$C$43/360,5)</f>
        <v>0</v>
      </c>
      <c r="E615" s="121">
        <f>ROUND(C615*'FR_Mantenimiento tasas'!$D$43/360,5)</f>
        <v>0</v>
      </c>
    </row>
    <row r="616" spans="1:5">
      <c r="A616" s="123">
        <f t="shared" si="18"/>
        <v>614</v>
      </c>
      <c r="B616" s="122">
        <f>IF(DAY(A616)=DAY('F-Ahorro Futuro Genérico'!$H$11),'F-Ahorro Futuro Genérico'!$H$9,0)</f>
        <v>0</v>
      </c>
      <c r="C616" s="122">
        <f t="shared" si="19"/>
        <v>0</v>
      </c>
      <c r="D616" s="121">
        <f>ROUND(C616*'FR_Mantenimiento tasas'!$C$43/360,5)</f>
        <v>0</v>
      </c>
      <c r="E616" s="121">
        <f>ROUND(C616*'FR_Mantenimiento tasas'!$D$43/360,5)</f>
        <v>0</v>
      </c>
    </row>
    <row r="617" spans="1:5">
      <c r="A617" s="123">
        <f t="shared" si="18"/>
        <v>615</v>
      </c>
      <c r="B617" s="122">
        <f>IF(DAY(A617)=DAY('F-Ahorro Futuro Genérico'!$H$11),'F-Ahorro Futuro Genérico'!$H$9,0)</f>
        <v>0</v>
      </c>
      <c r="C617" s="122">
        <f t="shared" si="19"/>
        <v>0</v>
      </c>
      <c r="D617" s="121">
        <f>ROUND(C617*'FR_Mantenimiento tasas'!$C$43/360,5)</f>
        <v>0</v>
      </c>
      <c r="E617" s="121">
        <f>ROUND(C617*'FR_Mantenimiento tasas'!$D$43/360,5)</f>
        <v>0</v>
      </c>
    </row>
    <row r="618" spans="1:5">
      <c r="A618" s="123">
        <f t="shared" si="18"/>
        <v>616</v>
      </c>
      <c r="B618" s="122">
        <f>IF(DAY(A618)=DAY('F-Ahorro Futuro Genérico'!$H$11),'F-Ahorro Futuro Genérico'!$H$9,0)</f>
        <v>0</v>
      </c>
      <c r="C618" s="122">
        <f t="shared" si="19"/>
        <v>0</v>
      </c>
      <c r="D618" s="121">
        <f>ROUND(C618*'FR_Mantenimiento tasas'!$C$43/360,5)</f>
        <v>0</v>
      </c>
      <c r="E618" s="121">
        <f>ROUND(C618*'FR_Mantenimiento tasas'!$D$43/360,5)</f>
        <v>0</v>
      </c>
    </row>
    <row r="619" spans="1:5">
      <c r="A619" s="123">
        <f t="shared" si="18"/>
        <v>617</v>
      </c>
      <c r="B619" s="122">
        <f>IF(DAY(A619)=DAY('F-Ahorro Futuro Genérico'!$H$11),'F-Ahorro Futuro Genérico'!$H$9,0)</f>
        <v>0</v>
      </c>
      <c r="C619" s="122">
        <f t="shared" si="19"/>
        <v>0</v>
      </c>
      <c r="D619" s="121">
        <f>ROUND(C619*'FR_Mantenimiento tasas'!$C$43/360,5)</f>
        <v>0</v>
      </c>
      <c r="E619" s="121">
        <f>ROUND(C619*'FR_Mantenimiento tasas'!$D$43/360,5)</f>
        <v>0</v>
      </c>
    </row>
    <row r="620" spans="1:5">
      <c r="A620" s="123">
        <f t="shared" si="18"/>
        <v>618</v>
      </c>
      <c r="B620" s="122">
        <f>IF(DAY(A620)=DAY('F-Ahorro Futuro Genérico'!$H$11),'F-Ahorro Futuro Genérico'!$H$9,0)</f>
        <v>0</v>
      </c>
      <c r="C620" s="122">
        <f t="shared" si="19"/>
        <v>0</v>
      </c>
      <c r="D620" s="121">
        <f>ROUND(C620*'FR_Mantenimiento tasas'!$C$43/360,5)</f>
        <v>0</v>
      </c>
      <c r="E620" s="121">
        <f>ROUND(C620*'FR_Mantenimiento tasas'!$D$43/360,5)</f>
        <v>0</v>
      </c>
    </row>
    <row r="621" spans="1:5">
      <c r="A621" s="123">
        <f t="shared" si="18"/>
        <v>619</v>
      </c>
      <c r="B621" s="122">
        <f>IF(DAY(A621)=DAY('F-Ahorro Futuro Genérico'!$H$11),'F-Ahorro Futuro Genérico'!$H$9,0)</f>
        <v>0</v>
      </c>
      <c r="C621" s="122">
        <f t="shared" si="19"/>
        <v>0</v>
      </c>
      <c r="D621" s="121">
        <f>ROUND(C621*'FR_Mantenimiento tasas'!$C$43/360,5)</f>
        <v>0</v>
      </c>
      <c r="E621" s="121">
        <f>ROUND(C621*'FR_Mantenimiento tasas'!$D$43/360,5)</f>
        <v>0</v>
      </c>
    </row>
    <row r="622" spans="1:5">
      <c r="A622" s="123">
        <f t="shared" si="18"/>
        <v>620</v>
      </c>
      <c r="B622" s="122">
        <f>IF(DAY(A622)=DAY('F-Ahorro Futuro Genérico'!$H$11),'F-Ahorro Futuro Genérico'!$H$9,0)</f>
        <v>0</v>
      </c>
      <c r="C622" s="122">
        <f t="shared" si="19"/>
        <v>0</v>
      </c>
      <c r="D622" s="121">
        <f>ROUND(C622*'FR_Mantenimiento tasas'!$C$43/360,5)</f>
        <v>0</v>
      </c>
      <c r="E622" s="121">
        <f>ROUND(C622*'FR_Mantenimiento tasas'!$D$43/360,5)</f>
        <v>0</v>
      </c>
    </row>
    <row r="623" spans="1:5">
      <c r="A623" s="123">
        <f t="shared" si="18"/>
        <v>621</v>
      </c>
      <c r="B623" s="122">
        <f>IF(DAY(A623)=DAY('F-Ahorro Futuro Genérico'!$H$11),'F-Ahorro Futuro Genérico'!$H$9,0)</f>
        <v>0</v>
      </c>
      <c r="C623" s="122">
        <f t="shared" si="19"/>
        <v>0</v>
      </c>
      <c r="D623" s="121">
        <f>ROUND(C623*'FR_Mantenimiento tasas'!$C$43/360,5)</f>
        <v>0</v>
      </c>
      <c r="E623" s="121">
        <f>ROUND(C623*'FR_Mantenimiento tasas'!$D$43/360,5)</f>
        <v>0</v>
      </c>
    </row>
    <row r="624" spans="1:5">
      <c r="A624" s="123">
        <f t="shared" si="18"/>
        <v>622</v>
      </c>
      <c r="B624" s="122">
        <f>IF(DAY(A624)=DAY('F-Ahorro Futuro Genérico'!$H$11),'F-Ahorro Futuro Genérico'!$H$9,0)</f>
        <v>0</v>
      </c>
      <c r="C624" s="122">
        <f t="shared" si="19"/>
        <v>0</v>
      </c>
      <c r="D624" s="121">
        <f>ROUND(C624*'FR_Mantenimiento tasas'!$C$43/360,5)</f>
        <v>0</v>
      </c>
      <c r="E624" s="121">
        <f>ROUND(C624*'FR_Mantenimiento tasas'!$D$43/360,5)</f>
        <v>0</v>
      </c>
    </row>
    <row r="625" spans="1:5">
      <c r="A625" s="123">
        <f t="shared" si="18"/>
        <v>623</v>
      </c>
      <c r="B625" s="122">
        <f>IF(DAY(A625)=DAY('F-Ahorro Futuro Genérico'!$H$11),'F-Ahorro Futuro Genérico'!$H$9,0)</f>
        <v>0</v>
      </c>
      <c r="C625" s="122">
        <f t="shared" si="19"/>
        <v>0</v>
      </c>
      <c r="D625" s="121">
        <f>ROUND(C625*'FR_Mantenimiento tasas'!$C$43/360,5)</f>
        <v>0</v>
      </c>
      <c r="E625" s="121">
        <f>ROUND(C625*'FR_Mantenimiento tasas'!$D$43/360,5)</f>
        <v>0</v>
      </c>
    </row>
    <row r="626" spans="1:5">
      <c r="A626" s="123">
        <f t="shared" si="18"/>
        <v>624</v>
      </c>
      <c r="B626" s="122">
        <f>IF(DAY(A626)=DAY('F-Ahorro Futuro Genérico'!$H$11),'F-Ahorro Futuro Genérico'!$H$9,0)</f>
        <v>0</v>
      </c>
      <c r="C626" s="122">
        <f t="shared" si="19"/>
        <v>0</v>
      </c>
      <c r="D626" s="121">
        <f>ROUND(C626*'FR_Mantenimiento tasas'!$C$43/360,5)</f>
        <v>0</v>
      </c>
      <c r="E626" s="121">
        <f>ROUND(C626*'FR_Mantenimiento tasas'!$D$43/360,5)</f>
        <v>0</v>
      </c>
    </row>
    <row r="627" spans="1:5">
      <c r="A627" s="123">
        <f t="shared" si="18"/>
        <v>625</v>
      </c>
      <c r="B627" s="122">
        <f>IF(DAY(A627)=DAY('F-Ahorro Futuro Genérico'!$H$11),'F-Ahorro Futuro Genérico'!$H$9,0)</f>
        <v>0</v>
      </c>
      <c r="C627" s="122">
        <f t="shared" si="19"/>
        <v>0</v>
      </c>
      <c r="D627" s="121">
        <f>ROUND(C627*'FR_Mantenimiento tasas'!$C$43/360,5)</f>
        <v>0</v>
      </c>
      <c r="E627" s="121">
        <f>ROUND(C627*'FR_Mantenimiento tasas'!$D$43/360,5)</f>
        <v>0</v>
      </c>
    </row>
    <row r="628" spans="1:5">
      <c r="A628" s="123">
        <f t="shared" si="18"/>
        <v>626</v>
      </c>
      <c r="B628" s="122">
        <f>IF(DAY(A628)=DAY('F-Ahorro Futuro Genérico'!$H$11),'F-Ahorro Futuro Genérico'!$H$9,0)</f>
        <v>0</v>
      </c>
      <c r="C628" s="122">
        <f t="shared" si="19"/>
        <v>0</v>
      </c>
      <c r="D628" s="121">
        <f>ROUND(C628*'FR_Mantenimiento tasas'!$C$43/360,5)</f>
        <v>0</v>
      </c>
      <c r="E628" s="121">
        <f>ROUND(C628*'FR_Mantenimiento tasas'!$D$43/360,5)</f>
        <v>0</v>
      </c>
    </row>
    <row r="629" spans="1:5">
      <c r="A629" s="123">
        <f t="shared" si="18"/>
        <v>627</v>
      </c>
      <c r="B629" s="122">
        <f>IF(DAY(A629)=DAY('F-Ahorro Futuro Genérico'!$H$11),'F-Ahorro Futuro Genérico'!$H$9,0)</f>
        <v>0</v>
      </c>
      <c r="C629" s="122">
        <f t="shared" si="19"/>
        <v>0</v>
      </c>
      <c r="D629" s="121">
        <f>ROUND(C629*'FR_Mantenimiento tasas'!$C$43/360,5)</f>
        <v>0</v>
      </c>
      <c r="E629" s="121">
        <f>ROUND(C629*'FR_Mantenimiento tasas'!$D$43/360,5)</f>
        <v>0</v>
      </c>
    </row>
    <row r="630" spans="1:5">
      <c r="A630" s="123">
        <f t="shared" si="18"/>
        <v>628</v>
      </c>
      <c r="B630" s="122">
        <f>IF(DAY(A630)=DAY('F-Ahorro Futuro Genérico'!$H$11),'F-Ahorro Futuro Genérico'!$H$9,0)</f>
        <v>0</v>
      </c>
      <c r="C630" s="122">
        <f t="shared" si="19"/>
        <v>0</v>
      </c>
      <c r="D630" s="121">
        <f>ROUND(C630*'FR_Mantenimiento tasas'!$C$43/360,5)</f>
        <v>0</v>
      </c>
      <c r="E630" s="121">
        <f>ROUND(C630*'FR_Mantenimiento tasas'!$D$43/360,5)</f>
        <v>0</v>
      </c>
    </row>
    <row r="631" spans="1:5">
      <c r="A631" s="123">
        <f t="shared" si="18"/>
        <v>629</v>
      </c>
      <c r="B631" s="122">
        <f>IF(DAY(A631)=DAY('F-Ahorro Futuro Genérico'!$H$11),'F-Ahorro Futuro Genérico'!$H$9,0)</f>
        <v>0</v>
      </c>
      <c r="C631" s="122">
        <f t="shared" si="19"/>
        <v>0</v>
      </c>
      <c r="D631" s="121">
        <f>ROUND(C631*'FR_Mantenimiento tasas'!$C$43/360,5)</f>
        <v>0</v>
      </c>
      <c r="E631" s="121">
        <f>ROUND(C631*'FR_Mantenimiento tasas'!$D$43/360,5)</f>
        <v>0</v>
      </c>
    </row>
    <row r="632" spans="1:5">
      <c r="A632" s="123">
        <f t="shared" si="18"/>
        <v>630</v>
      </c>
      <c r="B632" s="122">
        <f>IF(DAY(A632)=DAY('F-Ahorro Futuro Genérico'!$H$11),'F-Ahorro Futuro Genérico'!$H$9,0)</f>
        <v>0</v>
      </c>
      <c r="C632" s="122">
        <f t="shared" si="19"/>
        <v>0</v>
      </c>
      <c r="D632" s="121">
        <f>ROUND(C632*'FR_Mantenimiento tasas'!$C$43/360,5)</f>
        <v>0</v>
      </c>
      <c r="E632" s="121">
        <f>ROUND(C632*'FR_Mantenimiento tasas'!$D$43/360,5)</f>
        <v>0</v>
      </c>
    </row>
    <row r="633" spans="1:5">
      <c r="A633" s="123">
        <f t="shared" si="18"/>
        <v>631</v>
      </c>
      <c r="B633" s="122">
        <f>IF(DAY(A633)=DAY('F-Ahorro Futuro Genérico'!$H$11),'F-Ahorro Futuro Genérico'!$H$9,0)</f>
        <v>0</v>
      </c>
      <c r="C633" s="122">
        <f t="shared" si="19"/>
        <v>0</v>
      </c>
      <c r="D633" s="121">
        <f>ROUND(C633*'FR_Mantenimiento tasas'!$C$43/360,5)</f>
        <v>0</v>
      </c>
      <c r="E633" s="121">
        <f>ROUND(C633*'FR_Mantenimiento tasas'!$D$43/360,5)</f>
        <v>0</v>
      </c>
    </row>
    <row r="634" spans="1:5">
      <c r="A634" s="123">
        <f t="shared" si="18"/>
        <v>632</v>
      </c>
      <c r="B634" s="122">
        <f>IF(DAY(A634)=DAY('F-Ahorro Futuro Genérico'!$H$11),'F-Ahorro Futuro Genérico'!$H$9,0)</f>
        <v>0</v>
      </c>
      <c r="C634" s="122">
        <f t="shared" si="19"/>
        <v>0</v>
      </c>
      <c r="D634" s="121">
        <f>ROUND(C634*'FR_Mantenimiento tasas'!$C$43/360,5)</f>
        <v>0</v>
      </c>
      <c r="E634" s="121">
        <f>ROUND(C634*'FR_Mantenimiento tasas'!$D$43/360,5)</f>
        <v>0</v>
      </c>
    </row>
    <row r="635" spans="1:5">
      <c r="A635" s="123">
        <f t="shared" si="18"/>
        <v>633</v>
      </c>
      <c r="B635" s="122">
        <f>IF(DAY(A635)=DAY('F-Ahorro Futuro Genérico'!$H$11),'F-Ahorro Futuro Genérico'!$H$9,0)</f>
        <v>0</v>
      </c>
      <c r="C635" s="122">
        <f t="shared" si="19"/>
        <v>0</v>
      </c>
      <c r="D635" s="121">
        <f>ROUND(C635*'FR_Mantenimiento tasas'!$C$43/360,5)</f>
        <v>0</v>
      </c>
      <c r="E635" s="121">
        <f>ROUND(C635*'FR_Mantenimiento tasas'!$D$43/360,5)</f>
        <v>0</v>
      </c>
    </row>
    <row r="636" spans="1:5">
      <c r="A636" s="123">
        <f t="shared" si="18"/>
        <v>634</v>
      </c>
      <c r="B636" s="122">
        <f>IF(DAY(A636)=DAY('F-Ahorro Futuro Genérico'!$H$11),'F-Ahorro Futuro Genérico'!$H$9,0)</f>
        <v>0</v>
      </c>
      <c r="C636" s="122">
        <f t="shared" si="19"/>
        <v>0</v>
      </c>
      <c r="D636" s="121">
        <f>ROUND(C636*'FR_Mantenimiento tasas'!$C$43/360,5)</f>
        <v>0</v>
      </c>
      <c r="E636" s="121">
        <f>ROUND(C636*'FR_Mantenimiento tasas'!$D$43/360,5)</f>
        <v>0</v>
      </c>
    </row>
    <row r="637" spans="1:5">
      <c r="A637" s="123">
        <f t="shared" si="18"/>
        <v>635</v>
      </c>
      <c r="B637" s="122">
        <f>IF(DAY(A637)=DAY('F-Ahorro Futuro Genérico'!$H$11),'F-Ahorro Futuro Genérico'!$H$9,0)</f>
        <v>0</v>
      </c>
      <c r="C637" s="122">
        <f t="shared" si="19"/>
        <v>0</v>
      </c>
      <c r="D637" s="121">
        <f>ROUND(C637*'FR_Mantenimiento tasas'!$C$43/360,5)</f>
        <v>0</v>
      </c>
      <c r="E637" s="121">
        <f>ROUND(C637*'FR_Mantenimiento tasas'!$D$43/360,5)</f>
        <v>0</v>
      </c>
    </row>
    <row r="638" spans="1:5">
      <c r="A638" s="123">
        <f t="shared" si="18"/>
        <v>636</v>
      </c>
      <c r="B638" s="122">
        <f>IF(DAY(A638)=DAY('F-Ahorro Futuro Genérico'!$H$11),'F-Ahorro Futuro Genérico'!$H$9,0)</f>
        <v>0</v>
      </c>
      <c r="C638" s="122">
        <f t="shared" si="19"/>
        <v>0</v>
      </c>
      <c r="D638" s="121">
        <f>ROUND(C638*'FR_Mantenimiento tasas'!$C$43/360,5)</f>
        <v>0</v>
      </c>
      <c r="E638" s="121">
        <f>ROUND(C638*'FR_Mantenimiento tasas'!$D$43/360,5)</f>
        <v>0</v>
      </c>
    </row>
    <row r="639" spans="1:5">
      <c r="A639" s="123">
        <f t="shared" si="18"/>
        <v>637</v>
      </c>
      <c r="B639" s="122">
        <f>IF(DAY(A639)=DAY('F-Ahorro Futuro Genérico'!$H$11),'F-Ahorro Futuro Genérico'!$H$9,0)</f>
        <v>0</v>
      </c>
      <c r="C639" s="122">
        <f t="shared" si="19"/>
        <v>0</v>
      </c>
      <c r="D639" s="121">
        <f>ROUND(C639*'FR_Mantenimiento tasas'!$C$43/360,5)</f>
        <v>0</v>
      </c>
      <c r="E639" s="121">
        <f>ROUND(C639*'FR_Mantenimiento tasas'!$D$43/360,5)</f>
        <v>0</v>
      </c>
    </row>
    <row r="640" spans="1:5">
      <c r="A640" s="123">
        <f t="shared" si="18"/>
        <v>638</v>
      </c>
      <c r="B640" s="122">
        <f>IF(DAY(A640)=DAY('F-Ahorro Futuro Genérico'!$H$11),'F-Ahorro Futuro Genérico'!$H$9,0)</f>
        <v>0</v>
      </c>
      <c r="C640" s="122">
        <f t="shared" si="19"/>
        <v>0</v>
      </c>
      <c r="D640" s="121">
        <f>ROUND(C640*'FR_Mantenimiento tasas'!$C$43/360,5)</f>
        <v>0</v>
      </c>
      <c r="E640" s="121">
        <f>ROUND(C640*'FR_Mantenimiento tasas'!$D$43/360,5)</f>
        <v>0</v>
      </c>
    </row>
    <row r="641" spans="1:5">
      <c r="A641" s="123">
        <f t="shared" si="18"/>
        <v>639</v>
      </c>
      <c r="B641" s="122">
        <f>IF(DAY(A641)=DAY('F-Ahorro Futuro Genérico'!$H$11),'F-Ahorro Futuro Genérico'!$H$9,0)</f>
        <v>0</v>
      </c>
      <c r="C641" s="122">
        <f t="shared" si="19"/>
        <v>0</v>
      </c>
      <c r="D641" s="121">
        <f>ROUND(C641*'FR_Mantenimiento tasas'!$C$43/360,5)</f>
        <v>0</v>
      </c>
      <c r="E641" s="121">
        <f>ROUND(C641*'FR_Mantenimiento tasas'!$D$43/360,5)</f>
        <v>0</v>
      </c>
    </row>
    <row r="642" spans="1:5">
      <c r="A642" s="123">
        <f t="shared" si="18"/>
        <v>640</v>
      </c>
      <c r="B642" s="122">
        <f>IF(DAY(A642)=DAY('F-Ahorro Futuro Genérico'!$H$11),'F-Ahorro Futuro Genérico'!$H$9,0)</f>
        <v>0</v>
      </c>
      <c r="C642" s="122">
        <f t="shared" si="19"/>
        <v>0</v>
      </c>
      <c r="D642" s="121">
        <f>ROUND(C642*'FR_Mantenimiento tasas'!$C$43/360,5)</f>
        <v>0</v>
      </c>
      <c r="E642" s="121">
        <f>ROUND(C642*'FR_Mantenimiento tasas'!$D$43/360,5)</f>
        <v>0</v>
      </c>
    </row>
    <row r="643" spans="1:5">
      <c r="A643" s="123">
        <f t="shared" si="18"/>
        <v>641</v>
      </c>
      <c r="B643" s="122">
        <f>IF(DAY(A643)=DAY('F-Ahorro Futuro Genérico'!$H$11),'F-Ahorro Futuro Genérico'!$H$9,0)</f>
        <v>0</v>
      </c>
      <c r="C643" s="122">
        <f t="shared" si="19"/>
        <v>0</v>
      </c>
      <c r="D643" s="121">
        <f>ROUND(C643*'FR_Mantenimiento tasas'!$C$43/360,5)</f>
        <v>0</v>
      </c>
      <c r="E643" s="121">
        <f>ROUND(C643*'FR_Mantenimiento tasas'!$D$43/360,5)</f>
        <v>0</v>
      </c>
    </row>
    <row r="644" spans="1:5">
      <c r="A644" s="123">
        <f t="shared" ref="A644:A707" si="20">+A643+1</f>
        <v>642</v>
      </c>
      <c r="B644" s="122">
        <f>IF(DAY(A644)=DAY('F-Ahorro Futuro Genérico'!$H$11),'F-Ahorro Futuro Genérico'!$H$9,0)</f>
        <v>0</v>
      </c>
      <c r="C644" s="122">
        <f t="shared" ref="C644:C707" si="21">+B644+C643+D643</f>
        <v>0</v>
      </c>
      <c r="D644" s="121">
        <f>ROUND(C644*'FR_Mantenimiento tasas'!$C$43/360,5)</f>
        <v>0</v>
      </c>
      <c r="E644" s="121">
        <f>ROUND(C644*'FR_Mantenimiento tasas'!$D$43/360,5)</f>
        <v>0</v>
      </c>
    </row>
    <row r="645" spans="1:5">
      <c r="A645" s="123">
        <f t="shared" si="20"/>
        <v>643</v>
      </c>
      <c r="B645" s="122">
        <f>IF(DAY(A645)=DAY('F-Ahorro Futuro Genérico'!$H$11),'F-Ahorro Futuro Genérico'!$H$9,0)</f>
        <v>0</v>
      </c>
      <c r="C645" s="122">
        <f t="shared" si="21"/>
        <v>0</v>
      </c>
      <c r="D645" s="121">
        <f>ROUND(C645*'FR_Mantenimiento tasas'!$C$43/360,5)</f>
        <v>0</v>
      </c>
      <c r="E645" s="121">
        <f>ROUND(C645*'FR_Mantenimiento tasas'!$D$43/360,5)</f>
        <v>0</v>
      </c>
    </row>
    <row r="646" spans="1:5">
      <c r="A646" s="123">
        <f t="shared" si="20"/>
        <v>644</v>
      </c>
      <c r="B646" s="122">
        <f>IF(DAY(A646)=DAY('F-Ahorro Futuro Genérico'!$H$11),'F-Ahorro Futuro Genérico'!$H$9,0)</f>
        <v>0</v>
      </c>
      <c r="C646" s="122">
        <f t="shared" si="21"/>
        <v>0</v>
      </c>
      <c r="D646" s="121">
        <f>ROUND(C646*'FR_Mantenimiento tasas'!$C$43/360,5)</f>
        <v>0</v>
      </c>
      <c r="E646" s="121">
        <f>ROUND(C646*'FR_Mantenimiento tasas'!$D$43/360,5)</f>
        <v>0</v>
      </c>
    </row>
    <row r="647" spans="1:5">
      <c r="A647" s="123">
        <f t="shared" si="20"/>
        <v>645</v>
      </c>
      <c r="B647" s="122">
        <f>IF(DAY(A647)=DAY('F-Ahorro Futuro Genérico'!$H$11),'F-Ahorro Futuro Genérico'!$H$9,0)</f>
        <v>0</v>
      </c>
      <c r="C647" s="122">
        <f t="shared" si="21"/>
        <v>0</v>
      </c>
      <c r="D647" s="121">
        <f>ROUND(C647*'FR_Mantenimiento tasas'!$C$43/360,5)</f>
        <v>0</v>
      </c>
      <c r="E647" s="121">
        <f>ROUND(C647*'FR_Mantenimiento tasas'!$D$43/360,5)</f>
        <v>0</v>
      </c>
    </row>
    <row r="648" spans="1:5">
      <c r="A648" s="123">
        <f t="shared" si="20"/>
        <v>646</v>
      </c>
      <c r="B648" s="122">
        <f>IF(DAY(A648)=DAY('F-Ahorro Futuro Genérico'!$H$11),'F-Ahorro Futuro Genérico'!$H$9,0)</f>
        <v>0</v>
      </c>
      <c r="C648" s="122">
        <f t="shared" si="21"/>
        <v>0</v>
      </c>
      <c r="D648" s="121">
        <f>ROUND(C648*'FR_Mantenimiento tasas'!$C$43/360,5)</f>
        <v>0</v>
      </c>
      <c r="E648" s="121">
        <f>ROUND(C648*'FR_Mantenimiento tasas'!$D$43/360,5)</f>
        <v>0</v>
      </c>
    </row>
    <row r="649" spans="1:5">
      <c r="A649" s="123">
        <f t="shared" si="20"/>
        <v>647</v>
      </c>
      <c r="B649" s="122">
        <f>IF(DAY(A649)=DAY('F-Ahorro Futuro Genérico'!$H$11),'F-Ahorro Futuro Genérico'!$H$9,0)</f>
        <v>0</v>
      </c>
      <c r="C649" s="122">
        <f t="shared" si="21"/>
        <v>0</v>
      </c>
      <c r="D649" s="121">
        <f>ROUND(C649*'FR_Mantenimiento tasas'!$C$43/360,5)</f>
        <v>0</v>
      </c>
      <c r="E649" s="121">
        <f>ROUND(C649*'FR_Mantenimiento tasas'!$D$43/360,5)</f>
        <v>0</v>
      </c>
    </row>
    <row r="650" spans="1:5">
      <c r="A650" s="123">
        <f t="shared" si="20"/>
        <v>648</v>
      </c>
      <c r="B650" s="122">
        <f>IF(DAY(A650)=DAY('F-Ahorro Futuro Genérico'!$H$11),'F-Ahorro Futuro Genérico'!$H$9,0)</f>
        <v>0</v>
      </c>
      <c r="C650" s="122">
        <f t="shared" si="21"/>
        <v>0</v>
      </c>
      <c r="D650" s="121">
        <f>ROUND(C650*'FR_Mantenimiento tasas'!$C$43/360,5)</f>
        <v>0</v>
      </c>
      <c r="E650" s="121">
        <f>ROUND(C650*'FR_Mantenimiento tasas'!$D$43/360,5)</f>
        <v>0</v>
      </c>
    </row>
    <row r="651" spans="1:5">
      <c r="A651" s="123">
        <f t="shared" si="20"/>
        <v>649</v>
      </c>
      <c r="B651" s="122">
        <f>IF(DAY(A651)=DAY('F-Ahorro Futuro Genérico'!$H$11),'F-Ahorro Futuro Genérico'!$H$9,0)</f>
        <v>0</v>
      </c>
      <c r="C651" s="122">
        <f t="shared" si="21"/>
        <v>0</v>
      </c>
      <c r="D651" s="121">
        <f>ROUND(C651*'FR_Mantenimiento tasas'!$C$43/360,5)</f>
        <v>0</v>
      </c>
      <c r="E651" s="121">
        <f>ROUND(C651*'FR_Mantenimiento tasas'!$D$43/360,5)</f>
        <v>0</v>
      </c>
    </row>
    <row r="652" spans="1:5">
      <c r="A652" s="123">
        <f t="shared" si="20"/>
        <v>650</v>
      </c>
      <c r="B652" s="122">
        <f>IF(DAY(A652)=DAY('F-Ahorro Futuro Genérico'!$H$11),'F-Ahorro Futuro Genérico'!$H$9,0)</f>
        <v>0</v>
      </c>
      <c r="C652" s="122">
        <f t="shared" si="21"/>
        <v>0</v>
      </c>
      <c r="D652" s="121">
        <f>ROUND(C652*'FR_Mantenimiento tasas'!$C$43/360,5)</f>
        <v>0</v>
      </c>
      <c r="E652" s="121">
        <f>ROUND(C652*'FR_Mantenimiento tasas'!$D$43/360,5)</f>
        <v>0</v>
      </c>
    </row>
    <row r="653" spans="1:5">
      <c r="A653" s="123">
        <f t="shared" si="20"/>
        <v>651</v>
      </c>
      <c r="B653" s="122">
        <f>IF(DAY(A653)=DAY('F-Ahorro Futuro Genérico'!$H$11),'F-Ahorro Futuro Genérico'!$H$9,0)</f>
        <v>0</v>
      </c>
      <c r="C653" s="122">
        <f t="shared" si="21"/>
        <v>0</v>
      </c>
      <c r="D653" s="121">
        <f>ROUND(C653*'FR_Mantenimiento tasas'!$C$43/360,5)</f>
        <v>0</v>
      </c>
      <c r="E653" s="121">
        <f>ROUND(C653*'FR_Mantenimiento tasas'!$D$43/360,5)</f>
        <v>0</v>
      </c>
    </row>
    <row r="654" spans="1:5">
      <c r="A654" s="123">
        <f t="shared" si="20"/>
        <v>652</v>
      </c>
      <c r="B654" s="122">
        <f>IF(DAY(A654)=DAY('F-Ahorro Futuro Genérico'!$H$11),'F-Ahorro Futuro Genérico'!$H$9,0)</f>
        <v>0</v>
      </c>
      <c r="C654" s="122">
        <f t="shared" si="21"/>
        <v>0</v>
      </c>
      <c r="D654" s="121">
        <f>ROUND(C654*'FR_Mantenimiento tasas'!$C$43/360,5)</f>
        <v>0</v>
      </c>
      <c r="E654" s="121">
        <f>ROUND(C654*'FR_Mantenimiento tasas'!$D$43/360,5)</f>
        <v>0</v>
      </c>
    </row>
    <row r="655" spans="1:5">
      <c r="A655" s="123">
        <f t="shared" si="20"/>
        <v>653</v>
      </c>
      <c r="B655" s="122">
        <f>IF(DAY(A655)=DAY('F-Ahorro Futuro Genérico'!$H$11),'F-Ahorro Futuro Genérico'!$H$9,0)</f>
        <v>0</v>
      </c>
      <c r="C655" s="122">
        <f t="shared" si="21"/>
        <v>0</v>
      </c>
      <c r="D655" s="121">
        <f>ROUND(C655*'FR_Mantenimiento tasas'!$C$43/360,5)</f>
        <v>0</v>
      </c>
      <c r="E655" s="121">
        <f>ROUND(C655*'FR_Mantenimiento tasas'!$D$43/360,5)</f>
        <v>0</v>
      </c>
    </row>
    <row r="656" spans="1:5">
      <c r="A656" s="123">
        <f t="shared" si="20"/>
        <v>654</v>
      </c>
      <c r="B656" s="122">
        <f>IF(DAY(A656)=DAY('F-Ahorro Futuro Genérico'!$H$11),'F-Ahorro Futuro Genérico'!$H$9,0)</f>
        <v>0</v>
      </c>
      <c r="C656" s="122">
        <f t="shared" si="21"/>
        <v>0</v>
      </c>
      <c r="D656" s="121">
        <f>ROUND(C656*'FR_Mantenimiento tasas'!$C$43/360,5)</f>
        <v>0</v>
      </c>
      <c r="E656" s="121">
        <f>ROUND(C656*'FR_Mantenimiento tasas'!$D$43/360,5)</f>
        <v>0</v>
      </c>
    </row>
    <row r="657" spans="1:5">
      <c r="A657" s="123">
        <f t="shared" si="20"/>
        <v>655</v>
      </c>
      <c r="B657" s="122">
        <f>IF(DAY(A657)=DAY('F-Ahorro Futuro Genérico'!$H$11),'F-Ahorro Futuro Genérico'!$H$9,0)</f>
        <v>0</v>
      </c>
      <c r="C657" s="122">
        <f t="shared" si="21"/>
        <v>0</v>
      </c>
      <c r="D657" s="121">
        <f>ROUND(C657*'FR_Mantenimiento tasas'!$C$43/360,5)</f>
        <v>0</v>
      </c>
      <c r="E657" s="121">
        <f>ROUND(C657*'FR_Mantenimiento tasas'!$D$43/360,5)</f>
        <v>0</v>
      </c>
    </row>
    <row r="658" spans="1:5">
      <c r="A658" s="123">
        <f t="shared" si="20"/>
        <v>656</v>
      </c>
      <c r="B658" s="122">
        <f>IF(DAY(A658)=DAY('F-Ahorro Futuro Genérico'!$H$11),'F-Ahorro Futuro Genérico'!$H$9,0)</f>
        <v>0</v>
      </c>
      <c r="C658" s="122">
        <f t="shared" si="21"/>
        <v>0</v>
      </c>
      <c r="D658" s="121">
        <f>ROUND(C658*'FR_Mantenimiento tasas'!$C$43/360,5)</f>
        <v>0</v>
      </c>
      <c r="E658" s="121">
        <f>ROUND(C658*'FR_Mantenimiento tasas'!$D$43/360,5)</f>
        <v>0</v>
      </c>
    </row>
    <row r="659" spans="1:5">
      <c r="A659" s="123">
        <f t="shared" si="20"/>
        <v>657</v>
      </c>
      <c r="B659" s="122">
        <f>IF(DAY(A659)=DAY('F-Ahorro Futuro Genérico'!$H$11),'F-Ahorro Futuro Genérico'!$H$9,0)</f>
        <v>0</v>
      </c>
      <c r="C659" s="122">
        <f t="shared" si="21"/>
        <v>0</v>
      </c>
      <c r="D659" s="121">
        <f>ROUND(C659*'FR_Mantenimiento tasas'!$C$43/360,5)</f>
        <v>0</v>
      </c>
      <c r="E659" s="121">
        <f>ROUND(C659*'FR_Mantenimiento tasas'!$D$43/360,5)</f>
        <v>0</v>
      </c>
    </row>
    <row r="660" spans="1:5">
      <c r="A660" s="123">
        <f t="shared" si="20"/>
        <v>658</v>
      </c>
      <c r="B660" s="122">
        <f>IF(DAY(A660)=DAY('F-Ahorro Futuro Genérico'!$H$11),'F-Ahorro Futuro Genérico'!$H$9,0)</f>
        <v>0</v>
      </c>
      <c r="C660" s="122">
        <f t="shared" si="21"/>
        <v>0</v>
      </c>
      <c r="D660" s="121">
        <f>ROUND(C660*'FR_Mantenimiento tasas'!$C$43/360,5)</f>
        <v>0</v>
      </c>
      <c r="E660" s="121">
        <f>ROUND(C660*'FR_Mantenimiento tasas'!$D$43/360,5)</f>
        <v>0</v>
      </c>
    </row>
    <row r="661" spans="1:5">
      <c r="A661" s="123">
        <f t="shared" si="20"/>
        <v>659</v>
      </c>
      <c r="B661" s="122">
        <f>IF(DAY(A661)=DAY('F-Ahorro Futuro Genérico'!$H$11),'F-Ahorro Futuro Genérico'!$H$9,0)</f>
        <v>0</v>
      </c>
      <c r="C661" s="122">
        <f t="shared" si="21"/>
        <v>0</v>
      </c>
      <c r="D661" s="121">
        <f>ROUND(C661*'FR_Mantenimiento tasas'!$C$43/360,5)</f>
        <v>0</v>
      </c>
      <c r="E661" s="121">
        <f>ROUND(C661*'FR_Mantenimiento tasas'!$D$43/360,5)</f>
        <v>0</v>
      </c>
    </row>
    <row r="662" spans="1:5">
      <c r="A662" s="123">
        <f t="shared" si="20"/>
        <v>660</v>
      </c>
      <c r="B662" s="122">
        <f>IF(DAY(A662)=DAY('F-Ahorro Futuro Genérico'!$H$11),'F-Ahorro Futuro Genérico'!$H$9,0)</f>
        <v>0</v>
      </c>
      <c r="C662" s="122">
        <f t="shared" si="21"/>
        <v>0</v>
      </c>
      <c r="D662" s="121">
        <f>ROUND(C662*'FR_Mantenimiento tasas'!$C$43/360,5)</f>
        <v>0</v>
      </c>
      <c r="E662" s="121">
        <f>ROUND(C662*'FR_Mantenimiento tasas'!$D$43/360,5)</f>
        <v>0</v>
      </c>
    </row>
    <row r="663" spans="1:5">
      <c r="A663" s="123">
        <f t="shared" si="20"/>
        <v>661</v>
      </c>
      <c r="B663" s="122">
        <f>IF(DAY(A663)=DAY('F-Ahorro Futuro Genérico'!$H$11),'F-Ahorro Futuro Genérico'!$H$9,0)</f>
        <v>0</v>
      </c>
      <c r="C663" s="122">
        <f t="shared" si="21"/>
        <v>0</v>
      </c>
      <c r="D663" s="121">
        <f>ROUND(C663*'FR_Mantenimiento tasas'!$C$43/360,5)</f>
        <v>0</v>
      </c>
      <c r="E663" s="121">
        <f>ROUND(C663*'FR_Mantenimiento tasas'!$D$43/360,5)</f>
        <v>0</v>
      </c>
    </row>
    <row r="664" spans="1:5">
      <c r="A664" s="123">
        <f t="shared" si="20"/>
        <v>662</v>
      </c>
      <c r="B664" s="122">
        <f>IF(DAY(A664)=DAY('F-Ahorro Futuro Genérico'!$H$11),'F-Ahorro Futuro Genérico'!$H$9,0)</f>
        <v>0</v>
      </c>
      <c r="C664" s="122">
        <f t="shared" si="21"/>
        <v>0</v>
      </c>
      <c r="D664" s="121">
        <f>ROUND(C664*'FR_Mantenimiento tasas'!$C$43/360,5)</f>
        <v>0</v>
      </c>
      <c r="E664" s="121">
        <f>ROUND(C664*'FR_Mantenimiento tasas'!$D$43/360,5)</f>
        <v>0</v>
      </c>
    </row>
    <row r="665" spans="1:5">
      <c r="A665" s="123">
        <f t="shared" si="20"/>
        <v>663</v>
      </c>
      <c r="B665" s="122">
        <f>IF(DAY(A665)=DAY('F-Ahorro Futuro Genérico'!$H$11),'F-Ahorro Futuro Genérico'!$H$9,0)</f>
        <v>0</v>
      </c>
      <c r="C665" s="122">
        <f t="shared" si="21"/>
        <v>0</v>
      </c>
      <c r="D665" s="121">
        <f>ROUND(C665*'FR_Mantenimiento tasas'!$C$43/360,5)</f>
        <v>0</v>
      </c>
      <c r="E665" s="121">
        <f>ROUND(C665*'FR_Mantenimiento tasas'!$D$43/360,5)</f>
        <v>0</v>
      </c>
    </row>
    <row r="666" spans="1:5">
      <c r="A666" s="123">
        <f t="shared" si="20"/>
        <v>664</v>
      </c>
      <c r="B666" s="122">
        <f>IF(DAY(A666)=DAY('F-Ahorro Futuro Genérico'!$H$11),'F-Ahorro Futuro Genérico'!$H$9,0)</f>
        <v>0</v>
      </c>
      <c r="C666" s="122">
        <f t="shared" si="21"/>
        <v>0</v>
      </c>
      <c r="D666" s="121">
        <f>ROUND(C666*'FR_Mantenimiento tasas'!$C$43/360,5)</f>
        <v>0</v>
      </c>
      <c r="E666" s="121">
        <f>ROUND(C666*'FR_Mantenimiento tasas'!$D$43/360,5)</f>
        <v>0</v>
      </c>
    </row>
    <row r="667" spans="1:5">
      <c r="A667" s="123">
        <f t="shared" si="20"/>
        <v>665</v>
      </c>
      <c r="B667" s="122">
        <f>IF(DAY(A667)=DAY('F-Ahorro Futuro Genérico'!$H$11),'F-Ahorro Futuro Genérico'!$H$9,0)</f>
        <v>0</v>
      </c>
      <c r="C667" s="122">
        <f t="shared" si="21"/>
        <v>0</v>
      </c>
      <c r="D667" s="121">
        <f>ROUND(C667*'FR_Mantenimiento tasas'!$C$43/360,5)</f>
        <v>0</v>
      </c>
      <c r="E667" s="121">
        <f>ROUND(C667*'FR_Mantenimiento tasas'!$D$43/360,5)</f>
        <v>0</v>
      </c>
    </row>
    <row r="668" spans="1:5">
      <c r="A668" s="123">
        <f t="shared" si="20"/>
        <v>666</v>
      </c>
      <c r="B668" s="122">
        <f>IF(DAY(A668)=DAY('F-Ahorro Futuro Genérico'!$H$11),'F-Ahorro Futuro Genérico'!$H$9,0)</f>
        <v>0</v>
      </c>
      <c r="C668" s="122">
        <f t="shared" si="21"/>
        <v>0</v>
      </c>
      <c r="D668" s="121">
        <f>ROUND(C668*'FR_Mantenimiento tasas'!$C$43/360,5)</f>
        <v>0</v>
      </c>
      <c r="E668" s="121">
        <f>ROUND(C668*'FR_Mantenimiento tasas'!$D$43/360,5)</f>
        <v>0</v>
      </c>
    </row>
    <row r="669" spans="1:5">
      <c r="A669" s="123">
        <f t="shared" si="20"/>
        <v>667</v>
      </c>
      <c r="B669" s="122">
        <f>IF(DAY(A669)=DAY('F-Ahorro Futuro Genérico'!$H$11),'F-Ahorro Futuro Genérico'!$H$9,0)</f>
        <v>0</v>
      </c>
      <c r="C669" s="122">
        <f t="shared" si="21"/>
        <v>0</v>
      </c>
      <c r="D669" s="121">
        <f>ROUND(C669*'FR_Mantenimiento tasas'!$C$43/360,5)</f>
        <v>0</v>
      </c>
      <c r="E669" s="121">
        <f>ROUND(C669*'FR_Mantenimiento tasas'!$D$43/360,5)</f>
        <v>0</v>
      </c>
    </row>
    <row r="670" spans="1:5">
      <c r="A670" s="123">
        <f t="shared" si="20"/>
        <v>668</v>
      </c>
      <c r="B670" s="122">
        <f>IF(DAY(A670)=DAY('F-Ahorro Futuro Genérico'!$H$11),'F-Ahorro Futuro Genérico'!$H$9,0)</f>
        <v>0</v>
      </c>
      <c r="C670" s="122">
        <f t="shared" si="21"/>
        <v>0</v>
      </c>
      <c r="D670" s="121">
        <f>ROUND(C670*'FR_Mantenimiento tasas'!$C$43/360,5)</f>
        <v>0</v>
      </c>
      <c r="E670" s="121">
        <f>ROUND(C670*'FR_Mantenimiento tasas'!$D$43/360,5)</f>
        <v>0</v>
      </c>
    </row>
    <row r="671" spans="1:5">
      <c r="A671" s="123">
        <f t="shared" si="20"/>
        <v>669</v>
      </c>
      <c r="B671" s="122">
        <f>IF(DAY(A671)=DAY('F-Ahorro Futuro Genérico'!$H$11),'F-Ahorro Futuro Genérico'!$H$9,0)</f>
        <v>0</v>
      </c>
      <c r="C671" s="122">
        <f t="shared" si="21"/>
        <v>0</v>
      </c>
      <c r="D671" s="121">
        <f>ROUND(C671*'FR_Mantenimiento tasas'!$C$43/360,5)</f>
        <v>0</v>
      </c>
      <c r="E671" s="121">
        <f>ROUND(C671*'FR_Mantenimiento tasas'!$D$43/360,5)</f>
        <v>0</v>
      </c>
    </row>
    <row r="672" spans="1:5">
      <c r="A672" s="123">
        <f t="shared" si="20"/>
        <v>670</v>
      </c>
      <c r="B672" s="122">
        <f>IF(DAY(A672)=DAY('F-Ahorro Futuro Genérico'!$H$11),'F-Ahorro Futuro Genérico'!$H$9,0)</f>
        <v>0</v>
      </c>
      <c r="C672" s="122">
        <f t="shared" si="21"/>
        <v>0</v>
      </c>
      <c r="D672" s="121">
        <f>ROUND(C672*'FR_Mantenimiento tasas'!$C$43/360,5)</f>
        <v>0</v>
      </c>
      <c r="E672" s="121">
        <f>ROUND(C672*'FR_Mantenimiento tasas'!$D$43/360,5)</f>
        <v>0</v>
      </c>
    </row>
    <row r="673" spans="1:5">
      <c r="A673" s="123">
        <f t="shared" si="20"/>
        <v>671</v>
      </c>
      <c r="B673" s="122">
        <f>IF(DAY(A673)=DAY('F-Ahorro Futuro Genérico'!$H$11),'F-Ahorro Futuro Genérico'!$H$9,0)</f>
        <v>0</v>
      </c>
      <c r="C673" s="122">
        <f t="shared" si="21"/>
        <v>0</v>
      </c>
      <c r="D673" s="121">
        <f>ROUND(C673*'FR_Mantenimiento tasas'!$C$43/360,5)</f>
        <v>0</v>
      </c>
      <c r="E673" s="121">
        <f>ROUND(C673*'FR_Mantenimiento tasas'!$D$43/360,5)</f>
        <v>0</v>
      </c>
    </row>
    <row r="674" spans="1:5">
      <c r="A674" s="123">
        <f t="shared" si="20"/>
        <v>672</v>
      </c>
      <c r="B674" s="122">
        <f>IF(DAY(A674)=DAY('F-Ahorro Futuro Genérico'!$H$11),'F-Ahorro Futuro Genérico'!$H$9,0)</f>
        <v>0</v>
      </c>
      <c r="C674" s="122">
        <f t="shared" si="21"/>
        <v>0</v>
      </c>
      <c r="D674" s="121">
        <f>ROUND(C674*'FR_Mantenimiento tasas'!$C$43/360,5)</f>
        <v>0</v>
      </c>
      <c r="E674" s="121">
        <f>ROUND(C674*'FR_Mantenimiento tasas'!$D$43/360,5)</f>
        <v>0</v>
      </c>
    </row>
    <row r="675" spans="1:5">
      <c r="A675" s="123">
        <f t="shared" si="20"/>
        <v>673</v>
      </c>
      <c r="B675" s="122">
        <f>IF(DAY(A675)=DAY('F-Ahorro Futuro Genérico'!$H$11),'F-Ahorro Futuro Genérico'!$H$9,0)</f>
        <v>0</v>
      </c>
      <c r="C675" s="122">
        <f t="shared" si="21"/>
        <v>0</v>
      </c>
      <c r="D675" s="121">
        <f>ROUND(C675*'FR_Mantenimiento tasas'!$C$43/360,5)</f>
        <v>0</v>
      </c>
      <c r="E675" s="121">
        <f>ROUND(C675*'FR_Mantenimiento tasas'!$D$43/360,5)</f>
        <v>0</v>
      </c>
    </row>
    <row r="676" spans="1:5">
      <c r="A676" s="123">
        <f t="shared" si="20"/>
        <v>674</v>
      </c>
      <c r="B676" s="122">
        <f>IF(DAY(A676)=DAY('F-Ahorro Futuro Genérico'!$H$11),'F-Ahorro Futuro Genérico'!$H$9,0)</f>
        <v>0</v>
      </c>
      <c r="C676" s="122">
        <f t="shared" si="21"/>
        <v>0</v>
      </c>
      <c r="D676" s="121">
        <f>ROUND(C676*'FR_Mantenimiento tasas'!$C$43/360,5)</f>
        <v>0</v>
      </c>
      <c r="E676" s="121">
        <f>ROUND(C676*'FR_Mantenimiento tasas'!$D$43/360,5)</f>
        <v>0</v>
      </c>
    </row>
    <row r="677" spans="1:5">
      <c r="A677" s="123">
        <f t="shared" si="20"/>
        <v>675</v>
      </c>
      <c r="B677" s="122">
        <f>IF(DAY(A677)=DAY('F-Ahorro Futuro Genérico'!$H$11),'F-Ahorro Futuro Genérico'!$H$9,0)</f>
        <v>0</v>
      </c>
      <c r="C677" s="122">
        <f t="shared" si="21"/>
        <v>0</v>
      </c>
      <c r="D677" s="121">
        <f>ROUND(C677*'FR_Mantenimiento tasas'!$C$43/360,5)</f>
        <v>0</v>
      </c>
      <c r="E677" s="121">
        <f>ROUND(C677*'FR_Mantenimiento tasas'!$D$43/360,5)</f>
        <v>0</v>
      </c>
    </row>
    <row r="678" spans="1:5">
      <c r="A678" s="123">
        <f t="shared" si="20"/>
        <v>676</v>
      </c>
      <c r="B678" s="122">
        <f>IF(DAY(A678)=DAY('F-Ahorro Futuro Genérico'!$H$11),'F-Ahorro Futuro Genérico'!$H$9,0)</f>
        <v>0</v>
      </c>
      <c r="C678" s="122">
        <f t="shared" si="21"/>
        <v>0</v>
      </c>
      <c r="D678" s="121">
        <f>ROUND(C678*'FR_Mantenimiento tasas'!$C$43/360,5)</f>
        <v>0</v>
      </c>
      <c r="E678" s="121">
        <f>ROUND(C678*'FR_Mantenimiento tasas'!$D$43/360,5)</f>
        <v>0</v>
      </c>
    </row>
    <row r="679" spans="1:5">
      <c r="A679" s="123">
        <f t="shared" si="20"/>
        <v>677</v>
      </c>
      <c r="B679" s="122">
        <f>IF(DAY(A679)=DAY('F-Ahorro Futuro Genérico'!$H$11),'F-Ahorro Futuro Genérico'!$H$9,0)</f>
        <v>0</v>
      </c>
      <c r="C679" s="122">
        <f t="shared" si="21"/>
        <v>0</v>
      </c>
      <c r="D679" s="121">
        <f>ROUND(C679*'FR_Mantenimiento tasas'!$C$43/360,5)</f>
        <v>0</v>
      </c>
      <c r="E679" s="121">
        <f>ROUND(C679*'FR_Mantenimiento tasas'!$D$43/360,5)</f>
        <v>0</v>
      </c>
    </row>
    <row r="680" spans="1:5">
      <c r="A680" s="123">
        <f t="shared" si="20"/>
        <v>678</v>
      </c>
      <c r="B680" s="122">
        <f>IF(DAY(A680)=DAY('F-Ahorro Futuro Genérico'!$H$11),'F-Ahorro Futuro Genérico'!$H$9,0)</f>
        <v>0</v>
      </c>
      <c r="C680" s="122">
        <f t="shared" si="21"/>
        <v>0</v>
      </c>
      <c r="D680" s="121">
        <f>ROUND(C680*'FR_Mantenimiento tasas'!$C$43/360,5)</f>
        <v>0</v>
      </c>
      <c r="E680" s="121">
        <f>ROUND(C680*'FR_Mantenimiento tasas'!$D$43/360,5)</f>
        <v>0</v>
      </c>
    </row>
    <row r="681" spans="1:5">
      <c r="A681" s="123">
        <f t="shared" si="20"/>
        <v>679</v>
      </c>
      <c r="B681" s="122">
        <f>IF(DAY(A681)=DAY('F-Ahorro Futuro Genérico'!$H$11),'F-Ahorro Futuro Genérico'!$H$9,0)</f>
        <v>0</v>
      </c>
      <c r="C681" s="122">
        <f t="shared" si="21"/>
        <v>0</v>
      </c>
      <c r="D681" s="121">
        <f>ROUND(C681*'FR_Mantenimiento tasas'!$C$43/360,5)</f>
        <v>0</v>
      </c>
      <c r="E681" s="121">
        <f>ROUND(C681*'FR_Mantenimiento tasas'!$D$43/360,5)</f>
        <v>0</v>
      </c>
    </row>
    <row r="682" spans="1:5">
      <c r="A682" s="123">
        <f t="shared" si="20"/>
        <v>680</v>
      </c>
      <c r="B682" s="122">
        <f>IF(DAY(A682)=DAY('F-Ahorro Futuro Genérico'!$H$11),'F-Ahorro Futuro Genérico'!$H$9,0)</f>
        <v>0</v>
      </c>
      <c r="C682" s="122">
        <f t="shared" si="21"/>
        <v>0</v>
      </c>
      <c r="D682" s="121">
        <f>ROUND(C682*'FR_Mantenimiento tasas'!$C$43/360,5)</f>
        <v>0</v>
      </c>
      <c r="E682" s="121">
        <f>ROUND(C682*'FR_Mantenimiento tasas'!$D$43/360,5)</f>
        <v>0</v>
      </c>
    </row>
    <row r="683" spans="1:5">
      <c r="A683" s="123">
        <f t="shared" si="20"/>
        <v>681</v>
      </c>
      <c r="B683" s="122">
        <f>IF(DAY(A683)=DAY('F-Ahorro Futuro Genérico'!$H$11),'F-Ahorro Futuro Genérico'!$H$9,0)</f>
        <v>0</v>
      </c>
      <c r="C683" s="122">
        <f t="shared" si="21"/>
        <v>0</v>
      </c>
      <c r="D683" s="121">
        <f>ROUND(C683*'FR_Mantenimiento tasas'!$C$43/360,5)</f>
        <v>0</v>
      </c>
      <c r="E683" s="121">
        <f>ROUND(C683*'FR_Mantenimiento tasas'!$D$43/360,5)</f>
        <v>0</v>
      </c>
    </row>
    <row r="684" spans="1:5">
      <c r="A684" s="123">
        <f t="shared" si="20"/>
        <v>682</v>
      </c>
      <c r="B684" s="122">
        <f>IF(DAY(A684)=DAY('F-Ahorro Futuro Genérico'!$H$11),'F-Ahorro Futuro Genérico'!$H$9,0)</f>
        <v>0</v>
      </c>
      <c r="C684" s="122">
        <f t="shared" si="21"/>
        <v>0</v>
      </c>
      <c r="D684" s="121">
        <f>ROUND(C684*'FR_Mantenimiento tasas'!$C$43/360,5)</f>
        <v>0</v>
      </c>
      <c r="E684" s="121">
        <f>ROUND(C684*'FR_Mantenimiento tasas'!$D$43/360,5)</f>
        <v>0</v>
      </c>
    </row>
    <row r="685" spans="1:5">
      <c r="A685" s="123">
        <f t="shared" si="20"/>
        <v>683</v>
      </c>
      <c r="B685" s="122">
        <f>IF(DAY(A685)=DAY('F-Ahorro Futuro Genérico'!$H$11),'F-Ahorro Futuro Genérico'!$H$9,0)</f>
        <v>0</v>
      </c>
      <c r="C685" s="122">
        <f t="shared" si="21"/>
        <v>0</v>
      </c>
      <c r="D685" s="121">
        <f>ROUND(C685*'FR_Mantenimiento tasas'!$C$43/360,5)</f>
        <v>0</v>
      </c>
      <c r="E685" s="121">
        <f>ROUND(C685*'FR_Mantenimiento tasas'!$D$43/360,5)</f>
        <v>0</v>
      </c>
    </row>
    <row r="686" spans="1:5">
      <c r="A686" s="123">
        <f t="shared" si="20"/>
        <v>684</v>
      </c>
      <c r="B686" s="122">
        <f>IF(DAY(A686)=DAY('F-Ahorro Futuro Genérico'!$H$11),'F-Ahorro Futuro Genérico'!$H$9,0)</f>
        <v>0</v>
      </c>
      <c r="C686" s="122">
        <f t="shared" si="21"/>
        <v>0</v>
      </c>
      <c r="D686" s="121">
        <f>ROUND(C686*'FR_Mantenimiento tasas'!$C$43/360,5)</f>
        <v>0</v>
      </c>
      <c r="E686" s="121">
        <f>ROUND(C686*'FR_Mantenimiento tasas'!$D$43/360,5)</f>
        <v>0</v>
      </c>
    </row>
    <row r="687" spans="1:5">
      <c r="A687" s="123">
        <f t="shared" si="20"/>
        <v>685</v>
      </c>
      <c r="B687" s="122">
        <f>IF(DAY(A687)=DAY('F-Ahorro Futuro Genérico'!$H$11),'F-Ahorro Futuro Genérico'!$H$9,0)</f>
        <v>0</v>
      </c>
      <c r="C687" s="122">
        <f t="shared" si="21"/>
        <v>0</v>
      </c>
      <c r="D687" s="121">
        <f>ROUND(C687*'FR_Mantenimiento tasas'!$C$43/360,5)</f>
        <v>0</v>
      </c>
      <c r="E687" s="121">
        <f>ROUND(C687*'FR_Mantenimiento tasas'!$D$43/360,5)</f>
        <v>0</v>
      </c>
    </row>
    <row r="688" spans="1:5">
      <c r="A688" s="123">
        <f t="shared" si="20"/>
        <v>686</v>
      </c>
      <c r="B688" s="122">
        <f>IF(DAY(A688)=DAY('F-Ahorro Futuro Genérico'!$H$11),'F-Ahorro Futuro Genérico'!$H$9,0)</f>
        <v>0</v>
      </c>
      <c r="C688" s="122">
        <f t="shared" si="21"/>
        <v>0</v>
      </c>
      <c r="D688" s="121">
        <f>ROUND(C688*'FR_Mantenimiento tasas'!$C$43/360,5)</f>
        <v>0</v>
      </c>
      <c r="E688" s="121">
        <f>ROUND(C688*'FR_Mantenimiento tasas'!$D$43/360,5)</f>
        <v>0</v>
      </c>
    </row>
    <row r="689" spans="1:5">
      <c r="A689" s="123">
        <f t="shared" si="20"/>
        <v>687</v>
      </c>
      <c r="B689" s="122">
        <f>IF(DAY(A689)=DAY('F-Ahorro Futuro Genérico'!$H$11),'F-Ahorro Futuro Genérico'!$H$9,0)</f>
        <v>0</v>
      </c>
      <c r="C689" s="122">
        <f t="shared" si="21"/>
        <v>0</v>
      </c>
      <c r="D689" s="121">
        <f>ROUND(C689*'FR_Mantenimiento tasas'!$C$43/360,5)</f>
        <v>0</v>
      </c>
      <c r="E689" s="121">
        <f>ROUND(C689*'FR_Mantenimiento tasas'!$D$43/360,5)</f>
        <v>0</v>
      </c>
    </row>
    <row r="690" spans="1:5">
      <c r="A690" s="123">
        <f t="shared" si="20"/>
        <v>688</v>
      </c>
      <c r="B690" s="122">
        <f>IF(DAY(A690)=DAY('F-Ahorro Futuro Genérico'!$H$11),'F-Ahorro Futuro Genérico'!$H$9,0)</f>
        <v>0</v>
      </c>
      <c r="C690" s="122">
        <f t="shared" si="21"/>
        <v>0</v>
      </c>
      <c r="D690" s="121">
        <f>ROUND(C690*'FR_Mantenimiento tasas'!$C$43/360,5)</f>
        <v>0</v>
      </c>
      <c r="E690" s="121">
        <f>ROUND(C690*'FR_Mantenimiento tasas'!$D$43/360,5)</f>
        <v>0</v>
      </c>
    </row>
    <row r="691" spans="1:5">
      <c r="A691" s="123">
        <f t="shared" si="20"/>
        <v>689</v>
      </c>
      <c r="B691" s="122">
        <f>IF(DAY(A691)=DAY('F-Ahorro Futuro Genérico'!$H$11),'F-Ahorro Futuro Genérico'!$H$9,0)</f>
        <v>0</v>
      </c>
      <c r="C691" s="122">
        <f t="shared" si="21"/>
        <v>0</v>
      </c>
      <c r="D691" s="121">
        <f>ROUND(C691*'FR_Mantenimiento tasas'!$C$43/360,5)</f>
        <v>0</v>
      </c>
      <c r="E691" s="121">
        <f>ROUND(C691*'FR_Mantenimiento tasas'!$D$43/360,5)</f>
        <v>0</v>
      </c>
    </row>
    <row r="692" spans="1:5">
      <c r="A692" s="123">
        <f t="shared" si="20"/>
        <v>690</v>
      </c>
      <c r="B692" s="122">
        <f>IF(DAY(A692)=DAY('F-Ahorro Futuro Genérico'!$H$11),'F-Ahorro Futuro Genérico'!$H$9,0)</f>
        <v>0</v>
      </c>
      <c r="C692" s="122">
        <f t="shared" si="21"/>
        <v>0</v>
      </c>
      <c r="D692" s="121">
        <f>ROUND(C692*'FR_Mantenimiento tasas'!$C$43/360,5)</f>
        <v>0</v>
      </c>
      <c r="E692" s="121">
        <f>ROUND(C692*'FR_Mantenimiento tasas'!$D$43/360,5)</f>
        <v>0</v>
      </c>
    </row>
    <row r="693" spans="1:5">
      <c r="A693" s="123">
        <f t="shared" si="20"/>
        <v>691</v>
      </c>
      <c r="B693" s="122">
        <f>IF(DAY(A693)=DAY('F-Ahorro Futuro Genérico'!$H$11),'F-Ahorro Futuro Genérico'!$H$9,0)</f>
        <v>0</v>
      </c>
      <c r="C693" s="122">
        <f t="shared" si="21"/>
        <v>0</v>
      </c>
      <c r="D693" s="121">
        <f>ROUND(C693*'FR_Mantenimiento tasas'!$C$43/360,5)</f>
        <v>0</v>
      </c>
      <c r="E693" s="121">
        <f>ROUND(C693*'FR_Mantenimiento tasas'!$D$43/360,5)</f>
        <v>0</v>
      </c>
    </row>
    <row r="694" spans="1:5">
      <c r="A694" s="123">
        <f t="shared" si="20"/>
        <v>692</v>
      </c>
      <c r="B694" s="122">
        <f>IF(DAY(A694)=DAY('F-Ahorro Futuro Genérico'!$H$11),'F-Ahorro Futuro Genérico'!$H$9,0)</f>
        <v>0</v>
      </c>
      <c r="C694" s="122">
        <f t="shared" si="21"/>
        <v>0</v>
      </c>
      <c r="D694" s="121">
        <f>ROUND(C694*'FR_Mantenimiento tasas'!$C$43/360,5)</f>
        <v>0</v>
      </c>
      <c r="E694" s="121">
        <f>ROUND(C694*'FR_Mantenimiento tasas'!$D$43/360,5)</f>
        <v>0</v>
      </c>
    </row>
    <row r="695" spans="1:5">
      <c r="A695" s="123">
        <f t="shared" si="20"/>
        <v>693</v>
      </c>
      <c r="B695" s="122">
        <f>IF(DAY(A695)=DAY('F-Ahorro Futuro Genérico'!$H$11),'F-Ahorro Futuro Genérico'!$H$9,0)</f>
        <v>0</v>
      </c>
      <c r="C695" s="122">
        <f t="shared" si="21"/>
        <v>0</v>
      </c>
      <c r="D695" s="121">
        <f>ROUND(C695*'FR_Mantenimiento tasas'!$C$43/360,5)</f>
        <v>0</v>
      </c>
      <c r="E695" s="121">
        <f>ROUND(C695*'FR_Mantenimiento tasas'!$D$43/360,5)</f>
        <v>0</v>
      </c>
    </row>
    <row r="696" spans="1:5">
      <c r="A696" s="123">
        <f t="shared" si="20"/>
        <v>694</v>
      </c>
      <c r="B696" s="122">
        <f>IF(DAY(A696)=DAY('F-Ahorro Futuro Genérico'!$H$11),'F-Ahorro Futuro Genérico'!$H$9,0)</f>
        <v>0</v>
      </c>
      <c r="C696" s="122">
        <f t="shared" si="21"/>
        <v>0</v>
      </c>
      <c r="D696" s="121">
        <f>ROUND(C696*'FR_Mantenimiento tasas'!$C$43/360,5)</f>
        <v>0</v>
      </c>
      <c r="E696" s="121">
        <f>ROUND(C696*'FR_Mantenimiento tasas'!$D$43/360,5)</f>
        <v>0</v>
      </c>
    </row>
    <row r="697" spans="1:5">
      <c r="A697" s="123">
        <f t="shared" si="20"/>
        <v>695</v>
      </c>
      <c r="B697" s="122">
        <f>IF(DAY(A697)=DAY('F-Ahorro Futuro Genérico'!$H$11),'F-Ahorro Futuro Genérico'!$H$9,0)</f>
        <v>0</v>
      </c>
      <c r="C697" s="122">
        <f t="shared" si="21"/>
        <v>0</v>
      </c>
      <c r="D697" s="121">
        <f>ROUND(C697*'FR_Mantenimiento tasas'!$C$43/360,5)</f>
        <v>0</v>
      </c>
      <c r="E697" s="121">
        <f>ROUND(C697*'FR_Mantenimiento tasas'!$D$43/360,5)</f>
        <v>0</v>
      </c>
    </row>
    <row r="698" spans="1:5">
      <c r="A698" s="123">
        <f t="shared" si="20"/>
        <v>696</v>
      </c>
      <c r="B698" s="122">
        <f>IF(DAY(A698)=DAY('F-Ahorro Futuro Genérico'!$H$11),'F-Ahorro Futuro Genérico'!$H$9,0)</f>
        <v>0</v>
      </c>
      <c r="C698" s="122">
        <f t="shared" si="21"/>
        <v>0</v>
      </c>
      <c r="D698" s="121">
        <f>ROUND(C698*'FR_Mantenimiento tasas'!$C$43/360,5)</f>
        <v>0</v>
      </c>
      <c r="E698" s="121">
        <f>ROUND(C698*'FR_Mantenimiento tasas'!$D$43/360,5)</f>
        <v>0</v>
      </c>
    </row>
    <row r="699" spans="1:5">
      <c r="A699" s="123">
        <f t="shared" si="20"/>
        <v>697</v>
      </c>
      <c r="B699" s="122">
        <f>IF(DAY(A699)=DAY('F-Ahorro Futuro Genérico'!$H$11),'F-Ahorro Futuro Genérico'!$H$9,0)</f>
        <v>0</v>
      </c>
      <c r="C699" s="122">
        <f t="shared" si="21"/>
        <v>0</v>
      </c>
      <c r="D699" s="121">
        <f>ROUND(C699*'FR_Mantenimiento tasas'!$C$43/360,5)</f>
        <v>0</v>
      </c>
      <c r="E699" s="121">
        <f>ROUND(C699*'FR_Mantenimiento tasas'!$D$43/360,5)</f>
        <v>0</v>
      </c>
    </row>
    <row r="700" spans="1:5">
      <c r="A700" s="123">
        <f t="shared" si="20"/>
        <v>698</v>
      </c>
      <c r="B700" s="122">
        <f>IF(DAY(A700)=DAY('F-Ahorro Futuro Genérico'!$H$11),'F-Ahorro Futuro Genérico'!$H$9,0)</f>
        <v>0</v>
      </c>
      <c r="C700" s="122">
        <f t="shared" si="21"/>
        <v>0</v>
      </c>
      <c r="D700" s="121">
        <f>ROUND(C700*'FR_Mantenimiento tasas'!$C$43/360,5)</f>
        <v>0</v>
      </c>
      <c r="E700" s="121">
        <f>ROUND(C700*'FR_Mantenimiento tasas'!$D$43/360,5)</f>
        <v>0</v>
      </c>
    </row>
    <row r="701" spans="1:5">
      <c r="A701" s="123">
        <f t="shared" si="20"/>
        <v>699</v>
      </c>
      <c r="B701" s="122">
        <f>IF(DAY(A701)=DAY('F-Ahorro Futuro Genérico'!$H$11),'F-Ahorro Futuro Genérico'!$H$9,0)</f>
        <v>0</v>
      </c>
      <c r="C701" s="122">
        <f t="shared" si="21"/>
        <v>0</v>
      </c>
      <c r="D701" s="121">
        <f>ROUND(C701*'FR_Mantenimiento tasas'!$C$43/360,5)</f>
        <v>0</v>
      </c>
      <c r="E701" s="121">
        <f>ROUND(C701*'FR_Mantenimiento tasas'!$D$43/360,5)</f>
        <v>0</v>
      </c>
    </row>
    <row r="702" spans="1:5">
      <c r="A702" s="123">
        <f t="shared" si="20"/>
        <v>700</v>
      </c>
      <c r="B702" s="122">
        <f>IF(DAY(A702)=DAY('F-Ahorro Futuro Genérico'!$H$11),'F-Ahorro Futuro Genérico'!$H$9,0)</f>
        <v>0</v>
      </c>
      <c r="C702" s="122">
        <f t="shared" si="21"/>
        <v>0</v>
      </c>
      <c r="D702" s="121">
        <f>ROUND(C702*'FR_Mantenimiento tasas'!$C$43/360,5)</f>
        <v>0</v>
      </c>
      <c r="E702" s="121">
        <f>ROUND(C702*'FR_Mantenimiento tasas'!$D$43/360,5)</f>
        <v>0</v>
      </c>
    </row>
    <row r="703" spans="1:5">
      <c r="A703" s="123">
        <f t="shared" si="20"/>
        <v>701</v>
      </c>
      <c r="B703" s="122">
        <f>IF(DAY(A703)=DAY('F-Ahorro Futuro Genérico'!$H$11),'F-Ahorro Futuro Genérico'!$H$9,0)</f>
        <v>0</v>
      </c>
      <c r="C703" s="122">
        <f t="shared" si="21"/>
        <v>0</v>
      </c>
      <c r="D703" s="121">
        <f>ROUND(C703*'FR_Mantenimiento tasas'!$C$43/360,5)</f>
        <v>0</v>
      </c>
      <c r="E703" s="121">
        <f>ROUND(C703*'FR_Mantenimiento tasas'!$D$43/360,5)</f>
        <v>0</v>
      </c>
    </row>
    <row r="704" spans="1:5">
      <c r="A704" s="123">
        <f t="shared" si="20"/>
        <v>702</v>
      </c>
      <c r="B704" s="122">
        <f>IF(DAY(A704)=DAY('F-Ahorro Futuro Genérico'!$H$11),'F-Ahorro Futuro Genérico'!$H$9,0)</f>
        <v>0</v>
      </c>
      <c r="C704" s="122">
        <f t="shared" si="21"/>
        <v>0</v>
      </c>
      <c r="D704" s="121">
        <f>ROUND(C704*'FR_Mantenimiento tasas'!$C$43/360,5)</f>
        <v>0</v>
      </c>
      <c r="E704" s="121">
        <f>ROUND(C704*'FR_Mantenimiento tasas'!$D$43/360,5)</f>
        <v>0</v>
      </c>
    </row>
    <row r="705" spans="1:5">
      <c r="A705" s="123">
        <f t="shared" si="20"/>
        <v>703</v>
      </c>
      <c r="B705" s="122">
        <f>IF(DAY(A705)=DAY('F-Ahorro Futuro Genérico'!$H$11),'F-Ahorro Futuro Genérico'!$H$9,0)</f>
        <v>0</v>
      </c>
      <c r="C705" s="122">
        <f t="shared" si="21"/>
        <v>0</v>
      </c>
      <c r="D705" s="121">
        <f>ROUND(C705*'FR_Mantenimiento tasas'!$C$43/360,5)</f>
        <v>0</v>
      </c>
      <c r="E705" s="121">
        <f>ROUND(C705*'FR_Mantenimiento tasas'!$D$43/360,5)</f>
        <v>0</v>
      </c>
    </row>
    <row r="706" spans="1:5">
      <c r="A706" s="123">
        <f t="shared" si="20"/>
        <v>704</v>
      </c>
      <c r="B706" s="122">
        <f>IF(DAY(A706)=DAY('F-Ahorro Futuro Genérico'!$H$11),'F-Ahorro Futuro Genérico'!$H$9,0)</f>
        <v>0</v>
      </c>
      <c r="C706" s="122">
        <f t="shared" si="21"/>
        <v>0</v>
      </c>
      <c r="D706" s="121">
        <f>ROUND(C706*'FR_Mantenimiento tasas'!$C$43/360,5)</f>
        <v>0</v>
      </c>
      <c r="E706" s="121">
        <f>ROUND(C706*'FR_Mantenimiento tasas'!$D$43/360,5)</f>
        <v>0</v>
      </c>
    </row>
    <row r="707" spans="1:5">
      <c r="A707" s="123">
        <f t="shared" si="20"/>
        <v>705</v>
      </c>
      <c r="B707" s="122">
        <f>IF(DAY(A707)=DAY('F-Ahorro Futuro Genérico'!$H$11),'F-Ahorro Futuro Genérico'!$H$9,0)</f>
        <v>0</v>
      </c>
      <c r="C707" s="122">
        <f t="shared" si="21"/>
        <v>0</v>
      </c>
      <c r="D707" s="121">
        <f>ROUND(C707*'FR_Mantenimiento tasas'!$C$43/360,5)</f>
        <v>0</v>
      </c>
      <c r="E707" s="121">
        <f>ROUND(C707*'FR_Mantenimiento tasas'!$D$43/360,5)</f>
        <v>0</v>
      </c>
    </row>
    <row r="708" spans="1:5">
      <c r="A708" s="123">
        <f t="shared" ref="A708:A771" si="22">+A707+1</f>
        <v>706</v>
      </c>
      <c r="B708" s="122">
        <f>IF(DAY(A708)=DAY('F-Ahorro Futuro Genérico'!$H$11),'F-Ahorro Futuro Genérico'!$H$9,0)</f>
        <v>0</v>
      </c>
      <c r="C708" s="122">
        <f t="shared" ref="C708:C771" si="23">+B708+C707+D707</f>
        <v>0</v>
      </c>
      <c r="D708" s="121">
        <f>ROUND(C708*'FR_Mantenimiento tasas'!$C$43/360,5)</f>
        <v>0</v>
      </c>
      <c r="E708" s="121">
        <f>ROUND(C708*'FR_Mantenimiento tasas'!$D$43/360,5)</f>
        <v>0</v>
      </c>
    </row>
    <row r="709" spans="1:5">
      <c r="A709" s="123">
        <f t="shared" si="22"/>
        <v>707</v>
      </c>
      <c r="B709" s="122">
        <f>IF(DAY(A709)=DAY('F-Ahorro Futuro Genérico'!$H$11),'F-Ahorro Futuro Genérico'!$H$9,0)</f>
        <v>0</v>
      </c>
      <c r="C709" s="122">
        <f t="shared" si="23"/>
        <v>0</v>
      </c>
      <c r="D709" s="121">
        <f>ROUND(C709*'FR_Mantenimiento tasas'!$C$43/360,5)</f>
        <v>0</v>
      </c>
      <c r="E709" s="121">
        <f>ROUND(C709*'FR_Mantenimiento tasas'!$D$43/360,5)</f>
        <v>0</v>
      </c>
    </row>
    <row r="710" spans="1:5">
      <c r="A710" s="123">
        <f t="shared" si="22"/>
        <v>708</v>
      </c>
      <c r="B710" s="122">
        <f>IF(DAY(A710)=DAY('F-Ahorro Futuro Genérico'!$H$11),'F-Ahorro Futuro Genérico'!$H$9,0)</f>
        <v>0</v>
      </c>
      <c r="C710" s="122">
        <f t="shared" si="23"/>
        <v>0</v>
      </c>
      <c r="D710" s="121">
        <f>ROUND(C710*'FR_Mantenimiento tasas'!$C$43/360,5)</f>
        <v>0</v>
      </c>
      <c r="E710" s="121">
        <f>ROUND(C710*'FR_Mantenimiento tasas'!$D$43/360,5)</f>
        <v>0</v>
      </c>
    </row>
    <row r="711" spans="1:5">
      <c r="A711" s="123">
        <f t="shared" si="22"/>
        <v>709</v>
      </c>
      <c r="B711" s="122">
        <f>IF(DAY(A711)=DAY('F-Ahorro Futuro Genérico'!$H$11),'F-Ahorro Futuro Genérico'!$H$9,0)</f>
        <v>0</v>
      </c>
      <c r="C711" s="122">
        <f t="shared" si="23"/>
        <v>0</v>
      </c>
      <c r="D711" s="121">
        <f>ROUND(C711*'FR_Mantenimiento tasas'!$C$43/360,5)</f>
        <v>0</v>
      </c>
      <c r="E711" s="121">
        <f>ROUND(C711*'FR_Mantenimiento tasas'!$D$43/360,5)</f>
        <v>0</v>
      </c>
    </row>
    <row r="712" spans="1:5">
      <c r="A712" s="123">
        <f t="shared" si="22"/>
        <v>710</v>
      </c>
      <c r="B712" s="122">
        <f>IF(DAY(A712)=DAY('F-Ahorro Futuro Genérico'!$H$11),'F-Ahorro Futuro Genérico'!$H$9,0)</f>
        <v>0</v>
      </c>
      <c r="C712" s="122">
        <f t="shared" si="23"/>
        <v>0</v>
      </c>
      <c r="D712" s="121">
        <f>ROUND(C712*'FR_Mantenimiento tasas'!$C$43/360,5)</f>
        <v>0</v>
      </c>
      <c r="E712" s="121">
        <f>ROUND(C712*'FR_Mantenimiento tasas'!$D$43/360,5)</f>
        <v>0</v>
      </c>
    </row>
    <row r="713" spans="1:5">
      <c r="A713" s="123">
        <f t="shared" si="22"/>
        <v>711</v>
      </c>
      <c r="B713" s="122">
        <f>IF(DAY(A713)=DAY('F-Ahorro Futuro Genérico'!$H$11),'F-Ahorro Futuro Genérico'!$H$9,0)</f>
        <v>0</v>
      </c>
      <c r="C713" s="122">
        <f t="shared" si="23"/>
        <v>0</v>
      </c>
      <c r="D713" s="121">
        <f>ROUND(C713*'FR_Mantenimiento tasas'!$C$43/360,5)</f>
        <v>0</v>
      </c>
      <c r="E713" s="121">
        <f>ROUND(C713*'FR_Mantenimiento tasas'!$D$43/360,5)</f>
        <v>0</v>
      </c>
    </row>
    <row r="714" spans="1:5">
      <c r="A714" s="123">
        <f t="shared" si="22"/>
        <v>712</v>
      </c>
      <c r="B714" s="122">
        <f>IF(DAY(A714)=DAY('F-Ahorro Futuro Genérico'!$H$11),'F-Ahorro Futuro Genérico'!$H$9,0)</f>
        <v>0</v>
      </c>
      <c r="C714" s="122">
        <f t="shared" si="23"/>
        <v>0</v>
      </c>
      <c r="D714" s="121">
        <f>ROUND(C714*'FR_Mantenimiento tasas'!$C$43/360,5)</f>
        <v>0</v>
      </c>
      <c r="E714" s="121">
        <f>ROUND(C714*'FR_Mantenimiento tasas'!$D$43/360,5)</f>
        <v>0</v>
      </c>
    </row>
    <row r="715" spans="1:5">
      <c r="A715" s="123">
        <f t="shared" si="22"/>
        <v>713</v>
      </c>
      <c r="B715" s="122">
        <f>IF(DAY(A715)=DAY('F-Ahorro Futuro Genérico'!$H$11),'F-Ahorro Futuro Genérico'!$H$9,0)</f>
        <v>0</v>
      </c>
      <c r="C715" s="122">
        <f t="shared" si="23"/>
        <v>0</v>
      </c>
      <c r="D715" s="121">
        <f>ROUND(C715*'FR_Mantenimiento tasas'!$C$43/360,5)</f>
        <v>0</v>
      </c>
      <c r="E715" s="121">
        <f>ROUND(C715*'FR_Mantenimiento tasas'!$D$43/360,5)</f>
        <v>0</v>
      </c>
    </row>
    <row r="716" spans="1:5">
      <c r="A716" s="123">
        <f t="shared" si="22"/>
        <v>714</v>
      </c>
      <c r="B716" s="122">
        <f>IF(DAY(A716)=DAY('F-Ahorro Futuro Genérico'!$H$11),'F-Ahorro Futuro Genérico'!$H$9,0)</f>
        <v>0</v>
      </c>
      <c r="C716" s="122">
        <f t="shared" si="23"/>
        <v>0</v>
      </c>
      <c r="D716" s="121">
        <f>ROUND(C716*'FR_Mantenimiento tasas'!$C$43/360,5)</f>
        <v>0</v>
      </c>
      <c r="E716" s="121">
        <f>ROUND(C716*'FR_Mantenimiento tasas'!$D$43/360,5)</f>
        <v>0</v>
      </c>
    </row>
    <row r="717" spans="1:5">
      <c r="A717" s="123">
        <f t="shared" si="22"/>
        <v>715</v>
      </c>
      <c r="B717" s="122">
        <f>IF(DAY(A717)=DAY('F-Ahorro Futuro Genérico'!$H$11),'F-Ahorro Futuro Genérico'!$H$9,0)</f>
        <v>0</v>
      </c>
      <c r="C717" s="122">
        <f t="shared" si="23"/>
        <v>0</v>
      </c>
      <c r="D717" s="121">
        <f>ROUND(C717*'FR_Mantenimiento tasas'!$C$43/360,5)</f>
        <v>0</v>
      </c>
      <c r="E717" s="121">
        <f>ROUND(C717*'FR_Mantenimiento tasas'!$D$43/360,5)</f>
        <v>0</v>
      </c>
    </row>
    <row r="718" spans="1:5">
      <c r="A718" s="123">
        <f t="shared" si="22"/>
        <v>716</v>
      </c>
      <c r="B718" s="122">
        <f>IF(DAY(A718)=DAY('F-Ahorro Futuro Genérico'!$H$11),'F-Ahorro Futuro Genérico'!$H$9,0)</f>
        <v>0</v>
      </c>
      <c r="C718" s="122">
        <f t="shared" si="23"/>
        <v>0</v>
      </c>
      <c r="D718" s="121">
        <f>ROUND(C718*'FR_Mantenimiento tasas'!$C$43/360,5)</f>
        <v>0</v>
      </c>
      <c r="E718" s="121">
        <f>ROUND(C718*'FR_Mantenimiento tasas'!$D$43/360,5)</f>
        <v>0</v>
      </c>
    </row>
    <row r="719" spans="1:5">
      <c r="A719" s="123">
        <f t="shared" si="22"/>
        <v>717</v>
      </c>
      <c r="B719" s="122">
        <f>IF(DAY(A719)=DAY('F-Ahorro Futuro Genérico'!$H$11),'F-Ahorro Futuro Genérico'!$H$9,0)</f>
        <v>0</v>
      </c>
      <c r="C719" s="122">
        <f t="shared" si="23"/>
        <v>0</v>
      </c>
      <c r="D719" s="121">
        <f>ROUND(C719*'FR_Mantenimiento tasas'!$C$43/360,5)</f>
        <v>0</v>
      </c>
      <c r="E719" s="121">
        <f>ROUND(C719*'FR_Mantenimiento tasas'!$D$43/360,5)</f>
        <v>0</v>
      </c>
    </row>
    <row r="720" spans="1:5">
      <c r="A720" s="123">
        <f t="shared" si="22"/>
        <v>718</v>
      </c>
      <c r="B720" s="122">
        <f>IF(DAY(A720)=DAY('F-Ahorro Futuro Genérico'!$H$11),'F-Ahorro Futuro Genérico'!$H$9,0)</f>
        <v>0</v>
      </c>
      <c r="C720" s="122">
        <f t="shared" si="23"/>
        <v>0</v>
      </c>
      <c r="D720" s="121">
        <f>ROUND(C720*'FR_Mantenimiento tasas'!$C$43/360,5)</f>
        <v>0</v>
      </c>
      <c r="E720" s="121">
        <f>ROUND(C720*'FR_Mantenimiento tasas'!$D$43/360,5)</f>
        <v>0</v>
      </c>
    </row>
    <row r="721" spans="1:5">
      <c r="A721" s="123">
        <f t="shared" si="22"/>
        <v>719</v>
      </c>
      <c r="B721" s="122">
        <f>IF(DAY(A721)=DAY('F-Ahorro Futuro Genérico'!$H$11),'F-Ahorro Futuro Genérico'!$H$9,0)</f>
        <v>0</v>
      </c>
      <c r="C721" s="122">
        <f t="shared" si="23"/>
        <v>0</v>
      </c>
      <c r="D721" s="121">
        <f>ROUND(C721*'FR_Mantenimiento tasas'!$C$43/360,5)</f>
        <v>0</v>
      </c>
      <c r="E721" s="121">
        <f>ROUND(C721*'FR_Mantenimiento tasas'!$D$43/360,5)</f>
        <v>0</v>
      </c>
    </row>
    <row r="722" spans="1:5">
      <c r="A722" s="123">
        <f t="shared" si="22"/>
        <v>720</v>
      </c>
      <c r="B722" s="122">
        <f>IF(DAY(A722)=DAY('F-Ahorro Futuro Genérico'!$H$11),'F-Ahorro Futuro Genérico'!$H$9,0)</f>
        <v>0</v>
      </c>
      <c r="C722" s="122">
        <f t="shared" si="23"/>
        <v>0</v>
      </c>
      <c r="D722" s="121">
        <f>ROUND(C722*'FR_Mantenimiento tasas'!$C$43/360,5)</f>
        <v>0</v>
      </c>
      <c r="E722" s="121">
        <f>ROUND(C722*'FR_Mantenimiento tasas'!$D$43/360,5)</f>
        <v>0</v>
      </c>
    </row>
    <row r="723" spans="1:5">
      <c r="A723" s="123">
        <f t="shared" si="22"/>
        <v>721</v>
      </c>
      <c r="B723" s="122">
        <f>IF(DAY(A723)=DAY('F-Ahorro Futuro Genérico'!$H$11),'F-Ahorro Futuro Genérico'!$H$9,0)</f>
        <v>0</v>
      </c>
      <c r="C723" s="122">
        <f t="shared" si="23"/>
        <v>0</v>
      </c>
      <c r="D723" s="121">
        <f>ROUND(C723*'FR_Mantenimiento tasas'!$C$43/360,5)</f>
        <v>0</v>
      </c>
      <c r="E723" s="121">
        <f>ROUND(C723*'FR_Mantenimiento tasas'!$D$43/360,5)</f>
        <v>0</v>
      </c>
    </row>
    <row r="724" spans="1:5">
      <c r="A724" s="123">
        <f t="shared" si="22"/>
        <v>722</v>
      </c>
      <c r="B724" s="122">
        <f>IF(DAY(A724)=DAY('F-Ahorro Futuro Genérico'!$H$11),'F-Ahorro Futuro Genérico'!$H$9,0)</f>
        <v>0</v>
      </c>
      <c r="C724" s="122">
        <f t="shared" si="23"/>
        <v>0</v>
      </c>
      <c r="D724" s="121">
        <f>ROUND(C724*'FR_Mantenimiento tasas'!$C$43/360,5)</f>
        <v>0</v>
      </c>
      <c r="E724" s="121">
        <f>ROUND(C724*'FR_Mantenimiento tasas'!$D$43/360,5)</f>
        <v>0</v>
      </c>
    </row>
    <row r="725" spans="1:5">
      <c r="A725" s="123">
        <f t="shared" si="22"/>
        <v>723</v>
      </c>
      <c r="B725" s="122">
        <f>IF(DAY(A725)=DAY('F-Ahorro Futuro Genérico'!$H$11),'F-Ahorro Futuro Genérico'!$H$9,0)</f>
        <v>0</v>
      </c>
      <c r="C725" s="122">
        <f t="shared" si="23"/>
        <v>0</v>
      </c>
      <c r="D725" s="121">
        <f>ROUND(C725*'FR_Mantenimiento tasas'!$C$43/360,5)</f>
        <v>0</v>
      </c>
      <c r="E725" s="121">
        <f>ROUND(C725*'FR_Mantenimiento tasas'!$D$43/360,5)</f>
        <v>0</v>
      </c>
    </row>
    <row r="726" spans="1:5">
      <c r="A726" s="123">
        <f t="shared" si="22"/>
        <v>724</v>
      </c>
      <c r="B726" s="122">
        <f>IF(DAY(A726)=DAY('F-Ahorro Futuro Genérico'!$H$11),'F-Ahorro Futuro Genérico'!$H$9,0)</f>
        <v>0</v>
      </c>
      <c r="C726" s="122">
        <f t="shared" si="23"/>
        <v>0</v>
      </c>
      <c r="D726" s="121">
        <f>ROUND(C726*'FR_Mantenimiento tasas'!$C$43/360,5)</f>
        <v>0</v>
      </c>
      <c r="E726" s="121">
        <f>ROUND(C726*'FR_Mantenimiento tasas'!$D$43/360,5)</f>
        <v>0</v>
      </c>
    </row>
    <row r="727" spans="1:5">
      <c r="A727" s="123">
        <f t="shared" si="22"/>
        <v>725</v>
      </c>
      <c r="B727" s="122">
        <f>IF(DAY(A727)=DAY('F-Ahorro Futuro Genérico'!$H$11),'F-Ahorro Futuro Genérico'!$H$9,0)</f>
        <v>0</v>
      </c>
      <c r="C727" s="122">
        <f t="shared" si="23"/>
        <v>0</v>
      </c>
      <c r="D727" s="121">
        <f>ROUND(C727*'FR_Mantenimiento tasas'!$C$43/360,5)</f>
        <v>0</v>
      </c>
      <c r="E727" s="121">
        <f>ROUND(C727*'FR_Mantenimiento tasas'!$D$43/360,5)</f>
        <v>0</v>
      </c>
    </row>
    <row r="728" spans="1:5">
      <c r="A728" s="123">
        <f t="shared" si="22"/>
        <v>726</v>
      </c>
      <c r="B728" s="122">
        <f>IF(DAY(A728)=DAY('F-Ahorro Futuro Genérico'!$H$11),'F-Ahorro Futuro Genérico'!$H$9,0)</f>
        <v>0</v>
      </c>
      <c r="C728" s="122">
        <f t="shared" si="23"/>
        <v>0</v>
      </c>
      <c r="D728" s="121">
        <f>ROUND(C728*'FR_Mantenimiento tasas'!$C$43/360,5)</f>
        <v>0</v>
      </c>
      <c r="E728" s="121">
        <f>ROUND(C728*'FR_Mantenimiento tasas'!$D$43/360,5)</f>
        <v>0</v>
      </c>
    </row>
    <row r="729" spans="1:5">
      <c r="A729" s="123">
        <f t="shared" si="22"/>
        <v>727</v>
      </c>
      <c r="B729" s="122">
        <f>IF(DAY(A729)=DAY('F-Ahorro Futuro Genérico'!$H$11),'F-Ahorro Futuro Genérico'!$H$9,0)</f>
        <v>0</v>
      </c>
      <c r="C729" s="122">
        <f t="shared" si="23"/>
        <v>0</v>
      </c>
      <c r="D729" s="121">
        <f>ROUND(C729*'FR_Mantenimiento tasas'!$C$43/360,5)</f>
        <v>0</v>
      </c>
      <c r="E729" s="121">
        <f>ROUND(C729*'FR_Mantenimiento tasas'!$D$43/360,5)</f>
        <v>0</v>
      </c>
    </row>
    <row r="730" spans="1:5">
      <c r="A730" s="123">
        <f t="shared" si="22"/>
        <v>728</v>
      </c>
      <c r="B730" s="122">
        <f>IF(DAY(A730)=DAY('F-Ahorro Futuro Genérico'!$H$11),'F-Ahorro Futuro Genérico'!$H$9,0)</f>
        <v>0</v>
      </c>
      <c r="C730" s="122">
        <f t="shared" si="23"/>
        <v>0</v>
      </c>
      <c r="D730" s="121">
        <f>ROUND(C730*'FR_Mantenimiento tasas'!$C$43/360,5)</f>
        <v>0</v>
      </c>
      <c r="E730" s="121">
        <f>ROUND(C730*'FR_Mantenimiento tasas'!$D$43/360,5)</f>
        <v>0</v>
      </c>
    </row>
    <row r="731" spans="1:5">
      <c r="A731" s="123">
        <f t="shared" si="22"/>
        <v>729</v>
      </c>
      <c r="B731" s="122">
        <f>IF(DAY(A731)=DAY('F-Ahorro Futuro Genérico'!$H$11),'F-Ahorro Futuro Genérico'!$H$9,0)</f>
        <v>0</v>
      </c>
      <c r="C731" s="122">
        <f t="shared" si="23"/>
        <v>0</v>
      </c>
      <c r="D731" s="121">
        <f>ROUND(C731*'FR_Mantenimiento tasas'!$C$43/360,5)</f>
        <v>0</v>
      </c>
      <c r="E731" s="121">
        <f>ROUND(C731*'FR_Mantenimiento tasas'!$D$43/360,5)</f>
        <v>0</v>
      </c>
    </row>
    <row r="732" spans="1:5">
      <c r="A732" s="123">
        <f t="shared" si="22"/>
        <v>730</v>
      </c>
      <c r="B732" s="122">
        <f>IF(DAY(A732)=DAY('F-Ahorro Futuro Genérico'!$H$11),'F-Ahorro Futuro Genérico'!$H$9,0)</f>
        <v>0</v>
      </c>
      <c r="C732" s="122">
        <f t="shared" si="23"/>
        <v>0</v>
      </c>
      <c r="D732" s="121">
        <f>ROUND(C732*'FR_Mantenimiento tasas'!$C$43/360,5)</f>
        <v>0</v>
      </c>
      <c r="E732" s="121">
        <f>ROUND(C732*'FR_Mantenimiento tasas'!$D$43/360,5)</f>
        <v>0</v>
      </c>
    </row>
    <row r="733" spans="1:5">
      <c r="A733" s="123">
        <f t="shared" si="22"/>
        <v>731</v>
      </c>
      <c r="B733" s="122">
        <f>IF(DAY(A733)=DAY('F-Ahorro Futuro Genérico'!$H$11),'F-Ahorro Futuro Genérico'!$H$9,0)</f>
        <v>0</v>
      </c>
      <c r="C733" s="122">
        <f t="shared" si="23"/>
        <v>0</v>
      </c>
      <c r="D733" s="121">
        <f>ROUND(C733*'FR_Mantenimiento tasas'!$C$43/360,5)</f>
        <v>0</v>
      </c>
      <c r="E733" s="121">
        <f>ROUND(C733*'FR_Mantenimiento tasas'!$D$43/360,5)</f>
        <v>0</v>
      </c>
    </row>
    <row r="734" spans="1:5">
      <c r="A734" s="123">
        <f t="shared" si="22"/>
        <v>732</v>
      </c>
      <c r="B734" s="122">
        <f>IF(DAY(A734)=DAY('F-Ahorro Futuro Genérico'!$H$11),'F-Ahorro Futuro Genérico'!$H$9,0)</f>
        <v>0</v>
      </c>
      <c r="C734" s="122">
        <f t="shared" si="23"/>
        <v>0</v>
      </c>
      <c r="D734" s="121">
        <f>ROUND(C734*'FR_Mantenimiento tasas'!$C$43/360,5)</f>
        <v>0</v>
      </c>
      <c r="E734" s="121">
        <f>ROUND(C734*'FR_Mantenimiento tasas'!$D$43/360,5)</f>
        <v>0</v>
      </c>
    </row>
    <row r="735" spans="1:5">
      <c r="A735" s="123">
        <f t="shared" si="22"/>
        <v>733</v>
      </c>
      <c r="B735" s="122">
        <f>IF(DAY(A735)=DAY('F-Ahorro Futuro Genérico'!$H$11),'F-Ahorro Futuro Genérico'!$H$9,0)</f>
        <v>0</v>
      </c>
      <c r="C735" s="122">
        <f t="shared" si="23"/>
        <v>0</v>
      </c>
      <c r="D735" s="121">
        <f>ROUND(C735*'FR_Mantenimiento tasas'!$C$43/360,5)</f>
        <v>0</v>
      </c>
      <c r="E735" s="121">
        <f>ROUND(C735*'FR_Mantenimiento tasas'!$D$43/360,5)</f>
        <v>0</v>
      </c>
    </row>
    <row r="736" spans="1:5">
      <c r="A736" s="123">
        <f t="shared" si="22"/>
        <v>734</v>
      </c>
      <c r="B736" s="122">
        <f>IF(DAY(A736)=DAY('F-Ahorro Futuro Genérico'!$H$11),'F-Ahorro Futuro Genérico'!$H$9,0)</f>
        <v>0</v>
      </c>
      <c r="C736" s="122">
        <f t="shared" si="23"/>
        <v>0</v>
      </c>
      <c r="D736" s="121">
        <f>ROUND(C736*'FR_Mantenimiento tasas'!$C$43/360,5)</f>
        <v>0</v>
      </c>
      <c r="E736" s="121">
        <f>ROUND(C736*'FR_Mantenimiento tasas'!$D$43/360,5)</f>
        <v>0</v>
      </c>
    </row>
    <row r="737" spans="1:5">
      <c r="A737" s="123">
        <f t="shared" si="22"/>
        <v>735</v>
      </c>
      <c r="B737" s="122">
        <f>IF(DAY(A737)=DAY('F-Ahorro Futuro Genérico'!$H$11),'F-Ahorro Futuro Genérico'!$H$9,0)</f>
        <v>0</v>
      </c>
      <c r="C737" s="122">
        <f t="shared" si="23"/>
        <v>0</v>
      </c>
      <c r="D737" s="121">
        <f>ROUND(C737*'FR_Mantenimiento tasas'!$C$43/360,5)</f>
        <v>0</v>
      </c>
      <c r="E737" s="121">
        <f>ROUND(C737*'FR_Mantenimiento tasas'!$D$43/360,5)</f>
        <v>0</v>
      </c>
    </row>
    <row r="738" spans="1:5">
      <c r="A738" s="123">
        <f t="shared" si="22"/>
        <v>736</v>
      </c>
      <c r="B738" s="122">
        <f>IF(DAY(A738)=DAY('F-Ahorro Futuro Genérico'!$H$11),'F-Ahorro Futuro Genérico'!$H$9,0)</f>
        <v>0</v>
      </c>
      <c r="C738" s="122">
        <f t="shared" si="23"/>
        <v>0</v>
      </c>
      <c r="D738" s="121">
        <f>ROUND(C738*'FR_Mantenimiento tasas'!$C$43/360,5)</f>
        <v>0</v>
      </c>
      <c r="E738" s="121">
        <f>ROUND(C738*'FR_Mantenimiento tasas'!$D$43/360,5)</f>
        <v>0</v>
      </c>
    </row>
    <row r="739" spans="1:5">
      <c r="A739" s="123">
        <f t="shared" si="22"/>
        <v>737</v>
      </c>
      <c r="B739" s="122">
        <f>IF(DAY(A739)=DAY('F-Ahorro Futuro Genérico'!$H$11),'F-Ahorro Futuro Genérico'!$H$9,0)</f>
        <v>0</v>
      </c>
      <c r="C739" s="122">
        <f t="shared" si="23"/>
        <v>0</v>
      </c>
      <c r="D739" s="121">
        <f>ROUND(C739*'FR_Mantenimiento tasas'!$C$43/360,5)</f>
        <v>0</v>
      </c>
      <c r="E739" s="121">
        <f>ROUND(C739*'FR_Mantenimiento tasas'!$D$43/360,5)</f>
        <v>0</v>
      </c>
    </row>
    <row r="740" spans="1:5">
      <c r="A740" s="123">
        <f t="shared" si="22"/>
        <v>738</v>
      </c>
      <c r="B740" s="122">
        <f>IF(DAY(A740)=DAY('F-Ahorro Futuro Genérico'!$H$11),'F-Ahorro Futuro Genérico'!$H$9,0)</f>
        <v>0</v>
      </c>
      <c r="C740" s="122">
        <f t="shared" si="23"/>
        <v>0</v>
      </c>
      <c r="D740" s="121">
        <f>ROUND(C740*'FR_Mantenimiento tasas'!$C$43/360,5)</f>
        <v>0</v>
      </c>
      <c r="E740" s="121">
        <f>ROUND(C740*'FR_Mantenimiento tasas'!$D$43/360,5)</f>
        <v>0</v>
      </c>
    </row>
    <row r="741" spans="1:5">
      <c r="A741" s="123">
        <f t="shared" si="22"/>
        <v>739</v>
      </c>
      <c r="B741" s="122">
        <f>IF(DAY(A741)=DAY('F-Ahorro Futuro Genérico'!$H$11),'F-Ahorro Futuro Genérico'!$H$9,0)</f>
        <v>0</v>
      </c>
      <c r="C741" s="122">
        <f t="shared" si="23"/>
        <v>0</v>
      </c>
      <c r="D741" s="121">
        <f>ROUND(C741*'FR_Mantenimiento tasas'!$C$43/360,5)</f>
        <v>0</v>
      </c>
      <c r="E741" s="121">
        <f>ROUND(C741*'FR_Mantenimiento tasas'!$D$43/360,5)</f>
        <v>0</v>
      </c>
    </row>
    <row r="742" spans="1:5">
      <c r="A742" s="123">
        <f t="shared" si="22"/>
        <v>740</v>
      </c>
      <c r="B742" s="122">
        <f>IF(DAY(A742)=DAY('F-Ahorro Futuro Genérico'!$H$11),'F-Ahorro Futuro Genérico'!$H$9,0)</f>
        <v>0</v>
      </c>
      <c r="C742" s="122">
        <f t="shared" si="23"/>
        <v>0</v>
      </c>
      <c r="D742" s="121">
        <f>ROUND(C742*'FR_Mantenimiento tasas'!$C$43/360,5)</f>
        <v>0</v>
      </c>
      <c r="E742" s="121">
        <f>ROUND(C742*'FR_Mantenimiento tasas'!$D$43/360,5)</f>
        <v>0</v>
      </c>
    </row>
    <row r="743" spans="1:5">
      <c r="A743" s="123">
        <f t="shared" si="22"/>
        <v>741</v>
      </c>
      <c r="B743" s="122">
        <f>IF(DAY(A743)=DAY('F-Ahorro Futuro Genérico'!$H$11),'F-Ahorro Futuro Genérico'!$H$9,0)</f>
        <v>0</v>
      </c>
      <c r="C743" s="122">
        <f t="shared" si="23"/>
        <v>0</v>
      </c>
      <c r="D743" s="121">
        <f>ROUND(C743*'FR_Mantenimiento tasas'!$C$43/360,5)</f>
        <v>0</v>
      </c>
      <c r="E743" s="121">
        <f>ROUND(C743*'FR_Mantenimiento tasas'!$D$43/360,5)</f>
        <v>0</v>
      </c>
    </row>
    <row r="744" spans="1:5">
      <c r="A744" s="123">
        <f t="shared" si="22"/>
        <v>742</v>
      </c>
      <c r="B744" s="122">
        <f>IF(DAY(A744)=DAY('F-Ahorro Futuro Genérico'!$H$11),'F-Ahorro Futuro Genérico'!$H$9,0)</f>
        <v>0</v>
      </c>
      <c r="C744" s="122">
        <f t="shared" si="23"/>
        <v>0</v>
      </c>
      <c r="D744" s="121">
        <f>ROUND(C744*'FR_Mantenimiento tasas'!$C$43/360,5)</f>
        <v>0</v>
      </c>
      <c r="E744" s="121">
        <f>ROUND(C744*'FR_Mantenimiento tasas'!$D$43/360,5)</f>
        <v>0</v>
      </c>
    </row>
    <row r="745" spans="1:5">
      <c r="A745" s="123">
        <f t="shared" si="22"/>
        <v>743</v>
      </c>
      <c r="B745" s="122">
        <f>IF(DAY(A745)=DAY('F-Ahorro Futuro Genérico'!$H$11),'F-Ahorro Futuro Genérico'!$H$9,0)</f>
        <v>0</v>
      </c>
      <c r="C745" s="122">
        <f t="shared" si="23"/>
        <v>0</v>
      </c>
      <c r="D745" s="121">
        <f>ROUND(C745*'FR_Mantenimiento tasas'!$C$43/360,5)</f>
        <v>0</v>
      </c>
      <c r="E745" s="121">
        <f>ROUND(C745*'FR_Mantenimiento tasas'!$D$43/360,5)</f>
        <v>0</v>
      </c>
    </row>
    <row r="746" spans="1:5">
      <c r="A746" s="123">
        <f t="shared" si="22"/>
        <v>744</v>
      </c>
      <c r="B746" s="122">
        <f>IF(DAY(A746)=DAY('F-Ahorro Futuro Genérico'!$H$11),'F-Ahorro Futuro Genérico'!$H$9,0)</f>
        <v>0</v>
      </c>
      <c r="C746" s="122">
        <f t="shared" si="23"/>
        <v>0</v>
      </c>
      <c r="D746" s="121">
        <f>ROUND(C746*'FR_Mantenimiento tasas'!$C$43/360,5)</f>
        <v>0</v>
      </c>
      <c r="E746" s="121">
        <f>ROUND(C746*'FR_Mantenimiento tasas'!$D$43/360,5)</f>
        <v>0</v>
      </c>
    </row>
    <row r="747" spans="1:5">
      <c r="A747" s="123">
        <f t="shared" si="22"/>
        <v>745</v>
      </c>
      <c r="B747" s="122">
        <f>IF(DAY(A747)=DAY('F-Ahorro Futuro Genérico'!$H$11),'F-Ahorro Futuro Genérico'!$H$9,0)</f>
        <v>0</v>
      </c>
      <c r="C747" s="122">
        <f t="shared" si="23"/>
        <v>0</v>
      </c>
      <c r="D747" s="121">
        <f>ROUND(C747*'FR_Mantenimiento tasas'!$C$43/360,5)</f>
        <v>0</v>
      </c>
      <c r="E747" s="121">
        <f>ROUND(C747*'FR_Mantenimiento tasas'!$D$43/360,5)</f>
        <v>0</v>
      </c>
    </row>
    <row r="748" spans="1:5">
      <c r="A748" s="123">
        <f t="shared" si="22"/>
        <v>746</v>
      </c>
      <c r="B748" s="122">
        <f>IF(DAY(A748)=DAY('F-Ahorro Futuro Genérico'!$H$11),'F-Ahorro Futuro Genérico'!$H$9,0)</f>
        <v>0</v>
      </c>
      <c r="C748" s="122">
        <f t="shared" si="23"/>
        <v>0</v>
      </c>
      <c r="D748" s="121">
        <f>ROUND(C748*'FR_Mantenimiento tasas'!$C$43/360,5)</f>
        <v>0</v>
      </c>
      <c r="E748" s="121">
        <f>ROUND(C748*'FR_Mantenimiento tasas'!$D$43/360,5)</f>
        <v>0</v>
      </c>
    </row>
    <row r="749" spans="1:5">
      <c r="A749" s="123">
        <f t="shared" si="22"/>
        <v>747</v>
      </c>
      <c r="B749" s="122">
        <f>IF(DAY(A749)=DAY('F-Ahorro Futuro Genérico'!$H$11),'F-Ahorro Futuro Genérico'!$H$9,0)</f>
        <v>0</v>
      </c>
      <c r="C749" s="122">
        <f t="shared" si="23"/>
        <v>0</v>
      </c>
      <c r="D749" s="121">
        <f>ROUND(C749*'FR_Mantenimiento tasas'!$C$43/360,5)</f>
        <v>0</v>
      </c>
      <c r="E749" s="121">
        <f>ROUND(C749*'FR_Mantenimiento tasas'!$D$43/360,5)</f>
        <v>0</v>
      </c>
    </row>
    <row r="750" spans="1:5">
      <c r="A750" s="123">
        <f t="shared" si="22"/>
        <v>748</v>
      </c>
      <c r="B750" s="122">
        <f>IF(DAY(A750)=DAY('F-Ahorro Futuro Genérico'!$H$11),'F-Ahorro Futuro Genérico'!$H$9,0)</f>
        <v>0</v>
      </c>
      <c r="C750" s="122">
        <f t="shared" si="23"/>
        <v>0</v>
      </c>
      <c r="D750" s="121">
        <f>ROUND(C750*'FR_Mantenimiento tasas'!$C$43/360,5)</f>
        <v>0</v>
      </c>
      <c r="E750" s="121">
        <f>ROUND(C750*'FR_Mantenimiento tasas'!$D$43/360,5)</f>
        <v>0</v>
      </c>
    </row>
    <row r="751" spans="1:5">
      <c r="A751" s="123">
        <f t="shared" si="22"/>
        <v>749</v>
      </c>
      <c r="B751" s="122">
        <f>IF(DAY(A751)=DAY('F-Ahorro Futuro Genérico'!$H$11),'F-Ahorro Futuro Genérico'!$H$9,0)</f>
        <v>0</v>
      </c>
      <c r="C751" s="122">
        <f t="shared" si="23"/>
        <v>0</v>
      </c>
      <c r="D751" s="121">
        <f>ROUND(C751*'FR_Mantenimiento tasas'!$C$43/360,5)</f>
        <v>0</v>
      </c>
      <c r="E751" s="121">
        <f>ROUND(C751*'FR_Mantenimiento tasas'!$D$43/360,5)</f>
        <v>0</v>
      </c>
    </row>
    <row r="752" spans="1:5">
      <c r="A752" s="123">
        <f t="shared" si="22"/>
        <v>750</v>
      </c>
      <c r="B752" s="122">
        <f>IF(DAY(A752)=DAY('F-Ahorro Futuro Genérico'!$H$11),'F-Ahorro Futuro Genérico'!$H$9,0)</f>
        <v>0</v>
      </c>
      <c r="C752" s="122">
        <f t="shared" si="23"/>
        <v>0</v>
      </c>
      <c r="D752" s="121">
        <f>ROUND(C752*'FR_Mantenimiento tasas'!$C$43/360,5)</f>
        <v>0</v>
      </c>
      <c r="E752" s="121">
        <f>ROUND(C752*'FR_Mantenimiento tasas'!$D$43/360,5)</f>
        <v>0</v>
      </c>
    </row>
    <row r="753" spans="1:5">
      <c r="A753" s="123">
        <f t="shared" si="22"/>
        <v>751</v>
      </c>
      <c r="B753" s="122">
        <f>IF(DAY(A753)=DAY('F-Ahorro Futuro Genérico'!$H$11),'F-Ahorro Futuro Genérico'!$H$9,0)</f>
        <v>0</v>
      </c>
      <c r="C753" s="122">
        <f t="shared" si="23"/>
        <v>0</v>
      </c>
      <c r="D753" s="121">
        <f>ROUND(C753*'FR_Mantenimiento tasas'!$C$43/360,5)</f>
        <v>0</v>
      </c>
      <c r="E753" s="121">
        <f>ROUND(C753*'FR_Mantenimiento tasas'!$D$43/360,5)</f>
        <v>0</v>
      </c>
    </row>
    <row r="754" spans="1:5">
      <c r="A754" s="123">
        <f t="shared" si="22"/>
        <v>752</v>
      </c>
      <c r="B754" s="122">
        <f>IF(DAY(A754)=DAY('F-Ahorro Futuro Genérico'!$H$11),'F-Ahorro Futuro Genérico'!$H$9,0)</f>
        <v>0</v>
      </c>
      <c r="C754" s="122">
        <f t="shared" si="23"/>
        <v>0</v>
      </c>
      <c r="D754" s="121">
        <f>ROUND(C754*'FR_Mantenimiento tasas'!$C$43/360,5)</f>
        <v>0</v>
      </c>
      <c r="E754" s="121">
        <f>ROUND(C754*'FR_Mantenimiento tasas'!$D$43/360,5)</f>
        <v>0</v>
      </c>
    </row>
    <row r="755" spans="1:5">
      <c r="A755" s="123">
        <f t="shared" si="22"/>
        <v>753</v>
      </c>
      <c r="B755" s="122">
        <f>IF(DAY(A755)=DAY('F-Ahorro Futuro Genérico'!$H$11),'F-Ahorro Futuro Genérico'!$H$9,0)</f>
        <v>0</v>
      </c>
      <c r="C755" s="122">
        <f t="shared" si="23"/>
        <v>0</v>
      </c>
      <c r="D755" s="121">
        <f>ROUND(C755*'FR_Mantenimiento tasas'!$C$43/360,5)</f>
        <v>0</v>
      </c>
      <c r="E755" s="121">
        <f>ROUND(C755*'FR_Mantenimiento tasas'!$D$43/360,5)</f>
        <v>0</v>
      </c>
    </row>
    <row r="756" spans="1:5">
      <c r="A756" s="123">
        <f t="shared" si="22"/>
        <v>754</v>
      </c>
      <c r="B756" s="122">
        <f>IF(DAY(A756)=DAY('F-Ahorro Futuro Genérico'!$H$11),'F-Ahorro Futuro Genérico'!$H$9,0)</f>
        <v>0</v>
      </c>
      <c r="C756" s="122">
        <f t="shared" si="23"/>
        <v>0</v>
      </c>
      <c r="D756" s="121">
        <f>ROUND(C756*'FR_Mantenimiento tasas'!$C$43/360,5)</f>
        <v>0</v>
      </c>
      <c r="E756" s="121">
        <f>ROUND(C756*'FR_Mantenimiento tasas'!$D$43/360,5)</f>
        <v>0</v>
      </c>
    </row>
    <row r="757" spans="1:5">
      <c r="A757" s="123">
        <f t="shared" si="22"/>
        <v>755</v>
      </c>
      <c r="B757" s="122">
        <f>IF(DAY(A757)=DAY('F-Ahorro Futuro Genérico'!$H$11),'F-Ahorro Futuro Genérico'!$H$9,0)</f>
        <v>0</v>
      </c>
      <c r="C757" s="122">
        <f t="shared" si="23"/>
        <v>0</v>
      </c>
      <c r="D757" s="121">
        <f>ROUND(C757*'FR_Mantenimiento tasas'!$C$43/360,5)</f>
        <v>0</v>
      </c>
      <c r="E757" s="121">
        <f>ROUND(C757*'FR_Mantenimiento tasas'!$D$43/360,5)</f>
        <v>0</v>
      </c>
    </row>
    <row r="758" spans="1:5">
      <c r="A758" s="123">
        <f t="shared" si="22"/>
        <v>756</v>
      </c>
      <c r="B758" s="122">
        <f>IF(DAY(A758)=DAY('F-Ahorro Futuro Genérico'!$H$11),'F-Ahorro Futuro Genérico'!$H$9,0)</f>
        <v>0</v>
      </c>
      <c r="C758" s="122">
        <f t="shared" si="23"/>
        <v>0</v>
      </c>
      <c r="D758" s="121">
        <f>ROUND(C758*'FR_Mantenimiento tasas'!$C$43/360,5)</f>
        <v>0</v>
      </c>
      <c r="E758" s="121">
        <f>ROUND(C758*'FR_Mantenimiento tasas'!$D$43/360,5)</f>
        <v>0</v>
      </c>
    </row>
    <row r="759" spans="1:5">
      <c r="A759" s="123">
        <f t="shared" si="22"/>
        <v>757</v>
      </c>
      <c r="B759" s="122">
        <f>IF(DAY(A759)=DAY('F-Ahorro Futuro Genérico'!$H$11),'F-Ahorro Futuro Genérico'!$H$9,0)</f>
        <v>0</v>
      </c>
      <c r="C759" s="122">
        <f t="shared" si="23"/>
        <v>0</v>
      </c>
      <c r="D759" s="121">
        <f>ROUND(C759*'FR_Mantenimiento tasas'!$C$43/360,5)</f>
        <v>0</v>
      </c>
      <c r="E759" s="121">
        <f>ROUND(C759*'FR_Mantenimiento tasas'!$D$43/360,5)</f>
        <v>0</v>
      </c>
    </row>
    <row r="760" spans="1:5">
      <c r="A760" s="123">
        <f t="shared" si="22"/>
        <v>758</v>
      </c>
      <c r="B760" s="122">
        <f>IF(DAY(A760)=DAY('F-Ahorro Futuro Genérico'!$H$11),'F-Ahorro Futuro Genérico'!$H$9,0)</f>
        <v>0</v>
      </c>
      <c r="C760" s="122">
        <f t="shared" si="23"/>
        <v>0</v>
      </c>
      <c r="D760" s="121">
        <f>ROUND(C760*'FR_Mantenimiento tasas'!$C$43/360,5)</f>
        <v>0</v>
      </c>
      <c r="E760" s="121">
        <f>ROUND(C760*'FR_Mantenimiento tasas'!$D$43/360,5)</f>
        <v>0</v>
      </c>
    </row>
    <row r="761" spans="1:5">
      <c r="A761" s="123">
        <f t="shared" si="22"/>
        <v>759</v>
      </c>
      <c r="B761" s="122">
        <f>IF(DAY(A761)=DAY('F-Ahorro Futuro Genérico'!$H$11),'F-Ahorro Futuro Genérico'!$H$9,0)</f>
        <v>0</v>
      </c>
      <c r="C761" s="122">
        <f t="shared" si="23"/>
        <v>0</v>
      </c>
      <c r="D761" s="121">
        <f>ROUND(C761*'FR_Mantenimiento tasas'!$C$43/360,5)</f>
        <v>0</v>
      </c>
      <c r="E761" s="121">
        <f>ROUND(C761*'FR_Mantenimiento tasas'!$D$43/360,5)</f>
        <v>0</v>
      </c>
    </row>
    <row r="762" spans="1:5">
      <c r="A762" s="123">
        <f t="shared" si="22"/>
        <v>760</v>
      </c>
      <c r="B762" s="122">
        <f>IF(DAY(A762)=DAY('F-Ahorro Futuro Genérico'!$H$11),'F-Ahorro Futuro Genérico'!$H$9,0)</f>
        <v>0</v>
      </c>
      <c r="C762" s="122">
        <f t="shared" si="23"/>
        <v>0</v>
      </c>
      <c r="D762" s="121">
        <f>ROUND(C762*'FR_Mantenimiento tasas'!$C$43/360,5)</f>
        <v>0</v>
      </c>
      <c r="E762" s="121">
        <f>ROUND(C762*'FR_Mantenimiento tasas'!$D$43/360,5)</f>
        <v>0</v>
      </c>
    </row>
    <row r="763" spans="1:5">
      <c r="A763" s="123">
        <f t="shared" si="22"/>
        <v>761</v>
      </c>
      <c r="B763" s="122">
        <f>IF(DAY(A763)=DAY('F-Ahorro Futuro Genérico'!$H$11),'F-Ahorro Futuro Genérico'!$H$9,0)</f>
        <v>0</v>
      </c>
      <c r="C763" s="122">
        <f t="shared" si="23"/>
        <v>0</v>
      </c>
      <c r="D763" s="121">
        <f>ROUND(C763*'FR_Mantenimiento tasas'!$C$43/360,5)</f>
        <v>0</v>
      </c>
      <c r="E763" s="121">
        <f>ROUND(C763*'FR_Mantenimiento tasas'!$D$43/360,5)</f>
        <v>0</v>
      </c>
    </row>
    <row r="764" spans="1:5">
      <c r="A764" s="123">
        <f t="shared" si="22"/>
        <v>762</v>
      </c>
      <c r="B764" s="122">
        <f>IF(DAY(A764)=DAY('F-Ahorro Futuro Genérico'!$H$11),'F-Ahorro Futuro Genérico'!$H$9,0)</f>
        <v>0</v>
      </c>
      <c r="C764" s="122">
        <f t="shared" si="23"/>
        <v>0</v>
      </c>
      <c r="D764" s="121">
        <f>ROUND(C764*'FR_Mantenimiento tasas'!$C$43/360,5)</f>
        <v>0</v>
      </c>
      <c r="E764" s="121">
        <f>ROUND(C764*'FR_Mantenimiento tasas'!$D$43/360,5)</f>
        <v>0</v>
      </c>
    </row>
    <row r="765" spans="1:5">
      <c r="A765" s="123">
        <f t="shared" si="22"/>
        <v>763</v>
      </c>
      <c r="B765" s="122">
        <f>IF(DAY(A765)=DAY('F-Ahorro Futuro Genérico'!$H$11),'F-Ahorro Futuro Genérico'!$H$9,0)</f>
        <v>0</v>
      </c>
      <c r="C765" s="122">
        <f t="shared" si="23"/>
        <v>0</v>
      </c>
      <c r="D765" s="121">
        <f>ROUND(C765*'FR_Mantenimiento tasas'!$C$43/360,5)</f>
        <v>0</v>
      </c>
      <c r="E765" s="121">
        <f>ROUND(C765*'FR_Mantenimiento tasas'!$D$43/360,5)</f>
        <v>0</v>
      </c>
    </row>
    <row r="766" spans="1:5">
      <c r="A766" s="123">
        <f t="shared" si="22"/>
        <v>764</v>
      </c>
      <c r="B766" s="122">
        <f>IF(DAY(A766)=DAY('F-Ahorro Futuro Genérico'!$H$11),'F-Ahorro Futuro Genérico'!$H$9,0)</f>
        <v>0</v>
      </c>
      <c r="C766" s="122">
        <f t="shared" si="23"/>
        <v>0</v>
      </c>
      <c r="D766" s="121">
        <f>ROUND(C766*'FR_Mantenimiento tasas'!$C$43/360,5)</f>
        <v>0</v>
      </c>
      <c r="E766" s="121">
        <f>ROUND(C766*'FR_Mantenimiento tasas'!$D$43/360,5)</f>
        <v>0</v>
      </c>
    </row>
    <row r="767" spans="1:5">
      <c r="A767" s="123">
        <f t="shared" si="22"/>
        <v>765</v>
      </c>
      <c r="B767" s="122">
        <f>IF(DAY(A767)=DAY('F-Ahorro Futuro Genérico'!$H$11),'F-Ahorro Futuro Genérico'!$H$9,0)</f>
        <v>0</v>
      </c>
      <c r="C767" s="122">
        <f t="shared" si="23"/>
        <v>0</v>
      </c>
      <c r="D767" s="121">
        <f>ROUND(C767*'FR_Mantenimiento tasas'!$C$43/360,5)</f>
        <v>0</v>
      </c>
      <c r="E767" s="121">
        <f>ROUND(C767*'FR_Mantenimiento tasas'!$D$43/360,5)</f>
        <v>0</v>
      </c>
    </row>
    <row r="768" spans="1:5">
      <c r="A768" s="123">
        <f t="shared" si="22"/>
        <v>766</v>
      </c>
      <c r="B768" s="122">
        <f>IF(DAY(A768)=DAY('F-Ahorro Futuro Genérico'!$H$11),'F-Ahorro Futuro Genérico'!$H$9,0)</f>
        <v>0</v>
      </c>
      <c r="C768" s="122">
        <f t="shared" si="23"/>
        <v>0</v>
      </c>
      <c r="D768" s="121">
        <f>ROUND(C768*'FR_Mantenimiento tasas'!$C$43/360,5)</f>
        <v>0</v>
      </c>
      <c r="E768" s="121">
        <f>ROUND(C768*'FR_Mantenimiento tasas'!$D$43/360,5)</f>
        <v>0</v>
      </c>
    </row>
    <row r="769" spans="1:5">
      <c r="A769" s="123">
        <f t="shared" si="22"/>
        <v>767</v>
      </c>
      <c r="B769" s="122">
        <f>IF(DAY(A769)=DAY('F-Ahorro Futuro Genérico'!$H$11),'F-Ahorro Futuro Genérico'!$H$9,0)</f>
        <v>0</v>
      </c>
      <c r="C769" s="122">
        <f t="shared" si="23"/>
        <v>0</v>
      </c>
      <c r="D769" s="121">
        <f>ROUND(C769*'FR_Mantenimiento tasas'!$C$43/360,5)</f>
        <v>0</v>
      </c>
      <c r="E769" s="121">
        <f>ROUND(C769*'FR_Mantenimiento tasas'!$D$43/360,5)</f>
        <v>0</v>
      </c>
    </row>
    <row r="770" spans="1:5">
      <c r="A770" s="123">
        <f t="shared" si="22"/>
        <v>768</v>
      </c>
      <c r="B770" s="122">
        <f>IF(DAY(A770)=DAY('F-Ahorro Futuro Genérico'!$H$11),'F-Ahorro Futuro Genérico'!$H$9,0)</f>
        <v>0</v>
      </c>
      <c r="C770" s="122">
        <f t="shared" si="23"/>
        <v>0</v>
      </c>
      <c r="D770" s="121">
        <f>ROUND(C770*'FR_Mantenimiento tasas'!$C$43/360,5)</f>
        <v>0</v>
      </c>
      <c r="E770" s="121">
        <f>ROUND(C770*'FR_Mantenimiento tasas'!$D$43/360,5)</f>
        <v>0</v>
      </c>
    </row>
    <row r="771" spans="1:5">
      <c r="A771" s="123">
        <f t="shared" si="22"/>
        <v>769</v>
      </c>
      <c r="B771" s="122">
        <f>IF(DAY(A771)=DAY('F-Ahorro Futuro Genérico'!$H$11),'F-Ahorro Futuro Genérico'!$H$9,0)</f>
        <v>0</v>
      </c>
      <c r="C771" s="122">
        <f t="shared" si="23"/>
        <v>0</v>
      </c>
      <c r="D771" s="121">
        <f>ROUND(C771*'FR_Mantenimiento tasas'!$C$43/360,5)</f>
        <v>0</v>
      </c>
      <c r="E771" s="121">
        <f>ROUND(C771*'FR_Mantenimiento tasas'!$D$43/360,5)</f>
        <v>0</v>
      </c>
    </row>
    <row r="772" spans="1:5">
      <c r="A772" s="123">
        <f t="shared" ref="A772:A835" si="24">+A771+1</f>
        <v>770</v>
      </c>
      <c r="B772" s="122">
        <f>IF(DAY(A772)=DAY('F-Ahorro Futuro Genérico'!$H$11),'F-Ahorro Futuro Genérico'!$H$9,0)</f>
        <v>0</v>
      </c>
      <c r="C772" s="122">
        <f t="shared" ref="C772:C835" si="25">+B772+C771+D771</f>
        <v>0</v>
      </c>
      <c r="D772" s="121">
        <f>ROUND(C772*'FR_Mantenimiento tasas'!$C$43/360,5)</f>
        <v>0</v>
      </c>
      <c r="E772" s="121">
        <f>ROUND(C772*'FR_Mantenimiento tasas'!$D$43/360,5)</f>
        <v>0</v>
      </c>
    </row>
    <row r="773" spans="1:5">
      <c r="A773" s="123">
        <f t="shared" si="24"/>
        <v>771</v>
      </c>
      <c r="B773" s="122">
        <f>IF(DAY(A773)=DAY('F-Ahorro Futuro Genérico'!$H$11),'F-Ahorro Futuro Genérico'!$H$9,0)</f>
        <v>0</v>
      </c>
      <c r="C773" s="122">
        <f t="shared" si="25"/>
        <v>0</v>
      </c>
      <c r="D773" s="121">
        <f>ROUND(C773*'FR_Mantenimiento tasas'!$C$43/360,5)</f>
        <v>0</v>
      </c>
      <c r="E773" s="121">
        <f>ROUND(C773*'FR_Mantenimiento tasas'!$D$43/360,5)</f>
        <v>0</v>
      </c>
    </row>
    <row r="774" spans="1:5">
      <c r="A774" s="123">
        <f t="shared" si="24"/>
        <v>772</v>
      </c>
      <c r="B774" s="122">
        <f>IF(DAY(A774)=DAY('F-Ahorro Futuro Genérico'!$H$11),'F-Ahorro Futuro Genérico'!$H$9,0)</f>
        <v>0</v>
      </c>
      <c r="C774" s="122">
        <f t="shared" si="25"/>
        <v>0</v>
      </c>
      <c r="D774" s="121">
        <f>ROUND(C774*'FR_Mantenimiento tasas'!$C$43/360,5)</f>
        <v>0</v>
      </c>
      <c r="E774" s="121">
        <f>ROUND(C774*'FR_Mantenimiento tasas'!$D$43/360,5)</f>
        <v>0</v>
      </c>
    </row>
    <row r="775" spans="1:5">
      <c r="A775" s="123">
        <f t="shared" si="24"/>
        <v>773</v>
      </c>
      <c r="B775" s="122">
        <f>IF(DAY(A775)=DAY('F-Ahorro Futuro Genérico'!$H$11),'F-Ahorro Futuro Genérico'!$H$9,0)</f>
        <v>0</v>
      </c>
      <c r="C775" s="122">
        <f t="shared" si="25"/>
        <v>0</v>
      </c>
      <c r="D775" s="121">
        <f>ROUND(C775*'FR_Mantenimiento tasas'!$C$43/360,5)</f>
        <v>0</v>
      </c>
      <c r="E775" s="121">
        <f>ROUND(C775*'FR_Mantenimiento tasas'!$D$43/360,5)</f>
        <v>0</v>
      </c>
    </row>
    <row r="776" spans="1:5">
      <c r="A776" s="123">
        <f t="shared" si="24"/>
        <v>774</v>
      </c>
      <c r="B776" s="122">
        <f>IF(DAY(A776)=DAY('F-Ahorro Futuro Genérico'!$H$11),'F-Ahorro Futuro Genérico'!$H$9,0)</f>
        <v>0</v>
      </c>
      <c r="C776" s="122">
        <f t="shared" si="25"/>
        <v>0</v>
      </c>
      <c r="D776" s="121">
        <f>ROUND(C776*'FR_Mantenimiento tasas'!$C$43/360,5)</f>
        <v>0</v>
      </c>
      <c r="E776" s="121">
        <f>ROUND(C776*'FR_Mantenimiento tasas'!$D$43/360,5)</f>
        <v>0</v>
      </c>
    </row>
    <row r="777" spans="1:5">
      <c r="A777" s="123">
        <f t="shared" si="24"/>
        <v>775</v>
      </c>
      <c r="B777" s="122">
        <f>IF(DAY(A777)=DAY('F-Ahorro Futuro Genérico'!$H$11),'F-Ahorro Futuro Genérico'!$H$9,0)</f>
        <v>0</v>
      </c>
      <c r="C777" s="122">
        <f t="shared" si="25"/>
        <v>0</v>
      </c>
      <c r="D777" s="121">
        <f>ROUND(C777*'FR_Mantenimiento tasas'!$C$43/360,5)</f>
        <v>0</v>
      </c>
      <c r="E777" s="121">
        <f>ROUND(C777*'FR_Mantenimiento tasas'!$D$43/360,5)</f>
        <v>0</v>
      </c>
    </row>
    <row r="778" spans="1:5">
      <c r="A778" s="123">
        <f t="shared" si="24"/>
        <v>776</v>
      </c>
      <c r="B778" s="122">
        <f>IF(DAY(A778)=DAY('F-Ahorro Futuro Genérico'!$H$11),'F-Ahorro Futuro Genérico'!$H$9,0)</f>
        <v>0</v>
      </c>
      <c r="C778" s="122">
        <f t="shared" si="25"/>
        <v>0</v>
      </c>
      <c r="D778" s="121">
        <f>ROUND(C778*'FR_Mantenimiento tasas'!$C$43/360,5)</f>
        <v>0</v>
      </c>
      <c r="E778" s="121">
        <f>ROUND(C778*'FR_Mantenimiento tasas'!$D$43/360,5)</f>
        <v>0</v>
      </c>
    </row>
    <row r="779" spans="1:5">
      <c r="A779" s="123">
        <f t="shared" si="24"/>
        <v>777</v>
      </c>
      <c r="B779" s="122">
        <f>IF(DAY(A779)=DAY('F-Ahorro Futuro Genérico'!$H$11),'F-Ahorro Futuro Genérico'!$H$9,0)</f>
        <v>0</v>
      </c>
      <c r="C779" s="122">
        <f t="shared" si="25"/>
        <v>0</v>
      </c>
      <c r="D779" s="121">
        <f>ROUND(C779*'FR_Mantenimiento tasas'!$C$43/360,5)</f>
        <v>0</v>
      </c>
      <c r="E779" s="121">
        <f>ROUND(C779*'FR_Mantenimiento tasas'!$D$43/360,5)</f>
        <v>0</v>
      </c>
    </row>
    <row r="780" spans="1:5">
      <c r="A780" s="123">
        <f t="shared" si="24"/>
        <v>778</v>
      </c>
      <c r="B780" s="122">
        <f>IF(DAY(A780)=DAY('F-Ahorro Futuro Genérico'!$H$11),'F-Ahorro Futuro Genérico'!$H$9,0)</f>
        <v>0</v>
      </c>
      <c r="C780" s="122">
        <f t="shared" si="25"/>
        <v>0</v>
      </c>
      <c r="D780" s="121">
        <f>ROUND(C780*'FR_Mantenimiento tasas'!$C$43/360,5)</f>
        <v>0</v>
      </c>
      <c r="E780" s="121">
        <f>ROUND(C780*'FR_Mantenimiento tasas'!$D$43/360,5)</f>
        <v>0</v>
      </c>
    </row>
    <row r="781" spans="1:5">
      <c r="A781" s="123">
        <f t="shared" si="24"/>
        <v>779</v>
      </c>
      <c r="B781" s="122">
        <f>IF(DAY(A781)=DAY('F-Ahorro Futuro Genérico'!$H$11),'F-Ahorro Futuro Genérico'!$H$9,0)</f>
        <v>0</v>
      </c>
      <c r="C781" s="122">
        <f t="shared" si="25"/>
        <v>0</v>
      </c>
      <c r="D781" s="121">
        <f>ROUND(C781*'FR_Mantenimiento tasas'!$C$43/360,5)</f>
        <v>0</v>
      </c>
      <c r="E781" s="121">
        <f>ROUND(C781*'FR_Mantenimiento tasas'!$D$43/360,5)</f>
        <v>0</v>
      </c>
    </row>
    <row r="782" spans="1:5">
      <c r="A782" s="123">
        <f t="shared" si="24"/>
        <v>780</v>
      </c>
      <c r="B782" s="122">
        <f>IF(DAY(A782)=DAY('F-Ahorro Futuro Genérico'!$H$11),'F-Ahorro Futuro Genérico'!$H$9,0)</f>
        <v>0</v>
      </c>
      <c r="C782" s="122">
        <f t="shared" si="25"/>
        <v>0</v>
      </c>
      <c r="D782" s="121">
        <f>ROUND(C782*'FR_Mantenimiento tasas'!$C$43/360,5)</f>
        <v>0</v>
      </c>
      <c r="E782" s="121">
        <f>ROUND(C782*'FR_Mantenimiento tasas'!$D$43/360,5)</f>
        <v>0</v>
      </c>
    </row>
    <row r="783" spans="1:5">
      <c r="A783" s="123">
        <f t="shared" si="24"/>
        <v>781</v>
      </c>
      <c r="B783" s="122">
        <f>IF(DAY(A783)=DAY('F-Ahorro Futuro Genérico'!$H$11),'F-Ahorro Futuro Genérico'!$H$9,0)</f>
        <v>0</v>
      </c>
      <c r="C783" s="122">
        <f t="shared" si="25"/>
        <v>0</v>
      </c>
      <c r="D783" s="121">
        <f>ROUND(C783*'FR_Mantenimiento tasas'!$C$43/360,5)</f>
        <v>0</v>
      </c>
      <c r="E783" s="121">
        <f>ROUND(C783*'FR_Mantenimiento tasas'!$D$43/360,5)</f>
        <v>0</v>
      </c>
    </row>
    <row r="784" spans="1:5">
      <c r="A784" s="123">
        <f t="shared" si="24"/>
        <v>782</v>
      </c>
      <c r="B784" s="122">
        <f>IF(DAY(A784)=DAY('F-Ahorro Futuro Genérico'!$H$11),'F-Ahorro Futuro Genérico'!$H$9,0)</f>
        <v>0</v>
      </c>
      <c r="C784" s="122">
        <f t="shared" si="25"/>
        <v>0</v>
      </c>
      <c r="D784" s="121">
        <f>ROUND(C784*'FR_Mantenimiento tasas'!$C$43/360,5)</f>
        <v>0</v>
      </c>
      <c r="E784" s="121">
        <f>ROUND(C784*'FR_Mantenimiento tasas'!$D$43/360,5)</f>
        <v>0</v>
      </c>
    </row>
    <row r="785" spans="1:5">
      <c r="A785" s="123">
        <f t="shared" si="24"/>
        <v>783</v>
      </c>
      <c r="B785" s="122">
        <f>IF(DAY(A785)=DAY('F-Ahorro Futuro Genérico'!$H$11),'F-Ahorro Futuro Genérico'!$H$9,0)</f>
        <v>0</v>
      </c>
      <c r="C785" s="122">
        <f t="shared" si="25"/>
        <v>0</v>
      </c>
      <c r="D785" s="121">
        <f>ROUND(C785*'FR_Mantenimiento tasas'!$C$43/360,5)</f>
        <v>0</v>
      </c>
      <c r="E785" s="121">
        <f>ROUND(C785*'FR_Mantenimiento tasas'!$D$43/360,5)</f>
        <v>0</v>
      </c>
    </row>
    <row r="786" spans="1:5">
      <c r="A786" s="123">
        <f t="shared" si="24"/>
        <v>784</v>
      </c>
      <c r="B786" s="122">
        <f>IF(DAY(A786)=DAY('F-Ahorro Futuro Genérico'!$H$11),'F-Ahorro Futuro Genérico'!$H$9,0)</f>
        <v>0</v>
      </c>
      <c r="C786" s="122">
        <f t="shared" si="25"/>
        <v>0</v>
      </c>
      <c r="D786" s="121">
        <f>ROUND(C786*'FR_Mantenimiento tasas'!$C$43/360,5)</f>
        <v>0</v>
      </c>
      <c r="E786" s="121">
        <f>ROUND(C786*'FR_Mantenimiento tasas'!$D$43/360,5)</f>
        <v>0</v>
      </c>
    </row>
    <row r="787" spans="1:5">
      <c r="A787" s="123">
        <f t="shared" si="24"/>
        <v>785</v>
      </c>
      <c r="B787" s="122">
        <f>IF(DAY(A787)=DAY('F-Ahorro Futuro Genérico'!$H$11),'F-Ahorro Futuro Genérico'!$H$9,0)</f>
        <v>0</v>
      </c>
      <c r="C787" s="122">
        <f t="shared" si="25"/>
        <v>0</v>
      </c>
      <c r="D787" s="121">
        <f>ROUND(C787*'FR_Mantenimiento tasas'!$C$43/360,5)</f>
        <v>0</v>
      </c>
      <c r="E787" s="121">
        <f>ROUND(C787*'FR_Mantenimiento tasas'!$D$43/360,5)</f>
        <v>0</v>
      </c>
    </row>
    <row r="788" spans="1:5">
      <c r="A788" s="123">
        <f t="shared" si="24"/>
        <v>786</v>
      </c>
      <c r="B788" s="122">
        <f>IF(DAY(A788)=DAY('F-Ahorro Futuro Genérico'!$H$11),'F-Ahorro Futuro Genérico'!$H$9,0)</f>
        <v>0</v>
      </c>
      <c r="C788" s="122">
        <f t="shared" si="25"/>
        <v>0</v>
      </c>
      <c r="D788" s="121">
        <f>ROUND(C788*'FR_Mantenimiento tasas'!$C$43/360,5)</f>
        <v>0</v>
      </c>
      <c r="E788" s="121">
        <f>ROUND(C788*'FR_Mantenimiento tasas'!$D$43/360,5)</f>
        <v>0</v>
      </c>
    </row>
    <row r="789" spans="1:5">
      <c r="A789" s="123">
        <f t="shared" si="24"/>
        <v>787</v>
      </c>
      <c r="B789" s="122">
        <f>IF(DAY(A789)=DAY('F-Ahorro Futuro Genérico'!$H$11),'F-Ahorro Futuro Genérico'!$H$9,0)</f>
        <v>0</v>
      </c>
      <c r="C789" s="122">
        <f t="shared" si="25"/>
        <v>0</v>
      </c>
      <c r="D789" s="121">
        <f>ROUND(C789*'FR_Mantenimiento tasas'!$C$43/360,5)</f>
        <v>0</v>
      </c>
      <c r="E789" s="121">
        <f>ROUND(C789*'FR_Mantenimiento tasas'!$D$43/360,5)</f>
        <v>0</v>
      </c>
    </row>
    <row r="790" spans="1:5">
      <c r="A790" s="123">
        <f t="shared" si="24"/>
        <v>788</v>
      </c>
      <c r="B790" s="122">
        <f>IF(DAY(A790)=DAY('F-Ahorro Futuro Genérico'!$H$11),'F-Ahorro Futuro Genérico'!$H$9,0)</f>
        <v>0</v>
      </c>
      <c r="C790" s="122">
        <f t="shared" si="25"/>
        <v>0</v>
      </c>
      <c r="D790" s="121">
        <f>ROUND(C790*'FR_Mantenimiento tasas'!$C$43/360,5)</f>
        <v>0</v>
      </c>
      <c r="E790" s="121">
        <f>ROUND(C790*'FR_Mantenimiento tasas'!$D$43/360,5)</f>
        <v>0</v>
      </c>
    </row>
    <row r="791" spans="1:5">
      <c r="A791" s="123">
        <f t="shared" si="24"/>
        <v>789</v>
      </c>
      <c r="B791" s="122">
        <f>IF(DAY(A791)=DAY('F-Ahorro Futuro Genérico'!$H$11),'F-Ahorro Futuro Genérico'!$H$9,0)</f>
        <v>0</v>
      </c>
      <c r="C791" s="122">
        <f t="shared" si="25"/>
        <v>0</v>
      </c>
      <c r="D791" s="121">
        <f>ROUND(C791*'FR_Mantenimiento tasas'!$C$43/360,5)</f>
        <v>0</v>
      </c>
      <c r="E791" s="121">
        <f>ROUND(C791*'FR_Mantenimiento tasas'!$D$43/360,5)</f>
        <v>0</v>
      </c>
    </row>
    <row r="792" spans="1:5">
      <c r="A792" s="123">
        <f t="shared" si="24"/>
        <v>790</v>
      </c>
      <c r="B792" s="122">
        <f>IF(DAY(A792)=DAY('F-Ahorro Futuro Genérico'!$H$11),'F-Ahorro Futuro Genérico'!$H$9,0)</f>
        <v>0</v>
      </c>
      <c r="C792" s="122">
        <f t="shared" si="25"/>
        <v>0</v>
      </c>
      <c r="D792" s="121">
        <f>ROUND(C792*'FR_Mantenimiento tasas'!$C$43/360,5)</f>
        <v>0</v>
      </c>
      <c r="E792" s="121">
        <f>ROUND(C792*'FR_Mantenimiento tasas'!$D$43/360,5)</f>
        <v>0</v>
      </c>
    </row>
    <row r="793" spans="1:5">
      <c r="A793" s="123">
        <f t="shared" si="24"/>
        <v>791</v>
      </c>
      <c r="B793" s="122">
        <f>IF(DAY(A793)=DAY('F-Ahorro Futuro Genérico'!$H$11),'F-Ahorro Futuro Genérico'!$H$9,0)</f>
        <v>0</v>
      </c>
      <c r="C793" s="122">
        <f t="shared" si="25"/>
        <v>0</v>
      </c>
      <c r="D793" s="121">
        <f>ROUND(C793*'FR_Mantenimiento tasas'!$C$43/360,5)</f>
        <v>0</v>
      </c>
      <c r="E793" s="121">
        <f>ROUND(C793*'FR_Mantenimiento tasas'!$D$43/360,5)</f>
        <v>0</v>
      </c>
    </row>
    <row r="794" spans="1:5">
      <c r="A794" s="123">
        <f t="shared" si="24"/>
        <v>792</v>
      </c>
      <c r="B794" s="122">
        <f>IF(DAY(A794)=DAY('F-Ahorro Futuro Genérico'!$H$11),'F-Ahorro Futuro Genérico'!$H$9,0)</f>
        <v>0</v>
      </c>
      <c r="C794" s="122">
        <f t="shared" si="25"/>
        <v>0</v>
      </c>
      <c r="D794" s="121">
        <f>ROUND(C794*'FR_Mantenimiento tasas'!$C$43/360,5)</f>
        <v>0</v>
      </c>
      <c r="E794" s="121">
        <f>ROUND(C794*'FR_Mantenimiento tasas'!$D$43/360,5)</f>
        <v>0</v>
      </c>
    </row>
    <row r="795" spans="1:5">
      <c r="A795" s="123">
        <f t="shared" si="24"/>
        <v>793</v>
      </c>
      <c r="B795" s="122">
        <f>IF(DAY(A795)=DAY('F-Ahorro Futuro Genérico'!$H$11),'F-Ahorro Futuro Genérico'!$H$9,0)</f>
        <v>0</v>
      </c>
      <c r="C795" s="122">
        <f t="shared" si="25"/>
        <v>0</v>
      </c>
      <c r="D795" s="121">
        <f>ROUND(C795*'FR_Mantenimiento tasas'!$C$43/360,5)</f>
        <v>0</v>
      </c>
      <c r="E795" s="121">
        <f>ROUND(C795*'FR_Mantenimiento tasas'!$D$43/360,5)</f>
        <v>0</v>
      </c>
    </row>
    <row r="796" spans="1:5">
      <c r="A796" s="123">
        <f t="shared" si="24"/>
        <v>794</v>
      </c>
      <c r="B796" s="122">
        <f>IF(DAY(A796)=DAY('F-Ahorro Futuro Genérico'!$H$11),'F-Ahorro Futuro Genérico'!$H$9,0)</f>
        <v>0</v>
      </c>
      <c r="C796" s="122">
        <f t="shared" si="25"/>
        <v>0</v>
      </c>
      <c r="D796" s="121">
        <f>ROUND(C796*'FR_Mantenimiento tasas'!$C$43/360,5)</f>
        <v>0</v>
      </c>
      <c r="E796" s="121">
        <f>ROUND(C796*'FR_Mantenimiento tasas'!$D$43/360,5)</f>
        <v>0</v>
      </c>
    </row>
    <row r="797" spans="1:5">
      <c r="A797" s="123">
        <f t="shared" si="24"/>
        <v>795</v>
      </c>
      <c r="B797" s="122">
        <f>IF(DAY(A797)=DAY('F-Ahorro Futuro Genérico'!$H$11),'F-Ahorro Futuro Genérico'!$H$9,0)</f>
        <v>0</v>
      </c>
      <c r="C797" s="122">
        <f t="shared" si="25"/>
        <v>0</v>
      </c>
      <c r="D797" s="121">
        <f>ROUND(C797*'FR_Mantenimiento tasas'!$C$43/360,5)</f>
        <v>0</v>
      </c>
      <c r="E797" s="121">
        <f>ROUND(C797*'FR_Mantenimiento tasas'!$D$43/360,5)</f>
        <v>0</v>
      </c>
    </row>
    <row r="798" spans="1:5">
      <c r="A798" s="123">
        <f t="shared" si="24"/>
        <v>796</v>
      </c>
      <c r="B798" s="122">
        <f>IF(DAY(A798)=DAY('F-Ahorro Futuro Genérico'!$H$11),'F-Ahorro Futuro Genérico'!$H$9,0)</f>
        <v>0</v>
      </c>
      <c r="C798" s="122">
        <f t="shared" si="25"/>
        <v>0</v>
      </c>
      <c r="D798" s="121">
        <f>ROUND(C798*'FR_Mantenimiento tasas'!$C$43/360,5)</f>
        <v>0</v>
      </c>
      <c r="E798" s="121">
        <f>ROUND(C798*'FR_Mantenimiento tasas'!$D$43/360,5)</f>
        <v>0</v>
      </c>
    </row>
    <row r="799" spans="1:5">
      <c r="A799" s="123">
        <f t="shared" si="24"/>
        <v>797</v>
      </c>
      <c r="B799" s="122">
        <f>IF(DAY(A799)=DAY('F-Ahorro Futuro Genérico'!$H$11),'F-Ahorro Futuro Genérico'!$H$9,0)</f>
        <v>0</v>
      </c>
      <c r="C799" s="122">
        <f t="shared" si="25"/>
        <v>0</v>
      </c>
      <c r="D799" s="121">
        <f>ROUND(C799*'FR_Mantenimiento tasas'!$C$43/360,5)</f>
        <v>0</v>
      </c>
      <c r="E799" s="121">
        <f>ROUND(C799*'FR_Mantenimiento tasas'!$D$43/360,5)</f>
        <v>0</v>
      </c>
    </row>
    <row r="800" spans="1:5">
      <c r="A800" s="123">
        <f t="shared" si="24"/>
        <v>798</v>
      </c>
      <c r="B800" s="122">
        <f>IF(DAY(A800)=DAY('F-Ahorro Futuro Genérico'!$H$11),'F-Ahorro Futuro Genérico'!$H$9,0)</f>
        <v>0</v>
      </c>
      <c r="C800" s="122">
        <f t="shared" si="25"/>
        <v>0</v>
      </c>
      <c r="D800" s="121">
        <f>ROUND(C800*'FR_Mantenimiento tasas'!$C$43/360,5)</f>
        <v>0</v>
      </c>
      <c r="E800" s="121">
        <f>ROUND(C800*'FR_Mantenimiento tasas'!$D$43/360,5)</f>
        <v>0</v>
      </c>
    </row>
    <row r="801" spans="1:5">
      <c r="A801" s="123">
        <f t="shared" si="24"/>
        <v>799</v>
      </c>
      <c r="B801" s="122">
        <f>IF(DAY(A801)=DAY('F-Ahorro Futuro Genérico'!$H$11),'F-Ahorro Futuro Genérico'!$H$9,0)</f>
        <v>0</v>
      </c>
      <c r="C801" s="122">
        <f t="shared" si="25"/>
        <v>0</v>
      </c>
      <c r="D801" s="121">
        <f>ROUND(C801*'FR_Mantenimiento tasas'!$C$43/360,5)</f>
        <v>0</v>
      </c>
      <c r="E801" s="121">
        <f>ROUND(C801*'FR_Mantenimiento tasas'!$D$43/360,5)</f>
        <v>0</v>
      </c>
    </row>
    <row r="802" spans="1:5">
      <c r="A802" s="123">
        <f t="shared" si="24"/>
        <v>800</v>
      </c>
      <c r="B802" s="122">
        <f>IF(DAY(A802)=DAY('F-Ahorro Futuro Genérico'!$H$11),'F-Ahorro Futuro Genérico'!$H$9,0)</f>
        <v>0</v>
      </c>
      <c r="C802" s="122">
        <f t="shared" si="25"/>
        <v>0</v>
      </c>
      <c r="D802" s="121">
        <f>ROUND(C802*'FR_Mantenimiento tasas'!$C$43/360,5)</f>
        <v>0</v>
      </c>
      <c r="E802" s="121">
        <f>ROUND(C802*'FR_Mantenimiento tasas'!$D$43/360,5)</f>
        <v>0</v>
      </c>
    </row>
    <row r="803" spans="1:5">
      <c r="A803" s="123">
        <f t="shared" si="24"/>
        <v>801</v>
      </c>
      <c r="B803" s="122">
        <f>IF(DAY(A803)=DAY('F-Ahorro Futuro Genérico'!$H$11),'F-Ahorro Futuro Genérico'!$H$9,0)</f>
        <v>0</v>
      </c>
      <c r="C803" s="122">
        <f t="shared" si="25"/>
        <v>0</v>
      </c>
      <c r="D803" s="121">
        <f>ROUND(C803*'FR_Mantenimiento tasas'!$C$43/360,5)</f>
        <v>0</v>
      </c>
      <c r="E803" s="121">
        <f>ROUND(C803*'FR_Mantenimiento tasas'!$D$43/360,5)</f>
        <v>0</v>
      </c>
    </row>
    <row r="804" spans="1:5">
      <c r="A804" s="123">
        <f t="shared" si="24"/>
        <v>802</v>
      </c>
      <c r="B804" s="122">
        <f>IF(DAY(A804)=DAY('F-Ahorro Futuro Genérico'!$H$11),'F-Ahorro Futuro Genérico'!$H$9,0)</f>
        <v>0</v>
      </c>
      <c r="C804" s="122">
        <f t="shared" si="25"/>
        <v>0</v>
      </c>
      <c r="D804" s="121">
        <f>ROUND(C804*'FR_Mantenimiento tasas'!$C$43/360,5)</f>
        <v>0</v>
      </c>
      <c r="E804" s="121">
        <f>ROUND(C804*'FR_Mantenimiento tasas'!$D$43/360,5)</f>
        <v>0</v>
      </c>
    </row>
    <row r="805" spans="1:5">
      <c r="A805" s="123">
        <f t="shared" si="24"/>
        <v>803</v>
      </c>
      <c r="B805" s="122">
        <f>IF(DAY(A805)=DAY('F-Ahorro Futuro Genérico'!$H$11),'F-Ahorro Futuro Genérico'!$H$9,0)</f>
        <v>0</v>
      </c>
      <c r="C805" s="122">
        <f t="shared" si="25"/>
        <v>0</v>
      </c>
      <c r="D805" s="121">
        <f>ROUND(C805*'FR_Mantenimiento tasas'!$C$43/360,5)</f>
        <v>0</v>
      </c>
      <c r="E805" s="121">
        <f>ROUND(C805*'FR_Mantenimiento tasas'!$D$43/360,5)</f>
        <v>0</v>
      </c>
    </row>
    <row r="806" spans="1:5">
      <c r="A806" s="123">
        <f t="shared" si="24"/>
        <v>804</v>
      </c>
      <c r="B806" s="122">
        <f>IF(DAY(A806)=DAY('F-Ahorro Futuro Genérico'!$H$11),'F-Ahorro Futuro Genérico'!$H$9,0)</f>
        <v>0</v>
      </c>
      <c r="C806" s="122">
        <f t="shared" si="25"/>
        <v>0</v>
      </c>
      <c r="D806" s="121">
        <f>ROUND(C806*'FR_Mantenimiento tasas'!$C$43/360,5)</f>
        <v>0</v>
      </c>
      <c r="E806" s="121">
        <f>ROUND(C806*'FR_Mantenimiento tasas'!$D$43/360,5)</f>
        <v>0</v>
      </c>
    </row>
    <row r="807" spans="1:5">
      <c r="A807" s="123">
        <f t="shared" si="24"/>
        <v>805</v>
      </c>
      <c r="B807" s="122">
        <f>IF(DAY(A807)=DAY('F-Ahorro Futuro Genérico'!$H$11),'F-Ahorro Futuro Genérico'!$H$9,0)</f>
        <v>0</v>
      </c>
      <c r="C807" s="122">
        <f t="shared" si="25"/>
        <v>0</v>
      </c>
      <c r="D807" s="121">
        <f>ROUND(C807*'FR_Mantenimiento tasas'!$C$43/360,5)</f>
        <v>0</v>
      </c>
      <c r="E807" s="121">
        <f>ROUND(C807*'FR_Mantenimiento tasas'!$D$43/360,5)</f>
        <v>0</v>
      </c>
    </row>
    <row r="808" spans="1:5">
      <c r="A808" s="123">
        <f t="shared" si="24"/>
        <v>806</v>
      </c>
      <c r="B808" s="122">
        <f>IF(DAY(A808)=DAY('F-Ahorro Futuro Genérico'!$H$11),'F-Ahorro Futuro Genérico'!$H$9,0)</f>
        <v>0</v>
      </c>
      <c r="C808" s="122">
        <f t="shared" si="25"/>
        <v>0</v>
      </c>
      <c r="D808" s="121">
        <f>ROUND(C808*'FR_Mantenimiento tasas'!$C$43/360,5)</f>
        <v>0</v>
      </c>
      <c r="E808" s="121">
        <f>ROUND(C808*'FR_Mantenimiento tasas'!$D$43/360,5)</f>
        <v>0</v>
      </c>
    </row>
    <row r="809" spans="1:5">
      <c r="A809" s="123">
        <f t="shared" si="24"/>
        <v>807</v>
      </c>
      <c r="B809" s="122">
        <f>IF(DAY(A809)=DAY('F-Ahorro Futuro Genérico'!$H$11),'F-Ahorro Futuro Genérico'!$H$9,0)</f>
        <v>0</v>
      </c>
      <c r="C809" s="122">
        <f t="shared" si="25"/>
        <v>0</v>
      </c>
      <c r="D809" s="121">
        <f>ROUND(C809*'FR_Mantenimiento tasas'!$C$43/360,5)</f>
        <v>0</v>
      </c>
      <c r="E809" s="121">
        <f>ROUND(C809*'FR_Mantenimiento tasas'!$D$43/360,5)</f>
        <v>0</v>
      </c>
    </row>
    <row r="810" spans="1:5">
      <c r="A810" s="123">
        <f t="shared" si="24"/>
        <v>808</v>
      </c>
      <c r="B810" s="122">
        <f>IF(DAY(A810)=DAY('F-Ahorro Futuro Genérico'!$H$11),'F-Ahorro Futuro Genérico'!$H$9,0)</f>
        <v>0</v>
      </c>
      <c r="C810" s="122">
        <f t="shared" si="25"/>
        <v>0</v>
      </c>
      <c r="D810" s="121">
        <f>ROUND(C810*'FR_Mantenimiento tasas'!$C$43/360,5)</f>
        <v>0</v>
      </c>
      <c r="E810" s="121">
        <f>ROUND(C810*'FR_Mantenimiento tasas'!$D$43/360,5)</f>
        <v>0</v>
      </c>
    </row>
    <row r="811" spans="1:5">
      <c r="A811" s="123">
        <f t="shared" si="24"/>
        <v>809</v>
      </c>
      <c r="B811" s="122">
        <f>IF(DAY(A811)=DAY('F-Ahorro Futuro Genérico'!$H$11),'F-Ahorro Futuro Genérico'!$H$9,0)</f>
        <v>0</v>
      </c>
      <c r="C811" s="122">
        <f t="shared" si="25"/>
        <v>0</v>
      </c>
      <c r="D811" s="121">
        <f>ROUND(C811*'FR_Mantenimiento tasas'!$C$43/360,5)</f>
        <v>0</v>
      </c>
      <c r="E811" s="121">
        <f>ROUND(C811*'FR_Mantenimiento tasas'!$D$43/360,5)</f>
        <v>0</v>
      </c>
    </row>
    <row r="812" spans="1:5">
      <c r="A812" s="123">
        <f t="shared" si="24"/>
        <v>810</v>
      </c>
      <c r="B812" s="122">
        <f>IF(DAY(A812)=DAY('F-Ahorro Futuro Genérico'!$H$11),'F-Ahorro Futuro Genérico'!$H$9,0)</f>
        <v>0</v>
      </c>
      <c r="C812" s="122">
        <f t="shared" si="25"/>
        <v>0</v>
      </c>
      <c r="D812" s="121">
        <f>ROUND(C812*'FR_Mantenimiento tasas'!$C$43/360,5)</f>
        <v>0</v>
      </c>
      <c r="E812" s="121">
        <f>ROUND(C812*'FR_Mantenimiento tasas'!$D$43/360,5)</f>
        <v>0</v>
      </c>
    </row>
    <row r="813" spans="1:5">
      <c r="A813" s="123">
        <f t="shared" si="24"/>
        <v>811</v>
      </c>
      <c r="B813" s="122">
        <f>IF(DAY(A813)=DAY('F-Ahorro Futuro Genérico'!$H$11),'F-Ahorro Futuro Genérico'!$H$9,0)</f>
        <v>0</v>
      </c>
      <c r="C813" s="122">
        <f t="shared" si="25"/>
        <v>0</v>
      </c>
      <c r="D813" s="121">
        <f>ROUND(C813*'FR_Mantenimiento tasas'!$C$43/360,5)</f>
        <v>0</v>
      </c>
      <c r="E813" s="121">
        <f>ROUND(C813*'FR_Mantenimiento tasas'!$D$43/360,5)</f>
        <v>0</v>
      </c>
    </row>
    <row r="814" spans="1:5">
      <c r="A814" s="123">
        <f t="shared" si="24"/>
        <v>812</v>
      </c>
      <c r="B814" s="122">
        <f>IF(DAY(A814)=DAY('F-Ahorro Futuro Genérico'!$H$11),'F-Ahorro Futuro Genérico'!$H$9,0)</f>
        <v>0</v>
      </c>
      <c r="C814" s="122">
        <f t="shared" si="25"/>
        <v>0</v>
      </c>
      <c r="D814" s="121">
        <f>ROUND(C814*'FR_Mantenimiento tasas'!$C$43/360,5)</f>
        <v>0</v>
      </c>
      <c r="E814" s="121">
        <f>ROUND(C814*'FR_Mantenimiento tasas'!$D$43/360,5)</f>
        <v>0</v>
      </c>
    </row>
    <row r="815" spans="1:5">
      <c r="A815" s="123">
        <f t="shared" si="24"/>
        <v>813</v>
      </c>
      <c r="B815" s="122">
        <f>IF(DAY(A815)=DAY('F-Ahorro Futuro Genérico'!$H$11),'F-Ahorro Futuro Genérico'!$H$9,0)</f>
        <v>0</v>
      </c>
      <c r="C815" s="122">
        <f t="shared" si="25"/>
        <v>0</v>
      </c>
      <c r="D815" s="121">
        <f>ROUND(C815*'FR_Mantenimiento tasas'!$C$43/360,5)</f>
        <v>0</v>
      </c>
      <c r="E815" s="121">
        <f>ROUND(C815*'FR_Mantenimiento tasas'!$D$43/360,5)</f>
        <v>0</v>
      </c>
    </row>
    <row r="816" spans="1:5">
      <c r="A816" s="123">
        <f t="shared" si="24"/>
        <v>814</v>
      </c>
      <c r="B816" s="122">
        <f>IF(DAY(A816)=DAY('F-Ahorro Futuro Genérico'!$H$11),'F-Ahorro Futuro Genérico'!$H$9,0)</f>
        <v>0</v>
      </c>
      <c r="C816" s="122">
        <f t="shared" si="25"/>
        <v>0</v>
      </c>
      <c r="D816" s="121">
        <f>ROUND(C816*'FR_Mantenimiento tasas'!$C$43/360,5)</f>
        <v>0</v>
      </c>
      <c r="E816" s="121">
        <f>ROUND(C816*'FR_Mantenimiento tasas'!$D$43/360,5)</f>
        <v>0</v>
      </c>
    </row>
    <row r="817" spans="1:5">
      <c r="A817" s="123">
        <f t="shared" si="24"/>
        <v>815</v>
      </c>
      <c r="B817" s="122">
        <f>IF(DAY(A817)=DAY('F-Ahorro Futuro Genérico'!$H$11),'F-Ahorro Futuro Genérico'!$H$9,0)</f>
        <v>0</v>
      </c>
      <c r="C817" s="122">
        <f t="shared" si="25"/>
        <v>0</v>
      </c>
      <c r="D817" s="121">
        <f>ROUND(C817*'FR_Mantenimiento tasas'!$C$43/360,5)</f>
        <v>0</v>
      </c>
      <c r="E817" s="121">
        <f>ROUND(C817*'FR_Mantenimiento tasas'!$D$43/360,5)</f>
        <v>0</v>
      </c>
    </row>
    <row r="818" spans="1:5">
      <c r="A818" s="123">
        <f t="shared" si="24"/>
        <v>816</v>
      </c>
      <c r="B818" s="122">
        <f>IF(DAY(A818)=DAY('F-Ahorro Futuro Genérico'!$H$11),'F-Ahorro Futuro Genérico'!$H$9,0)</f>
        <v>0</v>
      </c>
      <c r="C818" s="122">
        <f t="shared" si="25"/>
        <v>0</v>
      </c>
      <c r="D818" s="121">
        <f>ROUND(C818*'FR_Mantenimiento tasas'!$C$43/360,5)</f>
        <v>0</v>
      </c>
      <c r="E818" s="121">
        <f>ROUND(C818*'FR_Mantenimiento tasas'!$D$43/360,5)</f>
        <v>0</v>
      </c>
    </row>
    <row r="819" spans="1:5">
      <c r="A819" s="123">
        <f t="shared" si="24"/>
        <v>817</v>
      </c>
      <c r="B819" s="122">
        <f>IF(DAY(A819)=DAY('F-Ahorro Futuro Genérico'!$H$11),'F-Ahorro Futuro Genérico'!$H$9,0)</f>
        <v>0</v>
      </c>
      <c r="C819" s="122">
        <f t="shared" si="25"/>
        <v>0</v>
      </c>
      <c r="D819" s="121">
        <f>ROUND(C819*'FR_Mantenimiento tasas'!$C$43/360,5)</f>
        <v>0</v>
      </c>
      <c r="E819" s="121">
        <f>ROUND(C819*'FR_Mantenimiento tasas'!$D$43/360,5)</f>
        <v>0</v>
      </c>
    </row>
    <row r="820" spans="1:5">
      <c r="A820" s="123">
        <f t="shared" si="24"/>
        <v>818</v>
      </c>
      <c r="B820" s="122">
        <f>IF(DAY(A820)=DAY('F-Ahorro Futuro Genérico'!$H$11),'F-Ahorro Futuro Genérico'!$H$9,0)</f>
        <v>0</v>
      </c>
      <c r="C820" s="122">
        <f t="shared" si="25"/>
        <v>0</v>
      </c>
      <c r="D820" s="121">
        <f>ROUND(C820*'FR_Mantenimiento tasas'!$C$43/360,5)</f>
        <v>0</v>
      </c>
      <c r="E820" s="121">
        <f>ROUND(C820*'FR_Mantenimiento tasas'!$D$43/360,5)</f>
        <v>0</v>
      </c>
    </row>
    <row r="821" spans="1:5">
      <c r="A821" s="123">
        <f t="shared" si="24"/>
        <v>819</v>
      </c>
      <c r="B821" s="122">
        <f>IF(DAY(A821)=DAY('F-Ahorro Futuro Genérico'!$H$11),'F-Ahorro Futuro Genérico'!$H$9,0)</f>
        <v>0</v>
      </c>
      <c r="C821" s="122">
        <f t="shared" si="25"/>
        <v>0</v>
      </c>
      <c r="D821" s="121">
        <f>ROUND(C821*'FR_Mantenimiento tasas'!$C$43/360,5)</f>
        <v>0</v>
      </c>
      <c r="E821" s="121">
        <f>ROUND(C821*'FR_Mantenimiento tasas'!$D$43/360,5)</f>
        <v>0</v>
      </c>
    </row>
    <row r="822" spans="1:5">
      <c r="A822" s="123">
        <f t="shared" si="24"/>
        <v>820</v>
      </c>
      <c r="B822" s="122">
        <f>IF(DAY(A822)=DAY('F-Ahorro Futuro Genérico'!$H$11),'F-Ahorro Futuro Genérico'!$H$9,0)</f>
        <v>0</v>
      </c>
      <c r="C822" s="122">
        <f t="shared" si="25"/>
        <v>0</v>
      </c>
      <c r="D822" s="121">
        <f>ROUND(C822*'FR_Mantenimiento tasas'!$C$43/360,5)</f>
        <v>0</v>
      </c>
      <c r="E822" s="121">
        <f>ROUND(C822*'FR_Mantenimiento tasas'!$D$43/360,5)</f>
        <v>0</v>
      </c>
    </row>
    <row r="823" spans="1:5">
      <c r="A823" s="123">
        <f t="shared" si="24"/>
        <v>821</v>
      </c>
      <c r="B823" s="122">
        <f>IF(DAY(A823)=DAY('F-Ahorro Futuro Genérico'!$H$11),'F-Ahorro Futuro Genérico'!$H$9,0)</f>
        <v>0</v>
      </c>
      <c r="C823" s="122">
        <f t="shared" si="25"/>
        <v>0</v>
      </c>
      <c r="D823" s="121">
        <f>ROUND(C823*'FR_Mantenimiento tasas'!$C$43/360,5)</f>
        <v>0</v>
      </c>
      <c r="E823" s="121">
        <f>ROUND(C823*'FR_Mantenimiento tasas'!$D$43/360,5)</f>
        <v>0</v>
      </c>
    </row>
    <row r="824" spans="1:5">
      <c r="A824" s="123">
        <f t="shared" si="24"/>
        <v>822</v>
      </c>
      <c r="B824" s="122">
        <f>IF(DAY(A824)=DAY('F-Ahorro Futuro Genérico'!$H$11),'F-Ahorro Futuro Genérico'!$H$9,0)</f>
        <v>0</v>
      </c>
      <c r="C824" s="122">
        <f t="shared" si="25"/>
        <v>0</v>
      </c>
      <c r="D824" s="121">
        <f>ROUND(C824*'FR_Mantenimiento tasas'!$C$43/360,5)</f>
        <v>0</v>
      </c>
      <c r="E824" s="121">
        <f>ROUND(C824*'FR_Mantenimiento tasas'!$D$43/360,5)</f>
        <v>0</v>
      </c>
    </row>
    <row r="825" spans="1:5">
      <c r="A825" s="123">
        <f t="shared" si="24"/>
        <v>823</v>
      </c>
      <c r="B825" s="122">
        <f>IF(DAY(A825)=DAY('F-Ahorro Futuro Genérico'!$H$11),'F-Ahorro Futuro Genérico'!$H$9,0)</f>
        <v>0</v>
      </c>
      <c r="C825" s="122">
        <f t="shared" si="25"/>
        <v>0</v>
      </c>
      <c r="D825" s="121">
        <f>ROUND(C825*'FR_Mantenimiento tasas'!$C$43/360,5)</f>
        <v>0</v>
      </c>
      <c r="E825" s="121">
        <f>ROUND(C825*'FR_Mantenimiento tasas'!$D$43/360,5)</f>
        <v>0</v>
      </c>
    </row>
    <row r="826" spans="1:5">
      <c r="A826" s="123">
        <f t="shared" si="24"/>
        <v>824</v>
      </c>
      <c r="B826" s="122">
        <f>IF(DAY(A826)=DAY('F-Ahorro Futuro Genérico'!$H$11),'F-Ahorro Futuro Genérico'!$H$9,0)</f>
        <v>0</v>
      </c>
      <c r="C826" s="122">
        <f t="shared" si="25"/>
        <v>0</v>
      </c>
      <c r="D826" s="121">
        <f>ROUND(C826*'FR_Mantenimiento tasas'!$C$43/360,5)</f>
        <v>0</v>
      </c>
      <c r="E826" s="121">
        <f>ROUND(C826*'FR_Mantenimiento tasas'!$D$43/360,5)</f>
        <v>0</v>
      </c>
    </row>
    <row r="827" spans="1:5">
      <c r="A827" s="123">
        <f t="shared" si="24"/>
        <v>825</v>
      </c>
      <c r="B827" s="122">
        <f>IF(DAY(A827)=DAY('F-Ahorro Futuro Genérico'!$H$11),'F-Ahorro Futuro Genérico'!$H$9,0)</f>
        <v>0</v>
      </c>
      <c r="C827" s="122">
        <f t="shared" si="25"/>
        <v>0</v>
      </c>
      <c r="D827" s="121">
        <f>ROUND(C827*'FR_Mantenimiento tasas'!$C$43/360,5)</f>
        <v>0</v>
      </c>
      <c r="E827" s="121">
        <f>ROUND(C827*'FR_Mantenimiento tasas'!$D$43/360,5)</f>
        <v>0</v>
      </c>
    </row>
    <row r="828" spans="1:5">
      <c r="A828" s="123">
        <f t="shared" si="24"/>
        <v>826</v>
      </c>
      <c r="B828" s="122">
        <f>IF(DAY(A828)=DAY('F-Ahorro Futuro Genérico'!$H$11),'F-Ahorro Futuro Genérico'!$H$9,0)</f>
        <v>0</v>
      </c>
      <c r="C828" s="122">
        <f t="shared" si="25"/>
        <v>0</v>
      </c>
      <c r="D828" s="121">
        <f>ROUND(C828*'FR_Mantenimiento tasas'!$C$43/360,5)</f>
        <v>0</v>
      </c>
      <c r="E828" s="121">
        <f>ROUND(C828*'FR_Mantenimiento tasas'!$D$43/360,5)</f>
        <v>0</v>
      </c>
    </row>
    <row r="829" spans="1:5">
      <c r="A829" s="123">
        <f t="shared" si="24"/>
        <v>827</v>
      </c>
      <c r="B829" s="122">
        <f>IF(DAY(A829)=DAY('F-Ahorro Futuro Genérico'!$H$11),'F-Ahorro Futuro Genérico'!$H$9,0)</f>
        <v>0</v>
      </c>
      <c r="C829" s="122">
        <f t="shared" si="25"/>
        <v>0</v>
      </c>
      <c r="D829" s="121">
        <f>ROUND(C829*'FR_Mantenimiento tasas'!$C$43/360,5)</f>
        <v>0</v>
      </c>
      <c r="E829" s="121">
        <f>ROUND(C829*'FR_Mantenimiento tasas'!$D$43/360,5)</f>
        <v>0</v>
      </c>
    </row>
    <row r="830" spans="1:5">
      <c r="A830" s="123">
        <f t="shared" si="24"/>
        <v>828</v>
      </c>
      <c r="B830" s="122">
        <f>IF(DAY(A830)=DAY('F-Ahorro Futuro Genérico'!$H$11),'F-Ahorro Futuro Genérico'!$H$9,0)</f>
        <v>0</v>
      </c>
      <c r="C830" s="122">
        <f t="shared" si="25"/>
        <v>0</v>
      </c>
      <c r="D830" s="121">
        <f>ROUND(C830*'FR_Mantenimiento tasas'!$C$43/360,5)</f>
        <v>0</v>
      </c>
      <c r="E830" s="121">
        <f>ROUND(C830*'FR_Mantenimiento tasas'!$D$43/360,5)</f>
        <v>0</v>
      </c>
    </row>
    <row r="831" spans="1:5">
      <c r="A831" s="123">
        <f t="shared" si="24"/>
        <v>829</v>
      </c>
      <c r="B831" s="122">
        <f>IF(DAY(A831)=DAY('F-Ahorro Futuro Genérico'!$H$11),'F-Ahorro Futuro Genérico'!$H$9,0)</f>
        <v>0</v>
      </c>
      <c r="C831" s="122">
        <f t="shared" si="25"/>
        <v>0</v>
      </c>
      <c r="D831" s="121">
        <f>ROUND(C831*'FR_Mantenimiento tasas'!$C$43/360,5)</f>
        <v>0</v>
      </c>
      <c r="E831" s="121">
        <f>ROUND(C831*'FR_Mantenimiento tasas'!$D$43/360,5)</f>
        <v>0</v>
      </c>
    </row>
    <row r="832" spans="1:5">
      <c r="A832" s="123">
        <f t="shared" si="24"/>
        <v>830</v>
      </c>
      <c r="B832" s="122">
        <f>IF(DAY(A832)=DAY('F-Ahorro Futuro Genérico'!$H$11),'F-Ahorro Futuro Genérico'!$H$9,0)</f>
        <v>0</v>
      </c>
      <c r="C832" s="122">
        <f t="shared" si="25"/>
        <v>0</v>
      </c>
      <c r="D832" s="121">
        <f>ROUND(C832*'FR_Mantenimiento tasas'!$C$43/360,5)</f>
        <v>0</v>
      </c>
      <c r="E832" s="121">
        <f>ROUND(C832*'FR_Mantenimiento tasas'!$D$43/360,5)</f>
        <v>0</v>
      </c>
    </row>
    <row r="833" spans="1:5">
      <c r="A833" s="123">
        <f t="shared" si="24"/>
        <v>831</v>
      </c>
      <c r="B833" s="122">
        <f>IF(DAY(A833)=DAY('F-Ahorro Futuro Genérico'!$H$11),'F-Ahorro Futuro Genérico'!$H$9,0)</f>
        <v>0</v>
      </c>
      <c r="C833" s="122">
        <f t="shared" si="25"/>
        <v>0</v>
      </c>
      <c r="D833" s="121">
        <f>ROUND(C833*'FR_Mantenimiento tasas'!$C$43/360,5)</f>
        <v>0</v>
      </c>
      <c r="E833" s="121">
        <f>ROUND(C833*'FR_Mantenimiento tasas'!$D$43/360,5)</f>
        <v>0</v>
      </c>
    </row>
    <row r="834" spans="1:5">
      <c r="A834" s="123">
        <f t="shared" si="24"/>
        <v>832</v>
      </c>
      <c r="B834" s="122">
        <f>IF(DAY(A834)=DAY('F-Ahorro Futuro Genérico'!$H$11),'F-Ahorro Futuro Genérico'!$H$9,0)</f>
        <v>0</v>
      </c>
      <c r="C834" s="122">
        <f t="shared" si="25"/>
        <v>0</v>
      </c>
      <c r="D834" s="121">
        <f>ROUND(C834*'FR_Mantenimiento tasas'!$C$43/360,5)</f>
        <v>0</v>
      </c>
      <c r="E834" s="121">
        <f>ROUND(C834*'FR_Mantenimiento tasas'!$D$43/360,5)</f>
        <v>0</v>
      </c>
    </row>
    <row r="835" spans="1:5">
      <c r="A835" s="123">
        <f t="shared" si="24"/>
        <v>833</v>
      </c>
      <c r="B835" s="122">
        <f>IF(DAY(A835)=DAY('F-Ahorro Futuro Genérico'!$H$11),'F-Ahorro Futuro Genérico'!$H$9,0)</f>
        <v>0</v>
      </c>
      <c r="C835" s="122">
        <f t="shared" si="25"/>
        <v>0</v>
      </c>
      <c r="D835" s="121">
        <f>ROUND(C835*'FR_Mantenimiento tasas'!$C$43/360,5)</f>
        <v>0</v>
      </c>
      <c r="E835" s="121">
        <f>ROUND(C835*'FR_Mantenimiento tasas'!$D$43/360,5)</f>
        <v>0</v>
      </c>
    </row>
    <row r="836" spans="1:5">
      <c r="A836" s="123">
        <f t="shared" ref="A836:A899" si="26">+A835+1</f>
        <v>834</v>
      </c>
      <c r="B836" s="122">
        <f>IF(DAY(A836)=DAY('F-Ahorro Futuro Genérico'!$H$11),'F-Ahorro Futuro Genérico'!$H$9,0)</f>
        <v>0</v>
      </c>
      <c r="C836" s="122">
        <f t="shared" ref="C836:C899" si="27">+B836+C835+D835</f>
        <v>0</v>
      </c>
      <c r="D836" s="121">
        <f>ROUND(C836*'FR_Mantenimiento tasas'!$C$43/360,5)</f>
        <v>0</v>
      </c>
      <c r="E836" s="121">
        <f>ROUND(C836*'FR_Mantenimiento tasas'!$D$43/360,5)</f>
        <v>0</v>
      </c>
    </row>
    <row r="837" spans="1:5">
      <c r="A837" s="123">
        <f t="shared" si="26"/>
        <v>835</v>
      </c>
      <c r="B837" s="122">
        <f>IF(DAY(A837)=DAY('F-Ahorro Futuro Genérico'!$H$11),'F-Ahorro Futuro Genérico'!$H$9,0)</f>
        <v>0</v>
      </c>
      <c r="C837" s="122">
        <f t="shared" si="27"/>
        <v>0</v>
      </c>
      <c r="D837" s="121">
        <f>ROUND(C837*'FR_Mantenimiento tasas'!$C$43/360,5)</f>
        <v>0</v>
      </c>
      <c r="E837" s="121">
        <f>ROUND(C837*'FR_Mantenimiento tasas'!$D$43/360,5)</f>
        <v>0</v>
      </c>
    </row>
    <row r="838" spans="1:5">
      <c r="A838" s="123">
        <f t="shared" si="26"/>
        <v>836</v>
      </c>
      <c r="B838" s="122">
        <f>IF(DAY(A838)=DAY('F-Ahorro Futuro Genérico'!$H$11),'F-Ahorro Futuro Genérico'!$H$9,0)</f>
        <v>0</v>
      </c>
      <c r="C838" s="122">
        <f t="shared" si="27"/>
        <v>0</v>
      </c>
      <c r="D838" s="121">
        <f>ROUND(C838*'FR_Mantenimiento tasas'!$C$43/360,5)</f>
        <v>0</v>
      </c>
      <c r="E838" s="121">
        <f>ROUND(C838*'FR_Mantenimiento tasas'!$D$43/360,5)</f>
        <v>0</v>
      </c>
    </row>
    <row r="839" spans="1:5">
      <c r="A839" s="123">
        <f t="shared" si="26"/>
        <v>837</v>
      </c>
      <c r="B839" s="122">
        <f>IF(DAY(A839)=DAY('F-Ahorro Futuro Genérico'!$H$11),'F-Ahorro Futuro Genérico'!$H$9,0)</f>
        <v>0</v>
      </c>
      <c r="C839" s="122">
        <f t="shared" si="27"/>
        <v>0</v>
      </c>
      <c r="D839" s="121">
        <f>ROUND(C839*'FR_Mantenimiento tasas'!$C$43/360,5)</f>
        <v>0</v>
      </c>
      <c r="E839" s="121">
        <f>ROUND(C839*'FR_Mantenimiento tasas'!$D$43/360,5)</f>
        <v>0</v>
      </c>
    </row>
    <row r="840" spans="1:5">
      <c r="A840" s="123">
        <f t="shared" si="26"/>
        <v>838</v>
      </c>
      <c r="B840" s="122">
        <f>IF(DAY(A840)=DAY('F-Ahorro Futuro Genérico'!$H$11),'F-Ahorro Futuro Genérico'!$H$9,0)</f>
        <v>0</v>
      </c>
      <c r="C840" s="122">
        <f t="shared" si="27"/>
        <v>0</v>
      </c>
      <c r="D840" s="121">
        <f>ROUND(C840*'FR_Mantenimiento tasas'!$C$43/360,5)</f>
        <v>0</v>
      </c>
      <c r="E840" s="121">
        <f>ROUND(C840*'FR_Mantenimiento tasas'!$D$43/360,5)</f>
        <v>0</v>
      </c>
    </row>
    <row r="841" spans="1:5">
      <c r="A841" s="123">
        <f t="shared" si="26"/>
        <v>839</v>
      </c>
      <c r="B841" s="122">
        <f>IF(DAY(A841)=DAY('F-Ahorro Futuro Genérico'!$H$11),'F-Ahorro Futuro Genérico'!$H$9,0)</f>
        <v>0</v>
      </c>
      <c r="C841" s="122">
        <f t="shared" si="27"/>
        <v>0</v>
      </c>
      <c r="D841" s="121">
        <f>ROUND(C841*'FR_Mantenimiento tasas'!$C$43/360,5)</f>
        <v>0</v>
      </c>
      <c r="E841" s="121">
        <f>ROUND(C841*'FR_Mantenimiento tasas'!$D$43/360,5)</f>
        <v>0</v>
      </c>
    </row>
    <row r="842" spans="1:5">
      <c r="A842" s="123">
        <f t="shared" si="26"/>
        <v>840</v>
      </c>
      <c r="B842" s="122">
        <f>IF(DAY(A842)=DAY('F-Ahorro Futuro Genérico'!$H$11),'F-Ahorro Futuro Genérico'!$H$9,0)</f>
        <v>0</v>
      </c>
      <c r="C842" s="122">
        <f t="shared" si="27"/>
        <v>0</v>
      </c>
      <c r="D842" s="121">
        <f>ROUND(C842*'FR_Mantenimiento tasas'!$C$43/360,5)</f>
        <v>0</v>
      </c>
      <c r="E842" s="121">
        <f>ROUND(C842*'FR_Mantenimiento tasas'!$D$43/360,5)</f>
        <v>0</v>
      </c>
    </row>
    <row r="843" spans="1:5">
      <c r="A843" s="123">
        <f t="shared" si="26"/>
        <v>841</v>
      </c>
      <c r="B843" s="122">
        <f>IF(DAY(A843)=DAY('F-Ahorro Futuro Genérico'!$H$11),'F-Ahorro Futuro Genérico'!$H$9,0)</f>
        <v>0</v>
      </c>
      <c r="C843" s="122">
        <f t="shared" si="27"/>
        <v>0</v>
      </c>
      <c r="D843" s="121">
        <f>ROUND(C843*'FR_Mantenimiento tasas'!$C$43/360,5)</f>
        <v>0</v>
      </c>
      <c r="E843" s="121">
        <f>ROUND(C843*'FR_Mantenimiento tasas'!$D$43/360,5)</f>
        <v>0</v>
      </c>
    </row>
    <row r="844" spans="1:5">
      <c r="A844" s="123">
        <f t="shared" si="26"/>
        <v>842</v>
      </c>
      <c r="B844" s="122">
        <f>IF(DAY(A844)=DAY('F-Ahorro Futuro Genérico'!$H$11),'F-Ahorro Futuro Genérico'!$H$9,0)</f>
        <v>0</v>
      </c>
      <c r="C844" s="122">
        <f t="shared" si="27"/>
        <v>0</v>
      </c>
      <c r="D844" s="121">
        <f>ROUND(C844*'FR_Mantenimiento tasas'!$C$43/360,5)</f>
        <v>0</v>
      </c>
      <c r="E844" s="121">
        <f>ROUND(C844*'FR_Mantenimiento tasas'!$D$43/360,5)</f>
        <v>0</v>
      </c>
    </row>
    <row r="845" spans="1:5">
      <c r="A845" s="123">
        <f t="shared" si="26"/>
        <v>843</v>
      </c>
      <c r="B845" s="122">
        <f>IF(DAY(A845)=DAY('F-Ahorro Futuro Genérico'!$H$11),'F-Ahorro Futuro Genérico'!$H$9,0)</f>
        <v>0</v>
      </c>
      <c r="C845" s="122">
        <f t="shared" si="27"/>
        <v>0</v>
      </c>
      <c r="D845" s="121">
        <f>ROUND(C845*'FR_Mantenimiento tasas'!$C$43/360,5)</f>
        <v>0</v>
      </c>
      <c r="E845" s="121">
        <f>ROUND(C845*'FR_Mantenimiento tasas'!$D$43/360,5)</f>
        <v>0</v>
      </c>
    </row>
    <row r="846" spans="1:5">
      <c r="A846" s="123">
        <f t="shared" si="26"/>
        <v>844</v>
      </c>
      <c r="B846" s="122">
        <f>IF(DAY(A846)=DAY('F-Ahorro Futuro Genérico'!$H$11),'F-Ahorro Futuro Genérico'!$H$9,0)</f>
        <v>0</v>
      </c>
      <c r="C846" s="122">
        <f t="shared" si="27"/>
        <v>0</v>
      </c>
      <c r="D846" s="121">
        <f>ROUND(C846*'FR_Mantenimiento tasas'!$C$43/360,5)</f>
        <v>0</v>
      </c>
      <c r="E846" s="121">
        <f>ROUND(C846*'FR_Mantenimiento tasas'!$D$43/360,5)</f>
        <v>0</v>
      </c>
    </row>
    <row r="847" spans="1:5">
      <c r="A847" s="123">
        <f t="shared" si="26"/>
        <v>845</v>
      </c>
      <c r="B847" s="122">
        <f>IF(DAY(A847)=DAY('F-Ahorro Futuro Genérico'!$H$11),'F-Ahorro Futuro Genérico'!$H$9,0)</f>
        <v>0</v>
      </c>
      <c r="C847" s="122">
        <f t="shared" si="27"/>
        <v>0</v>
      </c>
      <c r="D847" s="121">
        <f>ROUND(C847*'FR_Mantenimiento tasas'!$C$43/360,5)</f>
        <v>0</v>
      </c>
      <c r="E847" s="121">
        <f>ROUND(C847*'FR_Mantenimiento tasas'!$D$43/360,5)</f>
        <v>0</v>
      </c>
    </row>
    <row r="848" spans="1:5">
      <c r="A848" s="123">
        <f t="shared" si="26"/>
        <v>846</v>
      </c>
      <c r="B848" s="122">
        <f>IF(DAY(A848)=DAY('F-Ahorro Futuro Genérico'!$H$11),'F-Ahorro Futuro Genérico'!$H$9,0)</f>
        <v>0</v>
      </c>
      <c r="C848" s="122">
        <f t="shared" si="27"/>
        <v>0</v>
      </c>
      <c r="D848" s="121">
        <f>ROUND(C848*'FR_Mantenimiento tasas'!$C$43/360,5)</f>
        <v>0</v>
      </c>
      <c r="E848" s="121">
        <f>ROUND(C848*'FR_Mantenimiento tasas'!$D$43/360,5)</f>
        <v>0</v>
      </c>
    </row>
    <row r="849" spans="1:5">
      <c r="A849" s="123">
        <f t="shared" si="26"/>
        <v>847</v>
      </c>
      <c r="B849" s="122">
        <f>IF(DAY(A849)=DAY('F-Ahorro Futuro Genérico'!$H$11),'F-Ahorro Futuro Genérico'!$H$9,0)</f>
        <v>0</v>
      </c>
      <c r="C849" s="122">
        <f t="shared" si="27"/>
        <v>0</v>
      </c>
      <c r="D849" s="121">
        <f>ROUND(C849*'FR_Mantenimiento tasas'!$C$43/360,5)</f>
        <v>0</v>
      </c>
      <c r="E849" s="121">
        <f>ROUND(C849*'FR_Mantenimiento tasas'!$D$43/360,5)</f>
        <v>0</v>
      </c>
    </row>
    <row r="850" spans="1:5">
      <c r="A850" s="123">
        <f t="shared" si="26"/>
        <v>848</v>
      </c>
      <c r="B850" s="122">
        <f>IF(DAY(A850)=DAY('F-Ahorro Futuro Genérico'!$H$11),'F-Ahorro Futuro Genérico'!$H$9,0)</f>
        <v>0</v>
      </c>
      <c r="C850" s="122">
        <f t="shared" si="27"/>
        <v>0</v>
      </c>
      <c r="D850" s="121">
        <f>ROUND(C850*'FR_Mantenimiento tasas'!$C$43/360,5)</f>
        <v>0</v>
      </c>
      <c r="E850" s="121">
        <f>ROUND(C850*'FR_Mantenimiento tasas'!$D$43/360,5)</f>
        <v>0</v>
      </c>
    </row>
    <row r="851" spans="1:5">
      <c r="A851" s="123">
        <f t="shared" si="26"/>
        <v>849</v>
      </c>
      <c r="B851" s="122">
        <f>IF(DAY(A851)=DAY('F-Ahorro Futuro Genérico'!$H$11),'F-Ahorro Futuro Genérico'!$H$9,0)</f>
        <v>0</v>
      </c>
      <c r="C851" s="122">
        <f t="shared" si="27"/>
        <v>0</v>
      </c>
      <c r="D851" s="121">
        <f>ROUND(C851*'FR_Mantenimiento tasas'!$C$43/360,5)</f>
        <v>0</v>
      </c>
      <c r="E851" s="121">
        <f>ROUND(C851*'FR_Mantenimiento tasas'!$D$43/360,5)</f>
        <v>0</v>
      </c>
    </row>
    <row r="852" spans="1:5">
      <c r="A852" s="123">
        <f t="shared" si="26"/>
        <v>850</v>
      </c>
      <c r="B852" s="122">
        <f>IF(DAY(A852)=DAY('F-Ahorro Futuro Genérico'!$H$11),'F-Ahorro Futuro Genérico'!$H$9,0)</f>
        <v>0</v>
      </c>
      <c r="C852" s="122">
        <f t="shared" si="27"/>
        <v>0</v>
      </c>
      <c r="D852" s="121">
        <f>ROUND(C852*'FR_Mantenimiento tasas'!$C$43/360,5)</f>
        <v>0</v>
      </c>
      <c r="E852" s="121">
        <f>ROUND(C852*'FR_Mantenimiento tasas'!$D$43/360,5)</f>
        <v>0</v>
      </c>
    </row>
    <row r="853" spans="1:5">
      <c r="A853" s="123">
        <f t="shared" si="26"/>
        <v>851</v>
      </c>
      <c r="B853" s="122">
        <f>IF(DAY(A853)=DAY('F-Ahorro Futuro Genérico'!$H$11),'F-Ahorro Futuro Genérico'!$H$9,0)</f>
        <v>0</v>
      </c>
      <c r="C853" s="122">
        <f t="shared" si="27"/>
        <v>0</v>
      </c>
      <c r="D853" s="121">
        <f>ROUND(C853*'FR_Mantenimiento tasas'!$C$43/360,5)</f>
        <v>0</v>
      </c>
      <c r="E853" s="121">
        <f>ROUND(C853*'FR_Mantenimiento tasas'!$D$43/360,5)</f>
        <v>0</v>
      </c>
    </row>
    <row r="854" spans="1:5">
      <c r="A854" s="123">
        <f t="shared" si="26"/>
        <v>852</v>
      </c>
      <c r="B854" s="122">
        <f>IF(DAY(A854)=DAY('F-Ahorro Futuro Genérico'!$H$11),'F-Ahorro Futuro Genérico'!$H$9,0)</f>
        <v>0</v>
      </c>
      <c r="C854" s="122">
        <f t="shared" si="27"/>
        <v>0</v>
      </c>
      <c r="D854" s="121">
        <f>ROUND(C854*'FR_Mantenimiento tasas'!$C$43/360,5)</f>
        <v>0</v>
      </c>
      <c r="E854" s="121">
        <f>ROUND(C854*'FR_Mantenimiento tasas'!$D$43/360,5)</f>
        <v>0</v>
      </c>
    </row>
    <row r="855" spans="1:5">
      <c r="A855" s="123">
        <f t="shared" si="26"/>
        <v>853</v>
      </c>
      <c r="B855" s="122">
        <f>IF(DAY(A855)=DAY('F-Ahorro Futuro Genérico'!$H$11),'F-Ahorro Futuro Genérico'!$H$9,0)</f>
        <v>0</v>
      </c>
      <c r="C855" s="122">
        <f t="shared" si="27"/>
        <v>0</v>
      </c>
      <c r="D855" s="121">
        <f>ROUND(C855*'FR_Mantenimiento tasas'!$C$43/360,5)</f>
        <v>0</v>
      </c>
      <c r="E855" s="121">
        <f>ROUND(C855*'FR_Mantenimiento tasas'!$D$43/360,5)</f>
        <v>0</v>
      </c>
    </row>
    <row r="856" spans="1:5">
      <c r="A856" s="123">
        <f t="shared" si="26"/>
        <v>854</v>
      </c>
      <c r="B856" s="122">
        <f>IF(DAY(A856)=DAY('F-Ahorro Futuro Genérico'!$H$11),'F-Ahorro Futuro Genérico'!$H$9,0)</f>
        <v>0</v>
      </c>
      <c r="C856" s="122">
        <f t="shared" si="27"/>
        <v>0</v>
      </c>
      <c r="D856" s="121">
        <f>ROUND(C856*'FR_Mantenimiento tasas'!$C$43/360,5)</f>
        <v>0</v>
      </c>
      <c r="E856" s="121">
        <f>ROUND(C856*'FR_Mantenimiento tasas'!$D$43/360,5)</f>
        <v>0</v>
      </c>
    </row>
    <row r="857" spans="1:5">
      <c r="A857" s="123">
        <f t="shared" si="26"/>
        <v>855</v>
      </c>
      <c r="B857" s="122">
        <f>IF(DAY(A857)=DAY('F-Ahorro Futuro Genérico'!$H$11),'F-Ahorro Futuro Genérico'!$H$9,0)</f>
        <v>0</v>
      </c>
      <c r="C857" s="122">
        <f t="shared" si="27"/>
        <v>0</v>
      </c>
      <c r="D857" s="121">
        <f>ROUND(C857*'FR_Mantenimiento tasas'!$C$43/360,5)</f>
        <v>0</v>
      </c>
      <c r="E857" s="121">
        <f>ROUND(C857*'FR_Mantenimiento tasas'!$D$43/360,5)</f>
        <v>0</v>
      </c>
    </row>
    <row r="858" spans="1:5">
      <c r="A858" s="123">
        <f t="shared" si="26"/>
        <v>856</v>
      </c>
      <c r="B858" s="122">
        <f>IF(DAY(A858)=DAY('F-Ahorro Futuro Genérico'!$H$11),'F-Ahorro Futuro Genérico'!$H$9,0)</f>
        <v>0</v>
      </c>
      <c r="C858" s="122">
        <f t="shared" si="27"/>
        <v>0</v>
      </c>
      <c r="D858" s="121">
        <f>ROUND(C858*'FR_Mantenimiento tasas'!$C$43/360,5)</f>
        <v>0</v>
      </c>
      <c r="E858" s="121">
        <f>ROUND(C858*'FR_Mantenimiento tasas'!$D$43/360,5)</f>
        <v>0</v>
      </c>
    </row>
    <row r="859" spans="1:5">
      <c r="A859" s="123">
        <f t="shared" si="26"/>
        <v>857</v>
      </c>
      <c r="B859" s="122">
        <f>IF(DAY(A859)=DAY('F-Ahorro Futuro Genérico'!$H$11),'F-Ahorro Futuro Genérico'!$H$9,0)</f>
        <v>0</v>
      </c>
      <c r="C859" s="122">
        <f t="shared" si="27"/>
        <v>0</v>
      </c>
      <c r="D859" s="121">
        <f>ROUND(C859*'FR_Mantenimiento tasas'!$C$43/360,5)</f>
        <v>0</v>
      </c>
      <c r="E859" s="121">
        <f>ROUND(C859*'FR_Mantenimiento tasas'!$D$43/360,5)</f>
        <v>0</v>
      </c>
    </row>
    <row r="860" spans="1:5">
      <c r="A860" s="123">
        <f t="shared" si="26"/>
        <v>858</v>
      </c>
      <c r="B860" s="122">
        <f>IF(DAY(A860)=DAY('F-Ahorro Futuro Genérico'!$H$11),'F-Ahorro Futuro Genérico'!$H$9,0)</f>
        <v>0</v>
      </c>
      <c r="C860" s="122">
        <f t="shared" si="27"/>
        <v>0</v>
      </c>
      <c r="D860" s="121">
        <f>ROUND(C860*'FR_Mantenimiento tasas'!$C$43/360,5)</f>
        <v>0</v>
      </c>
      <c r="E860" s="121">
        <f>ROUND(C860*'FR_Mantenimiento tasas'!$D$43/360,5)</f>
        <v>0</v>
      </c>
    </row>
    <row r="861" spans="1:5">
      <c r="A861" s="123">
        <f t="shared" si="26"/>
        <v>859</v>
      </c>
      <c r="B861" s="122">
        <f>IF(DAY(A861)=DAY('F-Ahorro Futuro Genérico'!$H$11),'F-Ahorro Futuro Genérico'!$H$9,0)</f>
        <v>0</v>
      </c>
      <c r="C861" s="122">
        <f t="shared" si="27"/>
        <v>0</v>
      </c>
      <c r="D861" s="121">
        <f>ROUND(C861*'FR_Mantenimiento tasas'!$C$43/360,5)</f>
        <v>0</v>
      </c>
      <c r="E861" s="121">
        <f>ROUND(C861*'FR_Mantenimiento tasas'!$D$43/360,5)</f>
        <v>0</v>
      </c>
    </row>
    <row r="862" spans="1:5">
      <c r="A862" s="123">
        <f t="shared" si="26"/>
        <v>860</v>
      </c>
      <c r="B862" s="122">
        <f>IF(DAY(A862)=DAY('F-Ahorro Futuro Genérico'!$H$11),'F-Ahorro Futuro Genérico'!$H$9,0)</f>
        <v>0</v>
      </c>
      <c r="C862" s="122">
        <f t="shared" si="27"/>
        <v>0</v>
      </c>
      <c r="D862" s="121">
        <f>ROUND(C862*'FR_Mantenimiento tasas'!$C$43/360,5)</f>
        <v>0</v>
      </c>
      <c r="E862" s="121">
        <f>ROUND(C862*'FR_Mantenimiento tasas'!$D$43/360,5)</f>
        <v>0</v>
      </c>
    </row>
    <row r="863" spans="1:5">
      <c r="A863" s="123">
        <f t="shared" si="26"/>
        <v>861</v>
      </c>
      <c r="B863" s="122">
        <f>IF(DAY(A863)=DAY('F-Ahorro Futuro Genérico'!$H$11),'F-Ahorro Futuro Genérico'!$H$9,0)</f>
        <v>0</v>
      </c>
      <c r="C863" s="122">
        <f t="shared" si="27"/>
        <v>0</v>
      </c>
      <c r="D863" s="121">
        <f>ROUND(C863*'FR_Mantenimiento tasas'!$C$43/360,5)</f>
        <v>0</v>
      </c>
      <c r="E863" s="121">
        <f>ROUND(C863*'FR_Mantenimiento tasas'!$D$43/360,5)</f>
        <v>0</v>
      </c>
    </row>
    <row r="864" spans="1:5">
      <c r="A864" s="123">
        <f t="shared" si="26"/>
        <v>862</v>
      </c>
      <c r="B864" s="122">
        <f>IF(DAY(A864)=DAY('F-Ahorro Futuro Genérico'!$H$11),'F-Ahorro Futuro Genérico'!$H$9,0)</f>
        <v>0</v>
      </c>
      <c r="C864" s="122">
        <f t="shared" si="27"/>
        <v>0</v>
      </c>
      <c r="D864" s="121">
        <f>ROUND(C864*'FR_Mantenimiento tasas'!$C$43/360,5)</f>
        <v>0</v>
      </c>
      <c r="E864" s="121">
        <f>ROUND(C864*'FR_Mantenimiento tasas'!$D$43/360,5)</f>
        <v>0</v>
      </c>
    </row>
    <row r="865" spans="1:5">
      <c r="A865" s="123">
        <f t="shared" si="26"/>
        <v>863</v>
      </c>
      <c r="B865" s="122">
        <f>IF(DAY(A865)=DAY('F-Ahorro Futuro Genérico'!$H$11),'F-Ahorro Futuro Genérico'!$H$9,0)</f>
        <v>0</v>
      </c>
      <c r="C865" s="122">
        <f t="shared" si="27"/>
        <v>0</v>
      </c>
      <c r="D865" s="121">
        <f>ROUND(C865*'FR_Mantenimiento tasas'!$C$43/360,5)</f>
        <v>0</v>
      </c>
      <c r="E865" s="121">
        <f>ROUND(C865*'FR_Mantenimiento tasas'!$D$43/360,5)</f>
        <v>0</v>
      </c>
    </row>
    <row r="866" spans="1:5">
      <c r="A866" s="123">
        <f t="shared" si="26"/>
        <v>864</v>
      </c>
      <c r="B866" s="122">
        <f>IF(DAY(A866)=DAY('F-Ahorro Futuro Genérico'!$H$11),'F-Ahorro Futuro Genérico'!$H$9,0)</f>
        <v>0</v>
      </c>
      <c r="C866" s="122">
        <f t="shared" si="27"/>
        <v>0</v>
      </c>
      <c r="D866" s="121">
        <f>ROUND(C866*'FR_Mantenimiento tasas'!$C$43/360,5)</f>
        <v>0</v>
      </c>
      <c r="E866" s="121">
        <f>ROUND(C866*'FR_Mantenimiento tasas'!$D$43/360,5)</f>
        <v>0</v>
      </c>
    </row>
    <row r="867" spans="1:5">
      <c r="A867" s="123">
        <f t="shared" si="26"/>
        <v>865</v>
      </c>
      <c r="B867" s="122">
        <f>IF(DAY(A867)=DAY('F-Ahorro Futuro Genérico'!$H$11),'F-Ahorro Futuro Genérico'!$H$9,0)</f>
        <v>0</v>
      </c>
      <c r="C867" s="122">
        <f t="shared" si="27"/>
        <v>0</v>
      </c>
      <c r="D867" s="121">
        <f>ROUND(C867*'FR_Mantenimiento tasas'!$C$43/360,5)</f>
        <v>0</v>
      </c>
      <c r="E867" s="121">
        <f>ROUND(C867*'FR_Mantenimiento tasas'!$D$43/360,5)</f>
        <v>0</v>
      </c>
    </row>
    <row r="868" spans="1:5">
      <c r="A868" s="123">
        <f t="shared" si="26"/>
        <v>866</v>
      </c>
      <c r="B868" s="122">
        <f>IF(DAY(A868)=DAY('F-Ahorro Futuro Genérico'!$H$11),'F-Ahorro Futuro Genérico'!$H$9,0)</f>
        <v>0</v>
      </c>
      <c r="C868" s="122">
        <f t="shared" si="27"/>
        <v>0</v>
      </c>
      <c r="D868" s="121">
        <f>ROUND(C868*'FR_Mantenimiento tasas'!$C$43/360,5)</f>
        <v>0</v>
      </c>
      <c r="E868" s="121">
        <f>ROUND(C868*'FR_Mantenimiento tasas'!$D$43/360,5)</f>
        <v>0</v>
      </c>
    </row>
    <row r="869" spans="1:5">
      <c r="A869" s="123">
        <f t="shared" si="26"/>
        <v>867</v>
      </c>
      <c r="B869" s="122">
        <f>IF(DAY(A869)=DAY('F-Ahorro Futuro Genérico'!$H$11),'F-Ahorro Futuro Genérico'!$H$9,0)</f>
        <v>0</v>
      </c>
      <c r="C869" s="122">
        <f t="shared" si="27"/>
        <v>0</v>
      </c>
      <c r="D869" s="121">
        <f>ROUND(C869*'FR_Mantenimiento tasas'!$C$43/360,5)</f>
        <v>0</v>
      </c>
      <c r="E869" s="121">
        <f>ROUND(C869*'FR_Mantenimiento tasas'!$D$43/360,5)</f>
        <v>0</v>
      </c>
    </row>
    <row r="870" spans="1:5">
      <c r="A870" s="123">
        <f t="shared" si="26"/>
        <v>868</v>
      </c>
      <c r="B870" s="122">
        <f>IF(DAY(A870)=DAY('F-Ahorro Futuro Genérico'!$H$11),'F-Ahorro Futuro Genérico'!$H$9,0)</f>
        <v>0</v>
      </c>
      <c r="C870" s="122">
        <f t="shared" si="27"/>
        <v>0</v>
      </c>
      <c r="D870" s="121">
        <f>ROUND(C870*'FR_Mantenimiento tasas'!$C$43/360,5)</f>
        <v>0</v>
      </c>
      <c r="E870" s="121">
        <f>ROUND(C870*'FR_Mantenimiento tasas'!$D$43/360,5)</f>
        <v>0</v>
      </c>
    </row>
    <row r="871" spans="1:5">
      <c r="A871" s="123">
        <f t="shared" si="26"/>
        <v>869</v>
      </c>
      <c r="B871" s="122">
        <f>IF(DAY(A871)=DAY('F-Ahorro Futuro Genérico'!$H$11),'F-Ahorro Futuro Genérico'!$H$9,0)</f>
        <v>0</v>
      </c>
      <c r="C871" s="122">
        <f t="shared" si="27"/>
        <v>0</v>
      </c>
      <c r="D871" s="121">
        <f>ROUND(C871*'FR_Mantenimiento tasas'!$C$43/360,5)</f>
        <v>0</v>
      </c>
      <c r="E871" s="121">
        <f>ROUND(C871*'FR_Mantenimiento tasas'!$D$43/360,5)</f>
        <v>0</v>
      </c>
    </row>
    <row r="872" spans="1:5">
      <c r="A872" s="123">
        <f t="shared" si="26"/>
        <v>870</v>
      </c>
      <c r="B872" s="122">
        <f>IF(DAY(A872)=DAY('F-Ahorro Futuro Genérico'!$H$11),'F-Ahorro Futuro Genérico'!$H$9,0)</f>
        <v>0</v>
      </c>
      <c r="C872" s="122">
        <f t="shared" si="27"/>
        <v>0</v>
      </c>
      <c r="D872" s="121">
        <f>ROUND(C872*'FR_Mantenimiento tasas'!$C$43/360,5)</f>
        <v>0</v>
      </c>
      <c r="E872" s="121">
        <f>ROUND(C872*'FR_Mantenimiento tasas'!$D$43/360,5)</f>
        <v>0</v>
      </c>
    </row>
    <row r="873" spans="1:5">
      <c r="A873" s="123">
        <f t="shared" si="26"/>
        <v>871</v>
      </c>
      <c r="B873" s="122">
        <f>IF(DAY(A873)=DAY('F-Ahorro Futuro Genérico'!$H$11),'F-Ahorro Futuro Genérico'!$H$9,0)</f>
        <v>0</v>
      </c>
      <c r="C873" s="122">
        <f t="shared" si="27"/>
        <v>0</v>
      </c>
      <c r="D873" s="121">
        <f>ROUND(C873*'FR_Mantenimiento tasas'!$C$43/360,5)</f>
        <v>0</v>
      </c>
      <c r="E873" s="121">
        <f>ROUND(C873*'FR_Mantenimiento tasas'!$D$43/360,5)</f>
        <v>0</v>
      </c>
    </row>
    <row r="874" spans="1:5">
      <c r="A874" s="123">
        <f t="shared" si="26"/>
        <v>872</v>
      </c>
      <c r="B874" s="122">
        <f>IF(DAY(A874)=DAY('F-Ahorro Futuro Genérico'!$H$11),'F-Ahorro Futuro Genérico'!$H$9,0)</f>
        <v>0</v>
      </c>
      <c r="C874" s="122">
        <f t="shared" si="27"/>
        <v>0</v>
      </c>
      <c r="D874" s="121">
        <f>ROUND(C874*'FR_Mantenimiento tasas'!$C$43/360,5)</f>
        <v>0</v>
      </c>
      <c r="E874" s="121">
        <f>ROUND(C874*'FR_Mantenimiento tasas'!$D$43/360,5)</f>
        <v>0</v>
      </c>
    </row>
    <row r="875" spans="1:5">
      <c r="A875" s="123">
        <f t="shared" si="26"/>
        <v>873</v>
      </c>
      <c r="B875" s="122">
        <f>IF(DAY(A875)=DAY('F-Ahorro Futuro Genérico'!$H$11),'F-Ahorro Futuro Genérico'!$H$9,0)</f>
        <v>0</v>
      </c>
      <c r="C875" s="122">
        <f t="shared" si="27"/>
        <v>0</v>
      </c>
      <c r="D875" s="121">
        <f>ROUND(C875*'FR_Mantenimiento tasas'!$C$43/360,5)</f>
        <v>0</v>
      </c>
      <c r="E875" s="121">
        <f>ROUND(C875*'FR_Mantenimiento tasas'!$D$43/360,5)</f>
        <v>0</v>
      </c>
    </row>
    <row r="876" spans="1:5">
      <c r="A876" s="123">
        <f t="shared" si="26"/>
        <v>874</v>
      </c>
      <c r="B876" s="122">
        <f>IF(DAY(A876)=DAY('F-Ahorro Futuro Genérico'!$H$11),'F-Ahorro Futuro Genérico'!$H$9,0)</f>
        <v>0</v>
      </c>
      <c r="C876" s="122">
        <f t="shared" si="27"/>
        <v>0</v>
      </c>
      <c r="D876" s="121">
        <f>ROUND(C876*'FR_Mantenimiento tasas'!$C$43/360,5)</f>
        <v>0</v>
      </c>
      <c r="E876" s="121">
        <f>ROUND(C876*'FR_Mantenimiento tasas'!$D$43/360,5)</f>
        <v>0</v>
      </c>
    </row>
    <row r="877" spans="1:5">
      <c r="A877" s="123">
        <f t="shared" si="26"/>
        <v>875</v>
      </c>
      <c r="B877" s="122">
        <f>IF(DAY(A877)=DAY('F-Ahorro Futuro Genérico'!$H$11),'F-Ahorro Futuro Genérico'!$H$9,0)</f>
        <v>0</v>
      </c>
      <c r="C877" s="122">
        <f t="shared" si="27"/>
        <v>0</v>
      </c>
      <c r="D877" s="121">
        <f>ROUND(C877*'FR_Mantenimiento tasas'!$C$43/360,5)</f>
        <v>0</v>
      </c>
      <c r="E877" s="121">
        <f>ROUND(C877*'FR_Mantenimiento tasas'!$D$43/360,5)</f>
        <v>0</v>
      </c>
    </row>
    <row r="878" spans="1:5">
      <c r="A878" s="123">
        <f t="shared" si="26"/>
        <v>876</v>
      </c>
      <c r="B878" s="122">
        <f>IF(DAY(A878)=DAY('F-Ahorro Futuro Genérico'!$H$11),'F-Ahorro Futuro Genérico'!$H$9,0)</f>
        <v>0</v>
      </c>
      <c r="C878" s="122">
        <f t="shared" si="27"/>
        <v>0</v>
      </c>
      <c r="D878" s="121">
        <f>ROUND(C878*'FR_Mantenimiento tasas'!$C$43/360,5)</f>
        <v>0</v>
      </c>
      <c r="E878" s="121">
        <f>ROUND(C878*'FR_Mantenimiento tasas'!$D$43/360,5)</f>
        <v>0</v>
      </c>
    </row>
    <row r="879" spans="1:5">
      <c r="A879" s="123">
        <f t="shared" si="26"/>
        <v>877</v>
      </c>
      <c r="B879" s="122">
        <f>IF(DAY(A879)=DAY('F-Ahorro Futuro Genérico'!$H$11),'F-Ahorro Futuro Genérico'!$H$9,0)</f>
        <v>0</v>
      </c>
      <c r="C879" s="122">
        <f t="shared" si="27"/>
        <v>0</v>
      </c>
      <c r="D879" s="121">
        <f>ROUND(C879*'FR_Mantenimiento tasas'!$C$43/360,5)</f>
        <v>0</v>
      </c>
      <c r="E879" s="121">
        <f>ROUND(C879*'FR_Mantenimiento tasas'!$D$43/360,5)</f>
        <v>0</v>
      </c>
    </row>
    <row r="880" spans="1:5">
      <c r="A880" s="123">
        <f t="shared" si="26"/>
        <v>878</v>
      </c>
      <c r="B880" s="122">
        <f>IF(DAY(A880)=DAY('F-Ahorro Futuro Genérico'!$H$11),'F-Ahorro Futuro Genérico'!$H$9,0)</f>
        <v>0</v>
      </c>
      <c r="C880" s="122">
        <f t="shared" si="27"/>
        <v>0</v>
      </c>
      <c r="D880" s="121">
        <f>ROUND(C880*'FR_Mantenimiento tasas'!$C$43/360,5)</f>
        <v>0</v>
      </c>
      <c r="E880" s="121">
        <f>ROUND(C880*'FR_Mantenimiento tasas'!$D$43/360,5)</f>
        <v>0</v>
      </c>
    </row>
    <row r="881" spans="1:5">
      <c r="A881" s="123">
        <f t="shared" si="26"/>
        <v>879</v>
      </c>
      <c r="B881" s="122">
        <f>IF(DAY(A881)=DAY('F-Ahorro Futuro Genérico'!$H$11),'F-Ahorro Futuro Genérico'!$H$9,0)</f>
        <v>0</v>
      </c>
      <c r="C881" s="122">
        <f t="shared" si="27"/>
        <v>0</v>
      </c>
      <c r="D881" s="121">
        <f>ROUND(C881*'FR_Mantenimiento tasas'!$C$43/360,5)</f>
        <v>0</v>
      </c>
      <c r="E881" s="121">
        <f>ROUND(C881*'FR_Mantenimiento tasas'!$D$43/360,5)</f>
        <v>0</v>
      </c>
    </row>
    <row r="882" spans="1:5">
      <c r="A882" s="123">
        <f t="shared" si="26"/>
        <v>880</v>
      </c>
      <c r="B882" s="122">
        <f>IF(DAY(A882)=DAY('F-Ahorro Futuro Genérico'!$H$11),'F-Ahorro Futuro Genérico'!$H$9,0)</f>
        <v>0</v>
      </c>
      <c r="C882" s="122">
        <f t="shared" si="27"/>
        <v>0</v>
      </c>
      <c r="D882" s="121">
        <f>ROUND(C882*'FR_Mantenimiento tasas'!$C$43/360,5)</f>
        <v>0</v>
      </c>
      <c r="E882" s="121">
        <f>ROUND(C882*'FR_Mantenimiento tasas'!$D$43/360,5)</f>
        <v>0</v>
      </c>
    </row>
    <row r="883" spans="1:5">
      <c r="A883" s="123">
        <f t="shared" si="26"/>
        <v>881</v>
      </c>
      <c r="B883" s="122">
        <f>IF(DAY(A883)=DAY('F-Ahorro Futuro Genérico'!$H$11),'F-Ahorro Futuro Genérico'!$H$9,0)</f>
        <v>0</v>
      </c>
      <c r="C883" s="122">
        <f t="shared" si="27"/>
        <v>0</v>
      </c>
      <c r="D883" s="121">
        <f>ROUND(C883*'FR_Mantenimiento tasas'!$C$43/360,5)</f>
        <v>0</v>
      </c>
      <c r="E883" s="121">
        <f>ROUND(C883*'FR_Mantenimiento tasas'!$D$43/360,5)</f>
        <v>0</v>
      </c>
    </row>
    <row r="884" spans="1:5">
      <c r="A884" s="123">
        <f t="shared" si="26"/>
        <v>882</v>
      </c>
      <c r="B884" s="122">
        <f>IF(DAY(A884)=DAY('F-Ahorro Futuro Genérico'!$H$11),'F-Ahorro Futuro Genérico'!$H$9,0)</f>
        <v>0</v>
      </c>
      <c r="C884" s="122">
        <f t="shared" si="27"/>
        <v>0</v>
      </c>
      <c r="D884" s="121">
        <f>ROUND(C884*'FR_Mantenimiento tasas'!$C$43/360,5)</f>
        <v>0</v>
      </c>
      <c r="E884" s="121">
        <f>ROUND(C884*'FR_Mantenimiento tasas'!$D$43/360,5)</f>
        <v>0</v>
      </c>
    </row>
    <row r="885" spans="1:5">
      <c r="A885" s="123">
        <f t="shared" si="26"/>
        <v>883</v>
      </c>
      <c r="B885" s="122">
        <f>IF(DAY(A885)=DAY('F-Ahorro Futuro Genérico'!$H$11),'F-Ahorro Futuro Genérico'!$H$9,0)</f>
        <v>0</v>
      </c>
      <c r="C885" s="122">
        <f t="shared" si="27"/>
        <v>0</v>
      </c>
      <c r="D885" s="121">
        <f>ROUND(C885*'FR_Mantenimiento tasas'!$C$43/360,5)</f>
        <v>0</v>
      </c>
      <c r="E885" s="121">
        <f>ROUND(C885*'FR_Mantenimiento tasas'!$D$43/360,5)</f>
        <v>0</v>
      </c>
    </row>
    <row r="886" spans="1:5">
      <c r="A886" s="123">
        <f t="shared" si="26"/>
        <v>884</v>
      </c>
      <c r="B886" s="122">
        <f>IF(DAY(A886)=DAY('F-Ahorro Futuro Genérico'!$H$11),'F-Ahorro Futuro Genérico'!$H$9,0)</f>
        <v>0</v>
      </c>
      <c r="C886" s="122">
        <f t="shared" si="27"/>
        <v>0</v>
      </c>
      <c r="D886" s="121">
        <f>ROUND(C886*'FR_Mantenimiento tasas'!$C$43/360,5)</f>
        <v>0</v>
      </c>
      <c r="E886" s="121">
        <f>ROUND(C886*'FR_Mantenimiento tasas'!$D$43/360,5)</f>
        <v>0</v>
      </c>
    </row>
    <row r="887" spans="1:5">
      <c r="A887" s="123">
        <f t="shared" si="26"/>
        <v>885</v>
      </c>
      <c r="B887" s="122">
        <f>IF(DAY(A887)=DAY('F-Ahorro Futuro Genérico'!$H$11),'F-Ahorro Futuro Genérico'!$H$9,0)</f>
        <v>0</v>
      </c>
      <c r="C887" s="122">
        <f t="shared" si="27"/>
        <v>0</v>
      </c>
      <c r="D887" s="121">
        <f>ROUND(C887*'FR_Mantenimiento tasas'!$C$43/360,5)</f>
        <v>0</v>
      </c>
      <c r="E887" s="121">
        <f>ROUND(C887*'FR_Mantenimiento tasas'!$D$43/360,5)</f>
        <v>0</v>
      </c>
    </row>
    <row r="888" spans="1:5">
      <c r="A888" s="123">
        <f t="shared" si="26"/>
        <v>886</v>
      </c>
      <c r="B888" s="122">
        <f>IF(DAY(A888)=DAY('F-Ahorro Futuro Genérico'!$H$11),'F-Ahorro Futuro Genérico'!$H$9,0)</f>
        <v>0</v>
      </c>
      <c r="C888" s="122">
        <f t="shared" si="27"/>
        <v>0</v>
      </c>
      <c r="D888" s="121">
        <f>ROUND(C888*'FR_Mantenimiento tasas'!$C$43/360,5)</f>
        <v>0</v>
      </c>
      <c r="E888" s="121">
        <f>ROUND(C888*'FR_Mantenimiento tasas'!$D$43/360,5)</f>
        <v>0</v>
      </c>
    </row>
    <row r="889" spans="1:5">
      <c r="A889" s="123">
        <f t="shared" si="26"/>
        <v>887</v>
      </c>
      <c r="B889" s="122">
        <f>IF(DAY(A889)=DAY('F-Ahorro Futuro Genérico'!$H$11),'F-Ahorro Futuro Genérico'!$H$9,0)</f>
        <v>0</v>
      </c>
      <c r="C889" s="122">
        <f t="shared" si="27"/>
        <v>0</v>
      </c>
      <c r="D889" s="121">
        <f>ROUND(C889*'FR_Mantenimiento tasas'!$C$43/360,5)</f>
        <v>0</v>
      </c>
      <c r="E889" s="121">
        <f>ROUND(C889*'FR_Mantenimiento tasas'!$D$43/360,5)</f>
        <v>0</v>
      </c>
    </row>
    <row r="890" spans="1:5">
      <c r="A890" s="123">
        <f t="shared" si="26"/>
        <v>888</v>
      </c>
      <c r="B890" s="122">
        <f>IF(DAY(A890)=DAY('F-Ahorro Futuro Genérico'!$H$11),'F-Ahorro Futuro Genérico'!$H$9,0)</f>
        <v>0</v>
      </c>
      <c r="C890" s="122">
        <f t="shared" si="27"/>
        <v>0</v>
      </c>
      <c r="D890" s="121">
        <f>ROUND(C890*'FR_Mantenimiento tasas'!$C$43/360,5)</f>
        <v>0</v>
      </c>
      <c r="E890" s="121">
        <f>ROUND(C890*'FR_Mantenimiento tasas'!$D$43/360,5)</f>
        <v>0</v>
      </c>
    </row>
    <row r="891" spans="1:5">
      <c r="A891" s="123">
        <f t="shared" si="26"/>
        <v>889</v>
      </c>
      <c r="B891" s="122">
        <f>IF(DAY(A891)=DAY('F-Ahorro Futuro Genérico'!$H$11),'F-Ahorro Futuro Genérico'!$H$9,0)</f>
        <v>0</v>
      </c>
      <c r="C891" s="122">
        <f t="shared" si="27"/>
        <v>0</v>
      </c>
      <c r="D891" s="121">
        <f>ROUND(C891*'FR_Mantenimiento tasas'!$C$43/360,5)</f>
        <v>0</v>
      </c>
      <c r="E891" s="121">
        <f>ROUND(C891*'FR_Mantenimiento tasas'!$D$43/360,5)</f>
        <v>0</v>
      </c>
    </row>
    <row r="892" spans="1:5">
      <c r="A892" s="123">
        <f t="shared" si="26"/>
        <v>890</v>
      </c>
      <c r="B892" s="122">
        <f>IF(DAY(A892)=DAY('F-Ahorro Futuro Genérico'!$H$11),'F-Ahorro Futuro Genérico'!$H$9,0)</f>
        <v>0</v>
      </c>
      <c r="C892" s="122">
        <f t="shared" si="27"/>
        <v>0</v>
      </c>
      <c r="D892" s="121">
        <f>ROUND(C892*'FR_Mantenimiento tasas'!$C$43/360,5)</f>
        <v>0</v>
      </c>
      <c r="E892" s="121">
        <f>ROUND(C892*'FR_Mantenimiento tasas'!$D$43/360,5)</f>
        <v>0</v>
      </c>
    </row>
    <row r="893" spans="1:5">
      <c r="A893" s="123">
        <f t="shared" si="26"/>
        <v>891</v>
      </c>
      <c r="B893" s="122">
        <f>IF(DAY(A893)=DAY('F-Ahorro Futuro Genérico'!$H$11),'F-Ahorro Futuro Genérico'!$H$9,0)</f>
        <v>0</v>
      </c>
      <c r="C893" s="122">
        <f t="shared" si="27"/>
        <v>0</v>
      </c>
      <c r="D893" s="121">
        <f>ROUND(C893*'FR_Mantenimiento tasas'!$C$43/360,5)</f>
        <v>0</v>
      </c>
      <c r="E893" s="121">
        <f>ROUND(C893*'FR_Mantenimiento tasas'!$D$43/360,5)</f>
        <v>0</v>
      </c>
    </row>
    <row r="894" spans="1:5">
      <c r="A894" s="123">
        <f t="shared" si="26"/>
        <v>892</v>
      </c>
      <c r="B894" s="122">
        <f>IF(DAY(A894)=DAY('F-Ahorro Futuro Genérico'!$H$11),'F-Ahorro Futuro Genérico'!$H$9,0)</f>
        <v>0</v>
      </c>
      <c r="C894" s="122">
        <f t="shared" si="27"/>
        <v>0</v>
      </c>
      <c r="D894" s="121">
        <f>ROUND(C894*'FR_Mantenimiento tasas'!$C$43/360,5)</f>
        <v>0</v>
      </c>
      <c r="E894" s="121">
        <f>ROUND(C894*'FR_Mantenimiento tasas'!$D$43/360,5)</f>
        <v>0</v>
      </c>
    </row>
    <row r="895" spans="1:5">
      <c r="A895" s="123">
        <f t="shared" si="26"/>
        <v>893</v>
      </c>
      <c r="B895" s="122">
        <f>IF(DAY(A895)=DAY('F-Ahorro Futuro Genérico'!$H$11),'F-Ahorro Futuro Genérico'!$H$9,0)</f>
        <v>0</v>
      </c>
      <c r="C895" s="122">
        <f t="shared" si="27"/>
        <v>0</v>
      </c>
      <c r="D895" s="121">
        <f>ROUND(C895*'FR_Mantenimiento tasas'!$C$43/360,5)</f>
        <v>0</v>
      </c>
      <c r="E895" s="121">
        <f>ROUND(C895*'FR_Mantenimiento tasas'!$D$43/360,5)</f>
        <v>0</v>
      </c>
    </row>
    <row r="896" spans="1:5">
      <c r="A896" s="123">
        <f t="shared" si="26"/>
        <v>894</v>
      </c>
      <c r="B896" s="122">
        <f>IF(DAY(A896)=DAY('F-Ahorro Futuro Genérico'!$H$11),'F-Ahorro Futuro Genérico'!$H$9,0)</f>
        <v>0</v>
      </c>
      <c r="C896" s="122">
        <f t="shared" si="27"/>
        <v>0</v>
      </c>
      <c r="D896" s="121">
        <f>ROUND(C896*'FR_Mantenimiento tasas'!$C$43/360,5)</f>
        <v>0</v>
      </c>
      <c r="E896" s="121">
        <f>ROUND(C896*'FR_Mantenimiento tasas'!$D$43/360,5)</f>
        <v>0</v>
      </c>
    </row>
    <row r="897" spans="1:5">
      <c r="A897" s="123">
        <f t="shared" si="26"/>
        <v>895</v>
      </c>
      <c r="B897" s="122">
        <f>IF(DAY(A897)=DAY('F-Ahorro Futuro Genérico'!$H$11),'F-Ahorro Futuro Genérico'!$H$9,0)</f>
        <v>0</v>
      </c>
      <c r="C897" s="122">
        <f t="shared" si="27"/>
        <v>0</v>
      </c>
      <c r="D897" s="121">
        <f>ROUND(C897*'FR_Mantenimiento tasas'!$C$43/360,5)</f>
        <v>0</v>
      </c>
      <c r="E897" s="121">
        <f>ROUND(C897*'FR_Mantenimiento tasas'!$D$43/360,5)</f>
        <v>0</v>
      </c>
    </row>
    <row r="898" spans="1:5">
      <c r="A898" s="123">
        <f t="shared" si="26"/>
        <v>896</v>
      </c>
      <c r="B898" s="122">
        <f>IF(DAY(A898)=DAY('F-Ahorro Futuro Genérico'!$H$11),'F-Ahorro Futuro Genérico'!$H$9,0)</f>
        <v>0</v>
      </c>
      <c r="C898" s="122">
        <f t="shared" si="27"/>
        <v>0</v>
      </c>
      <c r="D898" s="121">
        <f>ROUND(C898*'FR_Mantenimiento tasas'!$C$43/360,5)</f>
        <v>0</v>
      </c>
      <c r="E898" s="121">
        <f>ROUND(C898*'FR_Mantenimiento tasas'!$D$43/360,5)</f>
        <v>0</v>
      </c>
    </row>
    <row r="899" spans="1:5">
      <c r="A899" s="123">
        <f t="shared" si="26"/>
        <v>897</v>
      </c>
      <c r="B899" s="122">
        <f>IF(DAY(A899)=DAY('F-Ahorro Futuro Genérico'!$H$11),'F-Ahorro Futuro Genérico'!$H$9,0)</f>
        <v>0</v>
      </c>
      <c r="C899" s="122">
        <f t="shared" si="27"/>
        <v>0</v>
      </c>
      <c r="D899" s="121">
        <f>ROUND(C899*'FR_Mantenimiento tasas'!$C$43/360,5)</f>
        <v>0</v>
      </c>
      <c r="E899" s="121">
        <f>ROUND(C899*'FR_Mantenimiento tasas'!$D$43/360,5)</f>
        <v>0</v>
      </c>
    </row>
    <row r="900" spans="1:5">
      <c r="A900" s="123">
        <f t="shared" ref="A900:A963" si="28">+A899+1</f>
        <v>898</v>
      </c>
      <c r="B900" s="122">
        <f>IF(DAY(A900)=DAY('F-Ahorro Futuro Genérico'!$H$11),'F-Ahorro Futuro Genérico'!$H$9,0)</f>
        <v>0</v>
      </c>
      <c r="C900" s="122">
        <f t="shared" ref="C900:C963" si="29">+B900+C899+D899</f>
        <v>0</v>
      </c>
      <c r="D900" s="121">
        <f>ROUND(C900*'FR_Mantenimiento tasas'!$C$43/360,5)</f>
        <v>0</v>
      </c>
      <c r="E900" s="121">
        <f>ROUND(C900*'FR_Mantenimiento tasas'!$D$43/360,5)</f>
        <v>0</v>
      </c>
    </row>
    <row r="901" spans="1:5">
      <c r="A901" s="123">
        <f t="shared" si="28"/>
        <v>899</v>
      </c>
      <c r="B901" s="122">
        <f>IF(DAY(A901)=DAY('F-Ahorro Futuro Genérico'!$H$11),'F-Ahorro Futuro Genérico'!$H$9,0)</f>
        <v>0</v>
      </c>
      <c r="C901" s="122">
        <f t="shared" si="29"/>
        <v>0</v>
      </c>
      <c r="D901" s="121">
        <f>ROUND(C901*'FR_Mantenimiento tasas'!$C$43/360,5)</f>
        <v>0</v>
      </c>
      <c r="E901" s="121">
        <f>ROUND(C901*'FR_Mantenimiento tasas'!$D$43/360,5)</f>
        <v>0</v>
      </c>
    </row>
    <row r="902" spans="1:5">
      <c r="A902" s="123">
        <f t="shared" si="28"/>
        <v>900</v>
      </c>
      <c r="B902" s="122">
        <f>IF(DAY(A902)=DAY('F-Ahorro Futuro Genérico'!$H$11),'F-Ahorro Futuro Genérico'!$H$9,0)</f>
        <v>0</v>
      </c>
      <c r="C902" s="122">
        <f t="shared" si="29"/>
        <v>0</v>
      </c>
      <c r="D902" s="121">
        <f>ROUND(C902*'FR_Mantenimiento tasas'!$C$43/360,5)</f>
        <v>0</v>
      </c>
      <c r="E902" s="121">
        <f>ROUND(C902*'FR_Mantenimiento tasas'!$D$43/360,5)</f>
        <v>0</v>
      </c>
    </row>
    <row r="903" spans="1:5">
      <c r="A903" s="123">
        <f t="shared" si="28"/>
        <v>901</v>
      </c>
      <c r="B903" s="122">
        <f>IF(DAY(A903)=DAY('F-Ahorro Futuro Genérico'!$H$11),'F-Ahorro Futuro Genérico'!$H$9,0)</f>
        <v>0</v>
      </c>
      <c r="C903" s="122">
        <f t="shared" si="29"/>
        <v>0</v>
      </c>
      <c r="D903" s="121">
        <f>ROUND(C903*'FR_Mantenimiento tasas'!$C$43/360,5)</f>
        <v>0</v>
      </c>
      <c r="E903" s="121">
        <f>ROUND(C903*'FR_Mantenimiento tasas'!$D$43/360,5)</f>
        <v>0</v>
      </c>
    </row>
    <row r="904" spans="1:5">
      <c r="A904" s="123">
        <f t="shared" si="28"/>
        <v>902</v>
      </c>
      <c r="B904" s="122">
        <f>IF(DAY(A904)=DAY('F-Ahorro Futuro Genérico'!$H$11),'F-Ahorro Futuro Genérico'!$H$9,0)</f>
        <v>0</v>
      </c>
      <c r="C904" s="122">
        <f t="shared" si="29"/>
        <v>0</v>
      </c>
      <c r="D904" s="121">
        <f>ROUND(C904*'FR_Mantenimiento tasas'!$C$43/360,5)</f>
        <v>0</v>
      </c>
      <c r="E904" s="121">
        <f>ROUND(C904*'FR_Mantenimiento tasas'!$D$43/360,5)</f>
        <v>0</v>
      </c>
    </row>
    <row r="905" spans="1:5">
      <c r="A905" s="123">
        <f t="shared" si="28"/>
        <v>903</v>
      </c>
      <c r="B905" s="122">
        <f>IF(DAY(A905)=DAY('F-Ahorro Futuro Genérico'!$H$11),'F-Ahorro Futuro Genérico'!$H$9,0)</f>
        <v>0</v>
      </c>
      <c r="C905" s="122">
        <f t="shared" si="29"/>
        <v>0</v>
      </c>
      <c r="D905" s="121">
        <f>ROUND(C905*'FR_Mantenimiento tasas'!$C$43/360,5)</f>
        <v>0</v>
      </c>
      <c r="E905" s="121">
        <f>ROUND(C905*'FR_Mantenimiento tasas'!$D$43/360,5)</f>
        <v>0</v>
      </c>
    </row>
    <row r="906" spans="1:5">
      <c r="A906" s="123">
        <f t="shared" si="28"/>
        <v>904</v>
      </c>
      <c r="B906" s="122">
        <f>IF(DAY(A906)=DAY('F-Ahorro Futuro Genérico'!$H$11),'F-Ahorro Futuro Genérico'!$H$9,0)</f>
        <v>0</v>
      </c>
      <c r="C906" s="122">
        <f t="shared" si="29"/>
        <v>0</v>
      </c>
      <c r="D906" s="121">
        <f>ROUND(C906*'FR_Mantenimiento tasas'!$C$43/360,5)</f>
        <v>0</v>
      </c>
      <c r="E906" s="121">
        <f>ROUND(C906*'FR_Mantenimiento tasas'!$D$43/360,5)</f>
        <v>0</v>
      </c>
    </row>
    <row r="907" spans="1:5">
      <c r="A907" s="123">
        <f t="shared" si="28"/>
        <v>905</v>
      </c>
      <c r="B907" s="122">
        <f>IF(DAY(A907)=DAY('F-Ahorro Futuro Genérico'!$H$11),'F-Ahorro Futuro Genérico'!$H$9,0)</f>
        <v>0</v>
      </c>
      <c r="C907" s="122">
        <f t="shared" si="29"/>
        <v>0</v>
      </c>
      <c r="D907" s="121">
        <f>ROUND(C907*'FR_Mantenimiento tasas'!$C$43/360,5)</f>
        <v>0</v>
      </c>
      <c r="E907" s="121">
        <f>ROUND(C907*'FR_Mantenimiento tasas'!$D$43/360,5)</f>
        <v>0</v>
      </c>
    </row>
    <row r="908" spans="1:5">
      <c r="A908" s="123">
        <f t="shared" si="28"/>
        <v>906</v>
      </c>
      <c r="B908" s="122">
        <f>IF(DAY(A908)=DAY('F-Ahorro Futuro Genérico'!$H$11),'F-Ahorro Futuro Genérico'!$H$9,0)</f>
        <v>0</v>
      </c>
      <c r="C908" s="122">
        <f t="shared" si="29"/>
        <v>0</v>
      </c>
      <c r="D908" s="121">
        <f>ROUND(C908*'FR_Mantenimiento tasas'!$C$43/360,5)</f>
        <v>0</v>
      </c>
      <c r="E908" s="121">
        <f>ROUND(C908*'FR_Mantenimiento tasas'!$D$43/360,5)</f>
        <v>0</v>
      </c>
    </row>
    <row r="909" spans="1:5">
      <c r="A909" s="123">
        <f t="shared" si="28"/>
        <v>907</v>
      </c>
      <c r="B909" s="122">
        <f>IF(DAY(A909)=DAY('F-Ahorro Futuro Genérico'!$H$11),'F-Ahorro Futuro Genérico'!$H$9,0)</f>
        <v>0</v>
      </c>
      <c r="C909" s="122">
        <f t="shared" si="29"/>
        <v>0</v>
      </c>
      <c r="D909" s="121">
        <f>ROUND(C909*'FR_Mantenimiento tasas'!$C$43/360,5)</f>
        <v>0</v>
      </c>
      <c r="E909" s="121">
        <f>ROUND(C909*'FR_Mantenimiento tasas'!$D$43/360,5)</f>
        <v>0</v>
      </c>
    </row>
    <row r="910" spans="1:5">
      <c r="A910" s="123">
        <f t="shared" si="28"/>
        <v>908</v>
      </c>
      <c r="B910" s="122">
        <f>IF(DAY(A910)=DAY('F-Ahorro Futuro Genérico'!$H$11),'F-Ahorro Futuro Genérico'!$H$9,0)</f>
        <v>0</v>
      </c>
      <c r="C910" s="122">
        <f t="shared" si="29"/>
        <v>0</v>
      </c>
      <c r="D910" s="121">
        <f>ROUND(C910*'FR_Mantenimiento tasas'!$C$43/360,5)</f>
        <v>0</v>
      </c>
      <c r="E910" s="121">
        <f>ROUND(C910*'FR_Mantenimiento tasas'!$D$43/360,5)</f>
        <v>0</v>
      </c>
    </row>
    <row r="911" spans="1:5">
      <c r="A911" s="123">
        <f t="shared" si="28"/>
        <v>909</v>
      </c>
      <c r="B911" s="122">
        <f>IF(DAY(A911)=DAY('F-Ahorro Futuro Genérico'!$H$11),'F-Ahorro Futuro Genérico'!$H$9,0)</f>
        <v>0</v>
      </c>
      <c r="C911" s="122">
        <f t="shared" si="29"/>
        <v>0</v>
      </c>
      <c r="D911" s="121">
        <f>ROUND(C911*'FR_Mantenimiento tasas'!$C$43/360,5)</f>
        <v>0</v>
      </c>
      <c r="E911" s="121">
        <f>ROUND(C911*'FR_Mantenimiento tasas'!$D$43/360,5)</f>
        <v>0</v>
      </c>
    </row>
    <row r="912" spans="1:5">
      <c r="A912" s="123">
        <f t="shared" si="28"/>
        <v>910</v>
      </c>
      <c r="B912" s="122">
        <f>IF(DAY(A912)=DAY('F-Ahorro Futuro Genérico'!$H$11),'F-Ahorro Futuro Genérico'!$H$9,0)</f>
        <v>0</v>
      </c>
      <c r="C912" s="122">
        <f t="shared" si="29"/>
        <v>0</v>
      </c>
      <c r="D912" s="121">
        <f>ROUND(C912*'FR_Mantenimiento tasas'!$C$43/360,5)</f>
        <v>0</v>
      </c>
      <c r="E912" s="121">
        <f>ROUND(C912*'FR_Mantenimiento tasas'!$D$43/360,5)</f>
        <v>0</v>
      </c>
    </row>
    <row r="913" spans="1:5">
      <c r="A913" s="123">
        <f t="shared" si="28"/>
        <v>911</v>
      </c>
      <c r="B913" s="122">
        <f>IF(DAY(A913)=DAY('F-Ahorro Futuro Genérico'!$H$11),'F-Ahorro Futuro Genérico'!$H$9,0)</f>
        <v>0</v>
      </c>
      <c r="C913" s="122">
        <f t="shared" si="29"/>
        <v>0</v>
      </c>
      <c r="D913" s="121">
        <f>ROUND(C913*'FR_Mantenimiento tasas'!$C$43/360,5)</f>
        <v>0</v>
      </c>
      <c r="E913" s="121">
        <f>ROUND(C913*'FR_Mantenimiento tasas'!$D$43/360,5)</f>
        <v>0</v>
      </c>
    </row>
    <row r="914" spans="1:5">
      <c r="A914" s="123">
        <f t="shared" si="28"/>
        <v>912</v>
      </c>
      <c r="B914" s="122">
        <f>IF(DAY(A914)=DAY('F-Ahorro Futuro Genérico'!$H$11),'F-Ahorro Futuro Genérico'!$H$9,0)</f>
        <v>0</v>
      </c>
      <c r="C914" s="122">
        <f t="shared" si="29"/>
        <v>0</v>
      </c>
      <c r="D914" s="121">
        <f>ROUND(C914*'FR_Mantenimiento tasas'!$C$43/360,5)</f>
        <v>0</v>
      </c>
      <c r="E914" s="121">
        <f>ROUND(C914*'FR_Mantenimiento tasas'!$D$43/360,5)</f>
        <v>0</v>
      </c>
    </row>
    <row r="915" spans="1:5">
      <c r="A915" s="123">
        <f t="shared" si="28"/>
        <v>913</v>
      </c>
      <c r="B915" s="122">
        <f>IF(DAY(A915)=DAY('F-Ahorro Futuro Genérico'!$H$11),'F-Ahorro Futuro Genérico'!$H$9,0)</f>
        <v>0</v>
      </c>
      <c r="C915" s="122">
        <f t="shared" si="29"/>
        <v>0</v>
      </c>
      <c r="D915" s="121">
        <f>ROUND(C915*'FR_Mantenimiento tasas'!$C$43/360,5)</f>
        <v>0</v>
      </c>
      <c r="E915" s="121">
        <f>ROUND(C915*'FR_Mantenimiento tasas'!$D$43/360,5)</f>
        <v>0</v>
      </c>
    </row>
    <row r="916" spans="1:5">
      <c r="A916" s="123">
        <f t="shared" si="28"/>
        <v>914</v>
      </c>
      <c r="B916" s="122">
        <f>IF(DAY(A916)=DAY('F-Ahorro Futuro Genérico'!$H$11),'F-Ahorro Futuro Genérico'!$H$9,0)</f>
        <v>0</v>
      </c>
      <c r="C916" s="122">
        <f t="shared" si="29"/>
        <v>0</v>
      </c>
      <c r="D916" s="121">
        <f>ROUND(C916*'FR_Mantenimiento tasas'!$C$43/360,5)</f>
        <v>0</v>
      </c>
      <c r="E916" s="121">
        <f>ROUND(C916*'FR_Mantenimiento tasas'!$D$43/360,5)</f>
        <v>0</v>
      </c>
    </row>
    <row r="917" spans="1:5">
      <c r="A917" s="123">
        <f t="shared" si="28"/>
        <v>915</v>
      </c>
      <c r="B917" s="122">
        <f>IF(DAY(A917)=DAY('F-Ahorro Futuro Genérico'!$H$11),'F-Ahorro Futuro Genérico'!$H$9,0)</f>
        <v>0</v>
      </c>
      <c r="C917" s="122">
        <f t="shared" si="29"/>
        <v>0</v>
      </c>
      <c r="D917" s="121">
        <f>ROUND(C917*'FR_Mantenimiento tasas'!$C$43/360,5)</f>
        <v>0</v>
      </c>
      <c r="E917" s="121">
        <f>ROUND(C917*'FR_Mantenimiento tasas'!$D$43/360,5)</f>
        <v>0</v>
      </c>
    </row>
    <row r="918" spans="1:5">
      <c r="A918" s="123">
        <f t="shared" si="28"/>
        <v>916</v>
      </c>
      <c r="B918" s="122">
        <f>IF(DAY(A918)=DAY('F-Ahorro Futuro Genérico'!$H$11),'F-Ahorro Futuro Genérico'!$H$9,0)</f>
        <v>0</v>
      </c>
      <c r="C918" s="122">
        <f t="shared" si="29"/>
        <v>0</v>
      </c>
      <c r="D918" s="121">
        <f>ROUND(C918*'FR_Mantenimiento tasas'!$C$43/360,5)</f>
        <v>0</v>
      </c>
      <c r="E918" s="121">
        <f>ROUND(C918*'FR_Mantenimiento tasas'!$D$43/360,5)</f>
        <v>0</v>
      </c>
    </row>
    <row r="919" spans="1:5">
      <c r="A919" s="123">
        <f t="shared" si="28"/>
        <v>917</v>
      </c>
      <c r="B919" s="122">
        <f>IF(DAY(A919)=DAY('F-Ahorro Futuro Genérico'!$H$11),'F-Ahorro Futuro Genérico'!$H$9,0)</f>
        <v>0</v>
      </c>
      <c r="C919" s="122">
        <f t="shared" si="29"/>
        <v>0</v>
      </c>
      <c r="D919" s="121">
        <f>ROUND(C919*'FR_Mantenimiento tasas'!$C$43/360,5)</f>
        <v>0</v>
      </c>
      <c r="E919" s="121">
        <f>ROUND(C919*'FR_Mantenimiento tasas'!$D$43/360,5)</f>
        <v>0</v>
      </c>
    </row>
    <row r="920" spans="1:5">
      <c r="A920" s="123">
        <f t="shared" si="28"/>
        <v>918</v>
      </c>
      <c r="B920" s="122">
        <f>IF(DAY(A920)=DAY('F-Ahorro Futuro Genérico'!$H$11),'F-Ahorro Futuro Genérico'!$H$9,0)</f>
        <v>0</v>
      </c>
      <c r="C920" s="122">
        <f t="shared" si="29"/>
        <v>0</v>
      </c>
      <c r="D920" s="121">
        <f>ROUND(C920*'FR_Mantenimiento tasas'!$C$43/360,5)</f>
        <v>0</v>
      </c>
      <c r="E920" s="121">
        <f>ROUND(C920*'FR_Mantenimiento tasas'!$D$43/360,5)</f>
        <v>0</v>
      </c>
    </row>
    <row r="921" spans="1:5">
      <c r="A921" s="123">
        <f t="shared" si="28"/>
        <v>919</v>
      </c>
      <c r="B921" s="122">
        <f>IF(DAY(A921)=DAY('F-Ahorro Futuro Genérico'!$H$11),'F-Ahorro Futuro Genérico'!$H$9,0)</f>
        <v>0</v>
      </c>
      <c r="C921" s="122">
        <f t="shared" si="29"/>
        <v>0</v>
      </c>
      <c r="D921" s="121">
        <f>ROUND(C921*'FR_Mantenimiento tasas'!$C$43/360,5)</f>
        <v>0</v>
      </c>
      <c r="E921" s="121">
        <f>ROUND(C921*'FR_Mantenimiento tasas'!$D$43/360,5)</f>
        <v>0</v>
      </c>
    </row>
    <row r="922" spans="1:5">
      <c r="A922" s="123">
        <f t="shared" si="28"/>
        <v>920</v>
      </c>
      <c r="B922" s="122">
        <f>IF(DAY(A922)=DAY('F-Ahorro Futuro Genérico'!$H$11),'F-Ahorro Futuro Genérico'!$H$9,0)</f>
        <v>0</v>
      </c>
      <c r="C922" s="122">
        <f t="shared" si="29"/>
        <v>0</v>
      </c>
      <c r="D922" s="121">
        <f>ROUND(C922*'FR_Mantenimiento tasas'!$C$43/360,5)</f>
        <v>0</v>
      </c>
      <c r="E922" s="121">
        <f>ROUND(C922*'FR_Mantenimiento tasas'!$D$43/360,5)</f>
        <v>0</v>
      </c>
    </row>
    <row r="923" spans="1:5">
      <c r="A923" s="123">
        <f t="shared" si="28"/>
        <v>921</v>
      </c>
      <c r="B923" s="122">
        <f>IF(DAY(A923)=DAY('F-Ahorro Futuro Genérico'!$H$11),'F-Ahorro Futuro Genérico'!$H$9,0)</f>
        <v>0</v>
      </c>
      <c r="C923" s="122">
        <f t="shared" si="29"/>
        <v>0</v>
      </c>
      <c r="D923" s="121">
        <f>ROUND(C923*'FR_Mantenimiento tasas'!$C$43/360,5)</f>
        <v>0</v>
      </c>
      <c r="E923" s="121">
        <f>ROUND(C923*'FR_Mantenimiento tasas'!$D$43/360,5)</f>
        <v>0</v>
      </c>
    </row>
    <row r="924" spans="1:5">
      <c r="A924" s="123">
        <f t="shared" si="28"/>
        <v>922</v>
      </c>
      <c r="B924" s="122">
        <f>IF(DAY(A924)=DAY('F-Ahorro Futuro Genérico'!$H$11),'F-Ahorro Futuro Genérico'!$H$9,0)</f>
        <v>0</v>
      </c>
      <c r="C924" s="122">
        <f t="shared" si="29"/>
        <v>0</v>
      </c>
      <c r="D924" s="121">
        <f>ROUND(C924*'FR_Mantenimiento tasas'!$C$43/360,5)</f>
        <v>0</v>
      </c>
      <c r="E924" s="121">
        <f>ROUND(C924*'FR_Mantenimiento tasas'!$D$43/360,5)</f>
        <v>0</v>
      </c>
    </row>
    <row r="925" spans="1:5">
      <c r="A925" s="123">
        <f t="shared" si="28"/>
        <v>923</v>
      </c>
      <c r="B925" s="122">
        <f>IF(DAY(A925)=DAY('F-Ahorro Futuro Genérico'!$H$11),'F-Ahorro Futuro Genérico'!$H$9,0)</f>
        <v>0</v>
      </c>
      <c r="C925" s="122">
        <f t="shared" si="29"/>
        <v>0</v>
      </c>
      <c r="D925" s="121">
        <f>ROUND(C925*'FR_Mantenimiento tasas'!$C$43/360,5)</f>
        <v>0</v>
      </c>
      <c r="E925" s="121">
        <f>ROUND(C925*'FR_Mantenimiento tasas'!$D$43/360,5)</f>
        <v>0</v>
      </c>
    </row>
    <row r="926" spans="1:5">
      <c r="A926" s="123">
        <f t="shared" si="28"/>
        <v>924</v>
      </c>
      <c r="B926" s="122">
        <f>IF(DAY(A926)=DAY('F-Ahorro Futuro Genérico'!$H$11),'F-Ahorro Futuro Genérico'!$H$9,0)</f>
        <v>0</v>
      </c>
      <c r="C926" s="122">
        <f t="shared" si="29"/>
        <v>0</v>
      </c>
      <c r="D926" s="121">
        <f>ROUND(C926*'FR_Mantenimiento tasas'!$C$43/360,5)</f>
        <v>0</v>
      </c>
      <c r="E926" s="121">
        <f>ROUND(C926*'FR_Mantenimiento tasas'!$D$43/360,5)</f>
        <v>0</v>
      </c>
    </row>
    <row r="927" spans="1:5">
      <c r="A927" s="123">
        <f t="shared" si="28"/>
        <v>925</v>
      </c>
      <c r="B927" s="122">
        <f>IF(DAY(A927)=DAY('F-Ahorro Futuro Genérico'!$H$11),'F-Ahorro Futuro Genérico'!$H$9,0)</f>
        <v>0</v>
      </c>
      <c r="C927" s="122">
        <f t="shared" si="29"/>
        <v>0</v>
      </c>
      <c r="D927" s="121">
        <f>ROUND(C927*'FR_Mantenimiento tasas'!$C$43/360,5)</f>
        <v>0</v>
      </c>
      <c r="E927" s="121">
        <f>ROUND(C927*'FR_Mantenimiento tasas'!$D$43/360,5)</f>
        <v>0</v>
      </c>
    </row>
    <row r="928" spans="1:5">
      <c r="A928" s="123">
        <f t="shared" si="28"/>
        <v>926</v>
      </c>
      <c r="B928" s="122">
        <f>IF(DAY(A928)=DAY('F-Ahorro Futuro Genérico'!$H$11),'F-Ahorro Futuro Genérico'!$H$9,0)</f>
        <v>0</v>
      </c>
      <c r="C928" s="122">
        <f t="shared" si="29"/>
        <v>0</v>
      </c>
      <c r="D928" s="121">
        <f>ROUND(C928*'FR_Mantenimiento tasas'!$C$43/360,5)</f>
        <v>0</v>
      </c>
      <c r="E928" s="121">
        <f>ROUND(C928*'FR_Mantenimiento tasas'!$D$43/360,5)</f>
        <v>0</v>
      </c>
    </row>
    <row r="929" spans="1:5">
      <c r="A929" s="123">
        <f t="shared" si="28"/>
        <v>927</v>
      </c>
      <c r="B929" s="122">
        <f>IF(DAY(A929)=DAY('F-Ahorro Futuro Genérico'!$H$11),'F-Ahorro Futuro Genérico'!$H$9,0)</f>
        <v>0</v>
      </c>
      <c r="C929" s="122">
        <f t="shared" si="29"/>
        <v>0</v>
      </c>
      <c r="D929" s="121">
        <f>ROUND(C929*'FR_Mantenimiento tasas'!$C$43/360,5)</f>
        <v>0</v>
      </c>
      <c r="E929" s="121">
        <f>ROUND(C929*'FR_Mantenimiento tasas'!$D$43/360,5)</f>
        <v>0</v>
      </c>
    </row>
    <row r="930" spans="1:5">
      <c r="A930" s="123">
        <f t="shared" si="28"/>
        <v>928</v>
      </c>
      <c r="B930" s="122">
        <f>IF(DAY(A930)=DAY('F-Ahorro Futuro Genérico'!$H$11),'F-Ahorro Futuro Genérico'!$H$9,0)</f>
        <v>0</v>
      </c>
      <c r="C930" s="122">
        <f t="shared" si="29"/>
        <v>0</v>
      </c>
      <c r="D930" s="121">
        <f>ROUND(C930*'FR_Mantenimiento tasas'!$C$43/360,5)</f>
        <v>0</v>
      </c>
      <c r="E930" s="121">
        <f>ROUND(C930*'FR_Mantenimiento tasas'!$D$43/360,5)</f>
        <v>0</v>
      </c>
    </row>
    <row r="931" spans="1:5">
      <c r="A931" s="123">
        <f t="shared" si="28"/>
        <v>929</v>
      </c>
      <c r="B931" s="122">
        <f>IF(DAY(A931)=DAY('F-Ahorro Futuro Genérico'!$H$11),'F-Ahorro Futuro Genérico'!$H$9,0)</f>
        <v>0</v>
      </c>
      <c r="C931" s="122">
        <f t="shared" si="29"/>
        <v>0</v>
      </c>
      <c r="D931" s="121">
        <f>ROUND(C931*'FR_Mantenimiento tasas'!$C$43/360,5)</f>
        <v>0</v>
      </c>
      <c r="E931" s="121">
        <f>ROUND(C931*'FR_Mantenimiento tasas'!$D$43/360,5)</f>
        <v>0</v>
      </c>
    </row>
    <row r="932" spans="1:5">
      <c r="A932" s="123">
        <f t="shared" si="28"/>
        <v>930</v>
      </c>
      <c r="B932" s="122">
        <f>IF(DAY(A932)=DAY('F-Ahorro Futuro Genérico'!$H$11),'F-Ahorro Futuro Genérico'!$H$9,0)</f>
        <v>0</v>
      </c>
      <c r="C932" s="122">
        <f t="shared" si="29"/>
        <v>0</v>
      </c>
      <c r="D932" s="121">
        <f>ROUND(C932*'FR_Mantenimiento tasas'!$C$43/360,5)</f>
        <v>0</v>
      </c>
      <c r="E932" s="121">
        <f>ROUND(C932*'FR_Mantenimiento tasas'!$D$43/360,5)</f>
        <v>0</v>
      </c>
    </row>
    <row r="933" spans="1:5">
      <c r="A933" s="123">
        <f t="shared" si="28"/>
        <v>931</v>
      </c>
      <c r="B933" s="122">
        <f>IF(DAY(A933)=DAY('F-Ahorro Futuro Genérico'!$H$11),'F-Ahorro Futuro Genérico'!$H$9,0)</f>
        <v>0</v>
      </c>
      <c r="C933" s="122">
        <f t="shared" si="29"/>
        <v>0</v>
      </c>
      <c r="D933" s="121">
        <f>ROUND(C933*'FR_Mantenimiento tasas'!$C$43/360,5)</f>
        <v>0</v>
      </c>
      <c r="E933" s="121">
        <f>ROUND(C933*'FR_Mantenimiento tasas'!$D$43/360,5)</f>
        <v>0</v>
      </c>
    </row>
    <row r="934" spans="1:5">
      <c r="A934" s="123">
        <f t="shared" si="28"/>
        <v>932</v>
      </c>
      <c r="B934" s="122">
        <f>IF(DAY(A934)=DAY('F-Ahorro Futuro Genérico'!$H$11),'F-Ahorro Futuro Genérico'!$H$9,0)</f>
        <v>0</v>
      </c>
      <c r="C934" s="122">
        <f t="shared" si="29"/>
        <v>0</v>
      </c>
      <c r="D934" s="121">
        <f>ROUND(C934*'FR_Mantenimiento tasas'!$C$43/360,5)</f>
        <v>0</v>
      </c>
      <c r="E934" s="121">
        <f>ROUND(C934*'FR_Mantenimiento tasas'!$D$43/360,5)</f>
        <v>0</v>
      </c>
    </row>
    <row r="935" spans="1:5">
      <c r="A935" s="123">
        <f t="shared" si="28"/>
        <v>933</v>
      </c>
      <c r="B935" s="122">
        <f>IF(DAY(A935)=DAY('F-Ahorro Futuro Genérico'!$H$11),'F-Ahorro Futuro Genérico'!$H$9,0)</f>
        <v>0</v>
      </c>
      <c r="C935" s="122">
        <f t="shared" si="29"/>
        <v>0</v>
      </c>
      <c r="D935" s="121">
        <f>ROUND(C935*'FR_Mantenimiento tasas'!$C$43/360,5)</f>
        <v>0</v>
      </c>
      <c r="E935" s="121">
        <f>ROUND(C935*'FR_Mantenimiento tasas'!$D$43/360,5)</f>
        <v>0</v>
      </c>
    </row>
    <row r="936" spans="1:5">
      <c r="A936" s="123">
        <f t="shared" si="28"/>
        <v>934</v>
      </c>
      <c r="B936" s="122">
        <f>IF(DAY(A936)=DAY('F-Ahorro Futuro Genérico'!$H$11),'F-Ahorro Futuro Genérico'!$H$9,0)</f>
        <v>0</v>
      </c>
      <c r="C936" s="122">
        <f t="shared" si="29"/>
        <v>0</v>
      </c>
      <c r="D936" s="121">
        <f>ROUND(C936*'FR_Mantenimiento tasas'!$C$43/360,5)</f>
        <v>0</v>
      </c>
      <c r="E936" s="121">
        <f>ROUND(C936*'FR_Mantenimiento tasas'!$D$43/360,5)</f>
        <v>0</v>
      </c>
    </row>
    <row r="937" spans="1:5">
      <c r="A937" s="123">
        <f t="shared" si="28"/>
        <v>935</v>
      </c>
      <c r="B937" s="122">
        <f>IF(DAY(A937)=DAY('F-Ahorro Futuro Genérico'!$H$11),'F-Ahorro Futuro Genérico'!$H$9,0)</f>
        <v>0</v>
      </c>
      <c r="C937" s="122">
        <f t="shared" si="29"/>
        <v>0</v>
      </c>
      <c r="D937" s="121">
        <f>ROUND(C937*'FR_Mantenimiento tasas'!$C$43/360,5)</f>
        <v>0</v>
      </c>
      <c r="E937" s="121">
        <f>ROUND(C937*'FR_Mantenimiento tasas'!$D$43/360,5)</f>
        <v>0</v>
      </c>
    </row>
    <row r="938" spans="1:5">
      <c r="A938" s="123">
        <f t="shared" si="28"/>
        <v>936</v>
      </c>
      <c r="B938" s="122">
        <f>IF(DAY(A938)=DAY('F-Ahorro Futuro Genérico'!$H$11),'F-Ahorro Futuro Genérico'!$H$9,0)</f>
        <v>0</v>
      </c>
      <c r="C938" s="122">
        <f t="shared" si="29"/>
        <v>0</v>
      </c>
      <c r="D938" s="121">
        <f>ROUND(C938*'FR_Mantenimiento tasas'!$C$43/360,5)</f>
        <v>0</v>
      </c>
      <c r="E938" s="121">
        <f>ROUND(C938*'FR_Mantenimiento tasas'!$D$43/360,5)</f>
        <v>0</v>
      </c>
    </row>
    <row r="939" spans="1:5">
      <c r="A939" s="123">
        <f t="shared" si="28"/>
        <v>937</v>
      </c>
      <c r="B939" s="122">
        <f>IF(DAY(A939)=DAY('F-Ahorro Futuro Genérico'!$H$11),'F-Ahorro Futuro Genérico'!$H$9,0)</f>
        <v>0</v>
      </c>
      <c r="C939" s="122">
        <f t="shared" si="29"/>
        <v>0</v>
      </c>
      <c r="D939" s="121">
        <f>ROUND(C939*'FR_Mantenimiento tasas'!$C$43/360,5)</f>
        <v>0</v>
      </c>
      <c r="E939" s="121">
        <f>ROUND(C939*'FR_Mantenimiento tasas'!$D$43/360,5)</f>
        <v>0</v>
      </c>
    </row>
    <row r="940" spans="1:5">
      <c r="A940" s="123">
        <f t="shared" si="28"/>
        <v>938</v>
      </c>
      <c r="B940" s="122">
        <f>IF(DAY(A940)=DAY('F-Ahorro Futuro Genérico'!$H$11),'F-Ahorro Futuro Genérico'!$H$9,0)</f>
        <v>0</v>
      </c>
      <c r="C940" s="122">
        <f t="shared" si="29"/>
        <v>0</v>
      </c>
      <c r="D940" s="121">
        <f>ROUND(C940*'FR_Mantenimiento tasas'!$C$43/360,5)</f>
        <v>0</v>
      </c>
      <c r="E940" s="121">
        <f>ROUND(C940*'FR_Mantenimiento tasas'!$D$43/360,5)</f>
        <v>0</v>
      </c>
    </row>
    <row r="941" spans="1:5">
      <c r="A941" s="123">
        <f t="shared" si="28"/>
        <v>939</v>
      </c>
      <c r="B941" s="122">
        <f>IF(DAY(A941)=DAY('F-Ahorro Futuro Genérico'!$H$11),'F-Ahorro Futuro Genérico'!$H$9,0)</f>
        <v>0</v>
      </c>
      <c r="C941" s="122">
        <f t="shared" si="29"/>
        <v>0</v>
      </c>
      <c r="D941" s="121">
        <f>ROUND(C941*'FR_Mantenimiento tasas'!$C$43/360,5)</f>
        <v>0</v>
      </c>
      <c r="E941" s="121">
        <f>ROUND(C941*'FR_Mantenimiento tasas'!$D$43/360,5)</f>
        <v>0</v>
      </c>
    </row>
    <row r="942" spans="1:5">
      <c r="A942" s="123">
        <f t="shared" si="28"/>
        <v>940</v>
      </c>
      <c r="B942" s="122">
        <f>IF(DAY(A942)=DAY('F-Ahorro Futuro Genérico'!$H$11),'F-Ahorro Futuro Genérico'!$H$9,0)</f>
        <v>0</v>
      </c>
      <c r="C942" s="122">
        <f t="shared" si="29"/>
        <v>0</v>
      </c>
      <c r="D942" s="121">
        <f>ROUND(C942*'FR_Mantenimiento tasas'!$C$43/360,5)</f>
        <v>0</v>
      </c>
      <c r="E942" s="121">
        <f>ROUND(C942*'FR_Mantenimiento tasas'!$D$43/360,5)</f>
        <v>0</v>
      </c>
    </row>
    <row r="943" spans="1:5">
      <c r="A943" s="123">
        <f t="shared" si="28"/>
        <v>941</v>
      </c>
      <c r="B943" s="122">
        <f>IF(DAY(A943)=DAY('F-Ahorro Futuro Genérico'!$H$11),'F-Ahorro Futuro Genérico'!$H$9,0)</f>
        <v>0</v>
      </c>
      <c r="C943" s="122">
        <f t="shared" si="29"/>
        <v>0</v>
      </c>
      <c r="D943" s="121">
        <f>ROUND(C943*'FR_Mantenimiento tasas'!$C$43/360,5)</f>
        <v>0</v>
      </c>
      <c r="E943" s="121">
        <f>ROUND(C943*'FR_Mantenimiento tasas'!$D$43/360,5)</f>
        <v>0</v>
      </c>
    </row>
    <row r="944" spans="1:5">
      <c r="A944" s="123">
        <f t="shared" si="28"/>
        <v>942</v>
      </c>
      <c r="B944" s="122">
        <f>IF(DAY(A944)=DAY('F-Ahorro Futuro Genérico'!$H$11),'F-Ahorro Futuro Genérico'!$H$9,0)</f>
        <v>0</v>
      </c>
      <c r="C944" s="122">
        <f t="shared" si="29"/>
        <v>0</v>
      </c>
      <c r="D944" s="121">
        <f>ROUND(C944*'FR_Mantenimiento tasas'!$C$43/360,5)</f>
        <v>0</v>
      </c>
      <c r="E944" s="121">
        <f>ROUND(C944*'FR_Mantenimiento tasas'!$D$43/360,5)</f>
        <v>0</v>
      </c>
    </row>
    <row r="945" spans="1:5">
      <c r="A945" s="123">
        <f t="shared" si="28"/>
        <v>943</v>
      </c>
      <c r="B945" s="122">
        <f>IF(DAY(A945)=DAY('F-Ahorro Futuro Genérico'!$H$11),'F-Ahorro Futuro Genérico'!$H$9,0)</f>
        <v>0</v>
      </c>
      <c r="C945" s="122">
        <f t="shared" si="29"/>
        <v>0</v>
      </c>
      <c r="D945" s="121">
        <f>ROUND(C945*'FR_Mantenimiento tasas'!$C$43/360,5)</f>
        <v>0</v>
      </c>
      <c r="E945" s="121">
        <f>ROUND(C945*'FR_Mantenimiento tasas'!$D$43/360,5)</f>
        <v>0</v>
      </c>
    </row>
    <row r="946" spans="1:5">
      <c r="A946" s="123">
        <f t="shared" si="28"/>
        <v>944</v>
      </c>
      <c r="B946" s="122">
        <f>IF(DAY(A946)=DAY('F-Ahorro Futuro Genérico'!$H$11),'F-Ahorro Futuro Genérico'!$H$9,0)</f>
        <v>0</v>
      </c>
      <c r="C946" s="122">
        <f t="shared" si="29"/>
        <v>0</v>
      </c>
      <c r="D946" s="121">
        <f>ROUND(C946*'FR_Mantenimiento tasas'!$C$43/360,5)</f>
        <v>0</v>
      </c>
      <c r="E946" s="121">
        <f>ROUND(C946*'FR_Mantenimiento tasas'!$D$43/360,5)</f>
        <v>0</v>
      </c>
    </row>
    <row r="947" spans="1:5">
      <c r="A947" s="123">
        <f t="shared" si="28"/>
        <v>945</v>
      </c>
      <c r="B947" s="122">
        <f>IF(DAY(A947)=DAY('F-Ahorro Futuro Genérico'!$H$11),'F-Ahorro Futuro Genérico'!$H$9,0)</f>
        <v>0</v>
      </c>
      <c r="C947" s="122">
        <f t="shared" si="29"/>
        <v>0</v>
      </c>
      <c r="D947" s="121">
        <f>ROUND(C947*'FR_Mantenimiento tasas'!$C$43/360,5)</f>
        <v>0</v>
      </c>
      <c r="E947" s="121">
        <f>ROUND(C947*'FR_Mantenimiento tasas'!$D$43/360,5)</f>
        <v>0</v>
      </c>
    </row>
    <row r="948" spans="1:5">
      <c r="A948" s="123">
        <f t="shared" si="28"/>
        <v>946</v>
      </c>
      <c r="B948" s="122">
        <f>IF(DAY(A948)=DAY('F-Ahorro Futuro Genérico'!$H$11),'F-Ahorro Futuro Genérico'!$H$9,0)</f>
        <v>0</v>
      </c>
      <c r="C948" s="122">
        <f t="shared" si="29"/>
        <v>0</v>
      </c>
      <c r="D948" s="121">
        <f>ROUND(C948*'FR_Mantenimiento tasas'!$C$43/360,5)</f>
        <v>0</v>
      </c>
      <c r="E948" s="121">
        <f>ROUND(C948*'FR_Mantenimiento tasas'!$D$43/360,5)</f>
        <v>0</v>
      </c>
    </row>
    <row r="949" spans="1:5">
      <c r="A949" s="123">
        <f t="shared" si="28"/>
        <v>947</v>
      </c>
      <c r="B949" s="122">
        <f>IF(DAY(A949)=DAY('F-Ahorro Futuro Genérico'!$H$11),'F-Ahorro Futuro Genérico'!$H$9,0)</f>
        <v>0</v>
      </c>
      <c r="C949" s="122">
        <f t="shared" si="29"/>
        <v>0</v>
      </c>
      <c r="D949" s="121">
        <f>ROUND(C949*'FR_Mantenimiento tasas'!$C$43/360,5)</f>
        <v>0</v>
      </c>
      <c r="E949" s="121">
        <f>ROUND(C949*'FR_Mantenimiento tasas'!$D$43/360,5)</f>
        <v>0</v>
      </c>
    </row>
    <row r="950" spans="1:5">
      <c r="A950" s="123">
        <f t="shared" si="28"/>
        <v>948</v>
      </c>
      <c r="B950" s="122">
        <f>IF(DAY(A950)=DAY('F-Ahorro Futuro Genérico'!$H$11),'F-Ahorro Futuro Genérico'!$H$9,0)</f>
        <v>0</v>
      </c>
      <c r="C950" s="122">
        <f t="shared" si="29"/>
        <v>0</v>
      </c>
      <c r="D950" s="121">
        <f>ROUND(C950*'FR_Mantenimiento tasas'!$C$43/360,5)</f>
        <v>0</v>
      </c>
      <c r="E950" s="121">
        <f>ROUND(C950*'FR_Mantenimiento tasas'!$D$43/360,5)</f>
        <v>0</v>
      </c>
    </row>
    <row r="951" spans="1:5">
      <c r="A951" s="123">
        <f t="shared" si="28"/>
        <v>949</v>
      </c>
      <c r="B951" s="122">
        <f>IF(DAY(A951)=DAY('F-Ahorro Futuro Genérico'!$H$11),'F-Ahorro Futuro Genérico'!$H$9,0)</f>
        <v>0</v>
      </c>
      <c r="C951" s="122">
        <f t="shared" si="29"/>
        <v>0</v>
      </c>
      <c r="D951" s="121">
        <f>ROUND(C951*'FR_Mantenimiento tasas'!$C$43/360,5)</f>
        <v>0</v>
      </c>
      <c r="E951" s="121">
        <f>ROUND(C951*'FR_Mantenimiento tasas'!$D$43/360,5)</f>
        <v>0</v>
      </c>
    </row>
    <row r="952" spans="1:5">
      <c r="A952" s="123">
        <f t="shared" si="28"/>
        <v>950</v>
      </c>
      <c r="B952" s="122">
        <f>IF(DAY(A952)=DAY('F-Ahorro Futuro Genérico'!$H$11),'F-Ahorro Futuro Genérico'!$H$9,0)</f>
        <v>0</v>
      </c>
      <c r="C952" s="122">
        <f t="shared" si="29"/>
        <v>0</v>
      </c>
      <c r="D952" s="121">
        <f>ROUND(C952*'FR_Mantenimiento tasas'!$C$43/360,5)</f>
        <v>0</v>
      </c>
      <c r="E952" s="121">
        <f>ROUND(C952*'FR_Mantenimiento tasas'!$D$43/360,5)</f>
        <v>0</v>
      </c>
    </row>
    <row r="953" spans="1:5">
      <c r="A953" s="123">
        <f t="shared" si="28"/>
        <v>951</v>
      </c>
      <c r="B953" s="122">
        <f>IF(DAY(A953)=DAY('F-Ahorro Futuro Genérico'!$H$11),'F-Ahorro Futuro Genérico'!$H$9,0)</f>
        <v>0</v>
      </c>
      <c r="C953" s="122">
        <f t="shared" si="29"/>
        <v>0</v>
      </c>
      <c r="D953" s="121">
        <f>ROUND(C953*'FR_Mantenimiento tasas'!$C$43/360,5)</f>
        <v>0</v>
      </c>
      <c r="E953" s="121">
        <f>ROUND(C953*'FR_Mantenimiento tasas'!$D$43/360,5)</f>
        <v>0</v>
      </c>
    </row>
    <row r="954" spans="1:5">
      <c r="A954" s="123">
        <f t="shared" si="28"/>
        <v>952</v>
      </c>
      <c r="B954" s="122">
        <f>IF(DAY(A954)=DAY('F-Ahorro Futuro Genérico'!$H$11),'F-Ahorro Futuro Genérico'!$H$9,0)</f>
        <v>0</v>
      </c>
      <c r="C954" s="122">
        <f t="shared" si="29"/>
        <v>0</v>
      </c>
      <c r="D954" s="121">
        <f>ROUND(C954*'FR_Mantenimiento tasas'!$C$43/360,5)</f>
        <v>0</v>
      </c>
      <c r="E954" s="121">
        <f>ROUND(C954*'FR_Mantenimiento tasas'!$D$43/360,5)</f>
        <v>0</v>
      </c>
    </row>
    <row r="955" spans="1:5">
      <c r="A955" s="123">
        <f t="shared" si="28"/>
        <v>953</v>
      </c>
      <c r="B955" s="122">
        <f>IF(DAY(A955)=DAY('F-Ahorro Futuro Genérico'!$H$11),'F-Ahorro Futuro Genérico'!$H$9,0)</f>
        <v>0</v>
      </c>
      <c r="C955" s="122">
        <f t="shared" si="29"/>
        <v>0</v>
      </c>
      <c r="D955" s="121">
        <f>ROUND(C955*'FR_Mantenimiento tasas'!$C$43/360,5)</f>
        <v>0</v>
      </c>
      <c r="E955" s="121">
        <f>ROUND(C955*'FR_Mantenimiento tasas'!$D$43/360,5)</f>
        <v>0</v>
      </c>
    </row>
    <row r="956" spans="1:5">
      <c r="A956" s="123">
        <f t="shared" si="28"/>
        <v>954</v>
      </c>
      <c r="B956" s="122">
        <f>IF(DAY(A956)=DAY('F-Ahorro Futuro Genérico'!$H$11),'F-Ahorro Futuro Genérico'!$H$9,0)</f>
        <v>0</v>
      </c>
      <c r="C956" s="122">
        <f t="shared" si="29"/>
        <v>0</v>
      </c>
      <c r="D956" s="121">
        <f>ROUND(C956*'FR_Mantenimiento tasas'!$C$43/360,5)</f>
        <v>0</v>
      </c>
      <c r="E956" s="121">
        <f>ROUND(C956*'FR_Mantenimiento tasas'!$D$43/360,5)</f>
        <v>0</v>
      </c>
    </row>
    <row r="957" spans="1:5">
      <c r="A957" s="123">
        <f t="shared" si="28"/>
        <v>955</v>
      </c>
      <c r="B957" s="122">
        <f>IF(DAY(A957)=DAY('F-Ahorro Futuro Genérico'!$H$11),'F-Ahorro Futuro Genérico'!$H$9,0)</f>
        <v>0</v>
      </c>
      <c r="C957" s="122">
        <f t="shared" si="29"/>
        <v>0</v>
      </c>
      <c r="D957" s="121">
        <f>ROUND(C957*'FR_Mantenimiento tasas'!$C$43/360,5)</f>
        <v>0</v>
      </c>
      <c r="E957" s="121">
        <f>ROUND(C957*'FR_Mantenimiento tasas'!$D$43/360,5)</f>
        <v>0</v>
      </c>
    </row>
    <row r="958" spans="1:5">
      <c r="A958" s="123">
        <f t="shared" si="28"/>
        <v>956</v>
      </c>
      <c r="B958" s="122">
        <f>IF(DAY(A958)=DAY('F-Ahorro Futuro Genérico'!$H$11),'F-Ahorro Futuro Genérico'!$H$9,0)</f>
        <v>0</v>
      </c>
      <c r="C958" s="122">
        <f t="shared" si="29"/>
        <v>0</v>
      </c>
      <c r="D958" s="121">
        <f>ROUND(C958*'FR_Mantenimiento tasas'!$C$43/360,5)</f>
        <v>0</v>
      </c>
      <c r="E958" s="121">
        <f>ROUND(C958*'FR_Mantenimiento tasas'!$D$43/360,5)</f>
        <v>0</v>
      </c>
    </row>
    <row r="959" spans="1:5">
      <c r="A959" s="123">
        <f t="shared" si="28"/>
        <v>957</v>
      </c>
      <c r="B959" s="122">
        <f>IF(DAY(A959)=DAY('F-Ahorro Futuro Genérico'!$H$11),'F-Ahorro Futuro Genérico'!$H$9,0)</f>
        <v>0</v>
      </c>
      <c r="C959" s="122">
        <f t="shared" si="29"/>
        <v>0</v>
      </c>
      <c r="D959" s="121">
        <f>ROUND(C959*'FR_Mantenimiento tasas'!$C$43/360,5)</f>
        <v>0</v>
      </c>
      <c r="E959" s="121">
        <f>ROUND(C959*'FR_Mantenimiento tasas'!$D$43/360,5)</f>
        <v>0</v>
      </c>
    </row>
    <row r="960" spans="1:5">
      <c r="A960" s="123">
        <f t="shared" si="28"/>
        <v>958</v>
      </c>
      <c r="B960" s="122">
        <f>IF(DAY(A960)=DAY('F-Ahorro Futuro Genérico'!$H$11),'F-Ahorro Futuro Genérico'!$H$9,0)</f>
        <v>0</v>
      </c>
      <c r="C960" s="122">
        <f t="shared" si="29"/>
        <v>0</v>
      </c>
      <c r="D960" s="121">
        <f>ROUND(C960*'FR_Mantenimiento tasas'!$C$43/360,5)</f>
        <v>0</v>
      </c>
      <c r="E960" s="121">
        <f>ROUND(C960*'FR_Mantenimiento tasas'!$D$43/360,5)</f>
        <v>0</v>
      </c>
    </row>
    <row r="961" spans="1:5">
      <c r="A961" s="123">
        <f t="shared" si="28"/>
        <v>959</v>
      </c>
      <c r="B961" s="122">
        <f>IF(DAY(A961)=DAY('F-Ahorro Futuro Genérico'!$H$11),'F-Ahorro Futuro Genérico'!$H$9,0)</f>
        <v>0</v>
      </c>
      <c r="C961" s="122">
        <f t="shared" si="29"/>
        <v>0</v>
      </c>
      <c r="D961" s="121">
        <f>ROUND(C961*'FR_Mantenimiento tasas'!$C$43/360,5)</f>
        <v>0</v>
      </c>
      <c r="E961" s="121">
        <f>ROUND(C961*'FR_Mantenimiento tasas'!$D$43/360,5)</f>
        <v>0</v>
      </c>
    </row>
    <row r="962" spans="1:5">
      <c r="A962" s="123">
        <f t="shared" si="28"/>
        <v>960</v>
      </c>
      <c r="B962" s="122">
        <f>IF(DAY(A962)=DAY('F-Ahorro Futuro Genérico'!$H$11),'F-Ahorro Futuro Genérico'!$H$9,0)</f>
        <v>0</v>
      </c>
      <c r="C962" s="122">
        <f t="shared" si="29"/>
        <v>0</v>
      </c>
      <c r="D962" s="121">
        <f>ROUND(C962*'FR_Mantenimiento tasas'!$C$43/360,5)</f>
        <v>0</v>
      </c>
      <c r="E962" s="121">
        <f>ROUND(C962*'FR_Mantenimiento tasas'!$D$43/360,5)</f>
        <v>0</v>
      </c>
    </row>
    <row r="963" spans="1:5">
      <c r="A963" s="123">
        <f t="shared" si="28"/>
        <v>961</v>
      </c>
      <c r="B963" s="122">
        <f>IF(DAY(A963)=DAY('F-Ahorro Futuro Genérico'!$H$11),'F-Ahorro Futuro Genérico'!$H$9,0)</f>
        <v>0</v>
      </c>
      <c r="C963" s="122">
        <f t="shared" si="29"/>
        <v>0</v>
      </c>
      <c r="D963" s="121">
        <f>ROUND(C963*'FR_Mantenimiento tasas'!$C$43/360,5)</f>
        <v>0</v>
      </c>
      <c r="E963" s="121">
        <f>ROUND(C963*'FR_Mantenimiento tasas'!$D$43/360,5)</f>
        <v>0</v>
      </c>
    </row>
    <row r="964" spans="1:5">
      <c r="A964" s="123">
        <f t="shared" ref="A964:A1027" si="30">+A963+1</f>
        <v>962</v>
      </c>
      <c r="B964" s="122">
        <f>IF(DAY(A964)=DAY('F-Ahorro Futuro Genérico'!$H$11),'F-Ahorro Futuro Genérico'!$H$9,0)</f>
        <v>0</v>
      </c>
      <c r="C964" s="122">
        <f t="shared" ref="C964:C1027" si="31">+B964+C963+D963</f>
        <v>0</v>
      </c>
      <c r="D964" s="121">
        <f>ROUND(C964*'FR_Mantenimiento tasas'!$C$43/360,5)</f>
        <v>0</v>
      </c>
      <c r="E964" s="121">
        <f>ROUND(C964*'FR_Mantenimiento tasas'!$D$43/360,5)</f>
        <v>0</v>
      </c>
    </row>
    <row r="965" spans="1:5">
      <c r="A965" s="123">
        <f t="shared" si="30"/>
        <v>963</v>
      </c>
      <c r="B965" s="122">
        <f>IF(DAY(A965)=DAY('F-Ahorro Futuro Genérico'!$H$11),'F-Ahorro Futuro Genérico'!$H$9,0)</f>
        <v>0</v>
      </c>
      <c r="C965" s="122">
        <f t="shared" si="31"/>
        <v>0</v>
      </c>
      <c r="D965" s="121">
        <f>ROUND(C965*'FR_Mantenimiento tasas'!$C$43/360,5)</f>
        <v>0</v>
      </c>
      <c r="E965" s="121">
        <f>ROUND(C965*'FR_Mantenimiento tasas'!$D$43/360,5)</f>
        <v>0</v>
      </c>
    </row>
    <row r="966" spans="1:5">
      <c r="A966" s="123">
        <f t="shared" si="30"/>
        <v>964</v>
      </c>
      <c r="B966" s="122">
        <f>IF(DAY(A966)=DAY('F-Ahorro Futuro Genérico'!$H$11),'F-Ahorro Futuro Genérico'!$H$9,0)</f>
        <v>0</v>
      </c>
      <c r="C966" s="122">
        <f t="shared" si="31"/>
        <v>0</v>
      </c>
      <c r="D966" s="121">
        <f>ROUND(C966*'FR_Mantenimiento tasas'!$C$43/360,5)</f>
        <v>0</v>
      </c>
      <c r="E966" s="121">
        <f>ROUND(C966*'FR_Mantenimiento tasas'!$D$43/360,5)</f>
        <v>0</v>
      </c>
    </row>
    <row r="967" spans="1:5">
      <c r="A967" s="123">
        <f t="shared" si="30"/>
        <v>965</v>
      </c>
      <c r="B967" s="122">
        <f>IF(DAY(A967)=DAY('F-Ahorro Futuro Genérico'!$H$11),'F-Ahorro Futuro Genérico'!$H$9,0)</f>
        <v>0</v>
      </c>
      <c r="C967" s="122">
        <f t="shared" si="31"/>
        <v>0</v>
      </c>
      <c r="D967" s="121">
        <f>ROUND(C967*'FR_Mantenimiento tasas'!$C$43/360,5)</f>
        <v>0</v>
      </c>
      <c r="E967" s="121">
        <f>ROUND(C967*'FR_Mantenimiento tasas'!$D$43/360,5)</f>
        <v>0</v>
      </c>
    </row>
    <row r="968" spans="1:5">
      <c r="A968" s="123">
        <f t="shared" si="30"/>
        <v>966</v>
      </c>
      <c r="B968" s="122">
        <f>IF(DAY(A968)=DAY('F-Ahorro Futuro Genérico'!$H$11),'F-Ahorro Futuro Genérico'!$H$9,0)</f>
        <v>0</v>
      </c>
      <c r="C968" s="122">
        <f t="shared" si="31"/>
        <v>0</v>
      </c>
      <c r="D968" s="121">
        <f>ROUND(C968*'FR_Mantenimiento tasas'!$C$43/360,5)</f>
        <v>0</v>
      </c>
      <c r="E968" s="121">
        <f>ROUND(C968*'FR_Mantenimiento tasas'!$D$43/360,5)</f>
        <v>0</v>
      </c>
    </row>
    <row r="969" spans="1:5">
      <c r="A969" s="123">
        <f t="shared" si="30"/>
        <v>967</v>
      </c>
      <c r="B969" s="122">
        <f>IF(DAY(A969)=DAY('F-Ahorro Futuro Genérico'!$H$11),'F-Ahorro Futuro Genérico'!$H$9,0)</f>
        <v>0</v>
      </c>
      <c r="C969" s="122">
        <f t="shared" si="31"/>
        <v>0</v>
      </c>
      <c r="D969" s="121">
        <f>ROUND(C969*'FR_Mantenimiento tasas'!$C$43/360,5)</f>
        <v>0</v>
      </c>
      <c r="E969" s="121">
        <f>ROUND(C969*'FR_Mantenimiento tasas'!$D$43/360,5)</f>
        <v>0</v>
      </c>
    </row>
    <row r="970" spans="1:5">
      <c r="A970" s="123">
        <f t="shared" si="30"/>
        <v>968</v>
      </c>
      <c r="B970" s="122">
        <f>IF(DAY(A970)=DAY('F-Ahorro Futuro Genérico'!$H$11),'F-Ahorro Futuro Genérico'!$H$9,0)</f>
        <v>0</v>
      </c>
      <c r="C970" s="122">
        <f t="shared" si="31"/>
        <v>0</v>
      </c>
      <c r="D970" s="121">
        <f>ROUND(C970*'FR_Mantenimiento tasas'!$C$43/360,5)</f>
        <v>0</v>
      </c>
      <c r="E970" s="121">
        <f>ROUND(C970*'FR_Mantenimiento tasas'!$D$43/360,5)</f>
        <v>0</v>
      </c>
    </row>
    <row r="971" spans="1:5">
      <c r="A971" s="123">
        <f t="shared" si="30"/>
        <v>969</v>
      </c>
      <c r="B971" s="122">
        <f>IF(DAY(A971)=DAY('F-Ahorro Futuro Genérico'!$H$11),'F-Ahorro Futuro Genérico'!$H$9,0)</f>
        <v>0</v>
      </c>
      <c r="C971" s="122">
        <f t="shared" si="31"/>
        <v>0</v>
      </c>
      <c r="D971" s="121">
        <f>ROUND(C971*'FR_Mantenimiento tasas'!$C$43/360,5)</f>
        <v>0</v>
      </c>
      <c r="E971" s="121">
        <f>ROUND(C971*'FR_Mantenimiento tasas'!$D$43/360,5)</f>
        <v>0</v>
      </c>
    </row>
    <row r="972" spans="1:5">
      <c r="A972" s="123">
        <f t="shared" si="30"/>
        <v>970</v>
      </c>
      <c r="B972" s="122">
        <f>IF(DAY(A972)=DAY('F-Ahorro Futuro Genérico'!$H$11),'F-Ahorro Futuro Genérico'!$H$9,0)</f>
        <v>0</v>
      </c>
      <c r="C972" s="122">
        <f t="shared" si="31"/>
        <v>0</v>
      </c>
      <c r="D972" s="121">
        <f>ROUND(C972*'FR_Mantenimiento tasas'!$C$43/360,5)</f>
        <v>0</v>
      </c>
      <c r="E972" s="121">
        <f>ROUND(C972*'FR_Mantenimiento tasas'!$D$43/360,5)</f>
        <v>0</v>
      </c>
    </row>
    <row r="973" spans="1:5">
      <c r="A973" s="123">
        <f t="shared" si="30"/>
        <v>971</v>
      </c>
      <c r="B973" s="122">
        <f>IF(DAY(A973)=DAY('F-Ahorro Futuro Genérico'!$H$11),'F-Ahorro Futuro Genérico'!$H$9,0)</f>
        <v>0</v>
      </c>
      <c r="C973" s="122">
        <f t="shared" si="31"/>
        <v>0</v>
      </c>
      <c r="D973" s="121">
        <f>ROUND(C973*'FR_Mantenimiento tasas'!$C$43/360,5)</f>
        <v>0</v>
      </c>
      <c r="E973" s="121">
        <f>ROUND(C973*'FR_Mantenimiento tasas'!$D$43/360,5)</f>
        <v>0</v>
      </c>
    </row>
    <row r="974" spans="1:5">
      <c r="A974" s="123">
        <f t="shared" si="30"/>
        <v>972</v>
      </c>
      <c r="B974" s="122">
        <f>IF(DAY(A974)=DAY('F-Ahorro Futuro Genérico'!$H$11),'F-Ahorro Futuro Genérico'!$H$9,0)</f>
        <v>0</v>
      </c>
      <c r="C974" s="122">
        <f t="shared" si="31"/>
        <v>0</v>
      </c>
      <c r="D974" s="121">
        <f>ROUND(C974*'FR_Mantenimiento tasas'!$C$43/360,5)</f>
        <v>0</v>
      </c>
      <c r="E974" s="121">
        <f>ROUND(C974*'FR_Mantenimiento tasas'!$D$43/360,5)</f>
        <v>0</v>
      </c>
    </row>
    <row r="975" spans="1:5">
      <c r="A975" s="123">
        <f t="shared" si="30"/>
        <v>973</v>
      </c>
      <c r="B975" s="122">
        <f>IF(DAY(A975)=DAY('F-Ahorro Futuro Genérico'!$H$11),'F-Ahorro Futuro Genérico'!$H$9,0)</f>
        <v>0</v>
      </c>
      <c r="C975" s="122">
        <f t="shared" si="31"/>
        <v>0</v>
      </c>
      <c r="D975" s="121">
        <f>ROUND(C975*'FR_Mantenimiento tasas'!$C$43/360,5)</f>
        <v>0</v>
      </c>
      <c r="E975" s="121">
        <f>ROUND(C975*'FR_Mantenimiento tasas'!$D$43/360,5)</f>
        <v>0</v>
      </c>
    </row>
    <row r="976" spans="1:5">
      <c r="A976" s="123">
        <f t="shared" si="30"/>
        <v>974</v>
      </c>
      <c r="B976" s="122">
        <f>IF(DAY(A976)=DAY('F-Ahorro Futuro Genérico'!$H$11),'F-Ahorro Futuro Genérico'!$H$9,0)</f>
        <v>0</v>
      </c>
      <c r="C976" s="122">
        <f t="shared" si="31"/>
        <v>0</v>
      </c>
      <c r="D976" s="121">
        <f>ROUND(C976*'FR_Mantenimiento tasas'!$C$43/360,5)</f>
        <v>0</v>
      </c>
      <c r="E976" s="121">
        <f>ROUND(C976*'FR_Mantenimiento tasas'!$D$43/360,5)</f>
        <v>0</v>
      </c>
    </row>
    <row r="977" spans="1:5">
      <c r="A977" s="123">
        <f t="shared" si="30"/>
        <v>975</v>
      </c>
      <c r="B977" s="122">
        <f>IF(DAY(A977)=DAY('F-Ahorro Futuro Genérico'!$H$11),'F-Ahorro Futuro Genérico'!$H$9,0)</f>
        <v>0</v>
      </c>
      <c r="C977" s="122">
        <f t="shared" si="31"/>
        <v>0</v>
      </c>
      <c r="D977" s="121">
        <f>ROUND(C977*'FR_Mantenimiento tasas'!$C$43/360,5)</f>
        <v>0</v>
      </c>
      <c r="E977" s="121">
        <f>ROUND(C977*'FR_Mantenimiento tasas'!$D$43/360,5)</f>
        <v>0</v>
      </c>
    </row>
    <row r="978" spans="1:5">
      <c r="A978" s="123">
        <f t="shared" si="30"/>
        <v>976</v>
      </c>
      <c r="B978" s="122">
        <f>IF(DAY(A978)=DAY('F-Ahorro Futuro Genérico'!$H$11),'F-Ahorro Futuro Genérico'!$H$9,0)</f>
        <v>0</v>
      </c>
      <c r="C978" s="122">
        <f t="shared" si="31"/>
        <v>0</v>
      </c>
      <c r="D978" s="121">
        <f>ROUND(C978*'FR_Mantenimiento tasas'!$C$43/360,5)</f>
        <v>0</v>
      </c>
      <c r="E978" s="121">
        <f>ROUND(C978*'FR_Mantenimiento tasas'!$D$43/360,5)</f>
        <v>0</v>
      </c>
    </row>
    <row r="979" spans="1:5">
      <c r="A979" s="123">
        <f t="shared" si="30"/>
        <v>977</v>
      </c>
      <c r="B979" s="122">
        <f>IF(DAY(A979)=DAY('F-Ahorro Futuro Genérico'!$H$11),'F-Ahorro Futuro Genérico'!$H$9,0)</f>
        <v>0</v>
      </c>
      <c r="C979" s="122">
        <f t="shared" si="31"/>
        <v>0</v>
      </c>
      <c r="D979" s="121">
        <f>ROUND(C979*'FR_Mantenimiento tasas'!$C$43/360,5)</f>
        <v>0</v>
      </c>
      <c r="E979" s="121">
        <f>ROUND(C979*'FR_Mantenimiento tasas'!$D$43/360,5)</f>
        <v>0</v>
      </c>
    </row>
    <row r="980" spans="1:5">
      <c r="A980" s="123">
        <f t="shared" si="30"/>
        <v>978</v>
      </c>
      <c r="B980" s="122">
        <f>IF(DAY(A980)=DAY('F-Ahorro Futuro Genérico'!$H$11),'F-Ahorro Futuro Genérico'!$H$9,0)</f>
        <v>0</v>
      </c>
      <c r="C980" s="122">
        <f t="shared" si="31"/>
        <v>0</v>
      </c>
      <c r="D980" s="121">
        <f>ROUND(C980*'FR_Mantenimiento tasas'!$C$43/360,5)</f>
        <v>0</v>
      </c>
      <c r="E980" s="121">
        <f>ROUND(C980*'FR_Mantenimiento tasas'!$D$43/360,5)</f>
        <v>0</v>
      </c>
    </row>
    <row r="981" spans="1:5">
      <c r="A981" s="123">
        <f t="shared" si="30"/>
        <v>979</v>
      </c>
      <c r="B981" s="122">
        <f>IF(DAY(A981)=DAY('F-Ahorro Futuro Genérico'!$H$11),'F-Ahorro Futuro Genérico'!$H$9,0)</f>
        <v>0</v>
      </c>
      <c r="C981" s="122">
        <f t="shared" si="31"/>
        <v>0</v>
      </c>
      <c r="D981" s="121">
        <f>ROUND(C981*'FR_Mantenimiento tasas'!$C$43/360,5)</f>
        <v>0</v>
      </c>
      <c r="E981" s="121">
        <f>ROUND(C981*'FR_Mantenimiento tasas'!$D$43/360,5)</f>
        <v>0</v>
      </c>
    </row>
    <row r="982" spans="1:5">
      <c r="A982" s="123">
        <f t="shared" si="30"/>
        <v>980</v>
      </c>
      <c r="B982" s="122">
        <f>IF(DAY(A982)=DAY('F-Ahorro Futuro Genérico'!$H$11),'F-Ahorro Futuro Genérico'!$H$9,0)</f>
        <v>0</v>
      </c>
      <c r="C982" s="122">
        <f t="shared" si="31"/>
        <v>0</v>
      </c>
      <c r="D982" s="121">
        <f>ROUND(C982*'FR_Mantenimiento tasas'!$C$43/360,5)</f>
        <v>0</v>
      </c>
      <c r="E982" s="121">
        <f>ROUND(C982*'FR_Mantenimiento tasas'!$D$43/360,5)</f>
        <v>0</v>
      </c>
    </row>
    <row r="983" spans="1:5">
      <c r="A983" s="123">
        <f t="shared" si="30"/>
        <v>981</v>
      </c>
      <c r="B983" s="122">
        <f>IF(DAY(A983)=DAY('F-Ahorro Futuro Genérico'!$H$11),'F-Ahorro Futuro Genérico'!$H$9,0)</f>
        <v>0</v>
      </c>
      <c r="C983" s="122">
        <f t="shared" si="31"/>
        <v>0</v>
      </c>
      <c r="D983" s="121">
        <f>ROUND(C983*'FR_Mantenimiento tasas'!$C$43/360,5)</f>
        <v>0</v>
      </c>
      <c r="E983" s="121">
        <f>ROUND(C983*'FR_Mantenimiento tasas'!$D$43/360,5)</f>
        <v>0</v>
      </c>
    </row>
    <row r="984" spans="1:5">
      <c r="A984" s="123">
        <f t="shared" si="30"/>
        <v>982</v>
      </c>
      <c r="B984" s="122">
        <f>IF(DAY(A984)=DAY('F-Ahorro Futuro Genérico'!$H$11),'F-Ahorro Futuro Genérico'!$H$9,0)</f>
        <v>0</v>
      </c>
      <c r="C984" s="122">
        <f t="shared" si="31"/>
        <v>0</v>
      </c>
      <c r="D984" s="121">
        <f>ROUND(C984*'FR_Mantenimiento tasas'!$C$43/360,5)</f>
        <v>0</v>
      </c>
      <c r="E984" s="121">
        <f>ROUND(C984*'FR_Mantenimiento tasas'!$D$43/360,5)</f>
        <v>0</v>
      </c>
    </row>
    <row r="985" spans="1:5">
      <c r="A985" s="123">
        <f t="shared" si="30"/>
        <v>983</v>
      </c>
      <c r="B985" s="122">
        <f>IF(DAY(A985)=DAY('F-Ahorro Futuro Genérico'!$H$11),'F-Ahorro Futuro Genérico'!$H$9,0)</f>
        <v>0</v>
      </c>
      <c r="C985" s="122">
        <f t="shared" si="31"/>
        <v>0</v>
      </c>
      <c r="D985" s="121">
        <f>ROUND(C985*'FR_Mantenimiento tasas'!$C$43/360,5)</f>
        <v>0</v>
      </c>
      <c r="E985" s="121">
        <f>ROUND(C985*'FR_Mantenimiento tasas'!$D$43/360,5)</f>
        <v>0</v>
      </c>
    </row>
    <row r="986" spans="1:5">
      <c r="A986" s="123">
        <f t="shared" si="30"/>
        <v>984</v>
      </c>
      <c r="B986" s="122">
        <f>IF(DAY(A986)=DAY('F-Ahorro Futuro Genérico'!$H$11),'F-Ahorro Futuro Genérico'!$H$9,0)</f>
        <v>0</v>
      </c>
      <c r="C986" s="122">
        <f t="shared" si="31"/>
        <v>0</v>
      </c>
      <c r="D986" s="121">
        <f>ROUND(C986*'FR_Mantenimiento tasas'!$C$43/360,5)</f>
        <v>0</v>
      </c>
      <c r="E986" s="121">
        <f>ROUND(C986*'FR_Mantenimiento tasas'!$D$43/360,5)</f>
        <v>0</v>
      </c>
    </row>
    <row r="987" spans="1:5">
      <c r="A987" s="123">
        <f t="shared" si="30"/>
        <v>985</v>
      </c>
      <c r="B987" s="122">
        <f>IF(DAY(A987)=DAY('F-Ahorro Futuro Genérico'!$H$11),'F-Ahorro Futuro Genérico'!$H$9,0)</f>
        <v>0</v>
      </c>
      <c r="C987" s="122">
        <f t="shared" si="31"/>
        <v>0</v>
      </c>
      <c r="D987" s="121">
        <f>ROUND(C987*'FR_Mantenimiento tasas'!$C$43/360,5)</f>
        <v>0</v>
      </c>
      <c r="E987" s="121">
        <f>ROUND(C987*'FR_Mantenimiento tasas'!$D$43/360,5)</f>
        <v>0</v>
      </c>
    </row>
    <row r="988" spans="1:5">
      <c r="A988" s="123">
        <f t="shared" si="30"/>
        <v>986</v>
      </c>
      <c r="B988" s="122">
        <f>IF(DAY(A988)=DAY('F-Ahorro Futuro Genérico'!$H$11),'F-Ahorro Futuro Genérico'!$H$9,0)</f>
        <v>0</v>
      </c>
      <c r="C988" s="122">
        <f t="shared" si="31"/>
        <v>0</v>
      </c>
      <c r="D988" s="121">
        <f>ROUND(C988*'FR_Mantenimiento tasas'!$C$43/360,5)</f>
        <v>0</v>
      </c>
      <c r="E988" s="121">
        <f>ROUND(C988*'FR_Mantenimiento tasas'!$D$43/360,5)</f>
        <v>0</v>
      </c>
    </row>
    <row r="989" spans="1:5">
      <c r="A989" s="123">
        <f t="shared" si="30"/>
        <v>987</v>
      </c>
      <c r="B989" s="122">
        <f>IF(DAY(A989)=DAY('F-Ahorro Futuro Genérico'!$H$11),'F-Ahorro Futuro Genérico'!$H$9,0)</f>
        <v>0</v>
      </c>
      <c r="C989" s="122">
        <f t="shared" si="31"/>
        <v>0</v>
      </c>
      <c r="D989" s="121">
        <f>ROUND(C989*'FR_Mantenimiento tasas'!$C$43/360,5)</f>
        <v>0</v>
      </c>
      <c r="E989" s="121">
        <f>ROUND(C989*'FR_Mantenimiento tasas'!$D$43/360,5)</f>
        <v>0</v>
      </c>
    </row>
    <row r="990" spans="1:5">
      <c r="A990" s="123">
        <f t="shared" si="30"/>
        <v>988</v>
      </c>
      <c r="B990" s="122">
        <f>IF(DAY(A990)=DAY('F-Ahorro Futuro Genérico'!$H$11),'F-Ahorro Futuro Genérico'!$H$9,0)</f>
        <v>0</v>
      </c>
      <c r="C990" s="122">
        <f t="shared" si="31"/>
        <v>0</v>
      </c>
      <c r="D990" s="121">
        <f>ROUND(C990*'FR_Mantenimiento tasas'!$C$43/360,5)</f>
        <v>0</v>
      </c>
      <c r="E990" s="121">
        <f>ROUND(C990*'FR_Mantenimiento tasas'!$D$43/360,5)</f>
        <v>0</v>
      </c>
    </row>
    <row r="991" spans="1:5">
      <c r="A991" s="123">
        <f t="shared" si="30"/>
        <v>989</v>
      </c>
      <c r="B991" s="122">
        <f>IF(DAY(A991)=DAY('F-Ahorro Futuro Genérico'!$H$11),'F-Ahorro Futuro Genérico'!$H$9,0)</f>
        <v>0</v>
      </c>
      <c r="C991" s="122">
        <f t="shared" si="31"/>
        <v>0</v>
      </c>
      <c r="D991" s="121">
        <f>ROUND(C991*'FR_Mantenimiento tasas'!$C$43/360,5)</f>
        <v>0</v>
      </c>
      <c r="E991" s="121">
        <f>ROUND(C991*'FR_Mantenimiento tasas'!$D$43/360,5)</f>
        <v>0</v>
      </c>
    </row>
    <row r="992" spans="1:5">
      <c r="A992" s="123">
        <f t="shared" si="30"/>
        <v>990</v>
      </c>
      <c r="B992" s="122">
        <f>IF(DAY(A992)=DAY('F-Ahorro Futuro Genérico'!$H$11),'F-Ahorro Futuro Genérico'!$H$9,0)</f>
        <v>0</v>
      </c>
      <c r="C992" s="122">
        <f t="shared" si="31"/>
        <v>0</v>
      </c>
      <c r="D992" s="121">
        <f>ROUND(C992*'FR_Mantenimiento tasas'!$C$43/360,5)</f>
        <v>0</v>
      </c>
      <c r="E992" s="121">
        <f>ROUND(C992*'FR_Mantenimiento tasas'!$D$43/360,5)</f>
        <v>0</v>
      </c>
    </row>
    <row r="993" spans="1:5">
      <c r="A993" s="123">
        <f t="shared" si="30"/>
        <v>991</v>
      </c>
      <c r="B993" s="122">
        <f>IF(DAY(A993)=DAY('F-Ahorro Futuro Genérico'!$H$11),'F-Ahorro Futuro Genérico'!$H$9,0)</f>
        <v>0</v>
      </c>
      <c r="C993" s="122">
        <f t="shared" si="31"/>
        <v>0</v>
      </c>
      <c r="D993" s="121">
        <f>ROUND(C993*'FR_Mantenimiento tasas'!$C$43/360,5)</f>
        <v>0</v>
      </c>
      <c r="E993" s="121">
        <f>ROUND(C993*'FR_Mantenimiento tasas'!$D$43/360,5)</f>
        <v>0</v>
      </c>
    </row>
    <row r="994" spans="1:5">
      <c r="A994" s="123">
        <f t="shared" si="30"/>
        <v>992</v>
      </c>
      <c r="B994" s="122">
        <f>IF(DAY(A994)=DAY('F-Ahorro Futuro Genérico'!$H$11),'F-Ahorro Futuro Genérico'!$H$9,0)</f>
        <v>0</v>
      </c>
      <c r="C994" s="122">
        <f t="shared" si="31"/>
        <v>0</v>
      </c>
      <c r="D994" s="121">
        <f>ROUND(C994*'FR_Mantenimiento tasas'!$C$43/360,5)</f>
        <v>0</v>
      </c>
      <c r="E994" s="121">
        <f>ROUND(C994*'FR_Mantenimiento tasas'!$D$43/360,5)</f>
        <v>0</v>
      </c>
    </row>
    <row r="995" spans="1:5">
      <c r="A995" s="123">
        <f t="shared" si="30"/>
        <v>993</v>
      </c>
      <c r="B995" s="122">
        <f>IF(DAY(A995)=DAY('F-Ahorro Futuro Genérico'!$H$11),'F-Ahorro Futuro Genérico'!$H$9,0)</f>
        <v>0</v>
      </c>
      <c r="C995" s="122">
        <f t="shared" si="31"/>
        <v>0</v>
      </c>
      <c r="D995" s="121">
        <f>ROUND(C995*'FR_Mantenimiento tasas'!$C$43/360,5)</f>
        <v>0</v>
      </c>
      <c r="E995" s="121">
        <f>ROUND(C995*'FR_Mantenimiento tasas'!$D$43/360,5)</f>
        <v>0</v>
      </c>
    </row>
    <row r="996" spans="1:5">
      <c r="A996" s="123">
        <f t="shared" si="30"/>
        <v>994</v>
      </c>
      <c r="B996" s="122">
        <f>IF(DAY(A996)=DAY('F-Ahorro Futuro Genérico'!$H$11),'F-Ahorro Futuro Genérico'!$H$9,0)</f>
        <v>0</v>
      </c>
      <c r="C996" s="122">
        <f t="shared" si="31"/>
        <v>0</v>
      </c>
      <c r="D996" s="121">
        <f>ROUND(C996*'FR_Mantenimiento tasas'!$C$43/360,5)</f>
        <v>0</v>
      </c>
      <c r="E996" s="121">
        <f>ROUND(C996*'FR_Mantenimiento tasas'!$D$43/360,5)</f>
        <v>0</v>
      </c>
    </row>
    <row r="997" spans="1:5">
      <c r="A997" s="123">
        <f t="shared" si="30"/>
        <v>995</v>
      </c>
      <c r="B997" s="122">
        <f>IF(DAY(A997)=DAY('F-Ahorro Futuro Genérico'!$H$11),'F-Ahorro Futuro Genérico'!$H$9,0)</f>
        <v>0</v>
      </c>
      <c r="C997" s="122">
        <f t="shared" si="31"/>
        <v>0</v>
      </c>
      <c r="D997" s="121">
        <f>ROUND(C997*'FR_Mantenimiento tasas'!$C$43/360,5)</f>
        <v>0</v>
      </c>
      <c r="E997" s="121">
        <f>ROUND(C997*'FR_Mantenimiento tasas'!$D$43/360,5)</f>
        <v>0</v>
      </c>
    </row>
    <row r="998" spans="1:5">
      <c r="A998" s="123">
        <f t="shared" si="30"/>
        <v>996</v>
      </c>
      <c r="B998" s="122">
        <f>IF(DAY(A998)=DAY('F-Ahorro Futuro Genérico'!$H$11),'F-Ahorro Futuro Genérico'!$H$9,0)</f>
        <v>0</v>
      </c>
      <c r="C998" s="122">
        <f t="shared" si="31"/>
        <v>0</v>
      </c>
      <c r="D998" s="121">
        <f>ROUND(C998*'FR_Mantenimiento tasas'!$C$43/360,5)</f>
        <v>0</v>
      </c>
      <c r="E998" s="121">
        <f>ROUND(C998*'FR_Mantenimiento tasas'!$D$43/360,5)</f>
        <v>0</v>
      </c>
    </row>
    <row r="999" spans="1:5">
      <c r="A999" s="123">
        <f t="shared" si="30"/>
        <v>997</v>
      </c>
      <c r="B999" s="122">
        <f>IF(DAY(A999)=DAY('F-Ahorro Futuro Genérico'!$H$11),'F-Ahorro Futuro Genérico'!$H$9,0)</f>
        <v>0</v>
      </c>
      <c r="C999" s="122">
        <f t="shared" si="31"/>
        <v>0</v>
      </c>
      <c r="D999" s="121">
        <f>ROUND(C999*'FR_Mantenimiento tasas'!$C$43/360,5)</f>
        <v>0</v>
      </c>
      <c r="E999" s="121">
        <f>ROUND(C999*'FR_Mantenimiento tasas'!$D$43/360,5)</f>
        <v>0</v>
      </c>
    </row>
    <row r="1000" spans="1:5">
      <c r="A1000" s="123">
        <f t="shared" si="30"/>
        <v>998</v>
      </c>
      <c r="B1000" s="122">
        <f>IF(DAY(A1000)=DAY('F-Ahorro Futuro Genérico'!$H$11),'F-Ahorro Futuro Genérico'!$H$9,0)</f>
        <v>0</v>
      </c>
      <c r="C1000" s="122">
        <f t="shared" si="31"/>
        <v>0</v>
      </c>
      <c r="D1000" s="121">
        <f>ROUND(C1000*'FR_Mantenimiento tasas'!$C$43/360,5)</f>
        <v>0</v>
      </c>
      <c r="E1000" s="121">
        <f>ROUND(C1000*'FR_Mantenimiento tasas'!$D$43/360,5)</f>
        <v>0</v>
      </c>
    </row>
    <row r="1001" spans="1:5">
      <c r="A1001" s="123">
        <f t="shared" si="30"/>
        <v>999</v>
      </c>
      <c r="B1001" s="122">
        <f>IF(DAY(A1001)=DAY('F-Ahorro Futuro Genérico'!$H$11),'F-Ahorro Futuro Genérico'!$H$9,0)</f>
        <v>0</v>
      </c>
      <c r="C1001" s="122">
        <f t="shared" si="31"/>
        <v>0</v>
      </c>
      <c r="D1001" s="121">
        <f>ROUND(C1001*'FR_Mantenimiento tasas'!$C$43/360,5)</f>
        <v>0</v>
      </c>
      <c r="E1001" s="121">
        <f>ROUND(C1001*'FR_Mantenimiento tasas'!$D$43/360,5)</f>
        <v>0</v>
      </c>
    </row>
    <row r="1002" spans="1:5">
      <c r="A1002" s="123">
        <f t="shared" si="30"/>
        <v>1000</v>
      </c>
      <c r="B1002" s="122">
        <f>IF(DAY(A1002)=DAY('F-Ahorro Futuro Genérico'!$H$11),'F-Ahorro Futuro Genérico'!$H$9,0)</f>
        <v>0</v>
      </c>
      <c r="C1002" s="122">
        <f t="shared" si="31"/>
        <v>0</v>
      </c>
      <c r="D1002" s="121">
        <f>ROUND(C1002*'FR_Mantenimiento tasas'!$C$43/360,5)</f>
        <v>0</v>
      </c>
      <c r="E1002" s="121">
        <f>ROUND(C1002*'FR_Mantenimiento tasas'!$D$43/360,5)</f>
        <v>0</v>
      </c>
    </row>
    <row r="1003" spans="1:5">
      <c r="A1003" s="123">
        <f t="shared" si="30"/>
        <v>1001</v>
      </c>
      <c r="B1003" s="122">
        <f>IF(DAY(A1003)=DAY('F-Ahorro Futuro Genérico'!$H$11),'F-Ahorro Futuro Genérico'!$H$9,0)</f>
        <v>0</v>
      </c>
      <c r="C1003" s="122">
        <f t="shared" si="31"/>
        <v>0</v>
      </c>
      <c r="D1003" s="121">
        <f>ROUND(C1003*'FR_Mantenimiento tasas'!$C$43/360,5)</f>
        <v>0</v>
      </c>
      <c r="E1003" s="121">
        <f>ROUND(C1003*'FR_Mantenimiento tasas'!$D$43/360,5)</f>
        <v>0</v>
      </c>
    </row>
    <row r="1004" spans="1:5">
      <c r="A1004" s="123">
        <f t="shared" si="30"/>
        <v>1002</v>
      </c>
      <c r="B1004" s="122">
        <f>IF(DAY(A1004)=DAY('F-Ahorro Futuro Genérico'!$H$11),'F-Ahorro Futuro Genérico'!$H$9,0)</f>
        <v>0</v>
      </c>
      <c r="C1004" s="122">
        <f t="shared" si="31"/>
        <v>0</v>
      </c>
      <c r="D1004" s="121">
        <f>ROUND(C1004*'FR_Mantenimiento tasas'!$C$43/360,5)</f>
        <v>0</v>
      </c>
      <c r="E1004" s="121">
        <f>ROUND(C1004*'FR_Mantenimiento tasas'!$D$43/360,5)</f>
        <v>0</v>
      </c>
    </row>
    <row r="1005" spans="1:5">
      <c r="A1005" s="123">
        <f t="shared" si="30"/>
        <v>1003</v>
      </c>
      <c r="B1005" s="122">
        <f>IF(DAY(A1005)=DAY('F-Ahorro Futuro Genérico'!$H$11),'F-Ahorro Futuro Genérico'!$H$9,0)</f>
        <v>0</v>
      </c>
      <c r="C1005" s="122">
        <f t="shared" si="31"/>
        <v>0</v>
      </c>
      <c r="D1005" s="121">
        <f>ROUND(C1005*'FR_Mantenimiento tasas'!$C$43/360,5)</f>
        <v>0</v>
      </c>
      <c r="E1005" s="121">
        <f>ROUND(C1005*'FR_Mantenimiento tasas'!$D$43/360,5)</f>
        <v>0</v>
      </c>
    </row>
    <row r="1006" spans="1:5">
      <c r="A1006" s="123">
        <f t="shared" si="30"/>
        <v>1004</v>
      </c>
      <c r="B1006" s="122">
        <f>IF(DAY(A1006)=DAY('F-Ahorro Futuro Genérico'!$H$11),'F-Ahorro Futuro Genérico'!$H$9,0)</f>
        <v>0</v>
      </c>
      <c r="C1006" s="122">
        <f t="shared" si="31"/>
        <v>0</v>
      </c>
      <c r="D1006" s="121">
        <f>ROUND(C1006*'FR_Mantenimiento tasas'!$C$43/360,5)</f>
        <v>0</v>
      </c>
      <c r="E1006" s="121">
        <f>ROUND(C1006*'FR_Mantenimiento tasas'!$D$43/360,5)</f>
        <v>0</v>
      </c>
    </row>
    <row r="1007" spans="1:5">
      <c r="A1007" s="123">
        <f t="shared" si="30"/>
        <v>1005</v>
      </c>
      <c r="B1007" s="122">
        <f>IF(DAY(A1007)=DAY('F-Ahorro Futuro Genérico'!$H$11),'F-Ahorro Futuro Genérico'!$H$9,0)</f>
        <v>0</v>
      </c>
      <c r="C1007" s="122">
        <f t="shared" si="31"/>
        <v>0</v>
      </c>
      <c r="D1007" s="121">
        <f>ROUND(C1007*'FR_Mantenimiento tasas'!$C$43/360,5)</f>
        <v>0</v>
      </c>
      <c r="E1007" s="121">
        <f>ROUND(C1007*'FR_Mantenimiento tasas'!$D$43/360,5)</f>
        <v>0</v>
      </c>
    </row>
    <row r="1008" spans="1:5">
      <c r="A1008" s="123">
        <f t="shared" si="30"/>
        <v>1006</v>
      </c>
      <c r="B1008" s="122">
        <f>IF(DAY(A1008)=DAY('F-Ahorro Futuro Genérico'!$H$11),'F-Ahorro Futuro Genérico'!$H$9,0)</f>
        <v>0</v>
      </c>
      <c r="C1008" s="122">
        <f t="shared" si="31"/>
        <v>0</v>
      </c>
      <c r="D1008" s="121">
        <f>ROUND(C1008*'FR_Mantenimiento tasas'!$C$43/360,5)</f>
        <v>0</v>
      </c>
      <c r="E1008" s="121">
        <f>ROUND(C1008*'FR_Mantenimiento tasas'!$D$43/360,5)</f>
        <v>0</v>
      </c>
    </row>
    <row r="1009" spans="1:5">
      <c r="A1009" s="123">
        <f t="shared" si="30"/>
        <v>1007</v>
      </c>
      <c r="B1009" s="122">
        <f>IF(DAY(A1009)=DAY('F-Ahorro Futuro Genérico'!$H$11),'F-Ahorro Futuro Genérico'!$H$9,0)</f>
        <v>0</v>
      </c>
      <c r="C1009" s="122">
        <f t="shared" si="31"/>
        <v>0</v>
      </c>
      <c r="D1009" s="121">
        <f>ROUND(C1009*'FR_Mantenimiento tasas'!$C$43/360,5)</f>
        <v>0</v>
      </c>
      <c r="E1009" s="121">
        <f>ROUND(C1009*'FR_Mantenimiento tasas'!$D$43/360,5)</f>
        <v>0</v>
      </c>
    </row>
    <row r="1010" spans="1:5">
      <c r="A1010" s="123">
        <f t="shared" si="30"/>
        <v>1008</v>
      </c>
      <c r="B1010" s="122">
        <f>IF(DAY(A1010)=DAY('F-Ahorro Futuro Genérico'!$H$11),'F-Ahorro Futuro Genérico'!$H$9,0)</f>
        <v>0</v>
      </c>
      <c r="C1010" s="122">
        <f t="shared" si="31"/>
        <v>0</v>
      </c>
      <c r="D1010" s="121">
        <f>ROUND(C1010*'FR_Mantenimiento tasas'!$C$43/360,5)</f>
        <v>0</v>
      </c>
      <c r="E1010" s="121">
        <f>ROUND(C1010*'FR_Mantenimiento tasas'!$D$43/360,5)</f>
        <v>0</v>
      </c>
    </row>
    <row r="1011" spans="1:5">
      <c r="A1011" s="123">
        <f t="shared" si="30"/>
        <v>1009</v>
      </c>
      <c r="B1011" s="122">
        <f>IF(DAY(A1011)=DAY('F-Ahorro Futuro Genérico'!$H$11),'F-Ahorro Futuro Genérico'!$H$9,0)</f>
        <v>0</v>
      </c>
      <c r="C1011" s="122">
        <f t="shared" si="31"/>
        <v>0</v>
      </c>
      <c r="D1011" s="121">
        <f>ROUND(C1011*'FR_Mantenimiento tasas'!$C$43/360,5)</f>
        <v>0</v>
      </c>
      <c r="E1011" s="121">
        <f>ROUND(C1011*'FR_Mantenimiento tasas'!$D$43/360,5)</f>
        <v>0</v>
      </c>
    </row>
    <row r="1012" spans="1:5">
      <c r="A1012" s="123">
        <f t="shared" si="30"/>
        <v>1010</v>
      </c>
      <c r="B1012" s="122">
        <f>IF(DAY(A1012)=DAY('F-Ahorro Futuro Genérico'!$H$11),'F-Ahorro Futuro Genérico'!$H$9,0)</f>
        <v>0</v>
      </c>
      <c r="C1012" s="122">
        <f t="shared" si="31"/>
        <v>0</v>
      </c>
      <c r="D1012" s="121">
        <f>ROUND(C1012*'FR_Mantenimiento tasas'!$C$43/360,5)</f>
        <v>0</v>
      </c>
      <c r="E1012" s="121">
        <f>ROUND(C1012*'FR_Mantenimiento tasas'!$D$43/360,5)</f>
        <v>0</v>
      </c>
    </row>
    <row r="1013" spans="1:5">
      <c r="A1013" s="123">
        <f t="shared" si="30"/>
        <v>1011</v>
      </c>
      <c r="B1013" s="122">
        <f>IF(DAY(A1013)=DAY('F-Ahorro Futuro Genérico'!$H$11),'F-Ahorro Futuro Genérico'!$H$9,0)</f>
        <v>0</v>
      </c>
      <c r="C1013" s="122">
        <f t="shared" si="31"/>
        <v>0</v>
      </c>
      <c r="D1013" s="121">
        <f>ROUND(C1013*'FR_Mantenimiento tasas'!$C$43/360,5)</f>
        <v>0</v>
      </c>
      <c r="E1013" s="121">
        <f>ROUND(C1013*'FR_Mantenimiento tasas'!$D$43/360,5)</f>
        <v>0</v>
      </c>
    </row>
    <row r="1014" spans="1:5">
      <c r="A1014" s="123">
        <f t="shared" si="30"/>
        <v>1012</v>
      </c>
      <c r="B1014" s="122">
        <f>IF(DAY(A1014)=DAY('F-Ahorro Futuro Genérico'!$H$11),'F-Ahorro Futuro Genérico'!$H$9,0)</f>
        <v>0</v>
      </c>
      <c r="C1014" s="122">
        <f t="shared" si="31"/>
        <v>0</v>
      </c>
      <c r="D1014" s="121">
        <f>ROUND(C1014*'FR_Mantenimiento tasas'!$C$43/360,5)</f>
        <v>0</v>
      </c>
      <c r="E1014" s="121">
        <f>ROUND(C1014*'FR_Mantenimiento tasas'!$D$43/360,5)</f>
        <v>0</v>
      </c>
    </row>
    <row r="1015" spans="1:5">
      <c r="A1015" s="123">
        <f t="shared" si="30"/>
        <v>1013</v>
      </c>
      <c r="B1015" s="122">
        <f>IF(DAY(A1015)=DAY('F-Ahorro Futuro Genérico'!$H$11),'F-Ahorro Futuro Genérico'!$H$9,0)</f>
        <v>0</v>
      </c>
      <c r="C1015" s="122">
        <f t="shared" si="31"/>
        <v>0</v>
      </c>
      <c r="D1015" s="121">
        <f>ROUND(C1015*'FR_Mantenimiento tasas'!$C$43/360,5)</f>
        <v>0</v>
      </c>
      <c r="E1015" s="121">
        <f>ROUND(C1015*'FR_Mantenimiento tasas'!$D$43/360,5)</f>
        <v>0</v>
      </c>
    </row>
    <row r="1016" spans="1:5">
      <c r="A1016" s="123">
        <f t="shared" si="30"/>
        <v>1014</v>
      </c>
      <c r="B1016" s="122">
        <f>IF(DAY(A1016)=DAY('F-Ahorro Futuro Genérico'!$H$11),'F-Ahorro Futuro Genérico'!$H$9,0)</f>
        <v>0</v>
      </c>
      <c r="C1016" s="122">
        <f t="shared" si="31"/>
        <v>0</v>
      </c>
      <c r="D1016" s="121">
        <f>ROUND(C1016*'FR_Mantenimiento tasas'!$C$43/360,5)</f>
        <v>0</v>
      </c>
      <c r="E1016" s="121">
        <f>ROUND(C1016*'FR_Mantenimiento tasas'!$D$43/360,5)</f>
        <v>0</v>
      </c>
    </row>
    <row r="1017" spans="1:5">
      <c r="A1017" s="123">
        <f t="shared" si="30"/>
        <v>1015</v>
      </c>
      <c r="B1017" s="122">
        <f>IF(DAY(A1017)=DAY('F-Ahorro Futuro Genérico'!$H$11),'F-Ahorro Futuro Genérico'!$H$9,0)</f>
        <v>0</v>
      </c>
      <c r="C1017" s="122">
        <f t="shared" si="31"/>
        <v>0</v>
      </c>
      <c r="D1017" s="121">
        <f>ROUND(C1017*'FR_Mantenimiento tasas'!$C$43/360,5)</f>
        <v>0</v>
      </c>
      <c r="E1017" s="121">
        <f>ROUND(C1017*'FR_Mantenimiento tasas'!$D$43/360,5)</f>
        <v>0</v>
      </c>
    </row>
    <row r="1018" spans="1:5">
      <c r="A1018" s="123">
        <f t="shared" si="30"/>
        <v>1016</v>
      </c>
      <c r="B1018" s="122">
        <f>IF(DAY(A1018)=DAY('F-Ahorro Futuro Genérico'!$H$11),'F-Ahorro Futuro Genérico'!$H$9,0)</f>
        <v>0</v>
      </c>
      <c r="C1018" s="122">
        <f t="shared" si="31"/>
        <v>0</v>
      </c>
      <c r="D1018" s="121">
        <f>ROUND(C1018*'FR_Mantenimiento tasas'!$C$43/360,5)</f>
        <v>0</v>
      </c>
      <c r="E1018" s="121">
        <f>ROUND(C1018*'FR_Mantenimiento tasas'!$D$43/360,5)</f>
        <v>0</v>
      </c>
    </row>
    <row r="1019" spans="1:5">
      <c r="A1019" s="123">
        <f t="shared" si="30"/>
        <v>1017</v>
      </c>
      <c r="B1019" s="122">
        <f>IF(DAY(A1019)=DAY('F-Ahorro Futuro Genérico'!$H$11),'F-Ahorro Futuro Genérico'!$H$9,0)</f>
        <v>0</v>
      </c>
      <c r="C1019" s="122">
        <f t="shared" si="31"/>
        <v>0</v>
      </c>
      <c r="D1019" s="121">
        <f>ROUND(C1019*'FR_Mantenimiento tasas'!$C$43/360,5)</f>
        <v>0</v>
      </c>
      <c r="E1019" s="121">
        <f>ROUND(C1019*'FR_Mantenimiento tasas'!$D$43/360,5)</f>
        <v>0</v>
      </c>
    </row>
    <row r="1020" spans="1:5">
      <c r="A1020" s="123">
        <f t="shared" si="30"/>
        <v>1018</v>
      </c>
      <c r="B1020" s="122">
        <f>IF(DAY(A1020)=DAY('F-Ahorro Futuro Genérico'!$H$11),'F-Ahorro Futuro Genérico'!$H$9,0)</f>
        <v>0</v>
      </c>
      <c r="C1020" s="122">
        <f t="shared" si="31"/>
        <v>0</v>
      </c>
      <c r="D1020" s="121">
        <f>ROUND(C1020*'FR_Mantenimiento tasas'!$C$43/360,5)</f>
        <v>0</v>
      </c>
      <c r="E1020" s="121">
        <f>ROUND(C1020*'FR_Mantenimiento tasas'!$D$43/360,5)</f>
        <v>0</v>
      </c>
    </row>
    <row r="1021" spans="1:5">
      <c r="A1021" s="123">
        <f t="shared" si="30"/>
        <v>1019</v>
      </c>
      <c r="B1021" s="122">
        <f>IF(DAY(A1021)=DAY('F-Ahorro Futuro Genérico'!$H$11),'F-Ahorro Futuro Genérico'!$H$9,0)</f>
        <v>0</v>
      </c>
      <c r="C1021" s="122">
        <f t="shared" si="31"/>
        <v>0</v>
      </c>
      <c r="D1021" s="121">
        <f>ROUND(C1021*'FR_Mantenimiento tasas'!$C$43/360,5)</f>
        <v>0</v>
      </c>
      <c r="E1021" s="121">
        <f>ROUND(C1021*'FR_Mantenimiento tasas'!$D$43/360,5)</f>
        <v>0</v>
      </c>
    </row>
    <row r="1022" spans="1:5">
      <c r="A1022" s="123">
        <f t="shared" si="30"/>
        <v>1020</v>
      </c>
      <c r="B1022" s="122">
        <f>IF(DAY(A1022)=DAY('F-Ahorro Futuro Genérico'!$H$11),'F-Ahorro Futuro Genérico'!$H$9,0)</f>
        <v>0</v>
      </c>
      <c r="C1022" s="122">
        <f t="shared" si="31"/>
        <v>0</v>
      </c>
      <c r="D1022" s="121">
        <f>ROUND(C1022*'FR_Mantenimiento tasas'!$C$43/360,5)</f>
        <v>0</v>
      </c>
      <c r="E1022" s="121">
        <f>ROUND(C1022*'FR_Mantenimiento tasas'!$D$43/360,5)</f>
        <v>0</v>
      </c>
    </row>
    <row r="1023" spans="1:5">
      <c r="A1023" s="123">
        <f t="shared" si="30"/>
        <v>1021</v>
      </c>
      <c r="B1023" s="122">
        <f>IF(DAY(A1023)=DAY('F-Ahorro Futuro Genérico'!$H$11),'F-Ahorro Futuro Genérico'!$H$9,0)</f>
        <v>0</v>
      </c>
      <c r="C1023" s="122">
        <f t="shared" si="31"/>
        <v>0</v>
      </c>
      <c r="D1023" s="121">
        <f>ROUND(C1023*'FR_Mantenimiento tasas'!$C$43/360,5)</f>
        <v>0</v>
      </c>
      <c r="E1023" s="121">
        <f>ROUND(C1023*'FR_Mantenimiento tasas'!$D$43/360,5)</f>
        <v>0</v>
      </c>
    </row>
    <row r="1024" spans="1:5">
      <c r="A1024" s="123">
        <f t="shared" si="30"/>
        <v>1022</v>
      </c>
      <c r="B1024" s="122">
        <f>IF(DAY(A1024)=DAY('F-Ahorro Futuro Genérico'!$H$11),'F-Ahorro Futuro Genérico'!$H$9,0)</f>
        <v>0</v>
      </c>
      <c r="C1024" s="122">
        <f t="shared" si="31"/>
        <v>0</v>
      </c>
      <c r="D1024" s="121">
        <f>ROUND(C1024*'FR_Mantenimiento tasas'!$C$43/360,5)</f>
        <v>0</v>
      </c>
      <c r="E1024" s="121">
        <f>ROUND(C1024*'FR_Mantenimiento tasas'!$D$43/360,5)</f>
        <v>0</v>
      </c>
    </row>
    <row r="1025" spans="1:5">
      <c r="A1025" s="123">
        <f t="shared" si="30"/>
        <v>1023</v>
      </c>
      <c r="B1025" s="122">
        <f>IF(DAY(A1025)=DAY('F-Ahorro Futuro Genérico'!$H$11),'F-Ahorro Futuro Genérico'!$H$9,0)</f>
        <v>0</v>
      </c>
      <c r="C1025" s="122">
        <f t="shared" si="31"/>
        <v>0</v>
      </c>
      <c r="D1025" s="121">
        <f>ROUND(C1025*'FR_Mantenimiento tasas'!$C$43/360,5)</f>
        <v>0</v>
      </c>
      <c r="E1025" s="121">
        <f>ROUND(C1025*'FR_Mantenimiento tasas'!$D$43/360,5)</f>
        <v>0</v>
      </c>
    </row>
    <row r="1026" spans="1:5">
      <c r="A1026" s="123">
        <f t="shared" si="30"/>
        <v>1024</v>
      </c>
      <c r="B1026" s="122">
        <f>IF(DAY(A1026)=DAY('F-Ahorro Futuro Genérico'!$H$11),'F-Ahorro Futuro Genérico'!$H$9,0)</f>
        <v>0</v>
      </c>
      <c r="C1026" s="122">
        <f t="shared" si="31"/>
        <v>0</v>
      </c>
      <c r="D1026" s="121">
        <f>ROUND(C1026*'FR_Mantenimiento tasas'!$C$43/360,5)</f>
        <v>0</v>
      </c>
      <c r="E1026" s="121">
        <f>ROUND(C1026*'FR_Mantenimiento tasas'!$D$43/360,5)</f>
        <v>0</v>
      </c>
    </row>
    <row r="1027" spans="1:5">
      <c r="A1027" s="123">
        <f t="shared" si="30"/>
        <v>1025</v>
      </c>
      <c r="B1027" s="122">
        <f>IF(DAY(A1027)=DAY('F-Ahorro Futuro Genérico'!$H$11),'F-Ahorro Futuro Genérico'!$H$9,0)</f>
        <v>0</v>
      </c>
      <c r="C1027" s="122">
        <f t="shared" si="31"/>
        <v>0</v>
      </c>
      <c r="D1027" s="121">
        <f>ROUND(C1027*'FR_Mantenimiento tasas'!$C$43/360,5)</f>
        <v>0</v>
      </c>
      <c r="E1027" s="121">
        <f>ROUND(C1027*'FR_Mantenimiento tasas'!$D$43/360,5)</f>
        <v>0</v>
      </c>
    </row>
    <row r="1028" spans="1:5">
      <c r="A1028" s="123">
        <f t="shared" ref="A1028:A1091" si="32">+A1027+1</f>
        <v>1026</v>
      </c>
      <c r="B1028" s="122">
        <f>IF(DAY(A1028)=DAY('F-Ahorro Futuro Genérico'!$H$11),'F-Ahorro Futuro Genérico'!$H$9,0)</f>
        <v>0</v>
      </c>
      <c r="C1028" s="122">
        <f t="shared" ref="C1028:C1091" si="33">+B1028+C1027+D1027</f>
        <v>0</v>
      </c>
      <c r="D1028" s="121">
        <f>ROUND(C1028*'FR_Mantenimiento tasas'!$C$43/360,5)</f>
        <v>0</v>
      </c>
      <c r="E1028" s="121">
        <f>ROUND(C1028*'FR_Mantenimiento tasas'!$D$43/360,5)</f>
        <v>0</v>
      </c>
    </row>
    <row r="1029" spans="1:5">
      <c r="A1029" s="123">
        <f t="shared" si="32"/>
        <v>1027</v>
      </c>
      <c r="B1029" s="122">
        <f>IF(DAY(A1029)=DAY('F-Ahorro Futuro Genérico'!$H$11),'F-Ahorro Futuro Genérico'!$H$9,0)</f>
        <v>0</v>
      </c>
      <c r="C1029" s="122">
        <f t="shared" si="33"/>
        <v>0</v>
      </c>
      <c r="D1029" s="121">
        <f>ROUND(C1029*'FR_Mantenimiento tasas'!$C$43/360,5)</f>
        <v>0</v>
      </c>
      <c r="E1029" s="121">
        <f>ROUND(C1029*'FR_Mantenimiento tasas'!$D$43/360,5)</f>
        <v>0</v>
      </c>
    </row>
    <row r="1030" spans="1:5">
      <c r="A1030" s="123">
        <f t="shared" si="32"/>
        <v>1028</v>
      </c>
      <c r="B1030" s="122">
        <f>IF(DAY(A1030)=DAY('F-Ahorro Futuro Genérico'!$H$11),'F-Ahorro Futuro Genérico'!$H$9,0)</f>
        <v>0</v>
      </c>
      <c r="C1030" s="122">
        <f t="shared" si="33"/>
        <v>0</v>
      </c>
      <c r="D1030" s="121">
        <f>ROUND(C1030*'FR_Mantenimiento tasas'!$C$43/360,5)</f>
        <v>0</v>
      </c>
      <c r="E1030" s="121">
        <f>ROUND(C1030*'FR_Mantenimiento tasas'!$D$43/360,5)</f>
        <v>0</v>
      </c>
    </row>
    <row r="1031" spans="1:5">
      <c r="A1031" s="123">
        <f t="shared" si="32"/>
        <v>1029</v>
      </c>
      <c r="B1031" s="122">
        <f>IF(DAY(A1031)=DAY('F-Ahorro Futuro Genérico'!$H$11),'F-Ahorro Futuro Genérico'!$H$9,0)</f>
        <v>0</v>
      </c>
      <c r="C1031" s="122">
        <f t="shared" si="33"/>
        <v>0</v>
      </c>
      <c r="D1031" s="121">
        <f>ROUND(C1031*'FR_Mantenimiento tasas'!$C$43/360,5)</f>
        <v>0</v>
      </c>
      <c r="E1031" s="121">
        <f>ROUND(C1031*'FR_Mantenimiento tasas'!$D$43/360,5)</f>
        <v>0</v>
      </c>
    </row>
    <row r="1032" spans="1:5">
      <c r="A1032" s="123">
        <f t="shared" si="32"/>
        <v>1030</v>
      </c>
      <c r="B1032" s="122">
        <f>IF(DAY(A1032)=DAY('F-Ahorro Futuro Genérico'!$H$11),'F-Ahorro Futuro Genérico'!$H$9,0)</f>
        <v>0</v>
      </c>
      <c r="C1032" s="122">
        <f t="shared" si="33"/>
        <v>0</v>
      </c>
      <c r="D1032" s="121">
        <f>ROUND(C1032*'FR_Mantenimiento tasas'!$C$43/360,5)</f>
        <v>0</v>
      </c>
      <c r="E1032" s="121">
        <f>ROUND(C1032*'FR_Mantenimiento tasas'!$D$43/360,5)</f>
        <v>0</v>
      </c>
    </row>
    <row r="1033" spans="1:5">
      <c r="A1033" s="123">
        <f t="shared" si="32"/>
        <v>1031</v>
      </c>
      <c r="B1033" s="122">
        <f>IF(DAY(A1033)=DAY('F-Ahorro Futuro Genérico'!$H$11),'F-Ahorro Futuro Genérico'!$H$9,0)</f>
        <v>0</v>
      </c>
      <c r="C1033" s="122">
        <f t="shared" si="33"/>
        <v>0</v>
      </c>
      <c r="D1033" s="121">
        <f>ROUND(C1033*'FR_Mantenimiento tasas'!$C$43/360,5)</f>
        <v>0</v>
      </c>
      <c r="E1033" s="121">
        <f>ROUND(C1033*'FR_Mantenimiento tasas'!$D$43/360,5)</f>
        <v>0</v>
      </c>
    </row>
    <row r="1034" spans="1:5">
      <c r="A1034" s="123">
        <f t="shared" si="32"/>
        <v>1032</v>
      </c>
      <c r="B1034" s="122">
        <f>IF(DAY(A1034)=DAY('F-Ahorro Futuro Genérico'!$H$11),'F-Ahorro Futuro Genérico'!$H$9,0)</f>
        <v>0</v>
      </c>
      <c r="C1034" s="122">
        <f t="shared" si="33"/>
        <v>0</v>
      </c>
      <c r="D1034" s="121">
        <f>ROUND(C1034*'FR_Mantenimiento tasas'!$C$43/360,5)</f>
        <v>0</v>
      </c>
      <c r="E1034" s="121">
        <f>ROUND(C1034*'FR_Mantenimiento tasas'!$D$43/360,5)</f>
        <v>0</v>
      </c>
    </row>
    <row r="1035" spans="1:5">
      <c r="A1035" s="123">
        <f t="shared" si="32"/>
        <v>1033</v>
      </c>
      <c r="B1035" s="122">
        <f>IF(DAY(A1035)=DAY('F-Ahorro Futuro Genérico'!$H$11),'F-Ahorro Futuro Genérico'!$H$9,0)</f>
        <v>0</v>
      </c>
      <c r="C1035" s="122">
        <f t="shared" si="33"/>
        <v>0</v>
      </c>
      <c r="D1035" s="121">
        <f>ROUND(C1035*'FR_Mantenimiento tasas'!$C$43/360,5)</f>
        <v>0</v>
      </c>
      <c r="E1035" s="121">
        <f>ROUND(C1035*'FR_Mantenimiento tasas'!$D$43/360,5)</f>
        <v>0</v>
      </c>
    </row>
    <row r="1036" spans="1:5">
      <c r="A1036" s="123">
        <f t="shared" si="32"/>
        <v>1034</v>
      </c>
      <c r="B1036" s="122">
        <f>IF(DAY(A1036)=DAY('F-Ahorro Futuro Genérico'!$H$11),'F-Ahorro Futuro Genérico'!$H$9,0)</f>
        <v>0</v>
      </c>
      <c r="C1036" s="122">
        <f t="shared" si="33"/>
        <v>0</v>
      </c>
      <c r="D1036" s="121">
        <f>ROUND(C1036*'FR_Mantenimiento tasas'!$C$43/360,5)</f>
        <v>0</v>
      </c>
      <c r="E1036" s="121">
        <f>ROUND(C1036*'FR_Mantenimiento tasas'!$D$43/360,5)</f>
        <v>0</v>
      </c>
    </row>
    <row r="1037" spans="1:5">
      <c r="A1037" s="123">
        <f t="shared" si="32"/>
        <v>1035</v>
      </c>
      <c r="B1037" s="122">
        <f>IF(DAY(A1037)=DAY('F-Ahorro Futuro Genérico'!$H$11),'F-Ahorro Futuro Genérico'!$H$9,0)</f>
        <v>0</v>
      </c>
      <c r="C1037" s="122">
        <f t="shared" si="33"/>
        <v>0</v>
      </c>
      <c r="D1037" s="121">
        <f>ROUND(C1037*'FR_Mantenimiento tasas'!$C$43/360,5)</f>
        <v>0</v>
      </c>
      <c r="E1037" s="121">
        <f>ROUND(C1037*'FR_Mantenimiento tasas'!$D$43/360,5)</f>
        <v>0</v>
      </c>
    </row>
    <row r="1038" spans="1:5">
      <c r="A1038" s="123">
        <f t="shared" si="32"/>
        <v>1036</v>
      </c>
      <c r="B1038" s="122">
        <f>IF(DAY(A1038)=DAY('F-Ahorro Futuro Genérico'!$H$11),'F-Ahorro Futuro Genérico'!$H$9,0)</f>
        <v>0</v>
      </c>
      <c r="C1038" s="122">
        <f t="shared" si="33"/>
        <v>0</v>
      </c>
      <c r="D1038" s="121">
        <f>ROUND(C1038*'FR_Mantenimiento tasas'!$C$43/360,5)</f>
        <v>0</v>
      </c>
      <c r="E1038" s="121">
        <f>ROUND(C1038*'FR_Mantenimiento tasas'!$D$43/360,5)</f>
        <v>0</v>
      </c>
    </row>
    <row r="1039" spans="1:5">
      <c r="A1039" s="123">
        <f t="shared" si="32"/>
        <v>1037</v>
      </c>
      <c r="B1039" s="122">
        <f>IF(DAY(A1039)=DAY('F-Ahorro Futuro Genérico'!$H$11),'F-Ahorro Futuro Genérico'!$H$9,0)</f>
        <v>0</v>
      </c>
      <c r="C1039" s="122">
        <f t="shared" si="33"/>
        <v>0</v>
      </c>
      <c r="D1039" s="121">
        <f>ROUND(C1039*'FR_Mantenimiento tasas'!$C$43/360,5)</f>
        <v>0</v>
      </c>
      <c r="E1039" s="121">
        <f>ROUND(C1039*'FR_Mantenimiento tasas'!$D$43/360,5)</f>
        <v>0</v>
      </c>
    </row>
    <row r="1040" spans="1:5">
      <c r="A1040" s="123">
        <f t="shared" si="32"/>
        <v>1038</v>
      </c>
      <c r="B1040" s="122">
        <f>IF(DAY(A1040)=DAY('F-Ahorro Futuro Genérico'!$H$11),'F-Ahorro Futuro Genérico'!$H$9,0)</f>
        <v>0</v>
      </c>
      <c r="C1040" s="122">
        <f t="shared" si="33"/>
        <v>0</v>
      </c>
      <c r="D1040" s="121">
        <f>ROUND(C1040*'FR_Mantenimiento tasas'!$C$43/360,5)</f>
        <v>0</v>
      </c>
      <c r="E1040" s="121">
        <f>ROUND(C1040*'FR_Mantenimiento tasas'!$D$43/360,5)</f>
        <v>0</v>
      </c>
    </row>
    <row r="1041" spans="1:5">
      <c r="A1041" s="123">
        <f t="shared" si="32"/>
        <v>1039</v>
      </c>
      <c r="B1041" s="122">
        <f>IF(DAY(A1041)=DAY('F-Ahorro Futuro Genérico'!$H$11),'F-Ahorro Futuro Genérico'!$H$9,0)</f>
        <v>0</v>
      </c>
      <c r="C1041" s="122">
        <f t="shared" si="33"/>
        <v>0</v>
      </c>
      <c r="D1041" s="121">
        <f>ROUND(C1041*'FR_Mantenimiento tasas'!$C$43/360,5)</f>
        <v>0</v>
      </c>
      <c r="E1041" s="121">
        <f>ROUND(C1041*'FR_Mantenimiento tasas'!$D$43/360,5)</f>
        <v>0</v>
      </c>
    </row>
    <row r="1042" spans="1:5">
      <c r="A1042" s="123">
        <f t="shared" si="32"/>
        <v>1040</v>
      </c>
      <c r="B1042" s="122">
        <f>IF(DAY(A1042)=DAY('F-Ahorro Futuro Genérico'!$H$11),'F-Ahorro Futuro Genérico'!$H$9,0)</f>
        <v>0</v>
      </c>
      <c r="C1042" s="122">
        <f t="shared" si="33"/>
        <v>0</v>
      </c>
      <c r="D1042" s="121">
        <f>ROUND(C1042*'FR_Mantenimiento tasas'!$C$43/360,5)</f>
        <v>0</v>
      </c>
      <c r="E1042" s="121">
        <f>ROUND(C1042*'FR_Mantenimiento tasas'!$D$43/360,5)</f>
        <v>0</v>
      </c>
    </row>
    <row r="1043" spans="1:5">
      <c r="A1043" s="123">
        <f t="shared" si="32"/>
        <v>1041</v>
      </c>
      <c r="B1043" s="122">
        <f>IF(DAY(A1043)=DAY('F-Ahorro Futuro Genérico'!$H$11),'F-Ahorro Futuro Genérico'!$H$9,0)</f>
        <v>0</v>
      </c>
      <c r="C1043" s="122">
        <f t="shared" si="33"/>
        <v>0</v>
      </c>
      <c r="D1043" s="121">
        <f>ROUND(C1043*'FR_Mantenimiento tasas'!$C$43/360,5)</f>
        <v>0</v>
      </c>
      <c r="E1043" s="121">
        <f>ROUND(C1043*'FR_Mantenimiento tasas'!$D$43/360,5)</f>
        <v>0</v>
      </c>
    </row>
    <row r="1044" spans="1:5">
      <c r="A1044" s="123">
        <f t="shared" si="32"/>
        <v>1042</v>
      </c>
      <c r="B1044" s="122">
        <f>IF(DAY(A1044)=DAY('F-Ahorro Futuro Genérico'!$H$11),'F-Ahorro Futuro Genérico'!$H$9,0)</f>
        <v>0</v>
      </c>
      <c r="C1044" s="122">
        <f t="shared" si="33"/>
        <v>0</v>
      </c>
      <c r="D1044" s="121">
        <f>ROUND(C1044*'FR_Mantenimiento tasas'!$C$43/360,5)</f>
        <v>0</v>
      </c>
      <c r="E1044" s="121">
        <f>ROUND(C1044*'FR_Mantenimiento tasas'!$D$43/360,5)</f>
        <v>0</v>
      </c>
    </row>
    <row r="1045" spans="1:5">
      <c r="A1045" s="123">
        <f t="shared" si="32"/>
        <v>1043</v>
      </c>
      <c r="B1045" s="122">
        <f>IF(DAY(A1045)=DAY('F-Ahorro Futuro Genérico'!$H$11),'F-Ahorro Futuro Genérico'!$H$9,0)</f>
        <v>0</v>
      </c>
      <c r="C1045" s="122">
        <f t="shared" si="33"/>
        <v>0</v>
      </c>
      <c r="D1045" s="121">
        <f>ROUND(C1045*'FR_Mantenimiento tasas'!$C$43/360,5)</f>
        <v>0</v>
      </c>
      <c r="E1045" s="121">
        <f>ROUND(C1045*'FR_Mantenimiento tasas'!$D$43/360,5)</f>
        <v>0</v>
      </c>
    </row>
    <row r="1046" spans="1:5">
      <c r="A1046" s="123">
        <f t="shared" si="32"/>
        <v>1044</v>
      </c>
      <c r="B1046" s="122">
        <f>IF(DAY(A1046)=DAY('F-Ahorro Futuro Genérico'!$H$11),'F-Ahorro Futuro Genérico'!$H$9,0)</f>
        <v>0</v>
      </c>
      <c r="C1046" s="122">
        <f t="shared" si="33"/>
        <v>0</v>
      </c>
      <c r="D1046" s="121">
        <f>ROUND(C1046*'FR_Mantenimiento tasas'!$C$43/360,5)</f>
        <v>0</v>
      </c>
      <c r="E1046" s="121">
        <f>ROUND(C1046*'FR_Mantenimiento tasas'!$D$43/360,5)</f>
        <v>0</v>
      </c>
    </row>
    <row r="1047" spans="1:5">
      <c r="A1047" s="123">
        <f t="shared" si="32"/>
        <v>1045</v>
      </c>
      <c r="B1047" s="122">
        <f>IF(DAY(A1047)=DAY('F-Ahorro Futuro Genérico'!$H$11),'F-Ahorro Futuro Genérico'!$H$9,0)</f>
        <v>0</v>
      </c>
      <c r="C1047" s="122">
        <f t="shared" si="33"/>
        <v>0</v>
      </c>
      <c r="D1047" s="121">
        <f>ROUND(C1047*'FR_Mantenimiento tasas'!$C$43/360,5)</f>
        <v>0</v>
      </c>
      <c r="E1047" s="121">
        <f>ROUND(C1047*'FR_Mantenimiento tasas'!$D$43/360,5)</f>
        <v>0</v>
      </c>
    </row>
    <row r="1048" spans="1:5">
      <c r="A1048" s="123">
        <f t="shared" si="32"/>
        <v>1046</v>
      </c>
      <c r="B1048" s="122">
        <f>IF(DAY(A1048)=DAY('F-Ahorro Futuro Genérico'!$H$11),'F-Ahorro Futuro Genérico'!$H$9,0)</f>
        <v>0</v>
      </c>
      <c r="C1048" s="122">
        <f t="shared" si="33"/>
        <v>0</v>
      </c>
      <c r="D1048" s="121">
        <f>ROUND(C1048*'FR_Mantenimiento tasas'!$C$43/360,5)</f>
        <v>0</v>
      </c>
      <c r="E1048" s="121">
        <f>ROUND(C1048*'FR_Mantenimiento tasas'!$D$43/360,5)</f>
        <v>0</v>
      </c>
    </row>
    <row r="1049" spans="1:5">
      <c r="A1049" s="123">
        <f t="shared" si="32"/>
        <v>1047</v>
      </c>
      <c r="B1049" s="122">
        <f>IF(DAY(A1049)=DAY('F-Ahorro Futuro Genérico'!$H$11),'F-Ahorro Futuro Genérico'!$H$9,0)</f>
        <v>0</v>
      </c>
      <c r="C1049" s="122">
        <f t="shared" si="33"/>
        <v>0</v>
      </c>
      <c r="D1049" s="121">
        <f>ROUND(C1049*'FR_Mantenimiento tasas'!$C$43/360,5)</f>
        <v>0</v>
      </c>
      <c r="E1049" s="121">
        <f>ROUND(C1049*'FR_Mantenimiento tasas'!$D$43/360,5)</f>
        <v>0</v>
      </c>
    </row>
    <row r="1050" spans="1:5">
      <c r="A1050" s="123">
        <f t="shared" si="32"/>
        <v>1048</v>
      </c>
      <c r="B1050" s="122">
        <f>IF(DAY(A1050)=DAY('F-Ahorro Futuro Genérico'!$H$11),'F-Ahorro Futuro Genérico'!$H$9,0)</f>
        <v>0</v>
      </c>
      <c r="C1050" s="122">
        <f t="shared" si="33"/>
        <v>0</v>
      </c>
      <c r="D1050" s="121">
        <f>ROUND(C1050*'FR_Mantenimiento tasas'!$C$43/360,5)</f>
        <v>0</v>
      </c>
      <c r="E1050" s="121">
        <f>ROUND(C1050*'FR_Mantenimiento tasas'!$D$43/360,5)</f>
        <v>0</v>
      </c>
    </row>
    <row r="1051" spans="1:5">
      <c r="A1051" s="123">
        <f t="shared" si="32"/>
        <v>1049</v>
      </c>
      <c r="B1051" s="122">
        <f>IF(DAY(A1051)=DAY('F-Ahorro Futuro Genérico'!$H$11),'F-Ahorro Futuro Genérico'!$H$9,0)</f>
        <v>0</v>
      </c>
      <c r="C1051" s="122">
        <f t="shared" si="33"/>
        <v>0</v>
      </c>
      <c r="D1051" s="121">
        <f>ROUND(C1051*'FR_Mantenimiento tasas'!$C$43/360,5)</f>
        <v>0</v>
      </c>
      <c r="E1051" s="121">
        <f>ROUND(C1051*'FR_Mantenimiento tasas'!$D$43/360,5)</f>
        <v>0</v>
      </c>
    </row>
    <row r="1052" spans="1:5">
      <c r="A1052" s="123">
        <f t="shared" si="32"/>
        <v>1050</v>
      </c>
      <c r="B1052" s="122">
        <f>IF(DAY(A1052)=DAY('F-Ahorro Futuro Genérico'!$H$11),'F-Ahorro Futuro Genérico'!$H$9,0)</f>
        <v>0</v>
      </c>
      <c r="C1052" s="122">
        <f t="shared" si="33"/>
        <v>0</v>
      </c>
      <c r="D1052" s="121">
        <f>ROUND(C1052*'FR_Mantenimiento tasas'!$C$43/360,5)</f>
        <v>0</v>
      </c>
      <c r="E1052" s="121">
        <f>ROUND(C1052*'FR_Mantenimiento tasas'!$D$43/360,5)</f>
        <v>0</v>
      </c>
    </row>
    <row r="1053" spans="1:5">
      <c r="A1053" s="123">
        <f t="shared" si="32"/>
        <v>1051</v>
      </c>
      <c r="B1053" s="122">
        <f>IF(DAY(A1053)=DAY('F-Ahorro Futuro Genérico'!$H$11),'F-Ahorro Futuro Genérico'!$H$9,0)</f>
        <v>0</v>
      </c>
      <c r="C1053" s="122">
        <f t="shared" si="33"/>
        <v>0</v>
      </c>
      <c r="D1053" s="121">
        <f>ROUND(C1053*'FR_Mantenimiento tasas'!$C$43/360,5)</f>
        <v>0</v>
      </c>
      <c r="E1053" s="121">
        <f>ROUND(C1053*'FR_Mantenimiento tasas'!$D$43/360,5)</f>
        <v>0</v>
      </c>
    </row>
    <row r="1054" spans="1:5">
      <c r="A1054" s="123">
        <f t="shared" si="32"/>
        <v>1052</v>
      </c>
      <c r="B1054" s="122">
        <f>IF(DAY(A1054)=DAY('F-Ahorro Futuro Genérico'!$H$11),'F-Ahorro Futuro Genérico'!$H$9,0)</f>
        <v>0</v>
      </c>
      <c r="C1054" s="122">
        <f t="shared" si="33"/>
        <v>0</v>
      </c>
      <c r="D1054" s="121">
        <f>ROUND(C1054*'FR_Mantenimiento tasas'!$C$43/360,5)</f>
        <v>0</v>
      </c>
      <c r="E1054" s="121">
        <f>ROUND(C1054*'FR_Mantenimiento tasas'!$D$43/360,5)</f>
        <v>0</v>
      </c>
    </row>
    <row r="1055" spans="1:5">
      <c r="A1055" s="123">
        <f t="shared" si="32"/>
        <v>1053</v>
      </c>
      <c r="B1055" s="122">
        <f>IF(DAY(A1055)=DAY('F-Ahorro Futuro Genérico'!$H$11),'F-Ahorro Futuro Genérico'!$H$9,0)</f>
        <v>0</v>
      </c>
      <c r="C1055" s="122">
        <f t="shared" si="33"/>
        <v>0</v>
      </c>
      <c r="D1055" s="121">
        <f>ROUND(C1055*'FR_Mantenimiento tasas'!$C$43/360,5)</f>
        <v>0</v>
      </c>
      <c r="E1055" s="121">
        <f>ROUND(C1055*'FR_Mantenimiento tasas'!$D$43/360,5)</f>
        <v>0</v>
      </c>
    </row>
    <row r="1056" spans="1:5">
      <c r="A1056" s="123">
        <f t="shared" si="32"/>
        <v>1054</v>
      </c>
      <c r="B1056" s="122">
        <f>IF(DAY(A1056)=DAY('F-Ahorro Futuro Genérico'!$H$11),'F-Ahorro Futuro Genérico'!$H$9,0)</f>
        <v>0</v>
      </c>
      <c r="C1056" s="122">
        <f t="shared" si="33"/>
        <v>0</v>
      </c>
      <c r="D1056" s="121">
        <f>ROUND(C1056*'FR_Mantenimiento tasas'!$C$43/360,5)</f>
        <v>0</v>
      </c>
      <c r="E1056" s="121">
        <f>ROUND(C1056*'FR_Mantenimiento tasas'!$D$43/360,5)</f>
        <v>0</v>
      </c>
    </row>
    <row r="1057" spans="1:5">
      <c r="A1057" s="123">
        <f t="shared" si="32"/>
        <v>1055</v>
      </c>
      <c r="B1057" s="122">
        <f>IF(DAY(A1057)=DAY('F-Ahorro Futuro Genérico'!$H$11),'F-Ahorro Futuro Genérico'!$H$9,0)</f>
        <v>0</v>
      </c>
      <c r="C1057" s="122">
        <f t="shared" si="33"/>
        <v>0</v>
      </c>
      <c r="D1057" s="121">
        <f>ROUND(C1057*'FR_Mantenimiento tasas'!$C$43/360,5)</f>
        <v>0</v>
      </c>
      <c r="E1057" s="121">
        <f>ROUND(C1057*'FR_Mantenimiento tasas'!$D$43/360,5)</f>
        <v>0</v>
      </c>
    </row>
    <row r="1058" spans="1:5">
      <c r="A1058" s="123">
        <f t="shared" si="32"/>
        <v>1056</v>
      </c>
      <c r="B1058" s="122">
        <f>IF(DAY(A1058)=DAY('F-Ahorro Futuro Genérico'!$H$11),'F-Ahorro Futuro Genérico'!$H$9,0)</f>
        <v>0</v>
      </c>
      <c r="C1058" s="122">
        <f t="shared" si="33"/>
        <v>0</v>
      </c>
      <c r="D1058" s="121">
        <f>ROUND(C1058*'FR_Mantenimiento tasas'!$C$43/360,5)</f>
        <v>0</v>
      </c>
      <c r="E1058" s="121">
        <f>ROUND(C1058*'FR_Mantenimiento tasas'!$D$43/360,5)</f>
        <v>0</v>
      </c>
    </row>
    <row r="1059" spans="1:5">
      <c r="A1059" s="123">
        <f t="shared" si="32"/>
        <v>1057</v>
      </c>
      <c r="B1059" s="122">
        <f>IF(DAY(A1059)=DAY('F-Ahorro Futuro Genérico'!$H$11),'F-Ahorro Futuro Genérico'!$H$9,0)</f>
        <v>0</v>
      </c>
      <c r="C1059" s="122">
        <f t="shared" si="33"/>
        <v>0</v>
      </c>
      <c r="D1059" s="121">
        <f>ROUND(C1059*'FR_Mantenimiento tasas'!$C$43/360,5)</f>
        <v>0</v>
      </c>
      <c r="E1059" s="121">
        <f>ROUND(C1059*'FR_Mantenimiento tasas'!$D$43/360,5)</f>
        <v>0</v>
      </c>
    </row>
    <row r="1060" spans="1:5">
      <c r="A1060" s="123">
        <f t="shared" si="32"/>
        <v>1058</v>
      </c>
      <c r="B1060" s="122">
        <f>IF(DAY(A1060)=DAY('F-Ahorro Futuro Genérico'!$H$11),'F-Ahorro Futuro Genérico'!$H$9,0)</f>
        <v>0</v>
      </c>
      <c r="C1060" s="122">
        <f t="shared" si="33"/>
        <v>0</v>
      </c>
      <c r="D1060" s="121">
        <f>ROUND(C1060*'FR_Mantenimiento tasas'!$C$43/360,5)</f>
        <v>0</v>
      </c>
      <c r="E1060" s="121">
        <f>ROUND(C1060*'FR_Mantenimiento tasas'!$D$43/360,5)</f>
        <v>0</v>
      </c>
    </row>
    <row r="1061" spans="1:5">
      <c r="A1061" s="123">
        <f t="shared" si="32"/>
        <v>1059</v>
      </c>
      <c r="B1061" s="122">
        <f>IF(DAY(A1061)=DAY('F-Ahorro Futuro Genérico'!$H$11),'F-Ahorro Futuro Genérico'!$H$9,0)</f>
        <v>0</v>
      </c>
      <c r="C1061" s="122">
        <f t="shared" si="33"/>
        <v>0</v>
      </c>
      <c r="D1061" s="121">
        <f>ROUND(C1061*'FR_Mantenimiento tasas'!$C$43/360,5)</f>
        <v>0</v>
      </c>
      <c r="E1061" s="121">
        <f>ROUND(C1061*'FR_Mantenimiento tasas'!$D$43/360,5)</f>
        <v>0</v>
      </c>
    </row>
    <row r="1062" spans="1:5">
      <c r="A1062" s="123">
        <f t="shared" si="32"/>
        <v>1060</v>
      </c>
      <c r="B1062" s="122">
        <f>IF(DAY(A1062)=DAY('F-Ahorro Futuro Genérico'!$H$11),'F-Ahorro Futuro Genérico'!$H$9,0)</f>
        <v>0</v>
      </c>
      <c r="C1062" s="122">
        <f t="shared" si="33"/>
        <v>0</v>
      </c>
      <c r="D1062" s="121">
        <f>ROUND(C1062*'FR_Mantenimiento tasas'!$C$43/360,5)</f>
        <v>0</v>
      </c>
      <c r="E1062" s="121">
        <f>ROUND(C1062*'FR_Mantenimiento tasas'!$D$43/360,5)</f>
        <v>0</v>
      </c>
    </row>
    <row r="1063" spans="1:5">
      <c r="A1063" s="123">
        <f t="shared" si="32"/>
        <v>1061</v>
      </c>
      <c r="B1063" s="122">
        <f>IF(DAY(A1063)=DAY('F-Ahorro Futuro Genérico'!$H$11),'F-Ahorro Futuro Genérico'!$H$9,0)</f>
        <v>0</v>
      </c>
      <c r="C1063" s="122">
        <f t="shared" si="33"/>
        <v>0</v>
      </c>
      <c r="D1063" s="121">
        <f>ROUND(C1063*'FR_Mantenimiento tasas'!$C$43/360,5)</f>
        <v>0</v>
      </c>
      <c r="E1063" s="121">
        <f>ROUND(C1063*'FR_Mantenimiento tasas'!$D$43/360,5)</f>
        <v>0</v>
      </c>
    </row>
    <row r="1064" spans="1:5">
      <c r="A1064" s="123">
        <f t="shared" si="32"/>
        <v>1062</v>
      </c>
      <c r="B1064" s="122">
        <f>IF(DAY(A1064)=DAY('F-Ahorro Futuro Genérico'!$H$11),'F-Ahorro Futuro Genérico'!$H$9,0)</f>
        <v>0</v>
      </c>
      <c r="C1064" s="122">
        <f t="shared" si="33"/>
        <v>0</v>
      </c>
      <c r="D1064" s="121">
        <f>ROUND(C1064*'FR_Mantenimiento tasas'!$C$43/360,5)</f>
        <v>0</v>
      </c>
      <c r="E1064" s="121">
        <f>ROUND(C1064*'FR_Mantenimiento tasas'!$D$43/360,5)</f>
        <v>0</v>
      </c>
    </row>
    <row r="1065" spans="1:5">
      <c r="A1065" s="123">
        <f t="shared" si="32"/>
        <v>1063</v>
      </c>
      <c r="B1065" s="122">
        <f>IF(DAY(A1065)=DAY('F-Ahorro Futuro Genérico'!$H$11),'F-Ahorro Futuro Genérico'!$H$9,0)</f>
        <v>0</v>
      </c>
      <c r="C1065" s="122">
        <f t="shared" si="33"/>
        <v>0</v>
      </c>
      <c r="D1065" s="121">
        <f>ROUND(C1065*'FR_Mantenimiento tasas'!$C$43/360,5)</f>
        <v>0</v>
      </c>
      <c r="E1065" s="121">
        <f>ROUND(C1065*'FR_Mantenimiento tasas'!$D$43/360,5)</f>
        <v>0</v>
      </c>
    </row>
    <row r="1066" spans="1:5">
      <c r="A1066" s="123">
        <f t="shared" si="32"/>
        <v>1064</v>
      </c>
      <c r="B1066" s="122">
        <f>IF(DAY(A1066)=DAY('F-Ahorro Futuro Genérico'!$H$11),'F-Ahorro Futuro Genérico'!$H$9,0)</f>
        <v>0</v>
      </c>
      <c r="C1066" s="122">
        <f t="shared" si="33"/>
        <v>0</v>
      </c>
      <c r="D1066" s="121">
        <f>ROUND(C1066*'FR_Mantenimiento tasas'!$C$43/360,5)</f>
        <v>0</v>
      </c>
      <c r="E1066" s="121">
        <f>ROUND(C1066*'FR_Mantenimiento tasas'!$D$43/360,5)</f>
        <v>0</v>
      </c>
    </row>
    <row r="1067" spans="1:5">
      <c r="A1067" s="123">
        <f t="shared" si="32"/>
        <v>1065</v>
      </c>
      <c r="B1067" s="122">
        <f>IF(DAY(A1067)=DAY('F-Ahorro Futuro Genérico'!$H$11),'F-Ahorro Futuro Genérico'!$H$9,0)</f>
        <v>0</v>
      </c>
      <c r="C1067" s="122">
        <f t="shared" si="33"/>
        <v>0</v>
      </c>
      <c r="D1067" s="121">
        <f>ROUND(C1067*'FR_Mantenimiento tasas'!$C$43/360,5)</f>
        <v>0</v>
      </c>
      <c r="E1067" s="121">
        <f>ROUND(C1067*'FR_Mantenimiento tasas'!$D$43/360,5)</f>
        <v>0</v>
      </c>
    </row>
    <row r="1068" spans="1:5">
      <c r="A1068" s="123">
        <f t="shared" si="32"/>
        <v>1066</v>
      </c>
      <c r="B1068" s="122">
        <f>IF(DAY(A1068)=DAY('F-Ahorro Futuro Genérico'!$H$11),'F-Ahorro Futuro Genérico'!$H$9,0)</f>
        <v>0</v>
      </c>
      <c r="C1068" s="122">
        <f t="shared" si="33"/>
        <v>0</v>
      </c>
      <c r="D1068" s="121">
        <f>ROUND(C1068*'FR_Mantenimiento tasas'!$C$43/360,5)</f>
        <v>0</v>
      </c>
      <c r="E1068" s="121">
        <f>ROUND(C1068*'FR_Mantenimiento tasas'!$D$43/360,5)</f>
        <v>0</v>
      </c>
    </row>
    <row r="1069" spans="1:5">
      <c r="A1069" s="123">
        <f t="shared" si="32"/>
        <v>1067</v>
      </c>
      <c r="B1069" s="122">
        <f>IF(DAY(A1069)=DAY('F-Ahorro Futuro Genérico'!$H$11),'F-Ahorro Futuro Genérico'!$H$9,0)</f>
        <v>0</v>
      </c>
      <c r="C1069" s="122">
        <f t="shared" si="33"/>
        <v>0</v>
      </c>
      <c r="D1069" s="121">
        <f>ROUND(C1069*'FR_Mantenimiento tasas'!$C$43/360,5)</f>
        <v>0</v>
      </c>
      <c r="E1069" s="121">
        <f>ROUND(C1069*'FR_Mantenimiento tasas'!$D$43/360,5)</f>
        <v>0</v>
      </c>
    </row>
    <row r="1070" spans="1:5">
      <c r="A1070" s="123">
        <f t="shared" si="32"/>
        <v>1068</v>
      </c>
      <c r="B1070" s="122">
        <f>IF(DAY(A1070)=DAY('F-Ahorro Futuro Genérico'!$H$11),'F-Ahorro Futuro Genérico'!$H$9,0)</f>
        <v>0</v>
      </c>
      <c r="C1070" s="122">
        <f t="shared" si="33"/>
        <v>0</v>
      </c>
      <c r="D1070" s="121">
        <f>ROUND(C1070*'FR_Mantenimiento tasas'!$C$43/360,5)</f>
        <v>0</v>
      </c>
      <c r="E1070" s="121">
        <f>ROUND(C1070*'FR_Mantenimiento tasas'!$D$43/360,5)</f>
        <v>0</v>
      </c>
    </row>
    <row r="1071" spans="1:5">
      <c r="A1071" s="123">
        <f t="shared" si="32"/>
        <v>1069</v>
      </c>
      <c r="B1071" s="122">
        <f>IF(DAY(A1071)=DAY('F-Ahorro Futuro Genérico'!$H$11),'F-Ahorro Futuro Genérico'!$H$9,0)</f>
        <v>0</v>
      </c>
      <c r="C1071" s="122">
        <f t="shared" si="33"/>
        <v>0</v>
      </c>
      <c r="D1071" s="121">
        <f>ROUND(C1071*'FR_Mantenimiento tasas'!$C$43/360,5)</f>
        <v>0</v>
      </c>
      <c r="E1071" s="121">
        <f>ROUND(C1071*'FR_Mantenimiento tasas'!$D$43/360,5)</f>
        <v>0</v>
      </c>
    </row>
    <row r="1072" spans="1:5">
      <c r="A1072" s="123">
        <f t="shared" si="32"/>
        <v>1070</v>
      </c>
      <c r="B1072" s="122">
        <f>IF(DAY(A1072)=DAY('F-Ahorro Futuro Genérico'!$H$11),'F-Ahorro Futuro Genérico'!$H$9,0)</f>
        <v>0</v>
      </c>
      <c r="C1072" s="122">
        <f t="shared" si="33"/>
        <v>0</v>
      </c>
      <c r="D1072" s="121">
        <f>ROUND(C1072*'FR_Mantenimiento tasas'!$C$43/360,5)</f>
        <v>0</v>
      </c>
      <c r="E1072" s="121">
        <f>ROUND(C1072*'FR_Mantenimiento tasas'!$D$43/360,5)</f>
        <v>0</v>
      </c>
    </row>
    <row r="1073" spans="1:5">
      <c r="A1073" s="123">
        <f t="shared" si="32"/>
        <v>1071</v>
      </c>
      <c r="B1073" s="122">
        <f>IF(DAY(A1073)=DAY('F-Ahorro Futuro Genérico'!$H$11),'F-Ahorro Futuro Genérico'!$H$9,0)</f>
        <v>0</v>
      </c>
      <c r="C1073" s="122">
        <f t="shared" si="33"/>
        <v>0</v>
      </c>
      <c r="D1073" s="121">
        <f>ROUND(C1073*'FR_Mantenimiento tasas'!$C$43/360,5)</f>
        <v>0</v>
      </c>
      <c r="E1073" s="121">
        <f>ROUND(C1073*'FR_Mantenimiento tasas'!$D$43/360,5)</f>
        <v>0</v>
      </c>
    </row>
    <row r="1074" spans="1:5">
      <c r="A1074" s="123">
        <f t="shared" si="32"/>
        <v>1072</v>
      </c>
      <c r="B1074" s="122">
        <f>IF(DAY(A1074)=DAY('F-Ahorro Futuro Genérico'!$H$11),'F-Ahorro Futuro Genérico'!$H$9,0)</f>
        <v>0</v>
      </c>
      <c r="C1074" s="122">
        <f t="shared" si="33"/>
        <v>0</v>
      </c>
      <c r="D1074" s="121">
        <f>ROUND(C1074*'FR_Mantenimiento tasas'!$C$43/360,5)</f>
        <v>0</v>
      </c>
      <c r="E1074" s="121">
        <f>ROUND(C1074*'FR_Mantenimiento tasas'!$D$43/360,5)</f>
        <v>0</v>
      </c>
    </row>
    <row r="1075" spans="1:5">
      <c r="A1075" s="123">
        <f t="shared" si="32"/>
        <v>1073</v>
      </c>
      <c r="B1075" s="122">
        <f>IF(DAY(A1075)=DAY('F-Ahorro Futuro Genérico'!$H$11),'F-Ahorro Futuro Genérico'!$H$9,0)</f>
        <v>0</v>
      </c>
      <c r="C1075" s="122">
        <f t="shared" si="33"/>
        <v>0</v>
      </c>
      <c r="D1075" s="121">
        <f>ROUND(C1075*'FR_Mantenimiento tasas'!$C$43/360,5)</f>
        <v>0</v>
      </c>
      <c r="E1075" s="121">
        <f>ROUND(C1075*'FR_Mantenimiento tasas'!$D$43/360,5)</f>
        <v>0</v>
      </c>
    </row>
    <row r="1076" spans="1:5">
      <c r="A1076" s="123">
        <f t="shared" si="32"/>
        <v>1074</v>
      </c>
      <c r="B1076" s="122">
        <f>IF(DAY(A1076)=DAY('F-Ahorro Futuro Genérico'!$H$11),'F-Ahorro Futuro Genérico'!$H$9,0)</f>
        <v>0</v>
      </c>
      <c r="C1076" s="122">
        <f t="shared" si="33"/>
        <v>0</v>
      </c>
      <c r="D1076" s="121">
        <f>ROUND(C1076*'FR_Mantenimiento tasas'!$C$43/360,5)</f>
        <v>0</v>
      </c>
      <c r="E1076" s="121">
        <f>ROUND(C1076*'FR_Mantenimiento tasas'!$D$43/360,5)</f>
        <v>0</v>
      </c>
    </row>
    <row r="1077" spans="1:5">
      <c r="A1077" s="123">
        <f t="shared" si="32"/>
        <v>1075</v>
      </c>
      <c r="B1077" s="122">
        <f>IF(DAY(A1077)=DAY('F-Ahorro Futuro Genérico'!$H$11),'F-Ahorro Futuro Genérico'!$H$9,0)</f>
        <v>0</v>
      </c>
      <c r="C1077" s="122">
        <f t="shared" si="33"/>
        <v>0</v>
      </c>
      <c r="D1077" s="121">
        <f>ROUND(C1077*'FR_Mantenimiento tasas'!$C$43/360,5)</f>
        <v>0</v>
      </c>
      <c r="E1077" s="121">
        <f>ROUND(C1077*'FR_Mantenimiento tasas'!$D$43/360,5)</f>
        <v>0</v>
      </c>
    </row>
    <row r="1078" spans="1:5">
      <c r="A1078" s="123">
        <f t="shared" si="32"/>
        <v>1076</v>
      </c>
      <c r="B1078" s="122">
        <f>IF(DAY(A1078)=DAY('F-Ahorro Futuro Genérico'!$H$11),'F-Ahorro Futuro Genérico'!$H$9,0)</f>
        <v>0</v>
      </c>
      <c r="C1078" s="122">
        <f t="shared" si="33"/>
        <v>0</v>
      </c>
      <c r="D1078" s="121">
        <f>ROUND(C1078*'FR_Mantenimiento tasas'!$C$43/360,5)</f>
        <v>0</v>
      </c>
      <c r="E1078" s="121">
        <f>ROUND(C1078*'FR_Mantenimiento tasas'!$D$43/360,5)</f>
        <v>0</v>
      </c>
    </row>
    <row r="1079" spans="1:5">
      <c r="A1079" s="123">
        <f t="shared" si="32"/>
        <v>1077</v>
      </c>
      <c r="B1079" s="122">
        <f>IF(DAY(A1079)=DAY('F-Ahorro Futuro Genérico'!$H$11),'F-Ahorro Futuro Genérico'!$H$9,0)</f>
        <v>0</v>
      </c>
      <c r="C1079" s="122">
        <f t="shared" si="33"/>
        <v>0</v>
      </c>
      <c r="D1079" s="121">
        <f>ROUND(C1079*'FR_Mantenimiento tasas'!$C$43/360,5)</f>
        <v>0</v>
      </c>
      <c r="E1079" s="121">
        <f>ROUND(C1079*'FR_Mantenimiento tasas'!$D$43/360,5)</f>
        <v>0</v>
      </c>
    </row>
    <row r="1080" spans="1:5">
      <c r="A1080" s="123">
        <f t="shared" si="32"/>
        <v>1078</v>
      </c>
      <c r="B1080" s="122">
        <f>IF(DAY(A1080)=DAY('F-Ahorro Futuro Genérico'!$H$11),'F-Ahorro Futuro Genérico'!$H$9,0)</f>
        <v>0</v>
      </c>
      <c r="C1080" s="122">
        <f t="shared" si="33"/>
        <v>0</v>
      </c>
      <c r="D1080" s="121">
        <f>ROUND(C1080*'FR_Mantenimiento tasas'!$C$43/360,5)</f>
        <v>0</v>
      </c>
      <c r="E1080" s="121">
        <f>ROUND(C1080*'FR_Mantenimiento tasas'!$D$43/360,5)</f>
        <v>0</v>
      </c>
    </row>
    <row r="1081" spans="1:5">
      <c r="A1081" s="123">
        <f t="shared" si="32"/>
        <v>1079</v>
      </c>
      <c r="B1081" s="122">
        <f>IF(DAY(A1081)=DAY('F-Ahorro Futuro Genérico'!$H$11),'F-Ahorro Futuro Genérico'!$H$9,0)</f>
        <v>0</v>
      </c>
      <c r="C1081" s="122">
        <f t="shared" si="33"/>
        <v>0</v>
      </c>
      <c r="D1081" s="121">
        <f>ROUND(C1081*'FR_Mantenimiento tasas'!$C$43/360,5)</f>
        <v>0</v>
      </c>
      <c r="E1081" s="121">
        <f>ROUND(C1081*'FR_Mantenimiento tasas'!$D$43/360,5)</f>
        <v>0</v>
      </c>
    </row>
    <row r="1082" spans="1:5">
      <c r="A1082" s="123">
        <f t="shared" si="32"/>
        <v>1080</v>
      </c>
      <c r="B1082" s="122">
        <f>IF(DAY(A1082)=DAY('F-Ahorro Futuro Genérico'!$H$11),'F-Ahorro Futuro Genérico'!$H$9,0)</f>
        <v>0</v>
      </c>
      <c r="C1082" s="122">
        <f t="shared" si="33"/>
        <v>0</v>
      </c>
      <c r="D1082" s="121">
        <f>ROUND(C1082*'FR_Mantenimiento tasas'!$C$43/360,5)</f>
        <v>0</v>
      </c>
      <c r="E1082" s="121">
        <f>ROUND(C1082*'FR_Mantenimiento tasas'!$D$43/360,5)</f>
        <v>0</v>
      </c>
    </row>
    <row r="1083" spans="1:5">
      <c r="A1083" s="123">
        <f t="shared" si="32"/>
        <v>1081</v>
      </c>
      <c r="B1083" s="122">
        <f>IF(DAY(A1083)=DAY('F-Ahorro Futuro Genérico'!$H$11),'F-Ahorro Futuro Genérico'!$H$9,0)</f>
        <v>0</v>
      </c>
      <c r="C1083" s="122">
        <f t="shared" si="33"/>
        <v>0</v>
      </c>
      <c r="D1083" s="121">
        <f>ROUND(C1083*'FR_Mantenimiento tasas'!$C$43/360,5)</f>
        <v>0</v>
      </c>
      <c r="E1083" s="121">
        <f>ROUND(C1083*'FR_Mantenimiento tasas'!$D$43/360,5)</f>
        <v>0</v>
      </c>
    </row>
    <row r="1084" spans="1:5">
      <c r="A1084" s="123">
        <f t="shared" si="32"/>
        <v>1082</v>
      </c>
      <c r="B1084" s="122">
        <f>IF(DAY(A1084)=DAY('F-Ahorro Futuro Genérico'!$H$11),'F-Ahorro Futuro Genérico'!$H$9,0)</f>
        <v>0</v>
      </c>
      <c r="C1084" s="122">
        <f t="shared" si="33"/>
        <v>0</v>
      </c>
      <c r="D1084" s="121">
        <f>ROUND(C1084*'FR_Mantenimiento tasas'!$C$43/360,5)</f>
        <v>0</v>
      </c>
      <c r="E1084" s="121">
        <f>ROUND(C1084*'FR_Mantenimiento tasas'!$D$43/360,5)</f>
        <v>0</v>
      </c>
    </row>
    <row r="1085" spans="1:5">
      <c r="A1085" s="123">
        <f t="shared" si="32"/>
        <v>1083</v>
      </c>
      <c r="B1085" s="122">
        <f>IF(DAY(A1085)=DAY('F-Ahorro Futuro Genérico'!$H$11),'F-Ahorro Futuro Genérico'!$H$9,0)</f>
        <v>0</v>
      </c>
      <c r="C1085" s="122">
        <f t="shared" si="33"/>
        <v>0</v>
      </c>
      <c r="D1085" s="121">
        <f>ROUND(C1085*'FR_Mantenimiento tasas'!$C$43/360,5)</f>
        <v>0</v>
      </c>
      <c r="E1085" s="121">
        <f>ROUND(C1085*'FR_Mantenimiento tasas'!$D$43/360,5)</f>
        <v>0</v>
      </c>
    </row>
    <row r="1086" spans="1:5">
      <c r="A1086" s="123">
        <f t="shared" si="32"/>
        <v>1084</v>
      </c>
      <c r="B1086" s="122">
        <f>IF(DAY(A1086)=DAY('F-Ahorro Futuro Genérico'!$H$11),'F-Ahorro Futuro Genérico'!$H$9,0)</f>
        <v>0</v>
      </c>
      <c r="C1086" s="122">
        <f t="shared" si="33"/>
        <v>0</v>
      </c>
      <c r="D1086" s="121">
        <f>ROUND(C1086*'FR_Mantenimiento tasas'!$C$43/360,5)</f>
        <v>0</v>
      </c>
      <c r="E1086" s="121">
        <f>ROUND(C1086*'FR_Mantenimiento tasas'!$D$43/360,5)</f>
        <v>0</v>
      </c>
    </row>
    <row r="1087" spans="1:5">
      <c r="A1087" s="123">
        <f t="shared" si="32"/>
        <v>1085</v>
      </c>
      <c r="B1087" s="122">
        <f>IF(DAY(A1087)=DAY('F-Ahorro Futuro Genérico'!$H$11),'F-Ahorro Futuro Genérico'!$H$9,0)</f>
        <v>0</v>
      </c>
      <c r="C1087" s="122">
        <f t="shared" si="33"/>
        <v>0</v>
      </c>
      <c r="D1087" s="121">
        <f>ROUND(C1087*'FR_Mantenimiento tasas'!$C$43/360,5)</f>
        <v>0</v>
      </c>
      <c r="E1087" s="121">
        <f>ROUND(C1087*'FR_Mantenimiento tasas'!$D$43/360,5)</f>
        <v>0</v>
      </c>
    </row>
    <row r="1088" spans="1:5">
      <c r="A1088" s="123">
        <f t="shared" si="32"/>
        <v>1086</v>
      </c>
      <c r="B1088" s="122">
        <f>IF(DAY(A1088)=DAY('F-Ahorro Futuro Genérico'!$H$11),'F-Ahorro Futuro Genérico'!$H$9,0)</f>
        <v>0</v>
      </c>
      <c r="C1088" s="122">
        <f t="shared" si="33"/>
        <v>0</v>
      </c>
      <c r="D1088" s="121">
        <f>ROUND(C1088*'FR_Mantenimiento tasas'!$C$43/360,5)</f>
        <v>0</v>
      </c>
      <c r="E1088" s="121">
        <f>ROUND(C1088*'FR_Mantenimiento tasas'!$D$43/360,5)</f>
        <v>0</v>
      </c>
    </row>
    <row r="1089" spans="1:5">
      <c r="A1089" s="123">
        <f t="shared" si="32"/>
        <v>1087</v>
      </c>
      <c r="B1089" s="122">
        <f>IF(DAY(A1089)=DAY('F-Ahorro Futuro Genérico'!$H$11),'F-Ahorro Futuro Genérico'!$H$9,0)</f>
        <v>0</v>
      </c>
      <c r="C1089" s="122">
        <f t="shared" si="33"/>
        <v>0</v>
      </c>
      <c r="D1089" s="121">
        <f>ROUND(C1089*'FR_Mantenimiento tasas'!$C$43/360,5)</f>
        <v>0</v>
      </c>
      <c r="E1089" s="121">
        <f>ROUND(C1089*'FR_Mantenimiento tasas'!$D$43/360,5)</f>
        <v>0</v>
      </c>
    </row>
    <row r="1090" spans="1:5">
      <c r="A1090" s="123">
        <f t="shared" si="32"/>
        <v>1088</v>
      </c>
      <c r="B1090" s="122">
        <f>IF(DAY(A1090)=DAY('F-Ahorro Futuro Genérico'!$H$11),'F-Ahorro Futuro Genérico'!$H$9,0)</f>
        <v>0</v>
      </c>
      <c r="C1090" s="122">
        <f t="shared" si="33"/>
        <v>0</v>
      </c>
      <c r="D1090" s="121">
        <f>ROUND(C1090*'FR_Mantenimiento tasas'!$C$43/360,5)</f>
        <v>0</v>
      </c>
      <c r="E1090" s="121">
        <f>ROUND(C1090*'FR_Mantenimiento tasas'!$D$43/360,5)</f>
        <v>0</v>
      </c>
    </row>
    <row r="1091" spans="1:5">
      <c r="A1091" s="123">
        <f t="shared" si="32"/>
        <v>1089</v>
      </c>
      <c r="B1091" s="122">
        <f>IF(DAY(A1091)=DAY('F-Ahorro Futuro Genérico'!$H$11),'F-Ahorro Futuro Genérico'!$H$9,0)</f>
        <v>0</v>
      </c>
      <c r="C1091" s="122">
        <f t="shared" si="33"/>
        <v>0</v>
      </c>
      <c r="D1091" s="121">
        <f>ROUND(C1091*'FR_Mantenimiento tasas'!$C$43/360,5)</f>
        <v>0</v>
      </c>
      <c r="E1091" s="121">
        <f>ROUND(C1091*'FR_Mantenimiento tasas'!$D$43/360,5)</f>
        <v>0</v>
      </c>
    </row>
    <row r="1092" spans="1:5">
      <c r="A1092" s="123">
        <f t="shared" ref="A1092:A1155" si="34">+A1091+1</f>
        <v>1090</v>
      </c>
      <c r="B1092" s="122">
        <f>IF(DAY(A1092)=DAY('F-Ahorro Futuro Genérico'!$H$11),'F-Ahorro Futuro Genérico'!$H$9,0)</f>
        <v>0</v>
      </c>
      <c r="C1092" s="122">
        <f t="shared" ref="C1092:C1155" si="35">+B1092+C1091+D1091</f>
        <v>0</v>
      </c>
      <c r="D1092" s="121">
        <f>ROUND(C1092*'FR_Mantenimiento tasas'!$C$43/360,5)</f>
        <v>0</v>
      </c>
      <c r="E1092" s="121">
        <f>ROUND(C1092*'FR_Mantenimiento tasas'!$D$43/360,5)</f>
        <v>0</v>
      </c>
    </row>
    <row r="1093" spans="1:5">
      <c r="A1093" s="123">
        <f t="shared" si="34"/>
        <v>1091</v>
      </c>
      <c r="B1093" s="122">
        <f>IF(DAY(A1093)=DAY('F-Ahorro Futuro Genérico'!$H$11),'F-Ahorro Futuro Genérico'!$H$9,0)</f>
        <v>0</v>
      </c>
      <c r="C1093" s="122">
        <f t="shared" si="35"/>
        <v>0</v>
      </c>
      <c r="D1093" s="121">
        <f>ROUND(C1093*'FR_Mantenimiento tasas'!$C$43/360,5)</f>
        <v>0</v>
      </c>
      <c r="E1093" s="121">
        <f>ROUND(C1093*'FR_Mantenimiento tasas'!$D$43/360,5)</f>
        <v>0</v>
      </c>
    </row>
    <row r="1094" spans="1:5">
      <c r="A1094" s="123">
        <f t="shared" si="34"/>
        <v>1092</v>
      </c>
      <c r="B1094" s="122">
        <f>IF(DAY(A1094)=DAY('F-Ahorro Futuro Genérico'!$H$11),'F-Ahorro Futuro Genérico'!$H$9,0)</f>
        <v>0</v>
      </c>
      <c r="C1094" s="122">
        <f t="shared" si="35"/>
        <v>0</v>
      </c>
      <c r="D1094" s="121">
        <f>ROUND(C1094*'FR_Mantenimiento tasas'!$C$43/360,5)</f>
        <v>0</v>
      </c>
      <c r="E1094" s="121">
        <f>ROUND(C1094*'FR_Mantenimiento tasas'!$D$43/360,5)</f>
        <v>0</v>
      </c>
    </row>
    <row r="1095" spans="1:5">
      <c r="A1095" s="123">
        <f t="shared" si="34"/>
        <v>1093</v>
      </c>
      <c r="B1095" s="122">
        <f>IF(DAY(A1095)=DAY('F-Ahorro Futuro Genérico'!$H$11),'F-Ahorro Futuro Genérico'!$H$9,0)</f>
        <v>0</v>
      </c>
      <c r="C1095" s="122">
        <f t="shared" si="35"/>
        <v>0</v>
      </c>
      <c r="D1095" s="121">
        <f>ROUND(C1095*'FR_Mantenimiento tasas'!$C$43/360,5)</f>
        <v>0</v>
      </c>
      <c r="E1095" s="121">
        <f>ROUND(C1095*'FR_Mantenimiento tasas'!$D$43/360,5)</f>
        <v>0</v>
      </c>
    </row>
    <row r="1096" spans="1:5">
      <c r="A1096" s="123">
        <f t="shared" si="34"/>
        <v>1094</v>
      </c>
      <c r="B1096" s="122">
        <f>IF(DAY(A1096)=DAY('F-Ahorro Futuro Genérico'!$H$11),'F-Ahorro Futuro Genérico'!$H$9,0)</f>
        <v>0</v>
      </c>
      <c r="C1096" s="122">
        <f t="shared" si="35"/>
        <v>0</v>
      </c>
      <c r="D1096" s="121">
        <f>ROUND(C1096*'FR_Mantenimiento tasas'!$C$43/360,5)</f>
        <v>0</v>
      </c>
      <c r="E1096" s="121">
        <f>ROUND(C1096*'FR_Mantenimiento tasas'!$D$43/360,5)</f>
        <v>0</v>
      </c>
    </row>
    <row r="1097" spans="1:5">
      <c r="A1097" s="123">
        <f t="shared" si="34"/>
        <v>1095</v>
      </c>
      <c r="B1097" s="122">
        <f>IF(DAY(A1097)=DAY('F-Ahorro Futuro Genérico'!$H$11),'F-Ahorro Futuro Genérico'!$H$9,0)</f>
        <v>0</v>
      </c>
      <c r="C1097" s="122">
        <f t="shared" si="35"/>
        <v>0</v>
      </c>
      <c r="D1097" s="121">
        <f>ROUND(C1097*'FR_Mantenimiento tasas'!$C$43/360,5)</f>
        <v>0</v>
      </c>
      <c r="E1097" s="121">
        <f>ROUND(C1097*'FR_Mantenimiento tasas'!$D$43/360,5)</f>
        <v>0</v>
      </c>
    </row>
    <row r="1098" spans="1:5">
      <c r="A1098" s="123">
        <f t="shared" si="34"/>
        <v>1096</v>
      </c>
      <c r="B1098" s="122">
        <f>IF(DAY(A1098)=DAY('F-Ahorro Futuro Genérico'!$H$11),'F-Ahorro Futuro Genérico'!$H$9,0)</f>
        <v>0</v>
      </c>
      <c r="C1098" s="122">
        <f t="shared" si="35"/>
        <v>0</v>
      </c>
      <c r="D1098" s="121">
        <f>ROUND(C1098*'FR_Mantenimiento tasas'!$C$43/360,5)</f>
        <v>0</v>
      </c>
      <c r="E1098" s="121">
        <f>ROUND(C1098*'FR_Mantenimiento tasas'!$D$43/360,5)</f>
        <v>0</v>
      </c>
    </row>
    <row r="1099" spans="1:5">
      <c r="A1099" s="123">
        <f t="shared" si="34"/>
        <v>1097</v>
      </c>
      <c r="B1099" s="122">
        <f>IF(DAY(A1099)=DAY('F-Ahorro Futuro Genérico'!$H$11),'F-Ahorro Futuro Genérico'!$H$9,0)</f>
        <v>0</v>
      </c>
      <c r="C1099" s="122">
        <f t="shared" si="35"/>
        <v>0</v>
      </c>
      <c r="D1099" s="121">
        <f>ROUND(C1099*'FR_Mantenimiento tasas'!$C$43/360,5)</f>
        <v>0</v>
      </c>
      <c r="E1099" s="121">
        <f>ROUND(C1099*'FR_Mantenimiento tasas'!$D$43/360,5)</f>
        <v>0</v>
      </c>
    </row>
    <row r="1100" spans="1:5">
      <c r="A1100" s="123">
        <f t="shared" si="34"/>
        <v>1098</v>
      </c>
      <c r="B1100" s="122">
        <f>IF(DAY(A1100)=DAY('F-Ahorro Futuro Genérico'!$H$11),'F-Ahorro Futuro Genérico'!$H$9,0)</f>
        <v>0</v>
      </c>
      <c r="C1100" s="122">
        <f t="shared" si="35"/>
        <v>0</v>
      </c>
      <c r="D1100" s="121">
        <f>ROUND(C1100*'FR_Mantenimiento tasas'!$C$43/360,5)</f>
        <v>0</v>
      </c>
      <c r="E1100" s="121">
        <f>ROUND(C1100*'FR_Mantenimiento tasas'!$D$43/360,5)</f>
        <v>0</v>
      </c>
    </row>
    <row r="1101" spans="1:5">
      <c r="A1101" s="123">
        <f t="shared" si="34"/>
        <v>1099</v>
      </c>
      <c r="B1101" s="122">
        <f>IF(DAY(A1101)=DAY('F-Ahorro Futuro Genérico'!$H$11),'F-Ahorro Futuro Genérico'!$H$9,0)</f>
        <v>0</v>
      </c>
      <c r="C1101" s="122">
        <f t="shared" si="35"/>
        <v>0</v>
      </c>
      <c r="D1101" s="121">
        <f>ROUND(C1101*'FR_Mantenimiento tasas'!$C$43/360,5)</f>
        <v>0</v>
      </c>
      <c r="E1101" s="121">
        <f>ROUND(C1101*'FR_Mantenimiento tasas'!$D$43/360,5)</f>
        <v>0</v>
      </c>
    </row>
    <row r="1102" spans="1:5">
      <c r="A1102" s="123">
        <f t="shared" si="34"/>
        <v>1100</v>
      </c>
      <c r="B1102" s="122">
        <f>IF(DAY(A1102)=DAY('F-Ahorro Futuro Genérico'!$H$11),'F-Ahorro Futuro Genérico'!$H$9,0)</f>
        <v>0</v>
      </c>
      <c r="C1102" s="122">
        <f t="shared" si="35"/>
        <v>0</v>
      </c>
      <c r="D1102" s="121">
        <f>ROUND(C1102*'FR_Mantenimiento tasas'!$C$43/360,5)</f>
        <v>0</v>
      </c>
      <c r="E1102" s="121">
        <f>ROUND(C1102*'FR_Mantenimiento tasas'!$D$43/360,5)</f>
        <v>0</v>
      </c>
    </row>
    <row r="1103" spans="1:5">
      <c r="A1103" s="123">
        <f t="shared" si="34"/>
        <v>1101</v>
      </c>
      <c r="B1103" s="122">
        <f>IF(DAY(A1103)=DAY('F-Ahorro Futuro Genérico'!$H$11),'F-Ahorro Futuro Genérico'!$H$9,0)</f>
        <v>0</v>
      </c>
      <c r="C1103" s="122">
        <f t="shared" si="35"/>
        <v>0</v>
      </c>
      <c r="D1103" s="121">
        <f>ROUND(C1103*'FR_Mantenimiento tasas'!$C$43/360,5)</f>
        <v>0</v>
      </c>
      <c r="E1103" s="121">
        <f>ROUND(C1103*'FR_Mantenimiento tasas'!$D$43/360,5)</f>
        <v>0</v>
      </c>
    </row>
    <row r="1104" spans="1:5">
      <c r="A1104" s="123">
        <f t="shared" si="34"/>
        <v>1102</v>
      </c>
      <c r="B1104" s="122">
        <f>IF(DAY(A1104)=DAY('F-Ahorro Futuro Genérico'!$H$11),'F-Ahorro Futuro Genérico'!$H$9,0)</f>
        <v>0</v>
      </c>
      <c r="C1104" s="122">
        <f t="shared" si="35"/>
        <v>0</v>
      </c>
      <c r="D1104" s="121">
        <f>ROUND(C1104*'FR_Mantenimiento tasas'!$C$43/360,5)</f>
        <v>0</v>
      </c>
      <c r="E1104" s="121">
        <f>ROUND(C1104*'FR_Mantenimiento tasas'!$D$43/360,5)</f>
        <v>0</v>
      </c>
    </row>
    <row r="1105" spans="1:5">
      <c r="A1105" s="123">
        <f t="shared" si="34"/>
        <v>1103</v>
      </c>
      <c r="B1105" s="122">
        <f>IF(DAY(A1105)=DAY('F-Ahorro Futuro Genérico'!$H$11),'F-Ahorro Futuro Genérico'!$H$9,0)</f>
        <v>0</v>
      </c>
      <c r="C1105" s="122">
        <f t="shared" si="35"/>
        <v>0</v>
      </c>
      <c r="D1105" s="121">
        <f>ROUND(C1105*'FR_Mantenimiento tasas'!$C$43/360,5)</f>
        <v>0</v>
      </c>
      <c r="E1105" s="121">
        <f>ROUND(C1105*'FR_Mantenimiento tasas'!$D$43/360,5)</f>
        <v>0</v>
      </c>
    </row>
    <row r="1106" spans="1:5">
      <c r="A1106" s="123">
        <f t="shared" si="34"/>
        <v>1104</v>
      </c>
      <c r="B1106" s="122">
        <f>IF(DAY(A1106)=DAY('F-Ahorro Futuro Genérico'!$H$11),'F-Ahorro Futuro Genérico'!$H$9,0)</f>
        <v>0</v>
      </c>
      <c r="C1106" s="122">
        <f t="shared" si="35"/>
        <v>0</v>
      </c>
      <c r="D1106" s="121">
        <f>ROUND(C1106*'FR_Mantenimiento tasas'!$C$43/360,5)</f>
        <v>0</v>
      </c>
      <c r="E1106" s="121">
        <f>ROUND(C1106*'FR_Mantenimiento tasas'!$D$43/360,5)</f>
        <v>0</v>
      </c>
    </row>
    <row r="1107" spans="1:5">
      <c r="A1107" s="123">
        <f t="shared" si="34"/>
        <v>1105</v>
      </c>
      <c r="B1107" s="122">
        <f>IF(DAY(A1107)=DAY('F-Ahorro Futuro Genérico'!$H$11),'F-Ahorro Futuro Genérico'!$H$9,0)</f>
        <v>0</v>
      </c>
      <c r="C1107" s="122">
        <f t="shared" si="35"/>
        <v>0</v>
      </c>
      <c r="D1107" s="121">
        <f>ROUND(C1107*'FR_Mantenimiento tasas'!$C$43/360,5)</f>
        <v>0</v>
      </c>
      <c r="E1107" s="121">
        <f>ROUND(C1107*'FR_Mantenimiento tasas'!$D$43/360,5)</f>
        <v>0</v>
      </c>
    </row>
    <row r="1108" spans="1:5">
      <c r="A1108" s="123">
        <f t="shared" si="34"/>
        <v>1106</v>
      </c>
      <c r="B1108" s="122">
        <f>IF(DAY(A1108)=DAY('F-Ahorro Futuro Genérico'!$H$11),'F-Ahorro Futuro Genérico'!$H$9,0)</f>
        <v>0</v>
      </c>
      <c r="C1108" s="122">
        <f t="shared" si="35"/>
        <v>0</v>
      </c>
      <c r="D1108" s="121">
        <f>ROUND(C1108*'FR_Mantenimiento tasas'!$C$43/360,5)</f>
        <v>0</v>
      </c>
      <c r="E1108" s="121">
        <f>ROUND(C1108*'FR_Mantenimiento tasas'!$D$43/360,5)</f>
        <v>0</v>
      </c>
    </row>
    <row r="1109" spans="1:5">
      <c r="A1109" s="123">
        <f t="shared" si="34"/>
        <v>1107</v>
      </c>
      <c r="B1109" s="122">
        <f>IF(DAY(A1109)=DAY('F-Ahorro Futuro Genérico'!$H$11),'F-Ahorro Futuro Genérico'!$H$9,0)</f>
        <v>0</v>
      </c>
      <c r="C1109" s="122">
        <f t="shared" si="35"/>
        <v>0</v>
      </c>
      <c r="D1109" s="121">
        <f>ROUND(C1109*'FR_Mantenimiento tasas'!$C$43/360,5)</f>
        <v>0</v>
      </c>
      <c r="E1109" s="121">
        <f>ROUND(C1109*'FR_Mantenimiento tasas'!$D$43/360,5)</f>
        <v>0</v>
      </c>
    </row>
    <row r="1110" spans="1:5">
      <c r="A1110" s="123">
        <f t="shared" si="34"/>
        <v>1108</v>
      </c>
      <c r="B1110" s="122">
        <f>IF(DAY(A1110)=DAY('F-Ahorro Futuro Genérico'!$H$11),'F-Ahorro Futuro Genérico'!$H$9,0)</f>
        <v>0</v>
      </c>
      <c r="C1110" s="122">
        <f t="shared" si="35"/>
        <v>0</v>
      </c>
      <c r="D1110" s="121">
        <f>ROUND(C1110*'FR_Mantenimiento tasas'!$C$43/360,5)</f>
        <v>0</v>
      </c>
      <c r="E1110" s="121">
        <f>ROUND(C1110*'FR_Mantenimiento tasas'!$D$43/360,5)</f>
        <v>0</v>
      </c>
    </row>
    <row r="1111" spans="1:5">
      <c r="A1111" s="123">
        <f t="shared" si="34"/>
        <v>1109</v>
      </c>
      <c r="B1111" s="122">
        <f>IF(DAY(A1111)=DAY('F-Ahorro Futuro Genérico'!$H$11),'F-Ahorro Futuro Genérico'!$H$9,0)</f>
        <v>0</v>
      </c>
      <c r="C1111" s="122">
        <f t="shared" si="35"/>
        <v>0</v>
      </c>
      <c r="D1111" s="121">
        <f>ROUND(C1111*'FR_Mantenimiento tasas'!$C$43/360,5)</f>
        <v>0</v>
      </c>
      <c r="E1111" s="121">
        <f>ROUND(C1111*'FR_Mantenimiento tasas'!$D$43/360,5)</f>
        <v>0</v>
      </c>
    </row>
    <row r="1112" spans="1:5">
      <c r="A1112" s="123">
        <f t="shared" si="34"/>
        <v>1110</v>
      </c>
      <c r="B1112" s="122">
        <f>IF(DAY(A1112)=DAY('F-Ahorro Futuro Genérico'!$H$11),'F-Ahorro Futuro Genérico'!$H$9,0)</f>
        <v>0</v>
      </c>
      <c r="C1112" s="122">
        <f t="shared" si="35"/>
        <v>0</v>
      </c>
      <c r="D1112" s="121">
        <f>ROUND(C1112*'FR_Mantenimiento tasas'!$C$43/360,5)</f>
        <v>0</v>
      </c>
      <c r="E1112" s="121">
        <f>ROUND(C1112*'FR_Mantenimiento tasas'!$D$43/360,5)</f>
        <v>0</v>
      </c>
    </row>
    <row r="1113" spans="1:5">
      <c r="A1113" s="123">
        <f t="shared" si="34"/>
        <v>1111</v>
      </c>
      <c r="B1113" s="122">
        <f>IF(DAY(A1113)=DAY('F-Ahorro Futuro Genérico'!$H$11),'F-Ahorro Futuro Genérico'!$H$9,0)</f>
        <v>0</v>
      </c>
      <c r="C1113" s="122">
        <f t="shared" si="35"/>
        <v>0</v>
      </c>
      <c r="D1113" s="121">
        <f>ROUND(C1113*'FR_Mantenimiento tasas'!$C$43/360,5)</f>
        <v>0</v>
      </c>
      <c r="E1113" s="121">
        <f>ROUND(C1113*'FR_Mantenimiento tasas'!$D$43/360,5)</f>
        <v>0</v>
      </c>
    </row>
    <row r="1114" spans="1:5">
      <c r="A1114" s="123">
        <f t="shared" si="34"/>
        <v>1112</v>
      </c>
      <c r="B1114" s="122">
        <f>IF(DAY(A1114)=DAY('F-Ahorro Futuro Genérico'!$H$11),'F-Ahorro Futuro Genérico'!$H$9,0)</f>
        <v>0</v>
      </c>
      <c r="C1114" s="122">
        <f t="shared" si="35"/>
        <v>0</v>
      </c>
      <c r="D1114" s="121">
        <f>ROUND(C1114*'FR_Mantenimiento tasas'!$C$43/360,5)</f>
        <v>0</v>
      </c>
      <c r="E1114" s="121">
        <f>ROUND(C1114*'FR_Mantenimiento tasas'!$D$43/360,5)</f>
        <v>0</v>
      </c>
    </row>
    <row r="1115" spans="1:5">
      <c r="A1115" s="123">
        <f t="shared" si="34"/>
        <v>1113</v>
      </c>
      <c r="B1115" s="122">
        <f>IF(DAY(A1115)=DAY('F-Ahorro Futuro Genérico'!$H$11),'F-Ahorro Futuro Genérico'!$H$9,0)</f>
        <v>0</v>
      </c>
      <c r="C1115" s="122">
        <f t="shared" si="35"/>
        <v>0</v>
      </c>
      <c r="D1115" s="121">
        <f>ROUND(C1115*'FR_Mantenimiento tasas'!$C$43/360,5)</f>
        <v>0</v>
      </c>
      <c r="E1115" s="121">
        <f>ROUND(C1115*'FR_Mantenimiento tasas'!$D$43/360,5)</f>
        <v>0</v>
      </c>
    </row>
    <row r="1116" spans="1:5">
      <c r="A1116" s="123">
        <f t="shared" si="34"/>
        <v>1114</v>
      </c>
      <c r="B1116" s="122">
        <f>IF(DAY(A1116)=DAY('F-Ahorro Futuro Genérico'!$H$11),'F-Ahorro Futuro Genérico'!$H$9,0)</f>
        <v>0</v>
      </c>
      <c r="C1116" s="122">
        <f t="shared" si="35"/>
        <v>0</v>
      </c>
      <c r="D1116" s="121">
        <f>ROUND(C1116*'FR_Mantenimiento tasas'!$C$43/360,5)</f>
        <v>0</v>
      </c>
      <c r="E1116" s="121">
        <f>ROUND(C1116*'FR_Mantenimiento tasas'!$D$43/360,5)</f>
        <v>0</v>
      </c>
    </row>
    <row r="1117" spans="1:5">
      <c r="A1117" s="123">
        <f t="shared" si="34"/>
        <v>1115</v>
      </c>
      <c r="B1117" s="122">
        <f>IF(DAY(A1117)=DAY('F-Ahorro Futuro Genérico'!$H$11),'F-Ahorro Futuro Genérico'!$H$9,0)</f>
        <v>0</v>
      </c>
      <c r="C1117" s="122">
        <f t="shared" si="35"/>
        <v>0</v>
      </c>
      <c r="D1117" s="121">
        <f>ROUND(C1117*'FR_Mantenimiento tasas'!$C$43/360,5)</f>
        <v>0</v>
      </c>
      <c r="E1117" s="121">
        <f>ROUND(C1117*'FR_Mantenimiento tasas'!$D$43/360,5)</f>
        <v>0</v>
      </c>
    </row>
    <row r="1118" spans="1:5">
      <c r="A1118" s="123">
        <f t="shared" si="34"/>
        <v>1116</v>
      </c>
      <c r="B1118" s="122">
        <f>IF(DAY(A1118)=DAY('F-Ahorro Futuro Genérico'!$H$11),'F-Ahorro Futuro Genérico'!$H$9,0)</f>
        <v>0</v>
      </c>
      <c r="C1118" s="122">
        <f t="shared" si="35"/>
        <v>0</v>
      </c>
      <c r="D1118" s="121">
        <f>ROUND(C1118*'FR_Mantenimiento tasas'!$C$43/360,5)</f>
        <v>0</v>
      </c>
      <c r="E1118" s="121">
        <f>ROUND(C1118*'FR_Mantenimiento tasas'!$D$43/360,5)</f>
        <v>0</v>
      </c>
    </row>
    <row r="1119" spans="1:5">
      <c r="A1119" s="123">
        <f t="shared" si="34"/>
        <v>1117</v>
      </c>
      <c r="B1119" s="122">
        <f>IF(DAY(A1119)=DAY('F-Ahorro Futuro Genérico'!$H$11),'F-Ahorro Futuro Genérico'!$H$9,0)</f>
        <v>0</v>
      </c>
      <c r="C1119" s="122">
        <f t="shared" si="35"/>
        <v>0</v>
      </c>
      <c r="D1119" s="121">
        <f>ROUND(C1119*'FR_Mantenimiento tasas'!$C$43/360,5)</f>
        <v>0</v>
      </c>
      <c r="E1119" s="121">
        <f>ROUND(C1119*'FR_Mantenimiento tasas'!$D$43/360,5)</f>
        <v>0</v>
      </c>
    </row>
    <row r="1120" spans="1:5">
      <c r="A1120" s="123">
        <f t="shared" si="34"/>
        <v>1118</v>
      </c>
      <c r="B1120" s="122">
        <f>IF(DAY(A1120)=DAY('F-Ahorro Futuro Genérico'!$H$11),'F-Ahorro Futuro Genérico'!$H$9,0)</f>
        <v>0</v>
      </c>
      <c r="C1120" s="122">
        <f t="shared" si="35"/>
        <v>0</v>
      </c>
      <c r="D1120" s="121">
        <f>ROUND(C1120*'FR_Mantenimiento tasas'!$C$43/360,5)</f>
        <v>0</v>
      </c>
      <c r="E1120" s="121">
        <f>ROUND(C1120*'FR_Mantenimiento tasas'!$D$43/360,5)</f>
        <v>0</v>
      </c>
    </row>
    <row r="1121" spans="1:5">
      <c r="A1121" s="123">
        <f t="shared" si="34"/>
        <v>1119</v>
      </c>
      <c r="B1121" s="122">
        <f>IF(DAY(A1121)=DAY('F-Ahorro Futuro Genérico'!$H$11),'F-Ahorro Futuro Genérico'!$H$9,0)</f>
        <v>0</v>
      </c>
      <c r="C1121" s="122">
        <f t="shared" si="35"/>
        <v>0</v>
      </c>
      <c r="D1121" s="121">
        <f>ROUND(C1121*'FR_Mantenimiento tasas'!$C$43/360,5)</f>
        <v>0</v>
      </c>
      <c r="E1121" s="121">
        <f>ROUND(C1121*'FR_Mantenimiento tasas'!$D$43/360,5)</f>
        <v>0</v>
      </c>
    </row>
    <row r="1122" spans="1:5">
      <c r="A1122" s="123">
        <f t="shared" si="34"/>
        <v>1120</v>
      </c>
      <c r="B1122" s="122">
        <f>IF(DAY(A1122)=DAY('F-Ahorro Futuro Genérico'!$H$11),'F-Ahorro Futuro Genérico'!$H$9,0)</f>
        <v>0</v>
      </c>
      <c r="C1122" s="122">
        <f t="shared" si="35"/>
        <v>0</v>
      </c>
      <c r="D1122" s="121">
        <f>ROUND(C1122*'FR_Mantenimiento tasas'!$C$43/360,5)</f>
        <v>0</v>
      </c>
      <c r="E1122" s="121">
        <f>ROUND(C1122*'FR_Mantenimiento tasas'!$D$43/360,5)</f>
        <v>0</v>
      </c>
    </row>
    <row r="1123" spans="1:5">
      <c r="A1123" s="123">
        <f t="shared" si="34"/>
        <v>1121</v>
      </c>
      <c r="B1123" s="122">
        <f>IF(DAY(A1123)=DAY('F-Ahorro Futuro Genérico'!$H$11),'F-Ahorro Futuro Genérico'!$H$9,0)</f>
        <v>0</v>
      </c>
      <c r="C1123" s="122">
        <f t="shared" si="35"/>
        <v>0</v>
      </c>
      <c r="D1123" s="121">
        <f>ROUND(C1123*'FR_Mantenimiento tasas'!$C$43/360,5)</f>
        <v>0</v>
      </c>
      <c r="E1123" s="121">
        <f>ROUND(C1123*'FR_Mantenimiento tasas'!$D$43/360,5)</f>
        <v>0</v>
      </c>
    </row>
    <row r="1124" spans="1:5">
      <c r="A1124" s="123">
        <f t="shared" si="34"/>
        <v>1122</v>
      </c>
      <c r="B1124" s="122">
        <f>IF(DAY(A1124)=DAY('F-Ahorro Futuro Genérico'!$H$11),'F-Ahorro Futuro Genérico'!$H$9,0)</f>
        <v>0</v>
      </c>
      <c r="C1124" s="122">
        <f t="shared" si="35"/>
        <v>0</v>
      </c>
      <c r="D1124" s="121">
        <f>ROUND(C1124*'FR_Mantenimiento tasas'!$C$43/360,5)</f>
        <v>0</v>
      </c>
      <c r="E1124" s="121">
        <f>ROUND(C1124*'FR_Mantenimiento tasas'!$D$43/360,5)</f>
        <v>0</v>
      </c>
    </row>
    <row r="1125" spans="1:5">
      <c r="A1125" s="123">
        <f t="shared" si="34"/>
        <v>1123</v>
      </c>
      <c r="B1125" s="122">
        <f>IF(DAY(A1125)=DAY('F-Ahorro Futuro Genérico'!$H$11),'F-Ahorro Futuro Genérico'!$H$9,0)</f>
        <v>0</v>
      </c>
      <c r="C1125" s="122">
        <f t="shared" si="35"/>
        <v>0</v>
      </c>
      <c r="D1125" s="121">
        <f>ROUND(C1125*'FR_Mantenimiento tasas'!$C$43/360,5)</f>
        <v>0</v>
      </c>
      <c r="E1125" s="121">
        <f>ROUND(C1125*'FR_Mantenimiento tasas'!$D$43/360,5)</f>
        <v>0</v>
      </c>
    </row>
    <row r="1126" spans="1:5">
      <c r="A1126" s="123">
        <f t="shared" si="34"/>
        <v>1124</v>
      </c>
      <c r="B1126" s="122">
        <f>IF(DAY(A1126)=DAY('F-Ahorro Futuro Genérico'!$H$11),'F-Ahorro Futuro Genérico'!$H$9,0)</f>
        <v>0</v>
      </c>
      <c r="C1126" s="122">
        <f t="shared" si="35"/>
        <v>0</v>
      </c>
      <c r="D1126" s="121">
        <f>ROUND(C1126*'FR_Mantenimiento tasas'!$C$43/360,5)</f>
        <v>0</v>
      </c>
      <c r="E1126" s="121">
        <f>ROUND(C1126*'FR_Mantenimiento tasas'!$D$43/360,5)</f>
        <v>0</v>
      </c>
    </row>
    <row r="1127" spans="1:5">
      <c r="A1127" s="123">
        <f t="shared" si="34"/>
        <v>1125</v>
      </c>
      <c r="B1127" s="122">
        <f>IF(DAY(A1127)=DAY('F-Ahorro Futuro Genérico'!$H$11),'F-Ahorro Futuro Genérico'!$H$9,0)</f>
        <v>0</v>
      </c>
      <c r="C1127" s="122">
        <f t="shared" si="35"/>
        <v>0</v>
      </c>
      <c r="D1127" s="121">
        <f>ROUND(C1127*'FR_Mantenimiento tasas'!$C$43/360,5)</f>
        <v>0</v>
      </c>
      <c r="E1127" s="121">
        <f>ROUND(C1127*'FR_Mantenimiento tasas'!$D$43/360,5)</f>
        <v>0</v>
      </c>
    </row>
    <row r="1128" spans="1:5">
      <c r="A1128" s="123">
        <f t="shared" si="34"/>
        <v>1126</v>
      </c>
      <c r="B1128" s="122">
        <f>IF(DAY(A1128)=DAY('F-Ahorro Futuro Genérico'!$H$11),'F-Ahorro Futuro Genérico'!$H$9,0)</f>
        <v>0</v>
      </c>
      <c r="C1128" s="122">
        <f t="shared" si="35"/>
        <v>0</v>
      </c>
      <c r="D1128" s="121">
        <f>ROUND(C1128*'FR_Mantenimiento tasas'!$C$43/360,5)</f>
        <v>0</v>
      </c>
      <c r="E1128" s="121">
        <f>ROUND(C1128*'FR_Mantenimiento tasas'!$D$43/360,5)</f>
        <v>0</v>
      </c>
    </row>
    <row r="1129" spans="1:5">
      <c r="A1129" s="123">
        <f t="shared" si="34"/>
        <v>1127</v>
      </c>
      <c r="B1129" s="122">
        <f>IF(DAY(A1129)=DAY('F-Ahorro Futuro Genérico'!$H$11),'F-Ahorro Futuro Genérico'!$H$9,0)</f>
        <v>0</v>
      </c>
      <c r="C1129" s="122">
        <f t="shared" si="35"/>
        <v>0</v>
      </c>
      <c r="D1129" s="121">
        <f>ROUND(C1129*'FR_Mantenimiento tasas'!$C$43/360,5)</f>
        <v>0</v>
      </c>
      <c r="E1129" s="121">
        <f>ROUND(C1129*'FR_Mantenimiento tasas'!$D$43/360,5)</f>
        <v>0</v>
      </c>
    </row>
    <row r="1130" spans="1:5">
      <c r="A1130" s="123">
        <f t="shared" si="34"/>
        <v>1128</v>
      </c>
      <c r="B1130" s="122">
        <f>IF(DAY(A1130)=DAY('F-Ahorro Futuro Genérico'!$H$11),'F-Ahorro Futuro Genérico'!$H$9,0)</f>
        <v>0</v>
      </c>
      <c r="C1130" s="122">
        <f t="shared" si="35"/>
        <v>0</v>
      </c>
      <c r="D1130" s="121">
        <f>ROUND(C1130*'FR_Mantenimiento tasas'!$C$43/360,5)</f>
        <v>0</v>
      </c>
      <c r="E1130" s="121">
        <f>ROUND(C1130*'FR_Mantenimiento tasas'!$D$43/360,5)</f>
        <v>0</v>
      </c>
    </row>
    <row r="1131" spans="1:5">
      <c r="A1131" s="123">
        <f t="shared" si="34"/>
        <v>1129</v>
      </c>
      <c r="B1131" s="122">
        <f>IF(DAY(A1131)=DAY('F-Ahorro Futuro Genérico'!$H$11),'F-Ahorro Futuro Genérico'!$H$9,0)</f>
        <v>0</v>
      </c>
      <c r="C1131" s="122">
        <f t="shared" si="35"/>
        <v>0</v>
      </c>
      <c r="D1131" s="121">
        <f>ROUND(C1131*'FR_Mantenimiento tasas'!$C$43/360,5)</f>
        <v>0</v>
      </c>
      <c r="E1131" s="121">
        <f>ROUND(C1131*'FR_Mantenimiento tasas'!$D$43/360,5)</f>
        <v>0</v>
      </c>
    </row>
    <row r="1132" spans="1:5">
      <c r="A1132" s="123">
        <f t="shared" si="34"/>
        <v>1130</v>
      </c>
      <c r="B1132" s="122">
        <f>IF(DAY(A1132)=DAY('F-Ahorro Futuro Genérico'!$H$11),'F-Ahorro Futuro Genérico'!$H$9,0)</f>
        <v>0</v>
      </c>
      <c r="C1132" s="122">
        <f t="shared" si="35"/>
        <v>0</v>
      </c>
      <c r="D1132" s="121">
        <f>ROUND(C1132*'FR_Mantenimiento tasas'!$C$43/360,5)</f>
        <v>0</v>
      </c>
      <c r="E1132" s="121">
        <f>ROUND(C1132*'FR_Mantenimiento tasas'!$D$43/360,5)</f>
        <v>0</v>
      </c>
    </row>
    <row r="1133" spans="1:5">
      <c r="A1133" s="123">
        <f t="shared" si="34"/>
        <v>1131</v>
      </c>
      <c r="B1133" s="122">
        <f>IF(DAY(A1133)=DAY('F-Ahorro Futuro Genérico'!$H$11),'F-Ahorro Futuro Genérico'!$H$9,0)</f>
        <v>0</v>
      </c>
      <c r="C1133" s="122">
        <f t="shared" si="35"/>
        <v>0</v>
      </c>
      <c r="D1133" s="121">
        <f>ROUND(C1133*'FR_Mantenimiento tasas'!$C$43/360,5)</f>
        <v>0</v>
      </c>
      <c r="E1133" s="121">
        <f>ROUND(C1133*'FR_Mantenimiento tasas'!$D$43/360,5)</f>
        <v>0</v>
      </c>
    </row>
    <row r="1134" spans="1:5">
      <c r="A1134" s="123">
        <f t="shared" si="34"/>
        <v>1132</v>
      </c>
      <c r="B1134" s="122">
        <f>IF(DAY(A1134)=DAY('F-Ahorro Futuro Genérico'!$H$11),'F-Ahorro Futuro Genérico'!$H$9,0)</f>
        <v>0</v>
      </c>
      <c r="C1134" s="122">
        <f t="shared" si="35"/>
        <v>0</v>
      </c>
      <c r="D1134" s="121">
        <f>ROUND(C1134*'FR_Mantenimiento tasas'!$C$43/360,5)</f>
        <v>0</v>
      </c>
      <c r="E1134" s="121">
        <f>ROUND(C1134*'FR_Mantenimiento tasas'!$D$43/360,5)</f>
        <v>0</v>
      </c>
    </row>
    <row r="1135" spans="1:5">
      <c r="A1135" s="123">
        <f t="shared" si="34"/>
        <v>1133</v>
      </c>
      <c r="B1135" s="122">
        <f>IF(DAY(A1135)=DAY('F-Ahorro Futuro Genérico'!$H$11),'F-Ahorro Futuro Genérico'!$H$9,0)</f>
        <v>0</v>
      </c>
      <c r="C1135" s="122">
        <f t="shared" si="35"/>
        <v>0</v>
      </c>
      <c r="D1135" s="121">
        <f>ROUND(C1135*'FR_Mantenimiento tasas'!$C$43/360,5)</f>
        <v>0</v>
      </c>
      <c r="E1135" s="121">
        <f>ROUND(C1135*'FR_Mantenimiento tasas'!$D$43/360,5)</f>
        <v>0</v>
      </c>
    </row>
    <row r="1136" spans="1:5">
      <c r="A1136" s="123">
        <f t="shared" si="34"/>
        <v>1134</v>
      </c>
      <c r="B1136" s="122">
        <f>IF(DAY(A1136)=DAY('F-Ahorro Futuro Genérico'!$H$11),'F-Ahorro Futuro Genérico'!$H$9,0)</f>
        <v>0</v>
      </c>
      <c r="C1136" s="122">
        <f t="shared" si="35"/>
        <v>0</v>
      </c>
      <c r="D1136" s="121">
        <f>ROUND(C1136*'FR_Mantenimiento tasas'!$C$43/360,5)</f>
        <v>0</v>
      </c>
      <c r="E1136" s="121">
        <f>ROUND(C1136*'FR_Mantenimiento tasas'!$D$43/360,5)</f>
        <v>0</v>
      </c>
    </row>
    <row r="1137" spans="1:5">
      <c r="A1137" s="123">
        <f t="shared" si="34"/>
        <v>1135</v>
      </c>
      <c r="B1137" s="122">
        <f>IF(DAY(A1137)=DAY('F-Ahorro Futuro Genérico'!$H$11),'F-Ahorro Futuro Genérico'!$H$9,0)</f>
        <v>0</v>
      </c>
      <c r="C1137" s="122">
        <f t="shared" si="35"/>
        <v>0</v>
      </c>
      <c r="D1137" s="121">
        <f>ROUND(C1137*'FR_Mantenimiento tasas'!$C$43/360,5)</f>
        <v>0</v>
      </c>
      <c r="E1137" s="121">
        <f>ROUND(C1137*'FR_Mantenimiento tasas'!$D$43/360,5)</f>
        <v>0</v>
      </c>
    </row>
    <row r="1138" spans="1:5">
      <c r="A1138" s="123">
        <f t="shared" si="34"/>
        <v>1136</v>
      </c>
      <c r="B1138" s="122">
        <f>IF(DAY(A1138)=DAY('F-Ahorro Futuro Genérico'!$H$11),'F-Ahorro Futuro Genérico'!$H$9,0)</f>
        <v>0</v>
      </c>
      <c r="C1138" s="122">
        <f t="shared" si="35"/>
        <v>0</v>
      </c>
      <c r="D1138" s="121">
        <f>ROUND(C1138*'FR_Mantenimiento tasas'!$C$43/360,5)</f>
        <v>0</v>
      </c>
      <c r="E1138" s="121">
        <f>ROUND(C1138*'FR_Mantenimiento tasas'!$D$43/360,5)</f>
        <v>0</v>
      </c>
    </row>
    <row r="1139" spans="1:5">
      <c r="A1139" s="123">
        <f t="shared" si="34"/>
        <v>1137</v>
      </c>
      <c r="B1139" s="122">
        <f>IF(DAY(A1139)=DAY('F-Ahorro Futuro Genérico'!$H$11),'F-Ahorro Futuro Genérico'!$H$9,0)</f>
        <v>0</v>
      </c>
      <c r="C1139" s="122">
        <f t="shared" si="35"/>
        <v>0</v>
      </c>
      <c r="D1139" s="121">
        <f>ROUND(C1139*'FR_Mantenimiento tasas'!$C$43/360,5)</f>
        <v>0</v>
      </c>
      <c r="E1139" s="121">
        <f>ROUND(C1139*'FR_Mantenimiento tasas'!$D$43/360,5)</f>
        <v>0</v>
      </c>
    </row>
    <row r="1140" spans="1:5">
      <c r="A1140" s="123">
        <f t="shared" si="34"/>
        <v>1138</v>
      </c>
      <c r="B1140" s="122">
        <f>IF(DAY(A1140)=DAY('F-Ahorro Futuro Genérico'!$H$11),'F-Ahorro Futuro Genérico'!$H$9,0)</f>
        <v>0</v>
      </c>
      <c r="C1140" s="122">
        <f t="shared" si="35"/>
        <v>0</v>
      </c>
      <c r="D1140" s="121">
        <f>ROUND(C1140*'FR_Mantenimiento tasas'!$C$43/360,5)</f>
        <v>0</v>
      </c>
      <c r="E1140" s="121">
        <f>ROUND(C1140*'FR_Mantenimiento tasas'!$D$43/360,5)</f>
        <v>0</v>
      </c>
    </row>
    <row r="1141" spans="1:5">
      <c r="A1141" s="123">
        <f t="shared" si="34"/>
        <v>1139</v>
      </c>
      <c r="B1141" s="122">
        <f>IF(DAY(A1141)=DAY('F-Ahorro Futuro Genérico'!$H$11),'F-Ahorro Futuro Genérico'!$H$9,0)</f>
        <v>0</v>
      </c>
      <c r="C1141" s="122">
        <f t="shared" si="35"/>
        <v>0</v>
      </c>
      <c r="D1141" s="121">
        <f>ROUND(C1141*'FR_Mantenimiento tasas'!$C$43/360,5)</f>
        <v>0</v>
      </c>
      <c r="E1141" s="121">
        <f>ROUND(C1141*'FR_Mantenimiento tasas'!$D$43/360,5)</f>
        <v>0</v>
      </c>
    </row>
    <row r="1142" spans="1:5">
      <c r="A1142" s="123">
        <f t="shared" si="34"/>
        <v>1140</v>
      </c>
      <c r="B1142" s="122">
        <f>IF(DAY(A1142)=DAY('F-Ahorro Futuro Genérico'!$H$11),'F-Ahorro Futuro Genérico'!$H$9,0)</f>
        <v>0</v>
      </c>
      <c r="C1142" s="122">
        <f t="shared" si="35"/>
        <v>0</v>
      </c>
      <c r="D1142" s="121">
        <f>ROUND(C1142*'FR_Mantenimiento tasas'!$C$43/360,5)</f>
        <v>0</v>
      </c>
      <c r="E1142" s="121">
        <f>ROUND(C1142*'FR_Mantenimiento tasas'!$D$43/360,5)</f>
        <v>0</v>
      </c>
    </row>
    <row r="1143" spans="1:5">
      <c r="A1143" s="123">
        <f t="shared" si="34"/>
        <v>1141</v>
      </c>
      <c r="B1143" s="122">
        <f>IF(DAY(A1143)=DAY('F-Ahorro Futuro Genérico'!$H$11),'F-Ahorro Futuro Genérico'!$H$9,0)</f>
        <v>0</v>
      </c>
      <c r="C1143" s="122">
        <f t="shared" si="35"/>
        <v>0</v>
      </c>
      <c r="D1143" s="121">
        <f>ROUND(C1143*'FR_Mantenimiento tasas'!$C$43/360,5)</f>
        <v>0</v>
      </c>
      <c r="E1143" s="121">
        <f>ROUND(C1143*'FR_Mantenimiento tasas'!$D$43/360,5)</f>
        <v>0</v>
      </c>
    </row>
    <row r="1144" spans="1:5">
      <c r="A1144" s="123">
        <f t="shared" si="34"/>
        <v>1142</v>
      </c>
      <c r="B1144" s="122">
        <f>IF(DAY(A1144)=DAY('F-Ahorro Futuro Genérico'!$H$11),'F-Ahorro Futuro Genérico'!$H$9,0)</f>
        <v>0</v>
      </c>
      <c r="C1144" s="122">
        <f t="shared" si="35"/>
        <v>0</v>
      </c>
      <c r="D1144" s="121">
        <f>ROUND(C1144*'FR_Mantenimiento tasas'!$C$43/360,5)</f>
        <v>0</v>
      </c>
      <c r="E1144" s="121">
        <f>ROUND(C1144*'FR_Mantenimiento tasas'!$D$43/360,5)</f>
        <v>0</v>
      </c>
    </row>
    <row r="1145" spans="1:5">
      <c r="A1145" s="123">
        <f t="shared" si="34"/>
        <v>1143</v>
      </c>
      <c r="B1145" s="122">
        <f>IF(DAY(A1145)=DAY('F-Ahorro Futuro Genérico'!$H$11),'F-Ahorro Futuro Genérico'!$H$9,0)</f>
        <v>0</v>
      </c>
      <c r="C1145" s="122">
        <f t="shared" si="35"/>
        <v>0</v>
      </c>
      <c r="D1145" s="121">
        <f>ROUND(C1145*'FR_Mantenimiento tasas'!$C$43/360,5)</f>
        <v>0</v>
      </c>
      <c r="E1145" s="121">
        <f>ROUND(C1145*'FR_Mantenimiento tasas'!$D$43/360,5)</f>
        <v>0</v>
      </c>
    </row>
    <row r="1146" spans="1:5">
      <c r="A1146" s="123">
        <f t="shared" si="34"/>
        <v>1144</v>
      </c>
      <c r="B1146" s="122">
        <f>IF(DAY(A1146)=DAY('F-Ahorro Futuro Genérico'!$H$11),'F-Ahorro Futuro Genérico'!$H$9,0)</f>
        <v>0</v>
      </c>
      <c r="C1146" s="122">
        <f t="shared" si="35"/>
        <v>0</v>
      </c>
      <c r="D1146" s="121">
        <f>ROUND(C1146*'FR_Mantenimiento tasas'!$C$43/360,5)</f>
        <v>0</v>
      </c>
      <c r="E1146" s="121">
        <f>ROUND(C1146*'FR_Mantenimiento tasas'!$D$43/360,5)</f>
        <v>0</v>
      </c>
    </row>
    <row r="1147" spans="1:5">
      <c r="A1147" s="123">
        <f t="shared" si="34"/>
        <v>1145</v>
      </c>
      <c r="B1147" s="122">
        <f>IF(DAY(A1147)=DAY('F-Ahorro Futuro Genérico'!$H$11),'F-Ahorro Futuro Genérico'!$H$9,0)</f>
        <v>0</v>
      </c>
      <c r="C1147" s="122">
        <f t="shared" si="35"/>
        <v>0</v>
      </c>
      <c r="D1147" s="121">
        <f>ROUND(C1147*'FR_Mantenimiento tasas'!$C$43/360,5)</f>
        <v>0</v>
      </c>
      <c r="E1147" s="121">
        <f>ROUND(C1147*'FR_Mantenimiento tasas'!$D$43/360,5)</f>
        <v>0</v>
      </c>
    </row>
    <row r="1148" spans="1:5">
      <c r="A1148" s="123">
        <f t="shared" si="34"/>
        <v>1146</v>
      </c>
      <c r="B1148" s="122">
        <f>IF(DAY(A1148)=DAY('F-Ahorro Futuro Genérico'!$H$11),'F-Ahorro Futuro Genérico'!$H$9,0)</f>
        <v>0</v>
      </c>
      <c r="C1148" s="122">
        <f t="shared" si="35"/>
        <v>0</v>
      </c>
      <c r="D1148" s="121">
        <f>ROUND(C1148*'FR_Mantenimiento tasas'!$C$43/360,5)</f>
        <v>0</v>
      </c>
      <c r="E1148" s="121">
        <f>ROUND(C1148*'FR_Mantenimiento tasas'!$D$43/360,5)</f>
        <v>0</v>
      </c>
    </row>
    <row r="1149" spans="1:5">
      <c r="A1149" s="123">
        <f t="shared" si="34"/>
        <v>1147</v>
      </c>
      <c r="B1149" s="122">
        <f>IF(DAY(A1149)=DAY('F-Ahorro Futuro Genérico'!$H$11),'F-Ahorro Futuro Genérico'!$H$9,0)</f>
        <v>0</v>
      </c>
      <c r="C1149" s="122">
        <f t="shared" si="35"/>
        <v>0</v>
      </c>
      <c r="D1149" s="121">
        <f>ROUND(C1149*'FR_Mantenimiento tasas'!$C$43/360,5)</f>
        <v>0</v>
      </c>
      <c r="E1149" s="121">
        <f>ROUND(C1149*'FR_Mantenimiento tasas'!$D$43/360,5)</f>
        <v>0</v>
      </c>
    </row>
    <row r="1150" spans="1:5">
      <c r="A1150" s="123">
        <f t="shared" si="34"/>
        <v>1148</v>
      </c>
      <c r="B1150" s="122">
        <f>IF(DAY(A1150)=DAY('F-Ahorro Futuro Genérico'!$H$11),'F-Ahorro Futuro Genérico'!$H$9,0)</f>
        <v>0</v>
      </c>
      <c r="C1150" s="122">
        <f t="shared" si="35"/>
        <v>0</v>
      </c>
      <c r="D1150" s="121">
        <f>ROUND(C1150*'FR_Mantenimiento tasas'!$C$43/360,5)</f>
        <v>0</v>
      </c>
      <c r="E1150" s="121">
        <f>ROUND(C1150*'FR_Mantenimiento tasas'!$D$43/360,5)</f>
        <v>0</v>
      </c>
    </row>
    <row r="1151" spans="1:5">
      <c r="A1151" s="123">
        <f t="shared" si="34"/>
        <v>1149</v>
      </c>
      <c r="B1151" s="122">
        <f>IF(DAY(A1151)=DAY('F-Ahorro Futuro Genérico'!$H$11),'F-Ahorro Futuro Genérico'!$H$9,0)</f>
        <v>0</v>
      </c>
      <c r="C1151" s="122">
        <f t="shared" si="35"/>
        <v>0</v>
      </c>
      <c r="D1151" s="121">
        <f>ROUND(C1151*'FR_Mantenimiento tasas'!$C$43/360,5)</f>
        <v>0</v>
      </c>
      <c r="E1151" s="121">
        <f>ROUND(C1151*'FR_Mantenimiento tasas'!$D$43/360,5)</f>
        <v>0</v>
      </c>
    </row>
    <row r="1152" spans="1:5">
      <c r="A1152" s="123">
        <f t="shared" si="34"/>
        <v>1150</v>
      </c>
      <c r="B1152" s="122">
        <f>IF(DAY(A1152)=DAY('F-Ahorro Futuro Genérico'!$H$11),'F-Ahorro Futuro Genérico'!$H$9,0)</f>
        <v>0</v>
      </c>
      <c r="C1152" s="122">
        <f t="shared" si="35"/>
        <v>0</v>
      </c>
      <c r="D1152" s="121">
        <f>ROUND(C1152*'FR_Mantenimiento tasas'!$C$43/360,5)</f>
        <v>0</v>
      </c>
      <c r="E1152" s="121">
        <f>ROUND(C1152*'FR_Mantenimiento tasas'!$D$43/360,5)</f>
        <v>0</v>
      </c>
    </row>
    <row r="1153" spans="1:5">
      <c r="A1153" s="123">
        <f t="shared" si="34"/>
        <v>1151</v>
      </c>
      <c r="B1153" s="122">
        <f>IF(DAY(A1153)=DAY('F-Ahorro Futuro Genérico'!$H$11),'F-Ahorro Futuro Genérico'!$H$9,0)</f>
        <v>0</v>
      </c>
      <c r="C1153" s="122">
        <f t="shared" si="35"/>
        <v>0</v>
      </c>
      <c r="D1153" s="121">
        <f>ROUND(C1153*'FR_Mantenimiento tasas'!$C$43/360,5)</f>
        <v>0</v>
      </c>
      <c r="E1153" s="121">
        <f>ROUND(C1153*'FR_Mantenimiento tasas'!$D$43/360,5)</f>
        <v>0</v>
      </c>
    </row>
    <row r="1154" spans="1:5">
      <c r="A1154" s="123">
        <f t="shared" si="34"/>
        <v>1152</v>
      </c>
      <c r="B1154" s="122">
        <f>IF(DAY(A1154)=DAY('F-Ahorro Futuro Genérico'!$H$11),'F-Ahorro Futuro Genérico'!$H$9,0)</f>
        <v>0</v>
      </c>
      <c r="C1154" s="122">
        <f t="shared" si="35"/>
        <v>0</v>
      </c>
      <c r="D1154" s="121">
        <f>ROUND(C1154*'FR_Mantenimiento tasas'!$C$43/360,5)</f>
        <v>0</v>
      </c>
      <c r="E1154" s="121">
        <f>ROUND(C1154*'FR_Mantenimiento tasas'!$D$43/360,5)</f>
        <v>0</v>
      </c>
    </row>
    <row r="1155" spans="1:5">
      <c r="A1155" s="123">
        <f t="shared" si="34"/>
        <v>1153</v>
      </c>
      <c r="B1155" s="122">
        <f>IF(DAY(A1155)=DAY('F-Ahorro Futuro Genérico'!$H$11),'F-Ahorro Futuro Genérico'!$H$9,0)</f>
        <v>0</v>
      </c>
      <c r="C1155" s="122">
        <f t="shared" si="35"/>
        <v>0</v>
      </c>
      <c r="D1155" s="121">
        <f>ROUND(C1155*'FR_Mantenimiento tasas'!$C$43/360,5)</f>
        <v>0</v>
      </c>
      <c r="E1155" s="121">
        <f>ROUND(C1155*'FR_Mantenimiento tasas'!$D$43/360,5)</f>
        <v>0</v>
      </c>
    </row>
    <row r="1156" spans="1:5">
      <c r="A1156" s="123">
        <f t="shared" ref="A1156:A1219" si="36">+A1155+1</f>
        <v>1154</v>
      </c>
      <c r="B1156" s="122">
        <f>IF(DAY(A1156)=DAY('F-Ahorro Futuro Genérico'!$H$11),'F-Ahorro Futuro Genérico'!$H$9,0)</f>
        <v>0</v>
      </c>
      <c r="C1156" s="122">
        <f t="shared" ref="C1156:C1219" si="37">+B1156+C1155+D1155</f>
        <v>0</v>
      </c>
      <c r="D1156" s="121">
        <f>ROUND(C1156*'FR_Mantenimiento tasas'!$C$43/360,5)</f>
        <v>0</v>
      </c>
      <c r="E1156" s="121">
        <f>ROUND(C1156*'FR_Mantenimiento tasas'!$D$43/360,5)</f>
        <v>0</v>
      </c>
    </row>
    <row r="1157" spans="1:5">
      <c r="A1157" s="123">
        <f t="shared" si="36"/>
        <v>1155</v>
      </c>
      <c r="B1157" s="122">
        <f>IF(DAY(A1157)=DAY('F-Ahorro Futuro Genérico'!$H$11),'F-Ahorro Futuro Genérico'!$H$9,0)</f>
        <v>0</v>
      </c>
      <c r="C1157" s="122">
        <f t="shared" si="37"/>
        <v>0</v>
      </c>
      <c r="D1157" s="121">
        <f>ROUND(C1157*'FR_Mantenimiento tasas'!$C$43/360,5)</f>
        <v>0</v>
      </c>
      <c r="E1157" s="121">
        <f>ROUND(C1157*'FR_Mantenimiento tasas'!$D$43/360,5)</f>
        <v>0</v>
      </c>
    </row>
    <row r="1158" spans="1:5">
      <c r="A1158" s="123">
        <f t="shared" si="36"/>
        <v>1156</v>
      </c>
      <c r="B1158" s="122">
        <f>IF(DAY(A1158)=DAY('F-Ahorro Futuro Genérico'!$H$11),'F-Ahorro Futuro Genérico'!$H$9,0)</f>
        <v>0</v>
      </c>
      <c r="C1158" s="122">
        <f t="shared" si="37"/>
        <v>0</v>
      </c>
      <c r="D1158" s="121">
        <f>ROUND(C1158*'FR_Mantenimiento tasas'!$C$43/360,5)</f>
        <v>0</v>
      </c>
      <c r="E1158" s="121">
        <f>ROUND(C1158*'FR_Mantenimiento tasas'!$D$43/360,5)</f>
        <v>0</v>
      </c>
    </row>
    <row r="1159" spans="1:5">
      <c r="A1159" s="123">
        <f t="shared" si="36"/>
        <v>1157</v>
      </c>
      <c r="B1159" s="122">
        <f>IF(DAY(A1159)=DAY('F-Ahorro Futuro Genérico'!$H$11),'F-Ahorro Futuro Genérico'!$H$9,0)</f>
        <v>0</v>
      </c>
      <c r="C1159" s="122">
        <f t="shared" si="37"/>
        <v>0</v>
      </c>
      <c r="D1159" s="121">
        <f>ROUND(C1159*'FR_Mantenimiento tasas'!$C$43/360,5)</f>
        <v>0</v>
      </c>
      <c r="E1159" s="121">
        <f>ROUND(C1159*'FR_Mantenimiento tasas'!$D$43/360,5)</f>
        <v>0</v>
      </c>
    </row>
    <row r="1160" spans="1:5">
      <c r="A1160" s="123">
        <f t="shared" si="36"/>
        <v>1158</v>
      </c>
      <c r="B1160" s="122">
        <f>IF(DAY(A1160)=DAY('F-Ahorro Futuro Genérico'!$H$11),'F-Ahorro Futuro Genérico'!$H$9,0)</f>
        <v>0</v>
      </c>
      <c r="C1160" s="122">
        <f t="shared" si="37"/>
        <v>0</v>
      </c>
      <c r="D1160" s="121">
        <f>ROUND(C1160*'FR_Mantenimiento tasas'!$C$43/360,5)</f>
        <v>0</v>
      </c>
      <c r="E1160" s="121">
        <f>ROUND(C1160*'FR_Mantenimiento tasas'!$D$43/360,5)</f>
        <v>0</v>
      </c>
    </row>
    <row r="1161" spans="1:5">
      <c r="A1161" s="123">
        <f t="shared" si="36"/>
        <v>1159</v>
      </c>
      <c r="B1161" s="122">
        <f>IF(DAY(A1161)=DAY('F-Ahorro Futuro Genérico'!$H$11),'F-Ahorro Futuro Genérico'!$H$9,0)</f>
        <v>0</v>
      </c>
      <c r="C1161" s="122">
        <f t="shared" si="37"/>
        <v>0</v>
      </c>
      <c r="D1161" s="121">
        <f>ROUND(C1161*'FR_Mantenimiento tasas'!$C$43/360,5)</f>
        <v>0</v>
      </c>
      <c r="E1161" s="121">
        <f>ROUND(C1161*'FR_Mantenimiento tasas'!$D$43/360,5)</f>
        <v>0</v>
      </c>
    </row>
    <row r="1162" spans="1:5">
      <c r="A1162" s="123">
        <f t="shared" si="36"/>
        <v>1160</v>
      </c>
      <c r="B1162" s="122">
        <f>IF(DAY(A1162)=DAY('F-Ahorro Futuro Genérico'!$H$11),'F-Ahorro Futuro Genérico'!$H$9,0)</f>
        <v>0</v>
      </c>
      <c r="C1162" s="122">
        <f t="shared" si="37"/>
        <v>0</v>
      </c>
      <c r="D1162" s="121">
        <f>ROUND(C1162*'FR_Mantenimiento tasas'!$C$43/360,5)</f>
        <v>0</v>
      </c>
      <c r="E1162" s="121">
        <f>ROUND(C1162*'FR_Mantenimiento tasas'!$D$43/360,5)</f>
        <v>0</v>
      </c>
    </row>
    <row r="1163" spans="1:5">
      <c r="A1163" s="123">
        <f t="shared" si="36"/>
        <v>1161</v>
      </c>
      <c r="B1163" s="122">
        <f>IF(DAY(A1163)=DAY('F-Ahorro Futuro Genérico'!$H$11),'F-Ahorro Futuro Genérico'!$H$9,0)</f>
        <v>0</v>
      </c>
      <c r="C1163" s="122">
        <f t="shared" si="37"/>
        <v>0</v>
      </c>
      <c r="D1163" s="121">
        <f>ROUND(C1163*'FR_Mantenimiento tasas'!$C$43/360,5)</f>
        <v>0</v>
      </c>
      <c r="E1163" s="121">
        <f>ROUND(C1163*'FR_Mantenimiento tasas'!$D$43/360,5)</f>
        <v>0</v>
      </c>
    </row>
    <row r="1164" spans="1:5">
      <c r="A1164" s="123">
        <f t="shared" si="36"/>
        <v>1162</v>
      </c>
      <c r="B1164" s="122">
        <f>IF(DAY(A1164)=DAY('F-Ahorro Futuro Genérico'!$H$11),'F-Ahorro Futuro Genérico'!$H$9,0)</f>
        <v>0</v>
      </c>
      <c r="C1164" s="122">
        <f t="shared" si="37"/>
        <v>0</v>
      </c>
      <c r="D1164" s="121">
        <f>ROUND(C1164*'FR_Mantenimiento tasas'!$C$43/360,5)</f>
        <v>0</v>
      </c>
      <c r="E1164" s="121">
        <f>ROUND(C1164*'FR_Mantenimiento tasas'!$D$43/360,5)</f>
        <v>0</v>
      </c>
    </row>
    <row r="1165" spans="1:5">
      <c r="A1165" s="123">
        <f t="shared" si="36"/>
        <v>1163</v>
      </c>
      <c r="B1165" s="122">
        <f>IF(DAY(A1165)=DAY('F-Ahorro Futuro Genérico'!$H$11),'F-Ahorro Futuro Genérico'!$H$9,0)</f>
        <v>0</v>
      </c>
      <c r="C1165" s="122">
        <f t="shared" si="37"/>
        <v>0</v>
      </c>
      <c r="D1165" s="121">
        <f>ROUND(C1165*'FR_Mantenimiento tasas'!$C$43/360,5)</f>
        <v>0</v>
      </c>
      <c r="E1165" s="121">
        <f>ROUND(C1165*'FR_Mantenimiento tasas'!$D$43/360,5)</f>
        <v>0</v>
      </c>
    </row>
    <row r="1166" spans="1:5">
      <c r="A1166" s="123">
        <f t="shared" si="36"/>
        <v>1164</v>
      </c>
      <c r="B1166" s="122">
        <f>IF(DAY(A1166)=DAY('F-Ahorro Futuro Genérico'!$H$11),'F-Ahorro Futuro Genérico'!$H$9,0)</f>
        <v>0</v>
      </c>
      <c r="C1166" s="122">
        <f t="shared" si="37"/>
        <v>0</v>
      </c>
      <c r="D1166" s="121">
        <f>ROUND(C1166*'FR_Mantenimiento tasas'!$C$43/360,5)</f>
        <v>0</v>
      </c>
      <c r="E1166" s="121">
        <f>ROUND(C1166*'FR_Mantenimiento tasas'!$D$43/360,5)</f>
        <v>0</v>
      </c>
    </row>
    <row r="1167" spans="1:5">
      <c r="A1167" s="123">
        <f t="shared" si="36"/>
        <v>1165</v>
      </c>
      <c r="B1167" s="122">
        <f>IF(DAY(A1167)=DAY('F-Ahorro Futuro Genérico'!$H$11),'F-Ahorro Futuro Genérico'!$H$9,0)</f>
        <v>0</v>
      </c>
      <c r="C1167" s="122">
        <f t="shared" si="37"/>
        <v>0</v>
      </c>
      <c r="D1167" s="121">
        <f>ROUND(C1167*'FR_Mantenimiento tasas'!$C$43/360,5)</f>
        <v>0</v>
      </c>
      <c r="E1167" s="121">
        <f>ROUND(C1167*'FR_Mantenimiento tasas'!$D$43/360,5)</f>
        <v>0</v>
      </c>
    </row>
    <row r="1168" spans="1:5">
      <c r="A1168" s="123">
        <f t="shared" si="36"/>
        <v>1166</v>
      </c>
      <c r="B1168" s="122">
        <f>IF(DAY(A1168)=DAY('F-Ahorro Futuro Genérico'!$H$11),'F-Ahorro Futuro Genérico'!$H$9,0)</f>
        <v>0</v>
      </c>
      <c r="C1168" s="122">
        <f t="shared" si="37"/>
        <v>0</v>
      </c>
      <c r="D1168" s="121">
        <f>ROUND(C1168*'FR_Mantenimiento tasas'!$C$43/360,5)</f>
        <v>0</v>
      </c>
      <c r="E1168" s="121">
        <f>ROUND(C1168*'FR_Mantenimiento tasas'!$D$43/360,5)</f>
        <v>0</v>
      </c>
    </row>
    <row r="1169" spans="1:5">
      <c r="A1169" s="123">
        <f t="shared" si="36"/>
        <v>1167</v>
      </c>
      <c r="B1169" s="122">
        <f>IF(DAY(A1169)=DAY('F-Ahorro Futuro Genérico'!$H$11),'F-Ahorro Futuro Genérico'!$H$9,0)</f>
        <v>0</v>
      </c>
      <c r="C1169" s="122">
        <f t="shared" si="37"/>
        <v>0</v>
      </c>
      <c r="D1169" s="121">
        <f>ROUND(C1169*'FR_Mantenimiento tasas'!$C$43/360,5)</f>
        <v>0</v>
      </c>
      <c r="E1169" s="121">
        <f>ROUND(C1169*'FR_Mantenimiento tasas'!$D$43/360,5)</f>
        <v>0</v>
      </c>
    </row>
    <row r="1170" spans="1:5">
      <c r="A1170" s="123">
        <f t="shared" si="36"/>
        <v>1168</v>
      </c>
      <c r="B1170" s="122">
        <f>IF(DAY(A1170)=DAY('F-Ahorro Futuro Genérico'!$H$11),'F-Ahorro Futuro Genérico'!$H$9,0)</f>
        <v>0</v>
      </c>
      <c r="C1170" s="122">
        <f t="shared" si="37"/>
        <v>0</v>
      </c>
      <c r="D1170" s="121">
        <f>ROUND(C1170*'FR_Mantenimiento tasas'!$C$43/360,5)</f>
        <v>0</v>
      </c>
      <c r="E1170" s="121">
        <f>ROUND(C1170*'FR_Mantenimiento tasas'!$D$43/360,5)</f>
        <v>0</v>
      </c>
    </row>
    <row r="1171" spans="1:5">
      <c r="A1171" s="123">
        <f t="shared" si="36"/>
        <v>1169</v>
      </c>
      <c r="B1171" s="122">
        <f>IF(DAY(A1171)=DAY('F-Ahorro Futuro Genérico'!$H$11),'F-Ahorro Futuro Genérico'!$H$9,0)</f>
        <v>0</v>
      </c>
      <c r="C1171" s="122">
        <f t="shared" si="37"/>
        <v>0</v>
      </c>
      <c r="D1171" s="121">
        <f>ROUND(C1171*'FR_Mantenimiento tasas'!$C$43/360,5)</f>
        <v>0</v>
      </c>
      <c r="E1171" s="121">
        <f>ROUND(C1171*'FR_Mantenimiento tasas'!$D$43/360,5)</f>
        <v>0</v>
      </c>
    </row>
    <row r="1172" spans="1:5">
      <c r="A1172" s="123">
        <f t="shared" si="36"/>
        <v>1170</v>
      </c>
      <c r="B1172" s="122">
        <f>IF(DAY(A1172)=DAY('F-Ahorro Futuro Genérico'!$H$11),'F-Ahorro Futuro Genérico'!$H$9,0)</f>
        <v>0</v>
      </c>
      <c r="C1172" s="122">
        <f t="shared" si="37"/>
        <v>0</v>
      </c>
      <c r="D1172" s="121">
        <f>ROUND(C1172*'FR_Mantenimiento tasas'!$C$43/360,5)</f>
        <v>0</v>
      </c>
      <c r="E1172" s="121">
        <f>ROUND(C1172*'FR_Mantenimiento tasas'!$D$43/360,5)</f>
        <v>0</v>
      </c>
    </row>
    <row r="1173" spans="1:5">
      <c r="A1173" s="123">
        <f t="shared" si="36"/>
        <v>1171</v>
      </c>
      <c r="B1173" s="122">
        <f>IF(DAY(A1173)=DAY('F-Ahorro Futuro Genérico'!$H$11),'F-Ahorro Futuro Genérico'!$H$9,0)</f>
        <v>0</v>
      </c>
      <c r="C1173" s="122">
        <f t="shared" si="37"/>
        <v>0</v>
      </c>
      <c r="D1173" s="121">
        <f>ROUND(C1173*'FR_Mantenimiento tasas'!$C$43/360,5)</f>
        <v>0</v>
      </c>
      <c r="E1173" s="121">
        <f>ROUND(C1173*'FR_Mantenimiento tasas'!$D$43/360,5)</f>
        <v>0</v>
      </c>
    </row>
    <row r="1174" spans="1:5">
      <c r="A1174" s="123">
        <f t="shared" si="36"/>
        <v>1172</v>
      </c>
      <c r="B1174" s="122">
        <f>IF(DAY(A1174)=DAY('F-Ahorro Futuro Genérico'!$H$11),'F-Ahorro Futuro Genérico'!$H$9,0)</f>
        <v>0</v>
      </c>
      <c r="C1174" s="122">
        <f t="shared" si="37"/>
        <v>0</v>
      </c>
      <c r="D1174" s="121">
        <f>ROUND(C1174*'FR_Mantenimiento tasas'!$C$43/360,5)</f>
        <v>0</v>
      </c>
      <c r="E1174" s="121">
        <f>ROUND(C1174*'FR_Mantenimiento tasas'!$D$43/360,5)</f>
        <v>0</v>
      </c>
    </row>
    <row r="1175" spans="1:5">
      <c r="A1175" s="123">
        <f t="shared" si="36"/>
        <v>1173</v>
      </c>
      <c r="B1175" s="122">
        <f>IF(DAY(A1175)=DAY('F-Ahorro Futuro Genérico'!$H$11),'F-Ahorro Futuro Genérico'!$H$9,0)</f>
        <v>0</v>
      </c>
      <c r="C1175" s="122">
        <f t="shared" si="37"/>
        <v>0</v>
      </c>
      <c r="D1175" s="121">
        <f>ROUND(C1175*'FR_Mantenimiento tasas'!$C$43/360,5)</f>
        <v>0</v>
      </c>
      <c r="E1175" s="121">
        <f>ROUND(C1175*'FR_Mantenimiento tasas'!$D$43/360,5)</f>
        <v>0</v>
      </c>
    </row>
    <row r="1176" spans="1:5">
      <c r="A1176" s="123">
        <f t="shared" si="36"/>
        <v>1174</v>
      </c>
      <c r="B1176" s="122">
        <f>IF(DAY(A1176)=DAY('F-Ahorro Futuro Genérico'!$H$11),'F-Ahorro Futuro Genérico'!$H$9,0)</f>
        <v>0</v>
      </c>
      <c r="C1176" s="122">
        <f t="shared" si="37"/>
        <v>0</v>
      </c>
      <c r="D1176" s="121">
        <f>ROUND(C1176*'FR_Mantenimiento tasas'!$C$43/360,5)</f>
        <v>0</v>
      </c>
      <c r="E1176" s="121">
        <f>ROUND(C1176*'FR_Mantenimiento tasas'!$D$43/360,5)</f>
        <v>0</v>
      </c>
    </row>
    <row r="1177" spans="1:5">
      <c r="A1177" s="123">
        <f t="shared" si="36"/>
        <v>1175</v>
      </c>
      <c r="B1177" s="122">
        <f>IF(DAY(A1177)=DAY('F-Ahorro Futuro Genérico'!$H$11),'F-Ahorro Futuro Genérico'!$H$9,0)</f>
        <v>0</v>
      </c>
      <c r="C1177" s="122">
        <f t="shared" si="37"/>
        <v>0</v>
      </c>
      <c r="D1177" s="121">
        <f>ROUND(C1177*'FR_Mantenimiento tasas'!$C$43/360,5)</f>
        <v>0</v>
      </c>
      <c r="E1177" s="121">
        <f>ROUND(C1177*'FR_Mantenimiento tasas'!$D$43/360,5)</f>
        <v>0</v>
      </c>
    </row>
    <row r="1178" spans="1:5">
      <c r="A1178" s="123">
        <f t="shared" si="36"/>
        <v>1176</v>
      </c>
      <c r="B1178" s="122">
        <f>IF(DAY(A1178)=DAY('F-Ahorro Futuro Genérico'!$H$11),'F-Ahorro Futuro Genérico'!$H$9,0)</f>
        <v>0</v>
      </c>
      <c r="C1178" s="122">
        <f t="shared" si="37"/>
        <v>0</v>
      </c>
      <c r="D1178" s="121">
        <f>ROUND(C1178*'FR_Mantenimiento tasas'!$C$43/360,5)</f>
        <v>0</v>
      </c>
      <c r="E1178" s="121">
        <f>ROUND(C1178*'FR_Mantenimiento tasas'!$D$43/360,5)</f>
        <v>0</v>
      </c>
    </row>
    <row r="1179" spans="1:5">
      <c r="A1179" s="123">
        <f t="shared" si="36"/>
        <v>1177</v>
      </c>
      <c r="B1179" s="122">
        <f>IF(DAY(A1179)=DAY('F-Ahorro Futuro Genérico'!$H$11),'F-Ahorro Futuro Genérico'!$H$9,0)</f>
        <v>0</v>
      </c>
      <c r="C1179" s="122">
        <f t="shared" si="37"/>
        <v>0</v>
      </c>
      <c r="D1179" s="121">
        <f>ROUND(C1179*'FR_Mantenimiento tasas'!$C$43/360,5)</f>
        <v>0</v>
      </c>
      <c r="E1179" s="121">
        <f>ROUND(C1179*'FR_Mantenimiento tasas'!$D$43/360,5)</f>
        <v>0</v>
      </c>
    </row>
    <row r="1180" spans="1:5">
      <c r="A1180" s="123">
        <f t="shared" si="36"/>
        <v>1178</v>
      </c>
      <c r="B1180" s="122">
        <f>IF(DAY(A1180)=DAY('F-Ahorro Futuro Genérico'!$H$11),'F-Ahorro Futuro Genérico'!$H$9,0)</f>
        <v>0</v>
      </c>
      <c r="C1180" s="122">
        <f t="shared" si="37"/>
        <v>0</v>
      </c>
      <c r="D1180" s="121">
        <f>ROUND(C1180*'FR_Mantenimiento tasas'!$C$43/360,5)</f>
        <v>0</v>
      </c>
      <c r="E1180" s="121">
        <f>ROUND(C1180*'FR_Mantenimiento tasas'!$D$43/360,5)</f>
        <v>0</v>
      </c>
    </row>
    <row r="1181" spans="1:5">
      <c r="A1181" s="123">
        <f t="shared" si="36"/>
        <v>1179</v>
      </c>
      <c r="B1181" s="122">
        <f>IF(DAY(A1181)=DAY('F-Ahorro Futuro Genérico'!$H$11),'F-Ahorro Futuro Genérico'!$H$9,0)</f>
        <v>0</v>
      </c>
      <c r="C1181" s="122">
        <f t="shared" si="37"/>
        <v>0</v>
      </c>
      <c r="D1181" s="121">
        <f>ROUND(C1181*'FR_Mantenimiento tasas'!$C$43/360,5)</f>
        <v>0</v>
      </c>
      <c r="E1181" s="121">
        <f>ROUND(C1181*'FR_Mantenimiento tasas'!$D$43/360,5)</f>
        <v>0</v>
      </c>
    </row>
    <row r="1182" spans="1:5">
      <c r="A1182" s="123">
        <f t="shared" si="36"/>
        <v>1180</v>
      </c>
      <c r="B1182" s="122">
        <f>IF(DAY(A1182)=DAY('F-Ahorro Futuro Genérico'!$H$11),'F-Ahorro Futuro Genérico'!$H$9,0)</f>
        <v>0</v>
      </c>
      <c r="C1182" s="122">
        <f t="shared" si="37"/>
        <v>0</v>
      </c>
      <c r="D1182" s="121">
        <f>ROUND(C1182*'FR_Mantenimiento tasas'!$C$43/360,5)</f>
        <v>0</v>
      </c>
      <c r="E1182" s="121">
        <f>ROUND(C1182*'FR_Mantenimiento tasas'!$D$43/360,5)</f>
        <v>0</v>
      </c>
    </row>
    <row r="1183" spans="1:5">
      <c r="A1183" s="123">
        <f t="shared" si="36"/>
        <v>1181</v>
      </c>
      <c r="B1183" s="122">
        <f>IF(DAY(A1183)=DAY('F-Ahorro Futuro Genérico'!$H$11),'F-Ahorro Futuro Genérico'!$H$9,0)</f>
        <v>0</v>
      </c>
      <c r="C1183" s="122">
        <f t="shared" si="37"/>
        <v>0</v>
      </c>
      <c r="D1183" s="121">
        <f>ROUND(C1183*'FR_Mantenimiento tasas'!$C$43/360,5)</f>
        <v>0</v>
      </c>
      <c r="E1183" s="121">
        <f>ROUND(C1183*'FR_Mantenimiento tasas'!$D$43/360,5)</f>
        <v>0</v>
      </c>
    </row>
    <row r="1184" spans="1:5">
      <c r="A1184" s="123">
        <f t="shared" si="36"/>
        <v>1182</v>
      </c>
      <c r="B1184" s="122">
        <f>IF(DAY(A1184)=DAY('F-Ahorro Futuro Genérico'!$H$11),'F-Ahorro Futuro Genérico'!$H$9,0)</f>
        <v>0</v>
      </c>
      <c r="C1184" s="122">
        <f t="shared" si="37"/>
        <v>0</v>
      </c>
      <c r="D1184" s="121">
        <f>ROUND(C1184*'FR_Mantenimiento tasas'!$C$43/360,5)</f>
        <v>0</v>
      </c>
      <c r="E1184" s="121">
        <f>ROUND(C1184*'FR_Mantenimiento tasas'!$D$43/360,5)</f>
        <v>0</v>
      </c>
    </row>
    <row r="1185" spans="1:5">
      <c r="A1185" s="123">
        <f t="shared" si="36"/>
        <v>1183</v>
      </c>
      <c r="B1185" s="122">
        <f>IF(DAY(A1185)=DAY('F-Ahorro Futuro Genérico'!$H$11),'F-Ahorro Futuro Genérico'!$H$9,0)</f>
        <v>0</v>
      </c>
      <c r="C1185" s="122">
        <f t="shared" si="37"/>
        <v>0</v>
      </c>
      <c r="D1185" s="121">
        <f>ROUND(C1185*'FR_Mantenimiento tasas'!$C$43/360,5)</f>
        <v>0</v>
      </c>
      <c r="E1185" s="121">
        <f>ROUND(C1185*'FR_Mantenimiento tasas'!$D$43/360,5)</f>
        <v>0</v>
      </c>
    </row>
    <row r="1186" spans="1:5">
      <c r="A1186" s="123">
        <f t="shared" si="36"/>
        <v>1184</v>
      </c>
      <c r="B1186" s="122">
        <f>IF(DAY(A1186)=DAY('F-Ahorro Futuro Genérico'!$H$11),'F-Ahorro Futuro Genérico'!$H$9,0)</f>
        <v>0</v>
      </c>
      <c r="C1186" s="122">
        <f t="shared" si="37"/>
        <v>0</v>
      </c>
      <c r="D1186" s="121">
        <f>ROUND(C1186*'FR_Mantenimiento tasas'!$C$43/360,5)</f>
        <v>0</v>
      </c>
      <c r="E1186" s="121">
        <f>ROUND(C1186*'FR_Mantenimiento tasas'!$D$43/360,5)</f>
        <v>0</v>
      </c>
    </row>
    <row r="1187" spans="1:5">
      <c r="A1187" s="123">
        <f t="shared" si="36"/>
        <v>1185</v>
      </c>
      <c r="B1187" s="122">
        <f>IF(DAY(A1187)=DAY('F-Ahorro Futuro Genérico'!$H$11),'F-Ahorro Futuro Genérico'!$H$9,0)</f>
        <v>0</v>
      </c>
      <c r="C1187" s="122">
        <f t="shared" si="37"/>
        <v>0</v>
      </c>
      <c r="D1187" s="121">
        <f>ROUND(C1187*'FR_Mantenimiento tasas'!$C$43/360,5)</f>
        <v>0</v>
      </c>
      <c r="E1187" s="121">
        <f>ROUND(C1187*'FR_Mantenimiento tasas'!$D$43/360,5)</f>
        <v>0</v>
      </c>
    </row>
    <row r="1188" spans="1:5">
      <c r="A1188" s="123">
        <f t="shared" si="36"/>
        <v>1186</v>
      </c>
      <c r="B1188" s="122">
        <f>IF(DAY(A1188)=DAY('F-Ahorro Futuro Genérico'!$H$11),'F-Ahorro Futuro Genérico'!$H$9,0)</f>
        <v>0</v>
      </c>
      <c r="C1188" s="122">
        <f t="shared" si="37"/>
        <v>0</v>
      </c>
      <c r="D1188" s="121">
        <f>ROUND(C1188*'FR_Mantenimiento tasas'!$C$43/360,5)</f>
        <v>0</v>
      </c>
      <c r="E1188" s="121">
        <f>ROUND(C1188*'FR_Mantenimiento tasas'!$D$43/360,5)</f>
        <v>0</v>
      </c>
    </row>
    <row r="1189" spans="1:5">
      <c r="A1189" s="123">
        <f t="shared" si="36"/>
        <v>1187</v>
      </c>
      <c r="B1189" s="122">
        <f>IF(DAY(A1189)=DAY('F-Ahorro Futuro Genérico'!$H$11),'F-Ahorro Futuro Genérico'!$H$9,0)</f>
        <v>0</v>
      </c>
      <c r="C1189" s="122">
        <f t="shared" si="37"/>
        <v>0</v>
      </c>
      <c r="D1189" s="121">
        <f>ROUND(C1189*'FR_Mantenimiento tasas'!$C$43/360,5)</f>
        <v>0</v>
      </c>
      <c r="E1189" s="121">
        <f>ROUND(C1189*'FR_Mantenimiento tasas'!$D$43/360,5)</f>
        <v>0</v>
      </c>
    </row>
    <row r="1190" spans="1:5">
      <c r="A1190" s="123">
        <f t="shared" si="36"/>
        <v>1188</v>
      </c>
      <c r="B1190" s="122">
        <f>IF(DAY(A1190)=DAY('F-Ahorro Futuro Genérico'!$H$11),'F-Ahorro Futuro Genérico'!$H$9,0)</f>
        <v>0</v>
      </c>
      <c r="C1190" s="122">
        <f t="shared" si="37"/>
        <v>0</v>
      </c>
      <c r="D1190" s="121">
        <f>ROUND(C1190*'FR_Mantenimiento tasas'!$C$43/360,5)</f>
        <v>0</v>
      </c>
      <c r="E1190" s="121">
        <f>ROUND(C1190*'FR_Mantenimiento tasas'!$D$43/360,5)</f>
        <v>0</v>
      </c>
    </row>
    <row r="1191" spans="1:5">
      <c r="A1191" s="123">
        <f t="shared" si="36"/>
        <v>1189</v>
      </c>
      <c r="B1191" s="122">
        <f>IF(DAY(A1191)=DAY('F-Ahorro Futuro Genérico'!$H$11),'F-Ahorro Futuro Genérico'!$H$9,0)</f>
        <v>0</v>
      </c>
      <c r="C1191" s="122">
        <f t="shared" si="37"/>
        <v>0</v>
      </c>
      <c r="D1191" s="121">
        <f>ROUND(C1191*'FR_Mantenimiento tasas'!$C$43/360,5)</f>
        <v>0</v>
      </c>
      <c r="E1191" s="121">
        <f>ROUND(C1191*'FR_Mantenimiento tasas'!$D$43/360,5)</f>
        <v>0</v>
      </c>
    </row>
    <row r="1192" spans="1:5">
      <c r="A1192" s="123">
        <f t="shared" si="36"/>
        <v>1190</v>
      </c>
      <c r="B1192" s="122">
        <f>IF(DAY(A1192)=DAY('F-Ahorro Futuro Genérico'!$H$11),'F-Ahorro Futuro Genérico'!$H$9,0)</f>
        <v>0</v>
      </c>
      <c r="C1192" s="122">
        <f t="shared" si="37"/>
        <v>0</v>
      </c>
      <c r="D1192" s="121">
        <f>ROUND(C1192*'FR_Mantenimiento tasas'!$C$43/360,5)</f>
        <v>0</v>
      </c>
      <c r="E1192" s="121">
        <f>ROUND(C1192*'FR_Mantenimiento tasas'!$D$43/360,5)</f>
        <v>0</v>
      </c>
    </row>
    <row r="1193" spans="1:5">
      <c r="A1193" s="123">
        <f t="shared" si="36"/>
        <v>1191</v>
      </c>
      <c r="B1193" s="122">
        <f>IF(DAY(A1193)=DAY('F-Ahorro Futuro Genérico'!$H$11),'F-Ahorro Futuro Genérico'!$H$9,0)</f>
        <v>0</v>
      </c>
      <c r="C1193" s="122">
        <f t="shared" si="37"/>
        <v>0</v>
      </c>
      <c r="D1193" s="121">
        <f>ROUND(C1193*'FR_Mantenimiento tasas'!$C$43/360,5)</f>
        <v>0</v>
      </c>
      <c r="E1193" s="121">
        <f>ROUND(C1193*'FR_Mantenimiento tasas'!$D$43/360,5)</f>
        <v>0</v>
      </c>
    </row>
    <row r="1194" spans="1:5">
      <c r="A1194" s="123">
        <f t="shared" si="36"/>
        <v>1192</v>
      </c>
      <c r="B1194" s="122">
        <f>IF(DAY(A1194)=DAY('F-Ahorro Futuro Genérico'!$H$11),'F-Ahorro Futuro Genérico'!$H$9,0)</f>
        <v>0</v>
      </c>
      <c r="C1194" s="122">
        <f t="shared" si="37"/>
        <v>0</v>
      </c>
      <c r="D1194" s="121">
        <f>ROUND(C1194*'FR_Mantenimiento tasas'!$C$43/360,5)</f>
        <v>0</v>
      </c>
      <c r="E1194" s="121">
        <f>ROUND(C1194*'FR_Mantenimiento tasas'!$D$43/360,5)</f>
        <v>0</v>
      </c>
    </row>
    <row r="1195" spans="1:5">
      <c r="A1195" s="123">
        <f t="shared" si="36"/>
        <v>1193</v>
      </c>
      <c r="B1195" s="122">
        <f>IF(DAY(A1195)=DAY('F-Ahorro Futuro Genérico'!$H$11),'F-Ahorro Futuro Genérico'!$H$9,0)</f>
        <v>0</v>
      </c>
      <c r="C1195" s="122">
        <f t="shared" si="37"/>
        <v>0</v>
      </c>
      <c r="D1195" s="121">
        <f>ROUND(C1195*'FR_Mantenimiento tasas'!$C$43/360,5)</f>
        <v>0</v>
      </c>
      <c r="E1195" s="121">
        <f>ROUND(C1195*'FR_Mantenimiento tasas'!$D$43/360,5)</f>
        <v>0</v>
      </c>
    </row>
    <row r="1196" spans="1:5">
      <c r="A1196" s="123">
        <f t="shared" si="36"/>
        <v>1194</v>
      </c>
      <c r="B1196" s="122">
        <f>IF(DAY(A1196)=DAY('F-Ahorro Futuro Genérico'!$H$11),'F-Ahorro Futuro Genérico'!$H$9,0)</f>
        <v>0</v>
      </c>
      <c r="C1196" s="122">
        <f t="shared" si="37"/>
        <v>0</v>
      </c>
      <c r="D1196" s="121">
        <f>ROUND(C1196*'FR_Mantenimiento tasas'!$C$43/360,5)</f>
        <v>0</v>
      </c>
      <c r="E1196" s="121">
        <f>ROUND(C1196*'FR_Mantenimiento tasas'!$D$43/360,5)</f>
        <v>0</v>
      </c>
    </row>
    <row r="1197" spans="1:5">
      <c r="A1197" s="123">
        <f t="shared" si="36"/>
        <v>1195</v>
      </c>
      <c r="B1197" s="122">
        <f>IF(DAY(A1197)=DAY('F-Ahorro Futuro Genérico'!$H$11),'F-Ahorro Futuro Genérico'!$H$9,0)</f>
        <v>0</v>
      </c>
      <c r="C1197" s="122">
        <f t="shared" si="37"/>
        <v>0</v>
      </c>
      <c r="D1197" s="121">
        <f>ROUND(C1197*'FR_Mantenimiento tasas'!$C$43/360,5)</f>
        <v>0</v>
      </c>
      <c r="E1197" s="121">
        <f>ROUND(C1197*'FR_Mantenimiento tasas'!$D$43/360,5)</f>
        <v>0</v>
      </c>
    </row>
    <row r="1198" spans="1:5">
      <c r="A1198" s="123">
        <f t="shared" si="36"/>
        <v>1196</v>
      </c>
      <c r="B1198" s="122">
        <f>IF(DAY(A1198)=DAY('F-Ahorro Futuro Genérico'!$H$11),'F-Ahorro Futuro Genérico'!$H$9,0)</f>
        <v>0</v>
      </c>
      <c r="C1198" s="122">
        <f t="shared" si="37"/>
        <v>0</v>
      </c>
      <c r="D1198" s="121">
        <f>ROUND(C1198*'FR_Mantenimiento tasas'!$C$43/360,5)</f>
        <v>0</v>
      </c>
      <c r="E1198" s="121">
        <f>ROUND(C1198*'FR_Mantenimiento tasas'!$D$43/360,5)</f>
        <v>0</v>
      </c>
    </row>
    <row r="1199" spans="1:5">
      <c r="A1199" s="123">
        <f t="shared" si="36"/>
        <v>1197</v>
      </c>
      <c r="B1199" s="122">
        <f>IF(DAY(A1199)=DAY('F-Ahorro Futuro Genérico'!$H$11),'F-Ahorro Futuro Genérico'!$H$9,0)</f>
        <v>0</v>
      </c>
      <c r="C1199" s="122">
        <f t="shared" si="37"/>
        <v>0</v>
      </c>
      <c r="D1199" s="121">
        <f>ROUND(C1199*'FR_Mantenimiento tasas'!$C$43/360,5)</f>
        <v>0</v>
      </c>
      <c r="E1199" s="121">
        <f>ROUND(C1199*'FR_Mantenimiento tasas'!$D$43/360,5)</f>
        <v>0</v>
      </c>
    </row>
    <row r="1200" spans="1:5">
      <c r="A1200" s="123">
        <f t="shared" si="36"/>
        <v>1198</v>
      </c>
      <c r="B1200" s="122">
        <f>IF(DAY(A1200)=DAY('F-Ahorro Futuro Genérico'!$H$11),'F-Ahorro Futuro Genérico'!$H$9,0)</f>
        <v>0</v>
      </c>
      <c r="C1200" s="122">
        <f t="shared" si="37"/>
        <v>0</v>
      </c>
      <c r="D1200" s="121">
        <f>ROUND(C1200*'FR_Mantenimiento tasas'!$C$43/360,5)</f>
        <v>0</v>
      </c>
      <c r="E1200" s="121">
        <f>ROUND(C1200*'FR_Mantenimiento tasas'!$D$43/360,5)</f>
        <v>0</v>
      </c>
    </row>
    <row r="1201" spans="1:5">
      <c r="A1201" s="123">
        <f t="shared" si="36"/>
        <v>1199</v>
      </c>
      <c r="B1201" s="122">
        <f>IF(DAY(A1201)=DAY('F-Ahorro Futuro Genérico'!$H$11),'F-Ahorro Futuro Genérico'!$H$9,0)</f>
        <v>0</v>
      </c>
      <c r="C1201" s="122">
        <f t="shared" si="37"/>
        <v>0</v>
      </c>
      <c r="D1201" s="121">
        <f>ROUND(C1201*'FR_Mantenimiento tasas'!$C$43/360,5)</f>
        <v>0</v>
      </c>
      <c r="E1201" s="121">
        <f>ROUND(C1201*'FR_Mantenimiento tasas'!$D$43/360,5)</f>
        <v>0</v>
      </c>
    </row>
    <row r="1202" spans="1:5">
      <c r="A1202" s="123">
        <f t="shared" si="36"/>
        <v>1200</v>
      </c>
      <c r="B1202" s="122">
        <f>IF(DAY(A1202)=DAY('F-Ahorro Futuro Genérico'!$H$11),'F-Ahorro Futuro Genérico'!$H$9,0)</f>
        <v>0</v>
      </c>
      <c r="C1202" s="122">
        <f t="shared" si="37"/>
        <v>0</v>
      </c>
      <c r="D1202" s="121">
        <f>ROUND(C1202*'FR_Mantenimiento tasas'!$C$43/360,5)</f>
        <v>0</v>
      </c>
      <c r="E1202" s="121">
        <f>ROUND(C1202*'FR_Mantenimiento tasas'!$D$43/360,5)</f>
        <v>0</v>
      </c>
    </row>
    <row r="1203" spans="1:5">
      <c r="A1203" s="123">
        <f t="shared" si="36"/>
        <v>1201</v>
      </c>
      <c r="B1203" s="122">
        <f>IF(DAY(A1203)=DAY('F-Ahorro Futuro Genérico'!$H$11),'F-Ahorro Futuro Genérico'!$H$9,0)</f>
        <v>0</v>
      </c>
      <c r="C1203" s="122">
        <f t="shared" si="37"/>
        <v>0</v>
      </c>
      <c r="D1203" s="121">
        <f>ROUND(C1203*'FR_Mantenimiento tasas'!$C$43/360,5)</f>
        <v>0</v>
      </c>
      <c r="E1203" s="121">
        <f>ROUND(C1203*'FR_Mantenimiento tasas'!$D$43/360,5)</f>
        <v>0</v>
      </c>
    </row>
    <row r="1204" spans="1:5">
      <c r="A1204" s="123">
        <f t="shared" si="36"/>
        <v>1202</v>
      </c>
      <c r="B1204" s="122">
        <f>IF(DAY(A1204)=DAY('F-Ahorro Futuro Genérico'!$H$11),'F-Ahorro Futuro Genérico'!$H$9,0)</f>
        <v>0</v>
      </c>
      <c r="C1204" s="122">
        <f t="shared" si="37"/>
        <v>0</v>
      </c>
      <c r="D1204" s="121">
        <f>ROUND(C1204*'FR_Mantenimiento tasas'!$C$43/360,5)</f>
        <v>0</v>
      </c>
      <c r="E1204" s="121">
        <f>ROUND(C1204*'FR_Mantenimiento tasas'!$D$43/360,5)</f>
        <v>0</v>
      </c>
    </row>
    <row r="1205" spans="1:5">
      <c r="A1205" s="123">
        <f t="shared" si="36"/>
        <v>1203</v>
      </c>
      <c r="B1205" s="122">
        <f>IF(DAY(A1205)=DAY('F-Ahorro Futuro Genérico'!$H$11),'F-Ahorro Futuro Genérico'!$H$9,0)</f>
        <v>0</v>
      </c>
      <c r="C1205" s="122">
        <f t="shared" si="37"/>
        <v>0</v>
      </c>
      <c r="D1205" s="121">
        <f>ROUND(C1205*'FR_Mantenimiento tasas'!$C$43/360,5)</f>
        <v>0</v>
      </c>
      <c r="E1205" s="121">
        <f>ROUND(C1205*'FR_Mantenimiento tasas'!$D$43/360,5)</f>
        <v>0</v>
      </c>
    </row>
    <row r="1206" spans="1:5">
      <c r="A1206" s="123">
        <f t="shared" si="36"/>
        <v>1204</v>
      </c>
      <c r="B1206" s="122">
        <f>IF(DAY(A1206)=DAY('F-Ahorro Futuro Genérico'!$H$11),'F-Ahorro Futuro Genérico'!$H$9,0)</f>
        <v>0</v>
      </c>
      <c r="C1206" s="122">
        <f t="shared" si="37"/>
        <v>0</v>
      </c>
      <c r="D1206" s="121">
        <f>ROUND(C1206*'FR_Mantenimiento tasas'!$C$43/360,5)</f>
        <v>0</v>
      </c>
      <c r="E1206" s="121">
        <f>ROUND(C1206*'FR_Mantenimiento tasas'!$D$43/360,5)</f>
        <v>0</v>
      </c>
    </row>
    <row r="1207" spans="1:5">
      <c r="A1207" s="123">
        <f t="shared" si="36"/>
        <v>1205</v>
      </c>
      <c r="B1207" s="122">
        <f>IF(DAY(A1207)=DAY('F-Ahorro Futuro Genérico'!$H$11),'F-Ahorro Futuro Genérico'!$H$9,0)</f>
        <v>0</v>
      </c>
      <c r="C1207" s="122">
        <f t="shared" si="37"/>
        <v>0</v>
      </c>
      <c r="D1207" s="121">
        <f>ROUND(C1207*'FR_Mantenimiento tasas'!$C$43/360,5)</f>
        <v>0</v>
      </c>
      <c r="E1207" s="121">
        <f>ROUND(C1207*'FR_Mantenimiento tasas'!$D$43/360,5)</f>
        <v>0</v>
      </c>
    </row>
    <row r="1208" spans="1:5">
      <c r="A1208" s="123">
        <f t="shared" si="36"/>
        <v>1206</v>
      </c>
      <c r="B1208" s="122">
        <f>IF(DAY(A1208)=DAY('F-Ahorro Futuro Genérico'!$H$11),'F-Ahorro Futuro Genérico'!$H$9,0)</f>
        <v>0</v>
      </c>
      <c r="C1208" s="122">
        <f t="shared" si="37"/>
        <v>0</v>
      </c>
      <c r="D1208" s="121">
        <f>ROUND(C1208*'FR_Mantenimiento tasas'!$C$43/360,5)</f>
        <v>0</v>
      </c>
      <c r="E1208" s="121">
        <f>ROUND(C1208*'FR_Mantenimiento tasas'!$D$43/360,5)</f>
        <v>0</v>
      </c>
    </row>
    <row r="1209" spans="1:5">
      <c r="A1209" s="123">
        <f t="shared" si="36"/>
        <v>1207</v>
      </c>
      <c r="B1209" s="122">
        <f>IF(DAY(A1209)=DAY('F-Ahorro Futuro Genérico'!$H$11),'F-Ahorro Futuro Genérico'!$H$9,0)</f>
        <v>0</v>
      </c>
      <c r="C1209" s="122">
        <f t="shared" si="37"/>
        <v>0</v>
      </c>
      <c r="D1209" s="121">
        <f>ROUND(C1209*'FR_Mantenimiento tasas'!$C$43/360,5)</f>
        <v>0</v>
      </c>
      <c r="E1209" s="121">
        <f>ROUND(C1209*'FR_Mantenimiento tasas'!$D$43/360,5)</f>
        <v>0</v>
      </c>
    </row>
    <row r="1210" spans="1:5">
      <c r="A1210" s="123">
        <f t="shared" si="36"/>
        <v>1208</v>
      </c>
      <c r="B1210" s="122">
        <f>IF(DAY(A1210)=DAY('F-Ahorro Futuro Genérico'!$H$11),'F-Ahorro Futuro Genérico'!$H$9,0)</f>
        <v>0</v>
      </c>
      <c r="C1210" s="122">
        <f t="shared" si="37"/>
        <v>0</v>
      </c>
      <c r="D1210" s="121">
        <f>ROUND(C1210*'FR_Mantenimiento tasas'!$C$43/360,5)</f>
        <v>0</v>
      </c>
      <c r="E1210" s="121">
        <f>ROUND(C1210*'FR_Mantenimiento tasas'!$D$43/360,5)</f>
        <v>0</v>
      </c>
    </row>
    <row r="1211" spans="1:5">
      <c r="A1211" s="123">
        <f t="shared" si="36"/>
        <v>1209</v>
      </c>
      <c r="B1211" s="122">
        <f>IF(DAY(A1211)=DAY('F-Ahorro Futuro Genérico'!$H$11),'F-Ahorro Futuro Genérico'!$H$9,0)</f>
        <v>0</v>
      </c>
      <c r="C1211" s="122">
        <f t="shared" si="37"/>
        <v>0</v>
      </c>
      <c r="D1211" s="121">
        <f>ROUND(C1211*'FR_Mantenimiento tasas'!$C$43/360,5)</f>
        <v>0</v>
      </c>
      <c r="E1211" s="121">
        <f>ROUND(C1211*'FR_Mantenimiento tasas'!$D$43/360,5)</f>
        <v>0</v>
      </c>
    </row>
    <row r="1212" spans="1:5">
      <c r="A1212" s="123">
        <f t="shared" si="36"/>
        <v>1210</v>
      </c>
      <c r="B1212" s="122">
        <f>IF(DAY(A1212)=DAY('F-Ahorro Futuro Genérico'!$H$11),'F-Ahorro Futuro Genérico'!$H$9,0)</f>
        <v>0</v>
      </c>
      <c r="C1212" s="122">
        <f t="shared" si="37"/>
        <v>0</v>
      </c>
      <c r="D1212" s="121">
        <f>ROUND(C1212*'FR_Mantenimiento tasas'!$C$43/360,5)</f>
        <v>0</v>
      </c>
      <c r="E1212" s="121">
        <f>ROUND(C1212*'FR_Mantenimiento tasas'!$D$43/360,5)</f>
        <v>0</v>
      </c>
    </row>
    <row r="1213" spans="1:5">
      <c r="A1213" s="123">
        <f t="shared" si="36"/>
        <v>1211</v>
      </c>
      <c r="B1213" s="122">
        <f>IF(DAY(A1213)=DAY('F-Ahorro Futuro Genérico'!$H$11),'F-Ahorro Futuro Genérico'!$H$9,0)</f>
        <v>0</v>
      </c>
      <c r="C1213" s="122">
        <f t="shared" si="37"/>
        <v>0</v>
      </c>
      <c r="D1213" s="121">
        <f>ROUND(C1213*'FR_Mantenimiento tasas'!$C$43/360,5)</f>
        <v>0</v>
      </c>
      <c r="E1213" s="121">
        <f>ROUND(C1213*'FR_Mantenimiento tasas'!$D$43/360,5)</f>
        <v>0</v>
      </c>
    </row>
    <row r="1214" spans="1:5">
      <c r="A1214" s="123">
        <f t="shared" si="36"/>
        <v>1212</v>
      </c>
      <c r="B1214" s="122">
        <f>IF(DAY(A1214)=DAY('F-Ahorro Futuro Genérico'!$H$11),'F-Ahorro Futuro Genérico'!$H$9,0)</f>
        <v>0</v>
      </c>
      <c r="C1214" s="122">
        <f t="shared" si="37"/>
        <v>0</v>
      </c>
      <c r="D1214" s="121">
        <f>ROUND(C1214*'FR_Mantenimiento tasas'!$C$43/360,5)</f>
        <v>0</v>
      </c>
      <c r="E1214" s="121">
        <f>ROUND(C1214*'FR_Mantenimiento tasas'!$D$43/360,5)</f>
        <v>0</v>
      </c>
    </row>
    <row r="1215" spans="1:5">
      <c r="A1215" s="123">
        <f t="shared" si="36"/>
        <v>1213</v>
      </c>
      <c r="B1215" s="122">
        <f>IF(DAY(A1215)=DAY('F-Ahorro Futuro Genérico'!$H$11),'F-Ahorro Futuro Genérico'!$H$9,0)</f>
        <v>0</v>
      </c>
      <c r="C1215" s="122">
        <f t="shared" si="37"/>
        <v>0</v>
      </c>
      <c r="D1215" s="121">
        <f>ROUND(C1215*'FR_Mantenimiento tasas'!$C$43/360,5)</f>
        <v>0</v>
      </c>
      <c r="E1215" s="121">
        <f>ROUND(C1215*'FR_Mantenimiento tasas'!$D$43/360,5)</f>
        <v>0</v>
      </c>
    </row>
    <row r="1216" spans="1:5">
      <c r="A1216" s="123">
        <f t="shared" si="36"/>
        <v>1214</v>
      </c>
      <c r="B1216" s="122">
        <f>IF(DAY(A1216)=DAY('F-Ahorro Futuro Genérico'!$H$11),'F-Ahorro Futuro Genérico'!$H$9,0)</f>
        <v>0</v>
      </c>
      <c r="C1216" s="122">
        <f t="shared" si="37"/>
        <v>0</v>
      </c>
      <c r="D1216" s="121">
        <f>ROUND(C1216*'FR_Mantenimiento tasas'!$C$43/360,5)</f>
        <v>0</v>
      </c>
      <c r="E1216" s="121">
        <f>ROUND(C1216*'FR_Mantenimiento tasas'!$D$43/360,5)</f>
        <v>0</v>
      </c>
    </row>
    <row r="1217" spans="1:5">
      <c r="A1217" s="123">
        <f t="shared" si="36"/>
        <v>1215</v>
      </c>
      <c r="B1217" s="122">
        <f>IF(DAY(A1217)=DAY('F-Ahorro Futuro Genérico'!$H$11),'F-Ahorro Futuro Genérico'!$H$9,0)</f>
        <v>0</v>
      </c>
      <c r="C1217" s="122">
        <f t="shared" si="37"/>
        <v>0</v>
      </c>
      <c r="D1217" s="121">
        <f>ROUND(C1217*'FR_Mantenimiento tasas'!$C$43/360,5)</f>
        <v>0</v>
      </c>
      <c r="E1217" s="121">
        <f>ROUND(C1217*'FR_Mantenimiento tasas'!$D$43/360,5)</f>
        <v>0</v>
      </c>
    </row>
    <row r="1218" spans="1:5">
      <c r="A1218" s="123">
        <f t="shared" si="36"/>
        <v>1216</v>
      </c>
      <c r="B1218" s="122">
        <f>IF(DAY(A1218)=DAY('F-Ahorro Futuro Genérico'!$H$11),'F-Ahorro Futuro Genérico'!$H$9,0)</f>
        <v>0</v>
      </c>
      <c r="C1218" s="122">
        <f t="shared" si="37"/>
        <v>0</v>
      </c>
      <c r="D1218" s="121">
        <f>ROUND(C1218*'FR_Mantenimiento tasas'!$C$43/360,5)</f>
        <v>0</v>
      </c>
      <c r="E1218" s="121">
        <f>ROUND(C1218*'FR_Mantenimiento tasas'!$D$43/360,5)</f>
        <v>0</v>
      </c>
    </row>
    <row r="1219" spans="1:5">
      <c r="A1219" s="123">
        <f t="shared" si="36"/>
        <v>1217</v>
      </c>
      <c r="B1219" s="122">
        <f>IF(DAY(A1219)=DAY('F-Ahorro Futuro Genérico'!$H$11),'F-Ahorro Futuro Genérico'!$H$9,0)</f>
        <v>0</v>
      </c>
      <c r="C1219" s="122">
        <f t="shared" si="37"/>
        <v>0</v>
      </c>
      <c r="D1219" s="121">
        <f>ROUND(C1219*'FR_Mantenimiento tasas'!$C$43/360,5)</f>
        <v>0</v>
      </c>
      <c r="E1219" s="121">
        <f>ROUND(C1219*'FR_Mantenimiento tasas'!$D$43/360,5)</f>
        <v>0</v>
      </c>
    </row>
    <row r="1220" spans="1:5">
      <c r="A1220" s="123">
        <f t="shared" ref="A1220:A1283" si="38">+A1219+1</f>
        <v>1218</v>
      </c>
      <c r="B1220" s="122">
        <f>IF(DAY(A1220)=DAY('F-Ahorro Futuro Genérico'!$H$11),'F-Ahorro Futuro Genérico'!$H$9,0)</f>
        <v>0</v>
      </c>
      <c r="C1220" s="122">
        <f t="shared" ref="C1220:C1283" si="39">+B1220+C1219+D1219</f>
        <v>0</v>
      </c>
      <c r="D1220" s="121">
        <f>ROUND(C1220*'FR_Mantenimiento tasas'!$C$43/360,5)</f>
        <v>0</v>
      </c>
      <c r="E1220" s="121">
        <f>ROUND(C1220*'FR_Mantenimiento tasas'!$D$43/360,5)</f>
        <v>0</v>
      </c>
    </row>
    <row r="1221" spans="1:5">
      <c r="A1221" s="123">
        <f t="shared" si="38"/>
        <v>1219</v>
      </c>
      <c r="B1221" s="122">
        <f>IF(DAY(A1221)=DAY('F-Ahorro Futuro Genérico'!$H$11),'F-Ahorro Futuro Genérico'!$H$9,0)</f>
        <v>0</v>
      </c>
      <c r="C1221" s="122">
        <f t="shared" si="39"/>
        <v>0</v>
      </c>
      <c r="D1221" s="121">
        <f>ROUND(C1221*'FR_Mantenimiento tasas'!$C$43/360,5)</f>
        <v>0</v>
      </c>
      <c r="E1221" s="121">
        <f>ROUND(C1221*'FR_Mantenimiento tasas'!$D$43/360,5)</f>
        <v>0</v>
      </c>
    </row>
    <row r="1222" spans="1:5">
      <c r="A1222" s="123">
        <f t="shared" si="38"/>
        <v>1220</v>
      </c>
      <c r="B1222" s="122">
        <f>IF(DAY(A1222)=DAY('F-Ahorro Futuro Genérico'!$H$11),'F-Ahorro Futuro Genérico'!$H$9,0)</f>
        <v>0</v>
      </c>
      <c r="C1222" s="122">
        <f t="shared" si="39"/>
        <v>0</v>
      </c>
      <c r="D1222" s="121">
        <f>ROUND(C1222*'FR_Mantenimiento tasas'!$C$43/360,5)</f>
        <v>0</v>
      </c>
      <c r="E1222" s="121">
        <f>ROUND(C1222*'FR_Mantenimiento tasas'!$D$43/360,5)</f>
        <v>0</v>
      </c>
    </row>
    <row r="1223" spans="1:5">
      <c r="A1223" s="123">
        <f t="shared" si="38"/>
        <v>1221</v>
      </c>
      <c r="B1223" s="122">
        <f>IF(DAY(A1223)=DAY('F-Ahorro Futuro Genérico'!$H$11),'F-Ahorro Futuro Genérico'!$H$9,0)</f>
        <v>0</v>
      </c>
      <c r="C1223" s="122">
        <f t="shared" si="39"/>
        <v>0</v>
      </c>
      <c r="D1223" s="121">
        <f>ROUND(C1223*'FR_Mantenimiento tasas'!$C$43/360,5)</f>
        <v>0</v>
      </c>
      <c r="E1223" s="121">
        <f>ROUND(C1223*'FR_Mantenimiento tasas'!$D$43/360,5)</f>
        <v>0</v>
      </c>
    </row>
    <row r="1224" spans="1:5">
      <c r="A1224" s="123">
        <f t="shared" si="38"/>
        <v>1222</v>
      </c>
      <c r="B1224" s="122">
        <f>IF(DAY(A1224)=DAY('F-Ahorro Futuro Genérico'!$H$11),'F-Ahorro Futuro Genérico'!$H$9,0)</f>
        <v>0</v>
      </c>
      <c r="C1224" s="122">
        <f t="shared" si="39"/>
        <v>0</v>
      </c>
      <c r="D1224" s="121">
        <f>ROUND(C1224*'FR_Mantenimiento tasas'!$C$43/360,5)</f>
        <v>0</v>
      </c>
      <c r="E1224" s="121">
        <f>ROUND(C1224*'FR_Mantenimiento tasas'!$D$43/360,5)</f>
        <v>0</v>
      </c>
    </row>
    <row r="1225" spans="1:5">
      <c r="A1225" s="123">
        <f t="shared" si="38"/>
        <v>1223</v>
      </c>
      <c r="B1225" s="122">
        <f>IF(DAY(A1225)=DAY('F-Ahorro Futuro Genérico'!$H$11),'F-Ahorro Futuro Genérico'!$H$9,0)</f>
        <v>0</v>
      </c>
      <c r="C1225" s="122">
        <f t="shared" si="39"/>
        <v>0</v>
      </c>
      <c r="D1225" s="121">
        <f>ROUND(C1225*'FR_Mantenimiento tasas'!$C$43/360,5)</f>
        <v>0</v>
      </c>
      <c r="E1225" s="121">
        <f>ROUND(C1225*'FR_Mantenimiento tasas'!$D$43/360,5)</f>
        <v>0</v>
      </c>
    </row>
    <row r="1226" spans="1:5">
      <c r="A1226" s="123">
        <f t="shared" si="38"/>
        <v>1224</v>
      </c>
      <c r="B1226" s="122">
        <f>IF(DAY(A1226)=DAY('F-Ahorro Futuro Genérico'!$H$11),'F-Ahorro Futuro Genérico'!$H$9,0)</f>
        <v>0</v>
      </c>
      <c r="C1226" s="122">
        <f t="shared" si="39"/>
        <v>0</v>
      </c>
      <c r="D1226" s="121">
        <f>ROUND(C1226*'FR_Mantenimiento tasas'!$C$43/360,5)</f>
        <v>0</v>
      </c>
      <c r="E1226" s="121">
        <f>ROUND(C1226*'FR_Mantenimiento tasas'!$D$43/360,5)</f>
        <v>0</v>
      </c>
    </row>
    <row r="1227" spans="1:5">
      <c r="A1227" s="123">
        <f t="shared" si="38"/>
        <v>1225</v>
      </c>
      <c r="B1227" s="122">
        <f>IF(DAY(A1227)=DAY('F-Ahorro Futuro Genérico'!$H$11),'F-Ahorro Futuro Genérico'!$H$9,0)</f>
        <v>0</v>
      </c>
      <c r="C1227" s="122">
        <f t="shared" si="39"/>
        <v>0</v>
      </c>
      <c r="D1227" s="121">
        <f>ROUND(C1227*'FR_Mantenimiento tasas'!$C$43/360,5)</f>
        <v>0</v>
      </c>
      <c r="E1227" s="121">
        <f>ROUND(C1227*'FR_Mantenimiento tasas'!$D$43/360,5)</f>
        <v>0</v>
      </c>
    </row>
    <row r="1228" spans="1:5">
      <c r="A1228" s="123">
        <f t="shared" si="38"/>
        <v>1226</v>
      </c>
      <c r="B1228" s="122">
        <f>IF(DAY(A1228)=DAY('F-Ahorro Futuro Genérico'!$H$11),'F-Ahorro Futuro Genérico'!$H$9,0)</f>
        <v>0</v>
      </c>
      <c r="C1228" s="122">
        <f t="shared" si="39"/>
        <v>0</v>
      </c>
      <c r="D1228" s="121">
        <f>ROUND(C1228*'FR_Mantenimiento tasas'!$C$43/360,5)</f>
        <v>0</v>
      </c>
      <c r="E1228" s="121">
        <f>ROUND(C1228*'FR_Mantenimiento tasas'!$D$43/360,5)</f>
        <v>0</v>
      </c>
    </row>
    <row r="1229" spans="1:5">
      <c r="A1229" s="123">
        <f t="shared" si="38"/>
        <v>1227</v>
      </c>
      <c r="B1229" s="122">
        <f>IF(DAY(A1229)=DAY('F-Ahorro Futuro Genérico'!$H$11),'F-Ahorro Futuro Genérico'!$H$9,0)</f>
        <v>0</v>
      </c>
      <c r="C1229" s="122">
        <f t="shared" si="39"/>
        <v>0</v>
      </c>
      <c r="D1229" s="121">
        <f>ROUND(C1229*'FR_Mantenimiento tasas'!$C$43/360,5)</f>
        <v>0</v>
      </c>
      <c r="E1229" s="121">
        <f>ROUND(C1229*'FR_Mantenimiento tasas'!$D$43/360,5)</f>
        <v>0</v>
      </c>
    </row>
    <row r="1230" spans="1:5">
      <c r="A1230" s="123">
        <f t="shared" si="38"/>
        <v>1228</v>
      </c>
      <c r="B1230" s="122">
        <f>IF(DAY(A1230)=DAY('F-Ahorro Futuro Genérico'!$H$11),'F-Ahorro Futuro Genérico'!$H$9,0)</f>
        <v>0</v>
      </c>
      <c r="C1230" s="122">
        <f t="shared" si="39"/>
        <v>0</v>
      </c>
      <c r="D1230" s="121">
        <f>ROUND(C1230*'FR_Mantenimiento tasas'!$C$43/360,5)</f>
        <v>0</v>
      </c>
      <c r="E1230" s="121">
        <f>ROUND(C1230*'FR_Mantenimiento tasas'!$D$43/360,5)</f>
        <v>0</v>
      </c>
    </row>
    <row r="1231" spans="1:5">
      <c r="A1231" s="123">
        <f t="shared" si="38"/>
        <v>1229</v>
      </c>
      <c r="B1231" s="122">
        <f>IF(DAY(A1231)=DAY('F-Ahorro Futuro Genérico'!$H$11),'F-Ahorro Futuro Genérico'!$H$9,0)</f>
        <v>0</v>
      </c>
      <c r="C1231" s="122">
        <f t="shared" si="39"/>
        <v>0</v>
      </c>
      <c r="D1231" s="121">
        <f>ROUND(C1231*'FR_Mantenimiento tasas'!$C$43/360,5)</f>
        <v>0</v>
      </c>
      <c r="E1231" s="121">
        <f>ROUND(C1231*'FR_Mantenimiento tasas'!$D$43/360,5)</f>
        <v>0</v>
      </c>
    </row>
    <row r="1232" spans="1:5">
      <c r="A1232" s="123">
        <f t="shared" si="38"/>
        <v>1230</v>
      </c>
      <c r="B1232" s="122">
        <f>IF(DAY(A1232)=DAY('F-Ahorro Futuro Genérico'!$H$11),'F-Ahorro Futuro Genérico'!$H$9,0)</f>
        <v>0</v>
      </c>
      <c r="C1232" s="122">
        <f t="shared" si="39"/>
        <v>0</v>
      </c>
      <c r="D1232" s="121">
        <f>ROUND(C1232*'FR_Mantenimiento tasas'!$C$43/360,5)</f>
        <v>0</v>
      </c>
      <c r="E1232" s="121">
        <f>ROUND(C1232*'FR_Mantenimiento tasas'!$D$43/360,5)</f>
        <v>0</v>
      </c>
    </row>
    <row r="1233" spans="1:5">
      <c r="A1233" s="123">
        <f t="shared" si="38"/>
        <v>1231</v>
      </c>
      <c r="B1233" s="122">
        <f>IF(DAY(A1233)=DAY('F-Ahorro Futuro Genérico'!$H$11),'F-Ahorro Futuro Genérico'!$H$9,0)</f>
        <v>0</v>
      </c>
      <c r="C1233" s="122">
        <f t="shared" si="39"/>
        <v>0</v>
      </c>
      <c r="D1233" s="121">
        <f>ROUND(C1233*'FR_Mantenimiento tasas'!$C$43/360,5)</f>
        <v>0</v>
      </c>
      <c r="E1233" s="121">
        <f>ROUND(C1233*'FR_Mantenimiento tasas'!$D$43/360,5)</f>
        <v>0</v>
      </c>
    </row>
    <row r="1234" spans="1:5">
      <c r="A1234" s="123">
        <f t="shared" si="38"/>
        <v>1232</v>
      </c>
      <c r="B1234" s="122">
        <f>IF(DAY(A1234)=DAY('F-Ahorro Futuro Genérico'!$H$11),'F-Ahorro Futuro Genérico'!$H$9,0)</f>
        <v>0</v>
      </c>
      <c r="C1234" s="122">
        <f t="shared" si="39"/>
        <v>0</v>
      </c>
      <c r="D1234" s="121">
        <f>ROUND(C1234*'FR_Mantenimiento tasas'!$C$43/360,5)</f>
        <v>0</v>
      </c>
      <c r="E1234" s="121">
        <f>ROUND(C1234*'FR_Mantenimiento tasas'!$D$43/360,5)</f>
        <v>0</v>
      </c>
    </row>
    <row r="1235" spans="1:5">
      <c r="A1235" s="123">
        <f t="shared" si="38"/>
        <v>1233</v>
      </c>
      <c r="B1235" s="122">
        <f>IF(DAY(A1235)=DAY('F-Ahorro Futuro Genérico'!$H$11),'F-Ahorro Futuro Genérico'!$H$9,0)</f>
        <v>0</v>
      </c>
      <c r="C1235" s="122">
        <f t="shared" si="39"/>
        <v>0</v>
      </c>
      <c r="D1235" s="121">
        <f>ROUND(C1235*'FR_Mantenimiento tasas'!$C$43/360,5)</f>
        <v>0</v>
      </c>
      <c r="E1235" s="121">
        <f>ROUND(C1235*'FR_Mantenimiento tasas'!$D$43/360,5)</f>
        <v>0</v>
      </c>
    </row>
    <row r="1236" spans="1:5">
      <c r="A1236" s="123">
        <f t="shared" si="38"/>
        <v>1234</v>
      </c>
      <c r="B1236" s="122">
        <f>IF(DAY(A1236)=DAY('F-Ahorro Futuro Genérico'!$H$11),'F-Ahorro Futuro Genérico'!$H$9,0)</f>
        <v>0</v>
      </c>
      <c r="C1236" s="122">
        <f t="shared" si="39"/>
        <v>0</v>
      </c>
      <c r="D1236" s="121">
        <f>ROUND(C1236*'FR_Mantenimiento tasas'!$C$43/360,5)</f>
        <v>0</v>
      </c>
      <c r="E1236" s="121">
        <f>ROUND(C1236*'FR_Mantenimiento tasas'!$D$43/360,5)</f>
        <v>0</v>
      </c>
    </row>
    <row r="1237" spans="1:5">
      <c r="A1237" s="123">
        <f t="shared" si="38"/>
        <v>1235</v>
      </c>
      <c r="B1237" s="122">
        <f>IF(DAY(A1237)=DAY('F-Ahorro Futuro Genérico'!$H$11),'F-Ahorro Futuro Genérico'!$H$9,0)</f>
        <v>0</v>
      </c>
      <c r="C1237" s="122">
        <f t="shared" si="39"/>
        <v>0</v>
      </c>
      <c r="D1237" s="121">
        <f>ROUND(C1237*'FR_Mantenimiento tasas'!$C$43/360,5)</f>
        <v>0</v>
      </c>
      <c r="E1237" s="121">
        <f>ROUND(C1237*'FR_Mantenimiento tasas'!$D$43/360,5)</f>
        <v>0</v>
      </c>
    </row>
    <row r="1238" spans="1:5">
      <c r="A1238" s="123">
        <f t="shared" si="38"/>
        <v>1236</v>
      </c>
      <c r="B1238" s="122">
        <f>IF(DAY(A1238)=DAY('F-Ahorro Futuro Genérico'!$H$11),'F-Ahorro Futuro Genérico'!$H$9,0)</f>
        <v>0</v>
      </c>
      <c r="C1238" s="122">
        <f t="shared" si="39"/>
        <v>0</v>
      </c>
      <c r="D1238" s="121">
        <f>ROUND(C1238*'FR_Mantenimiento tasas'!$C$43/360,5)</f>
        <v>0</v>
      </c>
      <c r="E1238" s="121">
        <f>ROUND(C1238*'FR_Mantenimiento tasas'!$D$43/360,5)</f>
        <v>0</v>
      </c>
    </row>
    <row r="1239" spans="1:5">
      <c r="A1239" s="123">
        <f t="shared" si="38"/>
        <v>1237</v>
      </c>
      <c r="B1239" s="122">
        <f>IF(DAY(A1239)=DAY('F-Ahorro Futuro Genérico'!$H$11),'F-Ahorro Futuro Genérico'!$H$9,0)</f>
        <v>0</v>
      </c>
      <c r="C1239" s="122">
        <f t="shared" si="39"/>
        <v>0</v>
      </c>
      <c r="D1239" s="121">
        <f>ROUND(C1239*'FR_Mantenimiento tasas'!$C$43/360,5)</f>
        <v>0</v>
      </c>
      <c r="E1239" s="121">
        <f>ROUND(C1239*'FR_Mantenimiento tasas'!$D$43/360,5)</f>
        <v>0</v>
      </c>
    </row>
    <row r="1240" spans="1:5">
      <c r="A1240" s="123">
        <f t="shared" si="38"/>
        <v>1238</v>
      </c>
      <c r="B1240" s="122">
        <f>IF(DAY(A1240)=DAY('F-Ahorro Futuro Genérico'!$H$11),'F-Ahorro Futuro Genérico'!$H$9,0)</f>
        <v>0</v>
      </c>
      <c r="C1240" s="122">
        <f t="shared" si="39"/>
        <v>0</v>
      </c>
      <c r="D1240" s="121">
        <f>ROUND(C1240*'FR_Mantenimiento tasas'!$C$43/360,5)</f>
        <v>0</v>
      </c>
      <c r="E1240" s="121">
        <f>ROUND(C1240*'FR_Mantenimiento tasas'!$D$43/360,5)</f>
        <v>0</v>
      </c>
    </row>
    <row r="1241" spans="1:5">
      <c r="A1241" s="123">
        <f t="shared" si="38"/>
        <v>1239</v>
      </c>
      <c r="B1241" s="122">
        <f>IF(DAY(A1241)=DAY('F-Ahorro Futuro Genérico'!$H$11),'F-Ahorro Futuro Genérico'!$H$9,0)</f>
        <v>0</v>
      </c>
      <c r="C1241" s="122">
        <f t="shared" si="39"/>
        <v>0</v>
      </c>
      <c r="D1241" s="121">
        <f>ROUND(C1241*'FR_Mantenimiento tasas'!$C$43/360,5)</f>
        <v>0</v>
      </c>
      <c r="E1241" s="121">
        <f>ROUND(C1241*'FR_Mantenimiento tasas'!$D$43/360,5)</f>
        <v>0</v>
      </c>
    </row>
    <row r="1242" spans="1:5">
      <c r="A1242" s="123">
        <f t="shared" si="38"/>
        <v>1240</v>
      </c>
      <c r="B1242" s="122">
        <f>IF(DAY(A1242)=DAY('F-Ahorro Futuro Genérico'!$H$11),'F-Ahorro Futuro Genérico'!$H$9,0)</f>
        <v>0</v>
      </c>
      <c r="C1242" s="122">
        <f t="shared" si="39"/>
        <v>0</v>
      </c>
      <c r="D1242" s="121">
        <f>ROUND(C1242*'FR_Mantenimiento tasas'!$C$43/360,5)</f>
        <v>0</v>
      </c>
      <c r="E1242" s="121">
        <f>ROUND(C1242*'FR_Mantenimiento tasas'!$D$43/360,5)</f>
        <v>0</v>
      </c>
    </row>
    <row r="1243" spans="1:5">
      <c r="A1243" s="123">
        <f t="shared" si="38"/>
        <v>1241</v>
      </c>
      <c r="B1243" s="122">
        <f>IF(DAY(A1243)=DAY('F-Ahorro Futuro Genérico'!$H$11),'F-Ahorro Futuro Genérico'!$H$9,0)</f>
        <v>0</v>
      </c>
      <c r="C1243" s="122">
        <f t="shared" si="39"/>
        <v>0</v>
      </c>
      <c r="D1243" s="121">
        <f>ROUND(C1243*'FR_Mantenimiento tasas'!$C$43/360,5)</f>
        <v>0</v>
      </c>
      <c r="E1243" s="121">
        <f>ROUND(C1243*'FR_Mantenimiento tasas'!$D$43/360,5)</f>
        <v>0</v>
      </c>
    </row>
    <row r="1244" spans="1:5">
      <c r="A1244" s="123">
        <f t="shared" si="38"/>
        <v>1242</v>
      </c>
      <c r="B1244" s="122">
        <f>IF(DAY(A1244)=DAY('F-Ahorro Futuro Genérico'!$H$11),'F-Ahorro Futuro Genérico'!$H$9,0)</f>
        <v>0</v>
      </c>
      <c r="C1244" s="122">
        <f t="shared" si="39"/>
        <v>0</v>
      </c>
      <c r="D1244" s="121">
        <f>ROUND(C1244*'FR_Mantenimiento tasas'!$C$43/360,5)</f>
        <v>0</v>
      </c>
      <c r="E1244" s="121">
        <f>ROUND(C1244*'FR_Mantenimiento tasas'!$D$43/360,5)</f>
        <v>0</v>
      </c>
    </row>
    <row r="1245" spans="1:5">
      <c r="A1245" s="123">
        <f t="shared" si="38"/>
        <v>1243</v>
      </c>
      <c r="B1245" s="122">
        <f>IF(DAY(A1245)=DAY('F-Ahorro Futuro Genérico'!$H$11),'F-Ahorro Futuro Genérico'!$H$9,0)</f>
        <v>0</v>
      </c>
      <c r="C1245" s="122">
        <f t="shared" si="39"/>
        <v>0</v>
      </c>
      <c r="D1245" s="121">
        <f>ROUND(C1245*'FR_Mantenimiento tasas'!$C$43/360,5)</f>
        <v>0</v>
      </c>
      <c r="E1245" s="121">
        <f>ROUND(C1245*'FR_Mantenimiento tasas'!$D$43/360,5)</f>
        <v>0</v>
      </c>
    </row>
    <row r="1246" spans="1:5">
      <c r="A1246" s="123">
        <f t="shared" si="38"/>
        <v>1244</v>
      </c>
      <c r="B1246" s="122">
        <f>IF(DAY(A1246)=DAY('F-Ahorro Futuro Genérico'!$H$11),'F-Ahorro Futuro Genérico'!$H$9,0)</f>
        <v>0</v>
      </c>
      <c r="C1246" s="122">
        <f t="shared" si="39"/>
        <v>0</v>
      </c>
      <c r="D1246" s="121">
        <f>ROUND(C1246*'FR_Mantenimiento tasas'!$C$43/360,5)</f>
        <v>0</v>
      </c>
      <c r="E1246" s="121">
        <f>ROUND(C1246*'FR_Mantenimiento tasas'!$D$43/360,5)</f>
        <v>0</v>
      </c>
    </row>
    <row r="1247" spans="1:5">
      <c r="A1247" s="123">
        <f t="shared" si="38"/>
        <v>1245</v>
      </c>
      <c r="B1247" s="122">
        <f>IF(DAY(A1247)=DAY('F-Ahorro Futuro Genérico'!$H$11),'F-Ahorro Futuro Genérico'!$H$9,0)</f>
        <v>0</v>
      </c>
      <c r="C1247" s="122">
        <f t="shared" si="39"/>
        <v>0</v>
      </c>
      <c r="D1247" s="121">
        <f>ROUND(C1247*'FR_Mantenimiento tasas'!$C$43/360,5)</f>
        <v>0</v>
      </c>
      <c r="E1247" s="121">
        <f>ROUND(C1247*'FR_Mantenimiento tasas'!$D$43/360,5)</f>
        <v>0</v>
      </c>
    </row>
    <row r="1248" spans="1:5">
      <c r="A1248" s="123">
        <f t="shared" si="38"/>
        <v>1246</v>
      </c>
      <c r="B1248" s="122">
        <f>IF(DAY(A1248)=DAY('F-Ahorro Futuro Genérico'!$H$11),'F-Ahorro Futuro Genérico'!$H$9,0)</f>
        <v>0</v>
      </c>
      <c r="C1248" s="122">
        <f t="shared" si="39"/>
        <v>0</v>
      </c>
      <c r="D1248" s="121">
        <f>ROUND(C1248*'FR_Mantenimiento tasas'!$C$43/360,5)</f>
        <v>0</v>
      </c>
      <c r="E1248" s="121">
        <f>ROUND(C1248*'FR_Mantenimiento tasas'!$D$43/360,5)</f>
        <v>0</v>
      </c>
    </row>
    <row r="1249" spans="1:5">
      <c r="A1249" s="123">
        <f t="shared" si="38"/>
        <v>1247</v>
      </c>
      <c r="B1249" s="122">
        <f>IF(DAY(A1249)=DAY('F-Ahorro Futuro Genérico'!$H$11),'F-Ahorro Futuro Genérico'!$H$9,0)</f>
        <v>0</v>
      </c>
      <c r="C1249" s="122">
        <f t="shared" si="39"/>
        <v>0</v>
      </c>
      <c r="D1249" s="121">
        <f>ROUND(C1249*'FR_Mantenimiento tasas'!$C$43/360,5)</f>
        <v>0</v>
      </c>
      <c r="E1249" s="121">
        <f>ROUND(C1249*'FR_Mantenimiento tasas'!$D$43/360,5)</f>
        <v>0</v>
      </c>
    </row>
    <row r="1250" spans="1:5">
      <c r="A1250" s="123">
        <f t="shared" si="38"/>
        <v>1248</v>
      </c>
      <c r="B1250" s="122">
        <f>IF(DAY(A1250)=DAY('F-Ahorro Futuro Genérico'!$H$11),'F-Ahorro Futuro Genérico'!$H$9,0)</f>
        <v>0</v>
      </c>
      <c r="C1250" s="122">
        <f t="shared" si="39"/>
        <v>0</v>
      </c>
      <c r="D1250" s="121">
        <f>ROUND(C1250*'FR_Mantenimiento tasas'!$C$43/360,5)</f>
        <v>0</v>
      </c>
      <c r="E1250" s="121">
        <f>ROUND(C1250*'FR_Mantenimiento tasas'!$D$43/360,5)</f>
        <v>0</v>
      </c>
    </row>
    <row r="1251" spans="1:5">
      <c r="A1251" s="123">
        <f t="shared" si="38"/>
        <v>1249</v>
      </c>
      <c r="B1251" s="122">
        <f>IF(DAY(A1251)=DAY('F-Ahorro Futuro Genérico'!$H$11),'F-Ahorro Futuro Genérico'!$H$9,0)</f>
        <v>0</v>
      </c>
      <c r="C1251" s="122">
        <f t="shared" si="39"/>
        <v>0</v>
      </c>
      <c r="D1251" s="121">
        <f>ROUND(C1251*'FR_Mantenimiento tasas'!$C$43/360,5)</f>
        <v>0</v>
      </c>
      <c r="E1251" s="121">
        <f>ROUND(C1251*'FR_Mantenimiento tasas'!$D$43/360,5)</f>
        <v>0</v>
      </c>
    </row>
    <row r="1252" spans="1:5">
      <c r="A1252" s="123">
        <f t="shared" si="38"/>
        <v>1250</v>
      </c>
      <c r="B1252" s="122">
        <f>IF(DAY(A1252)=DAY('F-Ahorro Futuro Genérico'!$H$11),'F-Ahorro Futuro Genérico'!$H$9,0)</f>
        <v>0</v>
      </c>
      <c r="C1252" s="122">
        <f t="shared" si="39"/>
        <v>0</v>
      </c>
      <c r="D1252" s="121">
        <f>ROUND(C1252*'FR_Mantenimiento tasas'!$C$43/360,5)</f>
        <v>0</v>
      </c>
      <c r="E1252" s="121">
        <f>ROUND(C1252*'FR_Mantenimiento tasas'!$D$43/360,5)</f>
        <v>0</v>
      </c>
    </row>
    <row r="1253" spans="1:5">
      <c r="A1253" s="123">
        <f t="shared" si="38"/>
        <v>1251</v>
      </c>
      <c r="B1253" s="122">
        <f>IF(DAY(A1253)=DAY('F-Ahorro Futuro Genérico'!$H$11),'F-Ahorro Futuro Genérico'!$H$9,0)</f>
        <v>0</v>
      </c>
      <c r="C1253" s="122">
        <f t="shared" si="39"/>
        <v>0</v>
      </c>
      <c r="D1253" s="121">
        <f>ROUND(C1253*'FR_Mantenimiento tasas'!$C$43/360,5)</f>
        <v>0</v>
      </c>
      <c r="E1253" s="121">
        <f>ROUND(C1253*'FR_Mantenimiento tasas'!$D$43/360,5)</f>
        <v>0</v>
      </c>
    </row>
    <row r="1254" spans="1:5">
      <c r="A1254" s="123">
        <f t="shared" si="38"/>
        <v>1252</v>
      </c>
      <c r="B1254" s="122">
        <f>IF(DAY(A1254)=DAY('F-Ahorro Futuro Genérico'!$H$11),'F-Ahorro Futuro Genérico'!$H$9,0)</f>
        <v>0</v>
      </c>
      <c r="C1254" s="122">
        <f t="shared" si="39"/>
        <v>0</v>
      </c>
      <c r="D1254" s="121">
        <f>ROUND(C1254*'FR_Mantenimiento tasas'!$C$43/360,5)</f>
        <v>0</v>
      </c>
      <c r="E1254" s="121">
        <f>ROUND(C1254*'FR_Mantenimiento tasas'!$D$43/360,5)</f>
        <v>0</v>
      </c>
    </row>
    <row r="1255" spans="1:5">
      <c r="A1255" s="123">
        <f t="shared" si="38"/>
        <v>1253</v>
      </c>
      <c r="B1255" s="122">
        <f>IF(DAY(A1255)=DAY('F-Ahorro Futuro Genérico'!$H$11),'F-Ahorro Futuro Genérico'!$H$9,0)</f>
        <v>0</v>
      </c>
      <c r="C1255" s="122">
        <f t="shared" si="39"/>
        <v>0</v>
      </c>
      <c r="D1255" s="121">
        <f>ROUND(C1255*'FR_Mantenimiento tasas'!$C$43/360,5)</f>
        <v>0</v>
      </c>
      <c r="E1255" s="121">
        <f>ROUND(C1255*'FR_Mantenimiento tasas'!$D$43/360,5)</f>
        <v>0</v>
      </c>
    </row>
    <row r="1256" spans="1:5">
      <c r="A1256" s="123">
        <f t="shared" si="38"/>
        <v>1254</v>
      </c>
      <c r="B1256" s="122">
        <f>IF(DAY(A1256)=DAY('F-Ahorro Futuro Genérico'!$H$11),'F-Ahorro Futuro Genérico'!$H$9,0)</f>
        <v>0</v>
      </c>
      <c r="C1256" s="122">
        <f t="shared" si="39"/>
        <v>0</v>
      </c>
      <c r="D1256" s="121">
        <f>ROUND(C1256*'FR_Mantenimiento tasas'!$C$43/360,5)</f>
        <v>0</v>
      </c>
      <c r="E1256" s="121">
        <f>ROUND(C1256*'FR_Mantenimiento tasas'!$D$43/360,5)</f>
        <v>0</v>
      </c>
    </row>
    <row r="1257" spans="1:5">
      <c r="A1257" s="123">
        <f t="shared" si="38"/>
        <v>1255</v>
      </c>
      <c r="B1257" s="122">
        <f>IF(DAY(A1257)=DAY('F-Ahorro Futuro Genérico'!$H$11),'F-Ahorro Futuro Genérico'!$H$9,0)</f>
        <v>0</v>
      </c>
      <c r="C1257" s="122">
        <f t="shared" si="39"/>
        <v>0</v>
      </c>
      <c r="D1257" s="121">
        <f>ROUND(C1257*'FR_Mantenimiento tasas'!$C$43/360,5)</f>
        <v>0</v>
      </c>
      <c r="E1257" s="121">
        <f>ROUND(C1257*'FR_Mantenimiento tasas'!$D$43/360,5)</f>
        <v>0</v>
      </c>
    </row>
    <row r="1258" spans="1:5">
      <c r="A1258" s="123">
        <f t="shared" si="38"/>
        <v>1256</v>
      </c>
      <c r="B1258" s="122">
        <f>IF(DAY(A1258)=DAY('F-Ahorro Futuro Genérico'!$H$11),'F-Ahorro Futuro Genérico'!$H$9,0)</f>
        <v>0</v>
      </c>
      <c r="C1258" s="122">
        <f t="shared" si="39"/>
        <v>0</v>
      </c>
      <c r="D1258" s="121">
        <f>ROUND(C1258*'FR_Mantenimiento tasas'!$C$43/360,5)</f>
        <v>0</v>
      </c>
      <c r="E1258" s="121">
        <f>ROUND(C1258*'FR_Mantenimiento tasas'!$D$43/360,5)</f>
        <v>0</v>
      </c>
    </row>
    <row r="1259" spans="1:5">
      <c r="A1259" s="123">
        <f t="shared" si="38"/>
        <v>1257</v>
      </c>
      <c r="B1259" s="122">
        <f>IF(DAY(A1259)=DAY('F-Ahorro Futuro Genérico'!$H$11),'F-Ahorro Futuro Genérico'!$H$9,0)</f>
        <v>0</v>
      </c>
      <c r="C1259" s="122">
        <f t="shared" si="39"/>
        <v>0</v>
      </c>
      <c r="D1259" s="121">
        <f>ROUND(C1259*'FR_Mantenimiento tasas'!$C$43/360,5)</f>
        <v>0</v>
      </c>
      <c r="E1259" s="121">
        <f>ROUND(C1259*'FR_Mantenimiento tasas'!$D$43/360,5)</f>
        <v>0</v>
      </c>
    </row>
    <row r="1260" spans="1:5">
      <c r="A1260" s="123">
        <f t="shared" si="38"/>
        <v>1258</v>
      </c>
      <c r="B1260" s="122">
        <f>IF(DAY(A1260)=DAY('F-Ahorro Futuro Genérico'!$H$11),'F-Ahorro Futuro Genérico'!$H$9,0)</f>
        <v>0</v>
      </c>
      <c r="C1260" s="122">
        <f t="shared" si="39"/>
        <v>0</v>
      </c>
      <c r="D1260" s="121">
        <f>ROUND(C1260*'FR_Mantenimiento tasas'!$C$43/360,5)</f>
        <v>0</v>
      </c>
      <c r="E1260" s="121">
        <f>ROUND(C1260*'FR_Mantenimiento tasas'!$D$43/360,5)</f>
        <v>0</v>
      </c>
    </row>
    <row r="1261" spans="1:5">
      <c r="A1261" s="123">
        <f t="shared" si="38"/>
        <v>1259</v>
      </c>
      <c r="B1261" s="122">
        <f>IF(DAY(A1261)=DAY('F-Ahorro Futuro Genérico'!$H$11),'F-Ahorro Futuro Genérico'!$H$9,0)</f>
        <v>0</v>
      </c>
      <c r="C1261" s="122">
        <f t="shared" si="39"/>
        <v>0</v>
      </c>
      <c r="D1261" s="121">
        <f>ROUND(C1261*'FR_Mantenimiento tasas'!$C$43/360,5)</f>
        <v>0</v>
      </c>
      <c r="E1261" s="121">
        <f>ROUND(C1261*'FR_Mantenimiento tasas'!$D$43/360,5)</f>
        <v>0</v>
      </c>
    </row>
    <row r="1262" spans="1:5">
      <c r="A1262" s="123">
        <f t="shared" si="38"/>
        <v>1260</v>
      </c>
      <c r="B1262" s="122">
        <f>IF(DAY(A1262)=DAY('F-Ahorro Futuro Genérico'!$H$11),'F-Ahorro Futuro Genérico'!$H$9,0)</f>
        <v>0</v>
      </c>
      <c r="C1262" s="122">
        <f t="shared" si="39"/>
        <v>0</v>
      </c>
      <c r="D1262" s="121">
        <f>ROUND(C1262*'FR_Mantenimiento tasas'!$C$43/360,5)</f>
        <v>0</v>
      </c>
      <c r="E1262" s="121">
        <f>ROUND(C1262*'FR_Mantenimiento tasas'!$D$43/360,5)</f>
        <v>0</v>
      </c>
    </row>
    <row r="1263" spans="1:5">
      <c r="A1263" s="123">
        <f t="shared" si="38"/>
        <v>1261</v>
      </c>
      <c r="B1263" s="122">
        <f>IF(DAY(A1263)=DAY('F-Ahorro Futuro Genérico'!$H$11),'F-Ahorro Futuro Genérico'!$H$9,0)</f>
        <v>0</v>
      </c>
      <c r="C1263" s="122">
        <f t="shared" si="39"/>
        <v>0</v>
      </c>
      <c r="D1263" s="121">
        <f>ROUND(C1263*'FR_Mantenimiento tasas'!$C$43/360,5)</f>
        <v>0</v>
      </c>
      <c r="E1263" s="121">
        <f>ROUND(C1263*'FR_Mantenimiento tasas'!$D$43/360,5)</f>
        <v>0</v>
      </c>
    </row>
    <row r="1264" spans="1:5">
      <c r="A1264" s="123">
        <f t="shared" si="38"/>
        <v>1262</v>
      </c>
      <c r="B1264" s="122">
        <f>IF(DAY(A1264)=DAY('F-Ahorro Futuro Genérico'!$H$11),'F-Ahorro Futuro Genérico'!$H$9,0)</f>
        <v>0</v>
      </c>
      <c r="C1264" s="122">
        <f t="shared" si="39"/>
        <v>0</v>
      </c>
      <c r="D1264" s="121">
        <f>ROUND(C1264*'FR_Mantenimiento tasas'!$C$43/360,5)</f>
        <v>0</v>
      </c>
      <c r="E1264" s="121">
        <f>ROUND(C1264*'FR_Mantenimiento tasas'!$D$43/360,5)</f>
        <v>0</v>
      </c>
    </row>
    <row r="1265" spans="1:5">
      <c r="A1265" s="123">
        <f t="shared" si="38"/>
        <v>1263</v>
      </c>
      <c r="B1265" s="122">
        <f>IF(DAY(A1265)=DAY('F-Ahorro Futuro Genérico'!$H$11),'F-Ahorro Futuro Genérico'!$H$9,0)</f>
        <v>0</v>
      </c>
      <c r="C1265" s="122">
        <f t="shared" si="39"/>
        <v>0</v>
      </c>
      <c r="D1265" s="121">
        <f>ROUND(C1265*'FR_Mantenimiento tasas'!$C$43/360,5)</f>
        <v>0</v>
      </c>
      <c r="E1265" s="121">
        <f>ROUND(C1265*'FR_Mantenimiento tasas'!$D$43/360,5)</f>
        <v>0</v>
      </c>
    </row>
    <row r="1266" spans="1:5">
      <c r="A1266" s="123">
        <f t="shared" si="38"/>
        <v>1264</v>
      </c>
      <c r="B1266" s="122">
        <f>IF(DAY(A1266)=DAY('F-Ahorro Futuro Genérico'!$H$11),'F-Ahorro Futuro Genérico'!$H$9,0)</f>
        <v>0</v>
      </c>
      <c r="C1266" s="122">
        <f t="shared" si="39"/>
        <v>0</v>
      </c>
      <c r="D1266" s="121">
        <f>ROUND(C1266*'FR_Mantenimiento tasas'!$C$43/360,5)</f>
        <v>0</v>
      </c>
      <c r="E1266" s="121">
        <f>ROUND(C1266*'FR_Mantenimiento tasas'!$D$43/360,5)</f>
        <v>0</v>
      </c>
    </row>
    <row r="1267" spans="1:5">
      <c r="A1267" s="123">
        <f t="shared" si="38"/>
        <v>1265</v>
      </c>
      <c r="B1267" s="122">
        <f>IF(DAY(A1267)=DAY('F-Ahorro Futuro Genérico'!$H$11),'F-Ahorro Futuro Genérico'!$H$9,0)</f>
        <v>0</v>
      </c>
      <c r="C1267" s="122">
        <f t="shared" si="39"/>
        <v>0</v>
      </c>
      <c r="D1267" s="121">
        <f>ROUND(C1267*'FR_Mantenimiento tasas'!$C$43/360,5)</f>
        <v>0</v>
      </c>
      <c r="E1267" s="121">
        <f>ROUND(C1267*'FR_Mantenimiento tasas'!$D$43/360,5)</f>
        <v>0</v>
      </c>
    </row>
    <row r="1268" spans="1:5">
      <c r="A1268" s="123">
        <f t="shared" si="38"/>
        <v>1266</v>
      </c>
      <c r="B1268" s="122">
        <f>IF(DAY(A1268)=DAY('F-Ahorro Futuro Genérico'!$H$11),'F-Ahorro Futuro Genérico'!$H$9,0)</f>
        <v>0</v>
      </c>
      <c r="C1268" s="122">
        <f t="shared" si="39"/>
        <v>0</v>
      </c>
      <c r="D1268" s="121">
        <f>ROUND(C1268*'FR_Mantenimiento tasas'!$C$43/360,5)</f>
        <v>0</v>
      </c>
      <c r="E1268" s="121">
        <f>ROUND(C1268*'FR_Mantenimiento tasas'!$D$43/360,5)</f>
        <v>0</v>
      </c>
    </row>
    <row r="1269" spans="1:5">
      <c r="A1269" s="123">
        <f t="shared" si="38"/>
        <v>1267</v>
      </c>
      <c r="B1269" s="122">
        <f>IF(DAY(A1269)=DAY('F-Ahorro Futuro Genérico'!$H$11),'F-Ahorro Futuro Genérico'!$H$9,0)</f>
        <v>0</v>
      </c>
      <c r="C1269" s="122">
        <f t="shared" si="39"/>
        <v>0</v>
      </c>
      <c r="D1269" s="121">
        <f>ROUND(C1269*'FR_Mantenimiento tasas'!$C$43/360,5)</f>
        <v>0</v>
      </c>
      <c r="E1269" s="121">
        <f>ROUND(C1269*'FR_Mantenimiento tasas'!$D$43/360,5)</f>
        <v>0</v>
      </c>
    </row>
    <row r="1270" spans="1:5">
      <c r="A1270" s="123">
        <f t="shared" si="38"/>
        <v>1268</v>
      </c>
      <c r="B1270" s="122">
        <f>IF(DAY(A1270)=DAY('F-Ahorro Futuro Genérico'!$H$11),'F-Ahorro Futuro Genérico'!$H$9,0)</f>
        <v>0</v>
      </c>
      <c r="C1270" s="122">
        <f t="shared" si="39"/>
        <v>0</v>
      </c>
      <c r="D1270" s="121">
        <f>ROUND(C1270*'FR_Mantenimiento tasas'!$C$43/360,5)</f>
        <v>0</v>
      </c>
      <c r="E1270" s="121">
        <f>ROUND(C1270*'FR_Mantenimiento tasas'!$D$43/360,5)</f>
        <v>0</v>
      </c>
    </row>
    <row r="1271" spans="1:5">
      <c r="A1271" s="123">
        <f t="shared" si="38"/>
        <v>1269</v>
      </c>
      <c r="B1271" s="122">
        <f>IF(DAY(A1271)=DAY('F-Ahorro Futuro Genérico'!$H$11),'F-Ahorro Futuro Genérico'!$H$9,0)</f>
        <v>0</v>
      </c>
      <c r="C1271" s="122">
        <f t="shared" si="39"/>
        <v>0</v>
      </c>
      <c r="D1271" s="121">
        <f>ROUND(C1271*'FR_Mantenimiento tasas'!$C$43/360,5)</f>
        <v>0</v>
      </c>
      <c r="E1271" s="121">
        <f>ROUND(C1271*'FR_Mantenimiento tasas'!$D$43/360,5)</f>
        <v>0</v>
      </c>
    </row>
    <row r="1272" spans="1:5">
      <c r="A1272" s="123">
        <f t="shared" si="38"/>
        <v>1270</v>
      </c>
      <c r="B1272" s="122">
        <f>IF(DAY(A1272)=DAY('F-Ahorro Futuro Genérico'!$H$11),'F-Ahorro Futuro Genérico'!$H$9,0)</f>
        <v>0</v>
      </c>
      <c r="C1272" s="122">
        <f t="shared" si="39"/>
        <v>0</v>
      </c>
      <c r="D1272" s="121">
        <f>ROUND(C1272*'FR_Mantenimiento tasas'!$C$43/360,5)</f>
        <v>0</v>
      </c>
      <c r="E1272" s="121">
        <f>ROUND(C1272*'FR_Mantenimiento tasas'!$D$43/360,5)</f>
        <v>0</v>
      </c>
    </row>
    <row r="1273" spans="1:5">
      <c r="A1273" s="123">
        <f t="shared" si="38"/>
        <v>1271</v>
      </c>
      <c r="B1273" s="122">
        <f>IF(DAY(A1273)=DAY('F-Ahorro Futuro Genérico'!$H$11),'F-Ahorro Futuro Genérico'!$H$9,0)</f>
        <v>0</v>
      </c>
      <c r="C1273" s="122">
        <f t="shared" si="39"/>
        <v>0</v>
      </c>
      <c r="D1273" s="121">
        <f>ROUND(C1273*'FR_Mantenimiento tasas'!$C$43/360,5)</f>
        <v>0</v>
      </c>
      <c r="E1273" s="121">
        <f>ROUND(C1273*'FR_Mantenimiento tasas'!$D$43/360,5)</f>
        <v>0</v>
      </c>
    </row>
    <row r="1274" spans="1:5">
      <c r="A1274" s="123">
        <f t="shared" si="38"/>
        <v>1272</v>
      </c>
      <c r="B1274" s="122">
        <f>IF(DAY(A1274)=DAY('F-Ahorro Futuro Genérico'!$H$11),'F-Ahorro Futuro Genérico'!$H$9,0)</f>
        <v>0</v>
      </c>
      <c r="C1274" s="122">
        <f t="shared" si="39"/>
        <v>0</v>
      </c>
      <c r="D1274" s="121">
        <f>ROUND(C1274*'FR_Mantenimiento tasas'!$C$43/360,5)</f>
        <v>0</v>
      </c>
      <c r="E1274" s="121">
        <f>ROUND(C1274*'FR_Mantenimiento tasas'!$D$43/360,5)</f>
        <v>0</v>
      </c>
    </row>
    <row r="1275" spans="1:5">
      <c r="A1275" s="123">
        <f t="shared" si="38"/>
        <v>1273</v>
      </c>
      <c r="B1275" s="122">
        <f>IF(DAY(A1275)=DAY('F-Ahorro Futuro Genérico'!$H$11),'F-Ahorro Futuro Genérico'!$H$9,0)</f>
        <v>0</v>
      </c>
      <c r="C1275" s="122">
        <f t="shared" si="39"/>
        <v>0</v>
      </c>
      <c r="D1275" s="121">
        <f>ROUND(C1275*'FR_Mantenimiento tasas'!$C$43/360,5)</f>
        <v>0</v>
      </c>
      <c r="E1275" s="121">
        <f>ROUND(C1275*'FR_Mantenimiento tasas'!$D$43/360,5)</f>
        <v>0</v>
      </c>
    </row>
    <row r="1276" spans="1:5">
      <c r="A1276" s="123">
        <f t="shared" si="38"/>
        <v>1274</v>
      </c>
      <c r="B1276" s="122">
        <f>IF(DAY(A1276)=DAY('F-Ahorro Futuro Genérico'!$H$11),'F-Ahorro Futuro Genérico'!$H$9,0)</f>
        <v>0</v>
      </c>
      <c r="C1276" s="122">
        <f t="shared" si="39"/>
        <v>0</v>
      </c>
      <c r="D1276" s="121">
        <f>ROUND(C1276*'FR_Mantenimiento tasas'!$C$43/360,5)</f>
        <v>0</v>
      </c>
      <c r="E1276" s="121">
        <f>ROUND(C1276*'FR_Mantenimiento tasas'!$D$43/360,5)</f>
        <v>0</v>
      </c>
    </row>
    <row r="1277" spans="1:5">
      <c r="A1277" s="123">
        <f t="shared" si="38"/>
        <v>1275</v>
      </c>
      <c r="B1277" s="122">
        <f>IF(DAY(A1277)=DAY('F-Ahorro Futuro Genérico'!$H$11),'F-Ahorro Futuro Genérico'!$H$9,0)</f>
        <v>0</v>
      </c>
      <c r="C1277" s="122">
        <f t="shared" si="39"/>
        <v>0</v>
      </c>
      <c r="D1277" s="121">
        <f>ROUND(C1277*'FR_Mantenimiento tasas'!$C$43/360,5)</f>
        <v>0</v>
      </c>
      <c r="E1277" s="121">
        <f>ROUND(C1277*'FR_Mantenimiento tasas'!$D$43/360,5)</f>
        <v>0</v>
      </c>
    </row>
    <row r="1278" spans="1:5">
      <c r="A1278" s="123">
        <f t="shared" si="38"/>
        <v>1276</v>
      </c>
      <c r="B1278" s="122">
        <f>IF(DAY(A1278)=DAY('F-Ahorro Futuro Genérico'!$H$11),'F-Ahorro Futuro Genérico'!$H$9,0)</f>
        <v>0</v>
      </c>
      <c r="C1278" s="122">
        <f t="shared" si="39"/>
        <v>0</v>
      </c>
      <c r="D1278" s="121">
        <f>ROUND(C1278*'FR_Mantenimiento tasas'!$C$43/360,5)</f>
        <v>0</v>
      </c>
      <c r="E1278" s="121">
        <f>ROUND(C1278*'FR_Mantenimiento tasas'!$D$43/360,5)</f>
        <v>0</v>
      </c>
    </row>
    <row r="1279" spans="1:5">
      <c r="A1279" s="123">
        <f t="shared" si="38"/>
        <v>1277</v>
      </c>
      <c r="B1279" s="122">
        <f>IF(DAY(A1279)=DAY('F-Ahorro Futuro Genérico'!$H$11),'F-Ahorro Futuro Genérico'!$H$9,0)</f>
        <v>0</v>
      </c>
      <c r="C1279" s="122">
        <f t="shared" si="39"/>
        <v>0</v>
      </c>
      <c r="D1279" s="121">
        <f>ROUND(C1279*'FR_Mantenimiento tasas'!$C$43/360,5)</f>
        <v>0</v>
      </c>
      <c r="E1279" s="121">
        <f>ROUND(C1279*'FR_Mantenimiento tasas'!$D$43/360,5)</f>
        <v>0</v>
      </c>
    </row>
    <row r="1280" spans="1:5">
      <c r="A1280" s="123">
        <f t="shared" si="38"/>
        <v>1278</v>
      </c>
      <c r="B1280" s="122">
        <f>IF(DAY(A1280)=DAY('F-Ahorro Futuro Genérico'!$H$11),'F-Ahorro Futuro Genérico'!$H$9,0)</f>
        <v>0</v>
      </c>
      <c r="C1280" s="122">
        <f t="shared" si="39"/>
        <v>0</v>
      </c>
      <c r="D1280" s="121">
        <f>ROUND(C1280*'FR_Mantenimiento tasas'!$C$43/360,5)</f>
        <v>0</v>
      </c>
      <c r="E1280" s="121">
        <f>ROUND(C1280*'FR_Mantenimiento tasas'!$D$43/360,5)</f>
        <v>0</v>
      </c>
    </row>
    <row r="1281" spans="1:5">
      <c r="A1281" s="123">
        <f t="shared" si="38"/>
        <v>1279</v>
      </c>
      <c r="B1281" s="122">
        <f>IF(DAY(A1281)=DAY('F-Ahorro Futuro Genérico'!$H$11),'F-Ahorro Futuro Genérico'!$H$9,0)</f>
        <v>0</v>
      </c>
      <c r="C1281" s="122">
        <f t="shared" si="39"/>
        <v>0</v>
      </c>
      <c r="D1281" s="121">
        <f>ROUND(C1281*'FR_Mantenimiento tasas'!$C$43/360,5)</f>
        <v>0</v>
      </c>
      <c r="E1281" s="121">
        <f>ROUND(C1281*'FR_Mantenimiento tasas'!$D$43/360,5)</f>
        <v>0</v>
      </c>
    </row>
    <row r="1282" spans="1:5">
      <c r="A1282" s="123">
        <f t="shared" si="38"/>
        <v>1280</v>
      </c>
      <c r="B1282" s="122">
        <f>IF(DAY(A1282)=DAY('F-Ahorro Futuro Genérico'!$H$11),'F-Ahorro Futuro Genérico'!$H$9,0)</f>
        <v>0</v>
      </c>
      <c r="C1282" s="122">
        <f t="shared" si="39"/>
        <v>0</v>
      </c>
      <c r="D1282" s="121">
        <f>ROUND(C1282*'FR_Mantenimiento tasas'!$C$43/360,5)</f>
        <v>0</v>
      </c>
      <c r="E1282" s="121">
        <f>ROUND(C1282*'FR_Mantenimiento tasas'!$D$43/360,5)</f>
        <v>0</v>
      </c>
    </row>
    <row r="1283" spans="1:5">
      <c r="A1283" s="123">
        <f t="shared" si="38"/>
        <v>1281</v>
      </c>
      <c r="B1283" s="122">
        <f>IF(DAY(A1283)=DAY('F-Ahorro Futuro Genérico'!$H$11),'F-Ahorro Futuro Genérico'!$H$9,0)</f>
        <v>0</v>
      </c>
      <c r="C1283" s="122">
        <f t="shared" si="39"/>
        <v>0</v>
      </c>
      <c r="D1283" s="121">
        <f>ROUND(C1283*'FR_Mantenimiento tasas'!$C$43/360,5)</f>
        <v>0</v>
      </c>
      <c r="E1283" s="121">
        <f>ROUND(C1283*'FR_Mantenimiento tasas'!$D$43/360,5)</f>
        <v>0</v>
      </c>
    </row>
    <row r="1284" spans="1:5">
      <c r="A1284" s="123">
        <f t="shared" ref="A1284:A1347" si="40">+A1283+1</f>
        <v>1282</v>
      </c>
      <c r="B1284" s="122">
        <f>IF(DAY(A1284)=DAY('F-Ahorro Futuro Genérico'!$H$11),'F-Ahorro Futuro Genérico'!$H$9,0)</f>
        <v>0</v>
      </c>
      <c r="C1284" s="122">
        <f t="shared" ref="C1284:C1347" si="41">+B1284+C1283+D1283</f>
        <v>0</v>
      </c>
      <c r="D1284" s="121">
        <f>ROUND(C1284*'FR_Mantenimiento tasas'!$C$43/360,5)</f>
        <v>0</v>
      </c>
      <c r="E1284" s="121">
        <f>ROUND(C1284*'FR_Mantenimiento tasas'!$D$43/360,5)</f>
        <v>0</v>
      </c>
    </row>
    <row r="1285" spans="1:5">
      <c r="A1285" s="123">
        <f t="shared" si="40"/>
        <v>1283</v>
      </c>
      <c r="B1285" s="122">
        <f>IF(DAY(A1285)=DAY('F-Ahorro Futuro Genérico'!$H$11),'F-Ahorro Futuro Genérico'!$H$9,0)</f>
        <v>0</v>
      </c>
      <c r="C1285" s="122">
        <f t="shared" si="41"/>
        <v>0</v>
      </c>
      <c r="D1285" s="121">
        <f>ROUND(C1285*'FR_Mantenimiento tasas'!$C$43/360,5)</f>
        <v>0</v>
      </c>
      <c r="E1285" s="121">
        <f>ROUND(C1285*'FR_Mantenimiento tasas'!$D$43/360,5)</f>
        <v>0</v>
      </c>
    </row>
    <row r="1286" spans="1:5">
      <c r="A1286" s="123">
        <f t="shared" si="40"/>
        <v>1284</v>
      </c>
      <c r="B1286" s="122">
        <f>IF(DAY(A1286)=DAY('F-Ahorro Futuro Genérico'!$H$11),'F-Ahorro Futuro Genérico'!$H$9,0)</f>
        <v>0</v>
      </c>
      <c r="C1286" s="122">
        <f t="shared" si="41"/>
        <v>0</v>
      </c>
      <c r="D1286" s="121">
        <f>ROUND(C1286*'FR_Mantenimiento tasas'!$C$43/360,5)</f>
        <v>0</v>
      </c>
      <c r="E1286" s="121">
        <f>ROUND(C1286*'FR_Mantenimiento tasas'!$D$43/360,5)</f>
        <v>0</v>
      </c>
    </row>
    <row r="1287" spans="1:5">
      <c r="A1287" s="123">
        <f t="shared" si="40"/>
        <v>1285</v>
      </c>
      <c r="B1287" s="122">
        <f>IF(DAY(A1287)=DAY('F-Ahorro Futuro Genérico'!$H$11),'F-Ahorro Futuro Genérico'!$H$9,0)</f>
        <v>0</v>
      </c>
      <c r="C1287" s="122">
        <f t="shared" si="41"/>
        <v>0</v>
      </c>
      <c r="D1287" s="121">
        <f>ROUND(C1287*'FR_Mantenimiento tasas'!$C$43/360,5)</f>
        <v>0</v>
      </c>
      <c r="E1287" s="121">
        <f>ROUND(C1287*'FR_Mantenimiento tasas'!$D$43/360,5)</f>
        <v>0</v>
      </c>
    </row>
    <row r="1288" spans="1:5">
      <c r="A1288" s="123">
        <f t="shared" si="40"/>
        <v>1286</v>
      </c>
      <c r="B1288" s="122">
        <f>IF(DAY(A1288)=DAY('F-Ahorro Futuro Genérico'!$H$11),'F-Ahorro Futuro Genérico'!$H$9,0)</f>
        <v>0</v>
      </c>
      <c r="C1288" s="122">
        <f t="shared" si="41"/>
        <v>0</v>
      </c>
      <c r="D1288" s="121">
        <f>ROUND(C1288*'FR_Mantenimiento tasas'!$C$43/360,5)</f>
        <v>0</v>
      </c>
      <c r="E1288" s="121">
        <f>ROUND(C1288*'FR_Mantenimiento tasas'!$D$43/360,5)</f>
        <v>0</v>
      </c>
    </row>
    <row r="1289" spans="1:5">
      <c r="A1289" s="123">
        <f t="shared" si="40"/>
        <v>1287</v>
      </c>
      <c r="B1289" s="122">
        <f>IF(DAY(A1289)=DAY('F-Ahorro Futuro Genérico'!$H$11),'F-Ahorro Futuro Genérico'!$H$9,0)</f>
        <v>0</v>
      </c>
      <c r="C1289" s="122">
        <f t="shared" si="41"/>
        <v>0</v>
      </c>
      <c r="D1289" s="121">
        <f>ROUND(C1289*'FR_Mantenimiento tasas'!$C$43/360,5)</f>
        <v>0</v>
      </c>
      <c r="E1289" s="121">
        <f>ROUND(C1289*'FR_Mantenimiento tasas'!$D$43/360,5)</f>
        <v>0</v>
      </c>
    </row>
    <row r="1290" spans="1:5">
      <c r="A1290" s="123">
        <f t="shared" si="40"/>
        <v>1288</v>
      </c>
      <c r="B1290" s="122">
        <f>IF(DAY(A1290)=DAY('F-Ahorro Futuro Genérico'!$H$11),'F-Ahorro Futuro Genérico'!$H$9,0)</f>
        <v>0</v>
      </c>
      <c r="C1290" s="122">
        <f t="shared" si="41"/>
        <v>0</v>
      </c>
      <c r="D1290" s="121">
        <f>ROUND(C1290*'FR_Mantenimiento tasas'!$C$43/360,5)</f>
        <v>0</v>
      </c>
      <c r="E1290" s="121">
        <f>ROUND(C1290*'FR_Mantenimiento tasas'!$D$43/360,5)</f>
        <v>0</v>
      </c>
    </row>
    <row r="1291" spans="1:5">
      <c r="A1291" s="123">
        <f t="shared" si="40"/>
        <v>1289</v>
      </c>
      <c r="B1291" s="122">
        <f>IF(DAY(A1291)=DAY('F-Ahorro Futuro Genérico'!$H$11),'F-Ahorro Futuro Genérico'!$H$9,0)</f>
        <v>0</v>
      </c>
      <c r="C1291" s="122">
        <f t="shared" si="41"/>
        <v>0</v>
      </c>
      <c r="D1291" s="121">
        <f>ROUND(C1291*'FR_Mantenimiento tasas'!$C$43/360,5)</f>
        <v>0</v>
      </c>
      <c r="E1291" s="121">
        <f>ROUND(C1291*'FR_Mantenimiento tasas'!$D$43/360,5)</f>
        <v>0</v>
      </c>
    </row>
    <row r="1292" spans="1:5">
      <c r="A1292" s="123">
        <f t="shared" si="40"/>
        <v>1290</v>
      </c>
      <c r="B1292" s="122">
        <f>IF(DAY(A1292)=DAY('F-Ahorro Futuro Genérico'!$H$11),'F-Ahorro Futuro Genérico'!$H$9,0)</f>
        <v>0</v>
      </c>
      <c r="C1292" s="122">
        <f t="shared" si="41"/>
        <v>0</v>
      </c>
      <c r="D1292" s="121">
        <f>ROUND(C1292*'FR_Mantenimiento tasas'!$C$43/360,5)</f>
        <v>0</v>
      </c>
      <c r="E1292" s="121">
        <f>ROUND(C1292*'FR_Mantenimiento tasas'!$D$43/360,5)</f>
        <v>0</v>
      </c>
    </row>
    <row r="1293" spans="1:5">
      <c r="A1293" s="123">
        <f t="shared" si="40"/>
        <v>1291</v>
      </c>
      <c r="B1293" s="122">
        <f>IF(DAY(A1293)=DAY('F-Ahorro Futuro Genérico'!$H$11),'F-Ahorro Futuro Genérico'!$H$9,0)</f>
        <v>0</v>
      </c>
      <c r="C1293" s="122">
        <f t="shared" si="41"/>
        <v>0</v>
      </c>
      <c r="D1293" s="121">
        <f>ROUND(C1293*'FR_Mantenimiento tasas'!$C$43/360,5)</f>
        <v>0</v>
      </c>
      <c r="E1293" s="121">
        <f>ROUND(C1293*'FR_Mantenimiento tasas'!$D$43/360,5)</f>
        <v>0</v>
      </c>
    </row>
    <row r="1294" spans="1:5">
      <c r="A1294" s="123">
        <f t="shared" si="40"/>
        <v>1292</v>
      </c>
      <c r="B1294" s="122">
        <f>IF(DAY(A1294)=DAY('F-Ahorro Futuro Genérico'!$H$11),'F-Ahorro Futuro Genérico'!$H$9,0)</f>
        <v>0</v>
      </c>
      <c r="C1294" s="122">
        <f t="shared" si="41"/>
        <v>0</v>
      </c>
      <c r="D1294" s="121">
        <f>ROUND(C1294*'FR_Mantenimiento tasas'!$C$43/360,5)</f>
        <v>0</v>
      </c>
      <c r="E1294" s="121">
        <f>ROUND(C1294*'FR_Mantenimiento tasas'!$D$43/360,5)</f>
        <v>0</v>
      </c>
    </row>
    <row r="1295" spans="1:5">
      <c r="A1295" s="123">
        <f t="shared" si="40"/>
        <v>1293</v>
      </c>
      <c r="B1295" s="122">
        <f>IF(DAY(A1295)=DAY('F-Ahorro Futuro Genérico'!$H$11),'F-Ahorro Futuro Genérico'!$H$9,0)</f>
        <v>0</v>
      </c>
      <c r="C1295" s="122">
        <f t="shared" si="41"/>
        <v>0</v>
      </c>
      <c r="D1295" s="121">
        <f>ROUND(C1295*'FR_Mantenimiento tasas'!$C$43/360,5)</f>
        <v>0</v>
      </c>
      <c r="E1295" s="121">
        <f>ROUND(C1295*'FR_Mantenimiento tasas'!$D$43/360,5)</f>
        <v>0</v>
      </c>
    </row>
    <row r="1296" spans="1:5">
      <c r="A1296" s="123">
        <f t="shared" si="40"/>
        <v>1294</v>
      </c>
      <c r="B1296" s="122">
        <f>IF(DAY(A1296)=DAY('F-Ahorro Futuro Genérico'!$H$11),'F-Ahorro Futuro Genérico'!$H$9,0)</f>
        <v>0</v>
      </c>
      <c r="C1296" s="122">
        <f t="shared" si="41"/>
        <v>0</v>
      </c>
      <c r="D1296" s="121">
        <f>ROUND(C1296*'FR_Mantenimiento tasas'!$C$43/360,5)</f>
        <v>0</v>
      </c>
      <c r="E1296" s="121">
        <f>ROUND(C1296*'FR_Mantenimiento tasas'!$D$43/360,5)</f>
        <v>0</v>
      </c>
    </row>
    <row r="1297" spans="1:5">
      <c r="A1297" s="123">
        <f t="shared" si="40"/>
        <v>1295</v>
      </c>
      <c r="B1297" s="122">
        <f>IF(DAY(A1297)=DAY('F-Ahorro Futuro Genérico'!$H$11),'F-Ahorro Futuro Genérico'!$H$9,0)</f>
        <v>0</v>
      </c>
      <c r="C1297" s="122">
        <f t="shared" si="41"/>
        <v>0</v>
      </c>
      <c r="D1297" s="121">
        <f>ROUND(C1297*'FR_Mantenimiento tasas'!$C$43/360,5)</f>
        <v>0</v>
      </c>
      <c r="E1297" s="121">
        <f>ROUND(C1297*'FR_Mantenimiento tasas'!$D$43/360,5)</f>
        <v>0</v>
      </c>
    </row>
    <row r="1298" spans="1:5">
      <c r="A1298" s="123">
        <f t="shared" si="40"/>
        <v>1296</v>
      </c>
      <c r="B1298" s="122">
        <f>IF(DAY(A1298)=DAY('F-Ahorro Futuro Genérico'!$H$11),'F-Ahorro Futuro Genérico'!$H$9,0)</f>
        <v>0</v>
      </c>
      <c r="C1298" s="122">
        <f t="shared" si="41"/>
        <v>0</v>
      </c>
      <c r="D1298" s="121">
        <f>ROUND(C1298*'FR_Mantenimiento tasas'!$C$43/360,5)</f>
        <v>0</v>
      </c>
      <c r="E1298" s="121">
        <f>ROUND(C1298*'FR_Mantenimiento tasas'!$D$43/360,5)</f>
        <v>0</v>
      </c>
    </row>
    <row r="1299" spans="1:5">
      <c r="A1299" s="123">
        <f t="shared" si="40"/>
        <v>1297</v>
      </c>
      <c r="B1299" s="122">
        <f>IF(DAY(A1299)=DAY('F-Ahorro Futuro Genérico'!$H$11),'F-Ahorro Futuro Genérico'!$H$9,0)</f>
        <v>0</v>
      </c>
      <c r="C1299" s="122">
        <f t="shared" si="41"/>
        <v>0</v>
      </c>
      <c r="D1299" s="121">
        <f>ROUND(C1299*'FR_Mantenimiento tasas'!$C$43/360,5)</f>
        <v>0</v>
      </c>
      <c r="E1299" s="121">
        <f>ROUND(C1299*'FR_Mantenimiento tasas'!$D$43/360,5)</f>
        <v>0</v>
      </c>
    </row>
    <row r="1300" spans="1:5">
      <c r="A1300" s="123">
        <f t="shared" si="40"/>
        <v>1298</v>
      </c>
      <c r="B1300" s="122">
        <f>IF(DAY(A1300)=DAY('F-Ahorro Futuro Genérico'!$H$11),'F-Ahorro Futuro Genérico'!$H$9,0)</f>
        <v>0</v>
      </c>
      <c r="C1300" s="122">
        <f t="shared" si="41"/>
        <v>0</v>
      </c>
      <c r="D1300" s="121">
        <f>ROUND(C1300*'FR_Mantenimiento tasas'!$C$43/360,5)</f>
        <v>0</v>
      </c>
      <c r="E1300" s="121">
        <f>ROUND(C1300*'FR_Mantenimiento tasas'!$D$43/360,5)</f>
        <v>0</v>
      </c>
    </row>
    <row r="1301" spans="1:5">
      <c r="A1301" s="123">
        <f t="shared" si="40"/>
        <v>1299</v>
      </c>
      <c r="B1301" s="122">
        <f>IF(DAY(A1301)=DAY('F-Ahorro Futuro Genérico'!$H$11),'F-Ahorro Futuro Genérico'!$H$9,0)</f>
        <v>0</v>
      </c>
      <c r="C1301" s="122">
        <f t="shared" si="41"/>
        <v>0</v>
      </c>
      <c r="D1301" s="121">
        <f>ROUND(C1301*'FR_Mantenimiento tasas'!$C$43/360,5)</f>
        <v>0</v>
      </c>
      <c r="E1301" s="121">
        <f>ROUND(C1301*'FR_Mantenimiento tasas'!$D$43/360,5)</f>
        <v>0</v>
      </c>
    </row>
    <row r="1302" spans="1:5">
      <c r="A1302" s="123">
        <f t="shared" si="40"/>
        <v>1300</v>
      </c>
      <c r="B1302" s="122">
        <f>IF(DAY(A1302)=DAY('F-Ahorro Futuro Genérico'!$H$11),'F-Ahorro Futuro Genérico'!$H$9,0)</f>
        <v>0</v>
      </c>
      <c r="C1302" s="122">
        <f t="shared" si="41"/>
        <v>0</v>
      </c>
      <c r="D1302" s="121">
        <f>ROUND(C1302*'FR_Mantenimiento tasas'!$C$43/360,5)</f>
        <v>0</v>
      </c>
      <c r="E1302" s="121">
        <f>ROUND(C1302*'FR_Mantenimiento tasas'!$D$43/360,5)</f>
        <v>0</v>
      </c>
    </row>
    <row r="1303" spans="1:5">
      <c r="A1303" s="123">
        <f t="shared" si="40"/>
        <v>1301</v>
      </c>
      <c r="B1303" s="122">
        <f>IF(DAY(A1303)=DAY('F-Ahorro Futuro Genérico'!$H$11),'F-Ahorro Futuro Genérico'!$H$9,0)</f>
        <v>0</v>
      </c>
      <c r="C1303" s="122">
        <f t="shared" si="41"/>
        <v>0</v>
      </c>
      <c r="D1303" s="121">
        <f>ROUND(C1303*'FR_Mantenimiento tasas'!$C$43/360,5)</f>
        <v>0</v>
      </c>
      <c r="E1303" s="121">
        <f>ROUND(C1303*'FR_Mantenimiento tasas'!$D$43/360,5)</f>
        <v>0</v>
      </c>
    </row>
    <row r="1304" spans="1:5">
      <c r="A1304" s="123">
        <f t="shared" si="40"/>
        <v>1302</v>
      </c>
      <c r="B1304" s="122">
        <f>IF(DAY(A1304)=DAY('F-Ahorro Futuro Genérico'!$H$11),'F-Ahorro Futuro Genérico'!$H$9,0)</f>
        <v>0</v>
      </c>
      <c r="C1304" s="122">
        <f t="shared" si="41"/>
        <v>0</v>
      </c>
      <c r="D1304" s="121">
        <f>ROUND(C1304*'FR_Mantenimiento tasas'!$C$43/360,5)</f>
        <v>0</v>
      </c>
      <c r="E1304" s="121">
        <f>ROUND(C1304*'FR_Mantenimiento tasas'!$D$43/360,5)</f>
        <v>0</v>
      </c>
    </row>
    <row r="1305" spans="1:5">
      <c r="A1305" s="123">
        <f t="shared" si="40"/>
        <v>1303</v>
      </c>
      <c r="B1305" s="122">
        <f>IF(DAY(A1305)=DAY('F-Ahorro Futuro Genérico'!$H$11),'F-Ahorro Futuro Genérico'!$H$9,0)</f>
        <v>0</v>
      </c>
      <c r="C1305" s="122">
        <f t="shared" si="41"/>
        <v>0</v>
      </c>
      <c r="D1305" s="121">
        <f>ROUND(C1305*'FR_Mantenimiento tasas'!$C$43/360,5)</f>
        <v>0</v>
      </c>
      <c r="E1305" s="121">
        <f>ROUND(C1305*'FR_Mantenimiento tasas'!$D$43/360,5)</f>
        <v>0</v>
      </c>
    </row>
    <row r="1306" spans="1:5">
      <c r="A1306" s="123">
        <f t="shared" si="40"/>
        <v>1304</v>
      </c>
      <c r="B1306" s="122">
        <f>IF(DAY(A1306)=DAY('F-Ahorro Futuro Genérico'!$H$11),'F-Ahorro Futuro Genérico'!$H$9,0)</f>
        <v>0</v>
      </c>
      <c r="C1306" s="122">
        <f t="shared" si="41"/>
        <v>0</v>
      </c>
      <c r="D1306" s="121">
        <f>ROUND(C1306*'FR_Mantenimiento tasas'!$C$43/360,5)</f>
        <v>0</v>
      </c>
      <c r="E1306" s="121">
        <f>ROUND(C1306*'FR_Mantenimiento tasas'!$D$43/360,5)</f>
        <v>0</v>
      </c>
    </row>
    <row r="1307" spans="1:5">
      <c r="A1307" s="123">
        <f t="shared" si="40"/>
        <v>1305</v>
      </c>
      <c r="B1307" s="122">
        <f>IF(DAY(A1307)=DAY('F-Ahorro Futuro Genérico'!$H$11),'F-Ahorro Futuro Genérico'!$H$9,0)</f>
        <v>0</v>
      </c>
      <c r="C1307" s="122">
        <f t="shared" si="41"/>
        <v>0</v>
      </c>
      <c r="D1307" s="121">
        <f>ROUND(C1307*'FR_Mantenimiento tasas'!$C$43/360,5)</f>
        <v>0</v>
      </c>
      <c r="E1307" s="121">
        <f>ROUND(C1307*'FR_Mantenimiento tasas'!$D$43/360,5)</f>
        <v>0</v>
      </c>
    </row>
    <row r="1308" spans="1:5">
      <c r="A1308" s="123">
        <f t="shared" si="40"/>
        <v>1306</v>
      </c>
      <c r="B1308" s="122">
        <f>IF(DAY(A1308)=DAY('F-Ahorro Futuro Genérico'!$H$11),'F-Ahorro Futuro Genérico'!$H$9,0)</f>
        <v>0</v>
      </c>
      <c r="C1308" s="122">
        <f t="shared" si="41"/>
        <v>0</v>
      </c>
      <c r="D1308" s="121">
        <f>ROUND(C1308*'FR_Mantenimiento tasas'!$C$43/360,5)</f>
        <v>0</v>
      </c>
      <c r="E1308" s="121">
        <f>ROUND(C1308*'FR_Mantenimiento tasas'!$D$43/360,5)</f>
        <v>0</v>
      </c>
    </row>
    <row r="1309" spans="1:5">
      <c r="A1309" s="123">
        <f t="shared" si="40"/>
        <v>1307</v>
      </c>
      <c r="B1309" s="122">
        <f>IF(DAY(A1309)=DAY('F-Ahorro Futuro Genérico'!$H$11),'F-Ahorro Futuro Genérico'!$H$9,0)</f>
        <v>0</v>
      </c>
      <c r="C1309" s="122">
        <f t="shared" si="41"/>
        <v>0</v>
      </c>
      <c r="D1309" s="121">
        <f>ROUND(C1309*'FR_Mantenimiento tasas'!$C$43/360,5)</f>
        <v>0</v>
      </c>
      <c r="E1309" s="121">
        <f>ROUND(C1309*'FR_Mantenimiento tasas'!$D$43/360,5)</f>
        <v>0</v>
      </c>
    </row>
    <row r="1310" spans="1:5">
      <c r="A1310" s="123">
        <f t="shared" si="40"/>
        <v>1308</v>
      </c>
      <c r="B1310" s="122">
        <f>IF(DAY(A1310)=DAY('F-Ahorro Futuro Genérico'!$H$11),'F-Ahorro Futuro Genérico'!$H$9,0)</f>
        <v>0</v>
      </c>
      <c r="C1310" s="122">
        <f t="shared" si="41"/>
        <v>0</v>
      </c>
      <c r="D1310" s="121">
        <f>ROUND(C1310*'FR_Mantenimiento tasas'!$C$43/360,5)</f>
        <v>0</v>
      </c>
      <c r="E1310" s="121">
        <f>ROUND(C1310*'FR_Mantenimiento tasas'!$D$43/360,5)</f>
        <v>0</v>
      </c>
    </row>
    <row r="1311" spans="1:5">
      <c r="A1311" s="123">
        <f t="shared" si="40"/>
        <v>1309</v>
      </c>
      <c r="B1311" s="122">
        <f>IF(DAY(A1311)=DAY('F-Ahorro Futuro Genérico'!$H$11),'F-Ahorro Futuro Genérico'!$H$9,0)</f>
        <v>0</v>
      </c>
      <c r="C1311" s="122">
        <f t="shared" si="41"/>
        <v>0</v>
      </c>
      <c r="D1311" s="121">
        <f>ROUND(C1311*'FR_Mantenimiento tasas'!$C$43/360,5)</f>
        <v>0</v>
      </c>
      <c r="E1311" s="121">
        <f>ROUND(C1311*'FR_Mantenimiento tasas'!$D$43/360,5)</f>
        <v>0</v>
      </c>
    </row>
    <row r="1312" spans="1:5">
      <c r="A1312" s="123">
        <f t="shared" si="40"/>
        <v>1310</v>
      </c>
      <c r="B1312" s="122">
        <f>IF(DAY(A1312)=DAY('F-Ahorro Futuro Genérico'!$H$11),'F-Ahorro Futuro Genérico'!$H$9,0)</f>
        <v>0</v>
      </c>
      <c r="C1312" s="122">
        <f t="shared" si="41"/>
        <v>0</v>
      </c>
      <c r="D1312" s="121">
        <f>ROUND(C1312*'FR_Mantenimiento tasas'!$C$43/360,5)</f>
        <v>0</v>
      </c>
      <c r="E1312" s="121">
        <f>ROUND(C1312*'FR_Mantenimiento tasas'!$D$43/360,5)</f>
        <v>0</v>
      </c>
    </row>
    <row r="1313" spans="1:5">
      <c r="A1313" s="123">
        <f t="shared" si="40"/>
        <v>1311</v>
      </c>
      <c r="B1313" s="122">
        <f>IF(DAY(A1313)=DAY('F-Ahorro Futuro Genérico'!$H$11),'F-Ahorro Futuro Genérico'!$H$9,0)</f>
        <v>0</v>
      </c>
      <c r="C1313" s="122">
        <f t="shared" si="41"/>
        <v>0</v>
      </c>
      <c r="D1313" s="121">
        <f>ROUND(C1313*'FR_Mantenimiento tasas'!$C$43/360,5)</f>
        <v>0</v>
      </c>
      <c r="E1313" s="121">
        <f>ROUND(C1313*'FR_Mantenimiento tasas'!$D$43/360,5)</f>
        <v>0</v>
      </c>
    </row>
    <row r="1314" spans="1:5">
      <c r="A1314" s="123">
        <f t="shared" si="40"/>
        <v>1312</v>
      </c>
      <c r="B1314" s="122">
        <f>IF(DAY(A1314)=DAY('F-Ahorro Futuro Genérico'!$H$11),'F-Ahorro Futuro Genérico'!$H$9,0)</f>
        <v>0</v>
      </c>
      <c r="C1314" s="122">
        <f t="shared" si="41"/>
        <v>0</v>
      </c>
      <c r="D1314" s="121">
        <f>ROUND(C1314*'FR_Mantenimiento tasas'!$C$43/360,5)</f>
        <v>0</v>
      </c>
      <c r="E1314" s="121">
        <f>ROUND(C1314*'FR_Mantenimiento tasas'!$D$43/360,5)</f>
        <v>0</v>
      </c>
    </row>
    <row r="1315" spans="1:5">
      <c r="A1315" s="123">
        <f t="shared" si="40"/>
        <v>1313</v>
      </c>
      <c r="B1315" s="122">
        <f>IF(DAY(A1315)=DAY('F-Ahorro Futuro Genérico'!$H$11),'F-Ahorro Futuro Genérico'!$H$9,0)</f>
        <v>0</v>
      </c>
      <c r="C1315" s="122">
        <f t="shared" si="41"/>
        <v>0</v>
      </c>
      <c r="D1315" s="121">
        <f>ROUND(C1315*'FR_Mantenimiento tasas'!$C$43/360,5)</f>
        <v>0</v>
      </c>
      <c r="E1315" s="121">
        <f>ROUND(C1315*'FR_Mantenimiento tasas'!$D$43/360,5)</f>
        <v>0</v>
      </c>
    </row>
    <row r="1316" spans="1:5">
      <c r="A1316" s="123">
        <f t="shared" si="40"/>
        <v>1314</v>
      </c>
      <c r="B1316" s="122">
        <f>IF(DAY(A1316)=DAY('F-Ahorro Futuro Genérico'!$H$11),'F-Ahorro Futuro Genérico'!$H$9,0)</f>
        <v>0</v>
      </c>
      <c r="C1316" s="122">
        <f t="shared" si="41"/>
        <v>0</v>
      </c>
      <c r="D1316" s="121">
        <f>ROUND(C1316*'FR_Mantenimiento tasas'!$C$43/360,5)</f>
        <v>0</v>
      </c>
      <c r="E1316" s="121">
        <f>ROUND(C1316*'FR_Mantenimiento tasas'!$D$43/360,5)</f>
        <v>0</v>
      </c>
    </row>
    <row r="1317" spans="1:5">
      <c r="A1317" s="123">
        <f t="shared" si="40"/>
        <v>1315</v>
      </c>
      <c r="B1317" s="122">
        <f>IF(DAY(A1317)=DAY('F-Ahorro Futuro Genérico'!$H$11),'F-Ahorro Futuro Genérico'!$H$9,0)</f>
        <v>0</v>
      </c>
      <c r="C1317" s="122">
        <f t="shared" si="41"/>
        <v>0</v>
      </c>
      <c r="D1317" s="121">
        <f>ROUND(C1317*'FR_Mantenimiento tasas'!$C$43/360,5)</f>
        <v>0</v>
      </c>
      <c r="E1317" s="121">
        <f>ROUND(C1317*'FR_Mantenimiento tasas'!$D$43/360,5)</f>
        <v>0</v>
      </c>
    </row>
    <row r="1318" spans="1:5">
      <c r="A1318" s="123">
        <f t="shared" si="40"/>
        <v>1316</v>
      </c>
      <c r="B1318" s="122">
        <f>IF(DAY(A1318)=DAY('F-Ahorro Futuro Genérico'!$H$11),'F-Ahorro Futuro Genérico'!$H$9,0)</f>
        <v>0</v>
      </c>
      <c r="C1318" s="122">
        <f t="shared" si="41"/>
        <v>0</v>
      </c>
      <c r="D1318" s="121">
        <f>ROUND(C1318*'FR_Mantenimiento tasas'!$C$43/360,5)</f>
        <v>0</v>
      </c>
      <c r="E1318" s="121">
        <f>ROUND(C1318*'FR_Mantenimiento tasas'!$D$43/360,5)</f>
        <v>0</v>
      </c>
    </row>
    <row r="1319" spans="1:5">
      <c r="A1319" s="123">
        <f t="shared" si="40"/>
        <v>1317</v>
      </c>
      <c r="B1319" s="122">
        <f>IF(DAY(A1319)=DAY('F-Ahorro Futuro Genérico'!$H$11),'F-Ahorro Futuro Genérico'!$H$9,0)</f>
        <v>0</v>
      </c>
      <c r="C1319" s="122">
        <f t="shared" si="41"/>
        <v>0</v>
      </c>
      <c r="D1319" s="121">
        <f>ROUND(C1319*'FR_Mantenimiento tasas'!$C$43/360,5)</f>
        <v>0</v>
      </c>
      <c r="E1319" s="121">
        <f>ROUND(C1319*'FR_Mantenimiento tasas'!$D$43/360,5)</f>
        <v>0</v>
      </c>
    </row>
    <row r="1320" spans="1:5">
      <c r="A1320" s="123">
        <f t="shared" si="40"/>
        <v>1318</v>
      </c>
      <c r="B1320" s="122">
        <f>IF(DAY(A1320)=DAY('F-Ahorro Futuro Genérico'!$H$11),'F-Ahorro Futuro Genérico'!$H$9,0)</f>
        <v>0</v>
      </c>
      <c r="C1320" s="122">
        <f t="shared" si="41"/>
        <v>0</v>
      </c>
      <c r="D1320" s="121">
        <f>ROUND(C1320*'FR_Mantenimiento tasas'!$C$43/360,5)</f>
        <v>0</v>
      </c>
      <c r="E1320" s="121">
        <f>ROUND(C1320*'FR_Mantenimiento tasas'!$D$43/360,5)</f>
        <v>0</v>
      </c>
    </row>
    <row r="1321" spans="1:5">
      <c r="A1321" s="123">
        <f t="shared" si="40"/>
        <v>1319</v>
      </c>
      <c r="B1321" s="122">
        <f>IF(DAY(A1321)=DAY('F-Ahorro Futuro Genérico'!$H$11),'F-Ahorro Futuro Genérico'!$H$9,0)</f>
        <v>0</v>
      </c>
      <c r="C1321" s="122">
        <f t="shared" si="41"/>
        <v>0</v>
      </c>
      <c r="D1321" s="121">
        <f>ROUND(C1321*'FR_Mantenimiento tasas'!$C$43/360,5)</f>
        <v>0</v>
      </c>
      <c r="E1321" s="121">
        <f>ROUND(C1321*'FR_Mantenimiento tasas'!$D$43/360,5)</f>
        <v>0</v>
      </c>
    </row>
    <row r="1322" spans="1:5">
      <c r="A1322" s="123">
        <f t="shared" si="40"/>
        <v>1320</v>
      </c>
      <c r="B1322" s="122">
        <f>IF(DAY(A1322)=DAY('F-Ahorro Futuro Genérico'!$H$11),'F-Ahorro Futuro Genérico'!$H$9,0)</f>
        <v>0</v>
      </c>
      <c r="C1322" s="122">
        <f t="shared" si="41"/>
        <v>0</v>
      </c>
      <c r="D1322" s="121">
        <f>ROUND(C1322*'FR_Mantenimiento tasas'!$C$43/360,5)</f>
        <v>0</v>
      </c>
      <c r="E1322" s="121">
        <f>ROUND(C1322*'FR_Mantenimiento tasas'!$D$43/360,5)</f>
        <v>0</v>
      </c>
    </row>
    <row r="1323" spans="1:5">
      <c r="A1323" s="123">
        <f t="shared" si="40"/>
        <v>1321</v>
      </c>
      <c r="B1323" s="122">
        <f>IF(DAY(A1323)=DAY('F-Ahorro Futuro Genérico'!$H$11),'F-Ahorro Futuro Genérico'!$H$9,0)</f>
        <v>0</v>
      </c>
      <c r="C1323" s="122">
        <f t="shared" si="41"/>
        <v>0</v>
      </c>
      <c r="D1323" s="121">
        <f>ROUND(C1323*'FR_Mantenimiento tasas'!$C$43/360,5)</f>
        <v>0</v>
      </c>
      <c r="E1323" s="121">
        <f>ROUND(C1323*'FR_Mantenimiento tasas'!$D$43/360,5)</f>
        <v>0</v>
      </c>
    </row>
    <row r="1324" spans="1:5">
      <c r="A1324" s="123">
        <f t="shared" si="40"/>
        <v>1322</v>
      </c>
      <c r="B1324" s="122">
        <f>IF(DAY(A1324)=DAY('F-Ahorro Futuro Genérico'!$H$11),'F-Ahorro Futuro Genérico'!$H$9,0)</f>
        <v>0</v>
      </c>
      <c r="C1324" s="122">
        <f t="shared" si="41"/>
        <v>0</v>
      </c>
      <c r="D1324" s="121">
        <f>ROUND(C1324*'FR_Mantenimiento tasas'!$C$43/360,5)</f>
        <v>0</v>
      </c>
      <c r="E1324" s="121">
        <f>ROUND(C1324*'FR_Mantenimiento tasas'!$D$43/360,5)</f>
        <v>0</v>
      </c>
    </row>
    <row r="1325" spans="1:5">
      <c r="A1325" s="123">
        <f t="shared" si="40"/>
        <v>1323</v>
      </c>
      <c r="B1325" s="122">
        <f>IF(DAY(A1325)=DAY('F-Ahorro Futuro Genérico'!$H$11),'F-Ahorro Futuro Genérico'!$H$9,0)</f>
        <v>0</v>
      </c>
      <c r="C1325" s="122">
        <f t="shared" si="41"/>
        <v>0</v>
      </c>
      <c r="D1325" s="121">
        <f>ROUND(C1325*'FR_Mantenimiento tasas'!$C$43/360,5)</f>
        <v>0</v>
      </c>
      <c r="E1325" s="121">
        <f>ROUND(C1325*'FR_Mantenimiento tasas'!$D$43/360,5)</f>
        <v>0</v>
      </c>
    </row>
    <row r="1326" spans="1:5">
      <c r="A1326" s="123">
        <f t="shared" si="40"/>
        <v>1324</v>
      </c>
      <c r="B1326" s="122">
        <f>IF(DAY(A1326)=DAY('F-Ahorro Futuro Genérico'!$H$11),'F-Ahorro Futuro Genérico'!$H$9,0)</f>
        <v>0</v>
      </c>
      <c r="C1326" s="122">
        <f t="shared" si="41"/>
        <v>0</v>
      </c>
      <c r="D1326" s="121">
        <f>ROUND(C1326*'FR_Mantenimiento tasas'!$C$43/360,5)</f>
        <v>0</v>
      </c>
      <c r="E1326" s="121">
        <f>ROUND(C1326*'FR_Mantenimiento tasas'!$D$43/360,5)</f>
        <v>0</v>
      </c>
    </row>
    <row r="1327" spans="1:5">
      <c r="A1327" s="123">
        <f t="shared" si="40"/>
        <v>1325</v>
      </c>
      <c r="B1327" s="122">
        <f>IF(DAY(A1327)=DAY('F-Ahorro Futuro Genérico'!$H$11),'F-Ahorro Futuro Genérico'!$H$9,0)</f>
        <v>0</v>
      </c>
      <c r="C1327" s="122">
        <f t="shared" si="41"/>
        <v>0</v>
      </c>
      <c r="D1327" s="121">
        <f>ROUND(C1327*'FR_Mantenimiento tasas'!$C$43/360,5)</f>
        <v>0</v>
      </c>
      <c r="E1327" s="121">
        <f>ROUND(C1327*'FR_Mantenimiento tasas'!$D$43/360,5)</f>
        <v>0</v>
      </c>
    </row>
    <row r="1328" spans="1:5">
      <c r="A1328" s="123">
        <f t="shared" si="40"/>
        <v>1326</v>
      </c>
      <c r="B1328" s="122">
        <f>IF(DAY(A1328)=DAY('F-Ahorro Futuro Genérico'!$H$11),'F-Ahorro Futuro Genérico'!$H$9,0)</f>
        <v>0</v>
      </c>
      <c r="C1328" s="122">
        <f t="shared" si="41"/>
        <v>0</v>
      </c>
      <c r="D1328" s="121">
        <f>ROUND(C1328*'FR_Mantenimiento tasas'!$C$43/360,5)</f>
        <v>0</v>
      </c>
      <c r="E1328" s="121">
        <f>ROUND(C1328*'FR_Mantenimiento tasas'!$D$43/360,5)</f>
        <v>0</v>
      </c>
    </row>
    <row r="1329" spans="1:5">
      <c r="A1329" s="123">
        <f t="shared" si="40"/>
        <v>1327</v>
      </c>
      <c r="B1329" s="122">
        <f>IF(DAY(A1329)=DAY('F-Ahorro Futuro Genérico'!$H$11),'F-Ahorro Futuro Genérico'!$H$9,0)</f>
        <v>0</v>
      </c>
      <c r="C1329" s="122">
        <f t="shared" si="41"/>
        <v>0</v>
      </c>
      <c r="D1329" s="121">
        <f>ROUND(C1329*'FR_Mantenimiento tasas'!$C$43/360,5)</f>
        <v>0</v>
      </c>
      <c r="E1329" s="121">
        <f>ROUND(C1329*'FR_Mantenimiento tasas'!$D$43/360,5)</f>
        <v>0</v>
      </c>
    </row>
    <row r="1330" spans="1:5">
      <c r="A1330" s="123">
        <f t="shared" si="40"/>
        <v>1328</v>
      </c>
      <c r="B1330" s="122">
        <f>IF(DAY(A1330)=DAY('F-Ahorro Futuro Genérico'!$H$11),'F-Ahorro Futuro Genérico'!$H$9,0)</f>
        <v>0</v>
      </c>
      <c r="C1330" s="122">
        <f t="shared" si="41"/>
        <v>0</v>
      </c>
      <c r="D1330" s="121">
        <f>ROUND(C1330*'FR_Mantenimiento tasas'!$C$43/360,5)</f>
        <v>0</v>
      </c>
      <c r="E1330" s="121">
        <f>ROUND(C1330*'FR_Mantenimiento tasas'!$D$43/360,5)</f>
        <v>0</v>
      </c>
    </row>
    <row r="1331" spans="1:5">
      <c r="A1331" s="123">
        <f t="shared" si="40"/>
        <v>1329</v>
      </c>
      <c r="B1331" s="122">
        <f>IF(DAY(A1331)=DAY('F-Ahorro Futuro Genérico'!$H$11),'F-Ahorro Futuro Genérico'!$H$9,0)</f>
        <v>0</v>
      </c>
      <c r="C1331" s="122">
        <f t="shared" si="41"/>
        <v>0</v>
      </c>
      <c r="D1331" s="121">
        <f>ROUND(C1331*'FR_Mantenimiento tasas'!$C$43/360,5)</f>
        <v>0</v>
      </c>
      <c r="E1331" s="121">
        <f>ROUND(C1331*'FR_Mantenimiento tasas'!$D$43/360,5)</f>
        <v>0</v>
      </c>
    </row>
    <row r="1332" spans="1:5">
      <c r="A1332" s="123">
        <f t="shared" si="40"/>
        <v>1330</v>
      </c>
      <c r="B1332" s="122">
        <f>IF(DAY(A1332)=DAY('F-Ahorro Futuro Genérico'!$H$11),'F-Ahorro Futuro Genérico'!$H$9,0)</f>
        <v>0</v>
      </c>
      <c r="C1332" s="122">
        <f t="shared" si="41"/>
        <v>0</v>
      </c>
      <c r="D1332" s="121">
        <f>ROUND(C1332*'FR_Mantenimiento tasas'!$C$43/360,5)</f>
        <v>0</v>
      </c>
      <c r="E1332" s="121">
        <f>ROUND(C1332*'FR_Mantenimiento tasas'!$D$43/360,5)</f>
        <v>0</v>
      </c>
    </row>
    <row r="1333" spans="1:5">
      <c r="A1333" s="123">
        <f t="shared" si="40"/>
        <v>1331</v>
      </c>
      <c r="B1333" s="122">
        <f>IF(DAY(A1333)=DAY('F-Ahorro Futuro Genérico'!$H$11),'F-Ahorro Futuro Genérico'!$H$9,0)</f>
        <v>0</v>
      </c>
      <c r="C1333" s="122">
        <f t="shared" si="41"/>
        <v>0</v>
      </c>
      <c r="D1333" s="121">
        <f>ROUND(C1333*'FR_Mantenimiento tasas'!$C$43/360,5)</f>
        <v>0</v>
      </c>
      <c r="E1333" s="121">
        <f>ROUND(C1333*'FR_Mantenimiento tasas'!$D$43/360,5)</f>
        <v>0</v>
      </c>
    </row>
    <row r="1334" spans="1:5">
      <c r="A1334" s="123">
        <f t="shared" si="40"/>
        <v>1332</v>
      </c>
      <c r="B1334" s="122">
        <f>IF(DAY(A1334)=DAY('F-Ahorro Futuro Genérico'!$H$11),'F-Ahorro Futuro Genérico'!$H$9,0)</f>
        <v>0</v>
      </c>
      <c r="C1334" s="122">
        <f t="shared" si="41"/>
        <v>0</v>
      </c>
      <c r="D1334" s="121">
        <f>ROUND(C1334*'FR_Mantenimiento tasas'!$C$43/360,5)</f>
        <v>0</v>
      </c>
      <c r="E1334" s="121">
        <f>ROUND(C1334*'FR_Mantenimiento tasas'!$D$43/360,5)</f>
        <v>0</v>
      </c>
    </row>
    <row r="1335" spans="1:5">
      <c r="A1335" s="123">
        <f t="shared" si="40"/>
        <v>1333</v>
      </c>
      <c r="B1335" s="122">
        <f>IF(DAY(A1335)=DAY('F-Ahorro Futuro Genérico'!$H$11),'F-Ahorro Futuro Genérico'!$H$9,0)</f>
        <v>0</v>
      </c>
      <c r="C1335" s="122">
        <f t="shared" si="41"/>
        <v>0</v>
      </c>
      <c r="D1335" s="121">
        <f>ROUND(C1335*'FR_Mantenimiento tasas'!$C$43/360,5)</f>
        <v>0</v>
      </c>
      <c r="E1335" s="121">
        <f>ROUND(C1335*'FR_Mantenimiento tasas'!$D$43/360,5)</f>
        <v>0</v>
      </c>
    </row>
    <row r="1336" spans="1:5">
      <c r="A1336" s="123">
        <f t="shared" si="40"/>
        <v>1334</v>
      </c>
      <c r="B1336" s="122">
        <f>IF(DAY(A1336)=DAY('F-Ahorro Futuro Genérico'!$H$11),'F-Ahorro Futuro Genérico'!$H$9,0)</f>
        <v>0</v>
      </c>
      <c r="C1336" s="122">
        <f t="shared" si="41"/>
        <v>0</v>
      </c>
      <c r="D1336" s="121">
        <f>ROUND(C1336*'FR_Mantenimiento tasas'!$C$43/360,5)</f>
        <v>0</v>
      </c>
      <c r="E1336" s="121">
        <f>ROUND(C1336*'FR_Mantenimiento tasas'!$D$43/360,5)</f>
        <v>0</v>
      </c>
    </row>
    <row r="1337" spans="1:5">
      <c r="A1337" s="123">
        <f t="shared" si="40"/>
        <v>1335</v>
      </c>
      <c r="B1337" s="122">
        <f>IF(DAY(A1337)=DAY('F-Ahorro Futuro Genérico'!$H$11),'F-Ahorro Futuro Genérico'!$H$9,0)</f>
        <v>0</v>
      </c>
      <c r="C1337" s="122">
        <f t="shared" si="41"/>
        <v>0</v>
      </c>
      <c r="D1337" s="121">
        <f>ROUND(C1337*'FR_Mantenimiento tasas'!$C$43/360,5)</f>
        <v>0</v>
      </c>
      <c r="E1337" s="121">
        <f>ROUND(C1337*'FR_Mantenimiento tasas'!$D$43/360,5)</f>
        <v>0</v>
      </c>
    </row>
    <row r="1338" spans="1:5">
      <c r="A1338" s="123">
        <f t="shared" si="40"/>
        <v>1336</v>
      </c>
      <c r="B1338" s="122">
        <f>IF(DAY(A1338)=DAY('F-Ahorro Futuro Genérico'!$H$11),'F-Ahorro Futuro Genérico'!$H$9,0)</f>
        <v>0</v>
      </c>
      <c r="C1338" s="122">
        <f t="shared" si="41"/>
        <v>0</v>
      </c>
      <c r="D1338" s="121">
        <f>ROUND(C1338*'FR_Mantenimiento tasas'!$C$43/360,5)</f>
        <v>0</v>
      </c>
      <c r="E1338" s="121">
        <f>ROUND(C1338*'FR_Mantenimiento tasas'!$D$43/360,5)</f>
        <v>0</v>
      </c>
    </row>
    <row r="1339" spans="1:5">
      <c r="A1339" s="123">
        <f t="shared" si="40"/>
        <v>1337</v>
      </c>
      <c r="B1339" s="122">
        <f>IF(DAY(A1339)=DAY('F-Ahorro Futuro Genérico'!$H$11),'F-Ahorro Futuro Genérico'!$H$9,0)</f>
        <v>0</v>
      </c>
      <c r="C1339" s="122">
        <f t="shared" si="41"/>
        <v>0</v>
      </c>
      <c r="D1339" s="121">
        <f>ROUND(C1339*'FR_Mantenimiento tasas'!$C$43/360,5)</f>
        <v>0</v>
      </c>
      <c r="E1339" s="121">
        <f>ROUND(C1339*'FR_Mantenimiento tasas'!$D$43/360,5)</f>
        <v>0</v>
      </c>
    </row>
    <row r="1340" spans="1:5">
      <c r="A1340" s="123">
        <f t="shared" si="40"/>
        <v>1338</v>
      </c>
      <c r="B1340" s="122">
        <f>IF(DAY(A1340)=DAY('F-Ahorro Futuro Genérico'!$H$11),'F-Ahorro Futuro Genérico'!$H$9,0)</f>
        <v>0</v>
      </c>
      <c r="C1340" s="122">
        <f t="shared" si="41"/>
        <v>0</v>
      </c>
      <c r="D1340" s="121">
        <f>ROUND(C1340*'FR_Mantenimiento tasas'!$C$43/360,5)</f>
        <v>0</v>
      </c>
      <c r="E1340" s="121">
        <f>ROUND(C1340*'FR_Mantenimiento tasas'!$D$43/360,5)</f>
        <v>0</v>
      </c>
    </row>
    <row r="1341" spans="1:5">
      <c r="A1341" s="123">
        <f t="shared" si="40"/>
        <v>1339</v>
      </c>
      <c r="B1341" s="122">
        <f>IF(DAY(A1341)=DAY('F-Ahorro Futuro Genérico'!$H$11),'F-Ahorro Futuro Genérico'!$H$9,0)</f>
        <v>0</v>
      </c>
      <c r="C1341" s="122">
        <f t="shared" si="41"/>
        <v>0</v>
      </c>
      <c r="D1341" s="121">
        <f>ROUND(C1341*'FR_Mantenimiento tasas'!$C$43/360,5)</f>
        <v>0</v>
      </c>
      <c r="E1341" s="121">
        <f>ROUND(C1341*'FR_Mantenimiento tasas'!$D$43/360,5)</f>
        <v>0</v>
      </c>
    </row>
    <row r="1342" spans="1:5">
      <c r="A1342" s="123">
        <f t="shared" si="40"/>
        <v>1340</v>
      </c>
      <c r="B1342" s="122">
        <f>IF(DAY(A1342)=DAY('F-Ahorro Futuro Genérico'!$H$11),'F-Ahorro Futuro Genérico'!$H$9,0)</f>
        <v>0</v>
      </c>
      <c r="C1342" s="122">
        <f t="shared" si="41"/>
        <v>0</v>
      </c>
      <c r="D1342" s="121">
        <f>ROUND(C1342*'FR_Mantenimiento tasas'!$C$43/360,5)</f>
        <v>0</v>
      </c>
      <c r="E1342" s="121">
        <f>ROUND(C1342*'FR_Mantenimiento tasas'!$D$43/360,5)</f>
        <v>0</v>
      </c>
    </row>
    <row r="1343" spans="1:5">
      <c r="A1343" s="123">
        <f t="shared" si="40"/>
        <v>1341</v>
      </c>
      <c r="B1343" s="122">
        <f>IF(DAY(A1343)=DAY('F-Ahorro Futuro Genérico'!$H$11),'F-Ahorro Futuro Genérico'!$H$9,0)</f>
        <v>0</v>
      </c>
      <c r="C1343" s="122">
        <f t="shared" si="41"/>
        <v>0</v>
      </c>
      <c r="D1343" s="121">
        <f>ROUND(C1343*'FR_Mantenimiento tasas'!$C$43/360,5)</f>
        <v>0</v>
      </c>
      <c r="E1343" s="121">
        <f>ROUND(C1343*'FR_Mantenimiento tasas'!$D$43/360,5)</f>
        <v>0</v>
      </c>
    </row>
    <row r="1344" spans="1:5">
      <c r="A1344" s="123">
        <f t="shared" si="40"/>
        <v>1342</v>
      </c>
      <c r="B1344" s="122">
        <f>IF(DAY(A1344)=DAY('F-Ahorro Futuro Genérico'!$H$11),'F-Ahorro Futuro Genérico'!$H$9,0)</f>
        <v>0</v>
      </c>
      <c r="C1344" s="122">
        <f t="shared" si="41"/>
        <v>0</v>
      </c>
      <c r="D1344" s="121">
        <f>ROUND(C1344*'FR_Mantenimiento tasas'!$C$43/360,5)</f>
        <v>0</v>
      </c>
      <c r="E1344" s="121">
        <f>ROUND(C1344*'FR_Mantenimiento tasas'!$D$43/360,5)</f>
        <v>0</v>
      </c>
    </row>
    <row r="1345" spans="1:5">
      <c r="A1345" s="123">
        <f t="shared" si="40"/>
        <v>1343</v>
      </c>
      <c r="B1345" s="122">
        <f>IF(DAY(A1345)=DAY('F-Ahorro Futuro Genérico'!$H$11),'F-Ahorro Futuro Genérico'!$H$9,0)</f>
        <v>0</v>
      </c>
      <c r="C1345" s="122">
        <f t="shared" si="41"/>
        <v>0</v>
      </c>
      <c r="D1345" s="121">
        <f>ROUND(C1345*'FR_Mantenimiento tasas'!$C$43/360,5)</f>
        <v>0</v>
      </c>
      <c r="E1345" s="121">
        <f>ROUND(C1345*'FR_Mantenimiento tasas'!$D$43/360,5)</f>
        <v>0</v>
      </c>
    </row>
    <row r="1346" spans="1:5">
      <c r="A1346" s="123">
        <f t="shared" si="40"/>
        <v>1344</v>
      </c>
      <c r="B1346" s="122">
        <f>IF(DAY(A1346)=DAY('F-Ahorro Futuro Genérico'!$H$11),'F-Ahorro Futuro Genérico'!$H$9,0)</f>
        <v>0</v>
      </c>
      <c r="C1346" s="122">
        <f t="shared" si="41"/>
        <v>0</v>
      </c>
      <c r="D1346" s="121">
        <f>ROUND(C1346*'FR_Mantenimiento tasas'!$C$43/360,5)</f>
        <v>0</v>
      </c>
      <c r="E1346" s="121">
        <f>ROUND(C1346*'FR_Mantenimiento tasas'!$D$43/360,5)</f>
        <v>0</v>
      </c>
    </row>
    <row r="1347" spans="1:5">
      <c r="A1347" s="123">
        <f t="shared" si="40"/>
        <v>1345</v>
      </c>
      <c r="B1347" s="122">
        <f>IF(DAY(A1347)=DAY('F-Ahorro Futuro Genérico'!$H$11),'F-Ahorro Futuro Genérico'!$H$9,0)</f>
        <v>0</v>
      </c>
      <c r="C1347" s="122">
        <f t="shared" si="41"/>
        <v>0</v>
      </c>
      <c r="D1347" s="121">
        <f>ROUND(C1347*'FR_Mantenimiento tasas'!$C$43/360,5)</f>
        <v>0</v>
      </c>
      <c r="E1347" s="121">
        <f>ROUND(C1347*'FR_Mantenimiento tasas'!$D$43/360,5)</f>
        <v>0</v>
      </c>
    </row>
    <row r="1348" spans="1:5">
      <c r="A1348" s="123">
        <f t="shared" ref="A1348:A1411" si="42">+A1347+1</f>
        <v>1346</v>
      </c>
      <c r="B1348" s="122">
        <f>IF(DAY(A1348)=DAY('F-Ahorro Futuro Genérico'!$H$11),'F-Ahorro Futuro Genérico'!$H$9,0)</f>
        <v>0</v>
      </c>
      <c r="C1348" s="122">
        <f t="shared" ref="C1348:C1411" si="43">+B1348+C1347+D1347</f>
        <v>0</v>
      </c>
      <c r="D1348" s="121">
        <f>ROUND(C1348*'FR_Mantenimiento tasas'!$C$43/360,5)</f>
        <v>0</v>
      </c>
      <c r="E1348" s="121">
        <f>ROUND(C1348*'FR_Mantenimiento tasas'!$D$43/360,5)</f>
        <v>0</v>
      </c>
    </row>
    <row r="1349" spans="1:5">
      <c r="A1349" s="123">
        <f t="shared" si="42"/>
        <v>1347</v>
      </c>
      <c r="B1349" s="122">
        <f>IF(DAY(A1349)=DAY('F-Ahorro Futuro Genérico'!$H$11),'F-Ahorro Futuro Genérico'!$H$9,0)</f>
        <v>0</v>
      </c>
      <c r="C1349" s="122">
        <f t="shared" si="43"/>
        <v>0</v>
      </c>
      <c r="D1349" s="121">
        <f>ROUND(C1349*'FR_Mantenimiento tasas'!$C$43/360,5)</f>
        <v>0</v>
      </c>
      <c r="E1349" s="121">
        <f>ROUND(C1349*'FR_Mantenimiento tasas'!$D$43/360,5)</f>
        <v>0</v>
      </c>
    </row>
    <row r="1350" spans="1:5">
      <c r="A1350" s="123">
        <f t="shared" si="42"/>
        <v>1348</v>
      </c>
      <c r="B1350" s="122">
        <f>IF(DAY(A1350)=DAY('F-Ahorro Futuro Genérico'!$H$11),'F-Ahorro Futuro Genérico'!$H$9,0)</f>
        <v>0</v>
      </c>
      <c r="C1350" s="122">
        <f t="shared" si="43"/>
        <v>0</v>
      </c>
      <c r="D1350" s="121">
        <f>ROUND(C1350*'FR_Mantenimiento tasas'!$C$43/360,5)</f>
        <v>0</v>
      </c>
      <c r="E1350" s="121">
        <f>ROUND(C1350*'FR_Mantenimiento tasas'!$D$43/360,5)</f>
        <v>0</v>
      </c>
    </row>
    <row r="1351" spans="1:5">
      <c r="A1351" s="123">
        <f t="shared" si="42"/>
        <v>1349</v>
      </c>
      <c r="B1351" s="122">
        <f>IF(DAY(A1351)=DAY('F-Ahorro Futuro Genérico'!$H$11),'F-Ahorro Futuro Genérico'!$H$9,0)</f>
        <v>0</v>
      </c>
      <c r="C1351" s="122">
        <f t="shared" si="43"/>
        <v>0</v>
      </c>
      <c r="D1351" s="121">
        <f>ROUND(C1351*'FR_Mantenimiento tasas'!$C$43/360,5)</f>
        <v>0</v>
      </c>
      <c r="E1351" s="121">
        <f>ROUND(C1351*'FR_Mantenimiento tasas'!$D$43/360,5)</f>
        <v>0</v>
      </c>
    </row>
    <row r="1352" spans="1:5">
      <c r="A1352" s="123">
        <f t="shared" si="42"/>
        <v>1350</v>
      </c>
      <c r="B1352" s="122">
        <f>IF(DAY(A1352)=DAY('F-Ahorro Futuro Genérico'!$H$11),'F-Ahorro Futuro Genérico'!$H$9,0)</f>
        <v>0</v>
      </c>
      <c r="C1352" s="122">
        <f t="shared" si="43"/>
        <v>0</v>
      </c>
      <c r="D1352" s="121">
        <f>ROUND(C1352*'FR_Mantenimiento tasas'!$C$43/360,5)</f>
        <v>0</v>
      </c>
      <c r="E1352" s="121">
        <f>ROUND(C1352*'FR_Mantenimiento tasas'!$D$43/360,5)</f>
        <v>0</v>
      </c>
    </row>
    <row r="1353" spans="1:5">
      <c r="A1353" s="123">
        <f t="shared" si="42"/>
        <v>1351</v>
      </c>
      <c r="B1353" s="122">
        <f>IF(DAY(A1353)=DAY('F-Ahorro Futuro Genérico'!$H$11),'F-Ahorro Futuro Genérico'!$H$9,0)</f>
        <v>0</v>
      </c>
      <c r="C1353" s="122">
        <f t="shared" si="43"/>
        <v>0</v>
      </c>
      <c r="D1353" s="121">
        <f>ROUND(C1353*'FR_Mantenimiento tasas'!$C$43/360,5)</f>
        <v>0</v>
      </c>
      <c r="E1353" s="121">
        <f>ROUND(C1353*'FR_Mantenimiento tasas'!$D$43/360,5)</f>
        <v>0</v>
      </c>
    </row>
    <row r="1354" spans="1:5">
      <c r="A1354" s="123">
        <f t="shared" si="42"/>
        <v>1352</v>
      </c>
      <c r="B1354" s="122">
        <f>IF(DAY(A1354)=DAY('F-Ahorro Futuro Genérico'!$H$11),'F-Ahorro Futuro Genérico'!$H$9,0)</f>
        <v>0</v>
      </c>
      <c r="C1354" s="122">
        <f t="shared" si="43"/>
        <v>0</v>
      </c>
      <c r="D1354" s="121">
        <f>ROUND(C1354*'FR_Mantenimiento tasas'!$C$43/360,5)</f>
        <v>0</v>
      </c>
      <c r="E1354" s="121">
        <f>ROUND(C1354*'FR_Mantenimiento tasas'!$D$43/360,5)</f>
        <v>0</v>
      </c>
    </row>
    <row r="1355" spans="1:5">
      <c r="A1355" s="123">
        <f t="shared" si="42"/>
        <v>1353</v>
      </c>
      <c r="B1355" s="122">
        <f>IF(DAY(A1355)=DAY('F-Ahorro Futuro Genérico'!$H$11),'F-Ahorro Futuro Genérico'!$H$9,0)</f>
        <v>0</v>
      </c>
      <c r="C1355" s="122">
        <f t="shared" si="43"/>
        <v>0</v>
      </c>
      <c r="D1355" s="121">
        <f>ROUND(C1355*'FR_Mantenimiento tasas'!$C$43/360,5)</f>
        <v>0</v>
      </c>
      <c r="E1355" s="121">
        <f>ROUND(C1355*'FR_Mantenimiento tasas'!$D$43/360,5)</f>
        <v>0</v>
      </c>
    </row>
    <row r="1356" spans="1:5">
      <c r="A1356" s="123">
        <f t="shared" si="42"/>
        <v>1354</v>
      </c>
      <c r="B1356" s="122">
        <f>IF(DAY(A1356)=DAY('F-Ahorro Futuro Genérico'!$H$11),'F-Ahorro Futuro Genérico'!$H$9,0)</f>
        <v>0</v>
      </c>
      <c r="C1356" s="122">
        <f t="shared" si="43"/>
        <v>0</v>
      </c>
      <c r="D1356" s="121">
        <f>ROUND(C1356*'FR_Mantenimiento tasas'!$C$43/360,5)</f>
        <v>0</v>
      </c>
      <c r="E1356" s="121">
        <f>ROUND(C1356*'FR_Mantenimiento tasas'!$D$43/360,5)</f>
        <v>0</v>
      </c>
    </row>
    <row r="1357" spans="1:5">
      <c r="A1357" s="123">
        <f t="shared" si="42"/>
        <v>1355</v>
      </c>
      <c r="B1357" s="122">
        <f>IF(DAY(A1357)=DAY('F-Ahorro Futuro Genérico'!$H$11),'F-Ahorro Futuro Genérico'!$H$9,0)</f>
        <v>0</v>
      </c>
      <c r="C1357" s="122">
        <f t="shared" si="43"/>
        <v>0</v>
      </c>
      <c r="D1357" s="121">
        <f>ROUND(C1357*'FR_Mantenimiento tasas'!$C$43/360,5)</f>
        <v>0</v>
      </c>
      <c r="E1357" s="121">
        <f>ROUND(C1357*'FR_Mantenimiento tasas'!$D$43/360,5)</f>
        <v>0</v>
      </c>
    </row>
    <row r="1358" spans="1:5">
      <c r="A1358" s="123">
        <f t="shared" si="42"/>
        <v>1356</v>
      </c>
      <c r="B1358" s="122">
        <f>IF(DAY(A1358)=DAY('F-Ahorro Futuro Genérico'!$H$11),'F-Ahorro Futuro Genérico'!$H$9,0)</f>
        <v>0</v>
      </c>
      <c r="C1358" s="122">
        <f t="shared" si="43"/>
        <v>0</v>
      </c>
      <c r="D1358" s="121">
        <f>ROUND(C1358*'FR_Mantenimiento tasas'!$C$43/360,5)</f>
        <v>0</v>
      </c>
      <c r="E1358" s="121">
        <f>ROUND(C1358*'FR_Mantenimiento tasas'!$D$43/360,5)</f>
        <v>0</v>
      </c>
    </row>
    <row r="1359" spans="1:5">
      <c r="A1359" s="123">
        <f t="shared" si="42"/>
        <v>1357</v>
      </c>
      <c r="B1359" s="122">
        <f>IF(DAY(A1359)=DAY('F-Ahorro Futuro Genérico'!$H$11),'F-Ahorro Futuro Genérico'!$H$9,0)</f>
        <v>0</v>
      </c>
      <c r="C1359" s="122">
        <f t="shared" si="43"/>
        <v>0</v>
      </c>
      <c r="D1359" s="121">
        <f>ROUND(C1359*'FR_Mantenimiento tasas'!$C$43/360,5)</f>
        <v>0</v>
      </c>
      <c r="E1359" s="121">
        <f>ROUND(C1359*'FR_Mantenimiento tasas'!$D$43/360,5)</f>
        <v>0</v>
      </c>
    </row>
    <row r="1360" spans="1:5">
      <c r="A1360" s="123">
        <f t="shared" si="42"/>
        <v>1358</v>
      </c>
      <c r="B1360" s="122">
        <f>IF(DAY(A1360)=DAY('F-Ahorro Futuro Genérico'!$H$11),'F-Ahorro Futuro Genérico'!$H$9,0)</f>
        <v>0</v>
      </c>
      <c r="C1360" s="122">
        <f t="shared" si="43"/>
        <v>0</v>
      </c>
      <c r="D1360" s="121">
        <f>ROUND(C1360*'FR_Mantenimiento tasas'!$C$43/360,5)</f>
        <v>0</v>
      </c>
      <c r="E1360" s="121">
        <f>ROUND(C1360*'FR_Mantenimiento tasas'!$D$43/360,5)</f>
        <v>0</v>
      </c>
    </row>
    <row r="1361" spans="1:5">
      <c r="A1361" s="123">
        <f t="shared" si="42"/>
        <v>1359</v>
      </c>
      <c r="B1361" s="122">
        <f>IF(DAY(A1361)=DAY('F-Ahorro Futuro Genérico'!$H$11),'F-Ahorro Futuro Genérico'!$H$9,0)</f>
        <v>0</v>
      </c>
      <c r="C1361" s="122">
        <f t="shared" si="43"/>
        <v>0</v>
      </c>
      <c r="D1361" s="121">
        <f>ROUND(C1361*'FR_Mantenimiento tasas'!$C$43/360,5)</f>
        <v>0</v>
      </c>
      <c r="E1361" s="121">
        <f>ROUND(C1361*'FR_Mantenimiento tasas'!$D$43/360,5)</f>
        <v>0</v>
      </c>
    </row>
    <row r="1362" spans="1:5">
      <c r="A1362" s="123">
        <f t="shared" si="42"/>
        <v>1360</v>
      </c>
      <c r="B1362" s="122">
        <f>IF(DAY(A1362)=DAY('F-Ahorro Futuro Genérico'!$H$11),'F-Ahorro Futuro Genérico'!$H$9,0)</f>
        <v>0</v>
      </c>
      <c r="C1362" s="122">
        <f t="shared" si="43"/>
        <v>0</v>
      </c>
      <c r="D1362" s="121">
        <f>ROUND(C1362*'FR_Mantenimiento tasas'!$C$43/360,5)</f>
        <v>0</v>
      </c>
      <c r="E1362" s="121">
        <f>ROUND(C1362*'FR_Mantenimiento tasas'!$D$43/360,5)</f>
        <v>0</v>
      </c>
    </row>
    <row r="1363" spans="1:5">
      <c r="A1363" s="123">
        <f t="shared" si="42"/>
        <v>1361</v>
      </c>
      <c r="B1363" s="122">
        <f>IF(DAY(A1363)=DAY('F-Ahorro Futuro Genérico'!$H$11),'F-Ahorro Futuro Genérico'!$H$9,0)</f>
        <v>0</v>
      </c>
      <c r="C1363" s="122">
        <f t="shared" si="43"/>
        <v>0</v>
      </c>
      <c r="D1363" s="121">
        <f>ROUND(C1363*'FR_Mantenimiento tasas'!$C$43/360,5)</f>
        <v>0</v>
      </c>
      <c r="E1363" s="121">
        <f>ROUND(C1363*'FR_Mantenimiento tasas'!$D$43/360,5)</f>
        <v>0</v>
      </c>
    </row>
    <row r="1364" spans="1:5">
      <c r="A1364" s="123">
        <f t="shared" si="42"/>
        <v>1362</v>
      </c>
      <c r="B1364" s="122">
        <f>IF(DAY(A1364)=DAY('F-Ahorro Futuro Genérico'!$H$11),'F-Ahorro Futuro Genérico'!$H$9,0)</f>
        <v>0</v>
      </c>
      <c r="C1364" s="122">
        <f t="shared" si="43"/>
        <v>0</v>
      </c>
      <c r="D1364" s="121">
        <f>ROUND(C1364*'FR_Mantenimiento tasas'!$C$43/360,5)</f>
        <v>0</v>
      </c>
      <c r="E1364" s="121">
        <f>ROUND(C1364*'FR_Mantenimiento tasas'!$D$43/360,5)</f>
        <v>0</v>
      </c>
    </row>
    <row r="1365" spans="1:5">
      <c r="A1365" s="123">
        <f t="shared" si="42"/>
        <v>1363</v>
      </c>
      <c r="B1365" s="122">
        <f>IF(DAY(A1365)=DAY('F-Ahorro Futuro Genérico'!$H$11),'F-Ahorro Futuro Genérico'!$H$9,0)</f>
        <v>0</v>
      </c>
      <c r="C1365" s="122">
        <f t="shared" si="43"/>
        <v>0</v>
      </c>
      <c r="D1365" s="121">
        <f>ROUND(C1365*'FR_Mantenimiento tasas'!$C$43/360,5)</f>
        <v>0</v>
      </c>
      <c r="E1365" s="121">
        <f>ROUND(C1365*'FR_Mantenimiento tasas'!$D$43/360,5)</f>
        <v>0</v>
      </c>
    </row>
    <row r="1366" spans="1:5">
      <c r="A1366" s="123">
        <f t="shared" si="42"/>
        <v>1364</v>
      </c>
      <c r="B1366" s="122">
        <f>IF(DAY(A1366)=DAY('F-Ahorro Futuro Genérico'!$H$11),'F-Ahorro Futuro Genérico'!$H$9,0)</f>
        <v>0</v>
      </c>
      <c r="C1366" s="122">
        <f t="shared" si="43"/>
        <v>0</v>
      </c>
      <c r="D1366" s="121">
        <f>ROUND(C1366*'FR_Mantenimiento tasas'!$C$43/360,5)</f>
        <v>0</v>
      </c>
      <c r="E1366" s="121">
        <f>ROUND(C1366*'FR_Mantenimiento tasas'!$D$43/360,5)</f>
        <v>0</v>
      </c>
    </row>
    <row r="1367" spans="1:5">
      <c r="A1367" s="123">
        <f t="shared" si="42"/>
        <v>1365</v>
      </c>
      <c r="B1367" s="122">
        <f>IF(DAY(A1367)=DAY('F-Ahorro Futuro Genérico'!$H$11),'F-Ahorro Futuro Genérico'!$H$9,0)</f>
        <v>0</v>
      </c>
      <c r="C1367" s="122">
        <f t="shared" si="43"/>
        <v>0</v>
      </c>
      <c r="D1367" s="121">
        <f>ROUND(C1367*'FR_Mantenimiento tasas'!$C$43/360,5)</f>
        <v>0</v>
      </c>
      <c r="E1367" s="121">
        <f>ROUND(C1367*'FR_Mantenimiento tasas'!$D$43/360,5)</f>
        <v>0</v>
      </c>
    </row>
    <row r="1368" spans="1:5">
      <c r="A1368" s="123">
        <f t="shared" si="42"/>
        <v>1366</v>
      </c>
      <c r="B1368" s="122">
        <f>IF(DAY(A1368)=DAY('F-Ahorro Futuro Genérico'!$H$11),'F-Ahorro Futuro Genérico'!$H$9,0)</f>
        <v>0</v>
      </c>
      <c r="C1368" s="122">
        <f t="shared" si="43"/>
        <v>0</v>
      </c>
      <c r="D1368" s="121">
        <f>ROUND(C1368*'FR_Mantenimiento tasas'!$C$43/360,5)</f>
        <v>0</v>
      </c>
      <c r="E1368" s="121">
        <f>ROUND(C1368*'FR_Mantenimiento tasas'!$D$43/360,5)</f>
        <v>0</v>
      </c>
    </row>
    <row r="1369" spans="1:5">
      <c r="A1369" s="123">
        <f t="shared" si="42"/>
        <v>1367</v>
      </c>
      <c r="B1369" s="122">
        <f>IF(DAY(A1369)=DAY('F-Ahorro Futuro Genérico'!$H$11),'F-Ahorro Futuro Genérico'!$H$9,0)</f>
        <v>0</v>
      </c>
      <c r="C1369" s="122">
        <f t="shared" si="43"/>
        <v>0</v>
      </c>
      <c r="D1369" s="121">
        <f>ROUND(C1369*'FR_Mantenimiento tasas'!$C$43/360,5)</f>
        <v>0</v>
      </c>
      <c r="E1369" s="121">
        <f>ROUND(C1369*'FR_Mantenimiento tasas'!$D$43/360,5)</f>
        <v>0</v>
      </c>
    </row>
    <row r="1370" spans="1:5">
      <c r="A1370" s="123">
        <f t="shared" si="42"/>
        <v>1368</v>
      </c>
      <c r="B1370" s="122">
        <f>IF(DAY(A1370)=DAY('F-Ahorro Futuro Genérico'!$H$11),'F-Ahorro Futuro Genérico'!$H$9,0)</f>
        <v>0</v>
      </c>
      <c r="C1370" s="122">
        <f t="shared" si="43"/>
        <v>0</v>
      </c>
      <c r="D1370" s="121">
        <f>ROUND(C1370*'FR_Mantenimiento tasas'!$C$43/360,5)</f>
        <v>0</v>
      </c>
      <c r="E1370" s="121">
        <f>ROUND(C1370*'FR_Mantenimiento tasas'!$D$43/360,5)</f>
        <v>0</v>
      </c>
    </row>
    <row r="1371" spans="1:5">
      <c r="A1371" s="123">
        <f t="shared" si="42"/>
        <v>1369</v>
      </c>
      <c r="B1371" s="122">
        <f>IF(DAY(A1371)=DAY('F-Ahorro Futuro Genérico'!$H$11),'F-Ahorro Futuro Genérico'!$H$9,0)</f>
        <v>0</v>
      </c>
      <c r="C1371" s="122">
        <f t="shared" si="43"/>
        <v>0</v>
      </c>
      <c r="D1371" s="121">
        <f>ROUND(C1371*'FR_Mantenimiento tasas'!$C$43/360,5)</f>
        <v>0</v>
      </c>
      <c r="E1371" s="121">
        <f>ROUND(C1371*'FR_Mantenimiento tasas'!$D$43/360,5)</f>
        <v>0</v>
      </c>
    </row>
    <row r="1372" spans="1:5">
      <c r="A1372" s="123">
        <f t="shared" si="42"/>
        <v>1370</v>
      </c>
      <c r="B1372" s="122">
        <f>IF(DAY(A1372)=DAY('F-Ahorro Futuro Genérico'!$H$11),'F-Ahorro Futuro Genérico'!$H$9,0)</f>
        <v>0</v>
      </c>
      <c r="C1372" s="122">
        <f t="shared" si="43"/>
        <v>0</v>
      </c>
      <c r="D1372" s="121">
        <f>ROUND(C1372*'FR_Mantenimiento tasas'!$C$43/360,5)</f>
        <v>0</v>
      </c>
      <c r="E1372" s="121">
        <f>ROUND(C1372*'FR_Mantenimiento tasas'!$D$43/360,5)</f>
        <v>0</v>
      </c>
    </row>
    <row r="1373" spans="1:5">
      <c r="A1373" s="123">
        <f t="shared" si="42"/>
        <v>1371</v>
      </c>
      <c r="B1373" s="122">
        <f>IF(DAY(A1373)=DAY('F-Ahorro Futuro Genérico'!$H$11),'F-Ahorro Futuro Genérico'!$H$9,0)</f>
        <v>0</v>
      </c>
      <c r="C1373" s="122">
        <f t="shared" si="43"/>
        <v>0</v>
      </c>
      <c r="D1373" s="121">
        <f>ROUND(C1373*'FR_Mantenimiento tasas'!$C$43/360,5)</f>
        <v>0</v>
      </c>
      <c r="E1373" s="121">
        <f>ROUND(C1373*'FR_Mantenimiento tasas'!$D$43/360,5)</f>
        <v>0</v>
      </c>
    </row>
    <row r="1374" spans="1:5">
      <c r="A1374" s="123">
        <f t="shared" si="42"/>
        <v>1372</v>
      </c>
      <c r="B1374" s="122">
        <f>IF(DAY(A1374)=DAY('F-Ahorro Futuro Genérico'!$H$11),'F-Ahorro Futuro Genérico'!$H$9,0)</f>
        <v>0</v>
      </c>
      <c r="C1374" s="122">
        <f t="shared" si="43"/>
        <v>0</v>
      </c>
      <c r="D1374" s="121">
        <f>ROUND(C1374*'FR_Mantenimiento tasas'!$C$43/360,5)</f>
        <v>0</v>
      </c>
      <c r="E1374" s="121">
        <f>ROUND(C1374*'FR_Mantenimiento tasas'!$D$43/360,5)</f>
        <v>0</v>
      </c>
    </row>
    <row r="1375" spans="1:5">
      <c r="A1375" s="123">
        <f t="shared" si="42"/>
        <v>1373</v>
      </c>
      <c r="B1375" s="122">
        <f>IF(DAY(A1375)=DAY('F-Ahorro Futuro Genérico'!$H$11),'F-Ahorro Futuro Genérico'!$H$9,0)</f>
        <v>0</v>
      </c>
      <c r="C1375" s="122">
        <f t="shared" si="43"/>
        <v>0</v>
      </c>
      <c r="D1375" s="121">
        <f>ROUND(C1375*'FR_Mantenimiento tasas'!$C$43/360,5)</f>
        <v>0</v>
      </c>
      <c r="E1375" s="121">
        <f>ROUND(C1375*'FR_Mantenimiento tasas'!$D$43/360,5)</f>
        <v>0</v>
      </c>
    </row>
    <row r="1376" spans="1:5">
      <c r="A1376" s="123">
        <f t="shared" si="42"/>
        <v>1374</v>
      </c>
      <c r="B1376" s="122">
        <f>IF(DAY(A1376)=DAY('F-Ahorro Futuro Genérico'!$H$11),'F-Ahorro Futuro Genérico'!$H$9,0)</f>
        <v>0</v>
      </c>
      <c r="C1376" s="122">
        <f t="shared" si="43"/>
        <v>0</v>
      </c>
      <c r="D1376" s="121">
        <f>ROUND(C1376*'FR_Mantenimiento tasas'!$C$43/360,5)</f>
        <v>0</v>
      </c>
      <c r="E1376" s="121">
        <f>ROUND(C1376*'FR_Mantenimiento tasas'!$D$43/360,5)</f>
        <v>0</v>
      </c>
    </row>
    <row r="1377" spans="1:5">
      <c r="A1377" s="123">
        <f t="shared" si="42"/>
        <v>1375</v>
      </c>
      <c r="B1377" s="122">
        <f>IF(DAY(A1377)=DAY('F-Ahorro Futuro Genérico'!$H$11),'F-Ahorro Futuro Genérico'!$H$9,0)</f>
        <v>0</v>
      </c>
      <c r="C1377" s="122">
        <f t="shared" si="43"/>
        <v>0</v>
      </c>
      <c r="D1377" s="121">
        <f>ROUND(C1377*'FR_Mantenimiento tasas'!$C$43/360,5)</f>
        <v>0</v>
      </c>
      <c r="E1377" s="121">
        <f>ROUND(C1377*'FR_Mantenimiento tasas'!$D$43/360,5)</f>
        <v>0</v>
      </c>
    </row>
    <row r="1378" spans="1:5">
      <c r="A1378" s="123">
        <f t="shared" si="42"/>
        <v>1376</v>
      </c>
      <c r="B1378" s="122">
        <f>IF(DAY(A1378)=DAY('F-Ahorro Futuro Genérico'!$H$11),'F-Ahorro Futuro Genérico'!$H$9,0)</f>
        <v>0</v>
      </c>
      <c r="C1378" s="122">
        <f t="shared" si="43"/>
        <v>0</v>
      </c>
      <c r="D1378" s="121">
        <f>ROUND(C1378*'FR_Mantenimiento tasas'!$C$43/360,5)</f>
        <v>0</v>
      </c>
      <c r="E1378" s="121">
        <f>ROUND(C1378*'FR_Mantenimiento tasas'!$D$43/360,5)</f>
        <v>0</v>
      </c>
    </row>
    <row r="1379" spans="1:5">
      <c r="A1379" s="123">
        <f t="shared" si="42"/>
        <v>1377</v>
      </c>
      <c r="B1379" s="122">
        <f>IF(DAY(A1379)=DAY('F-Ahorro Futuro Genérico'!$H$11),'F-Ahorro Futuro Genérico'!$H$9,0)</f>
        <v>0</v>
      </c>
      <c r="C1379" s="122">
        <f t="shared" si="43"/>
        <v>0</v>
      </c>
      <c r="D1379" s="121">
        <f>ROUND(C1379*'FR_Mantenimiento tasas'!$C$43/360,5)</f>
        <v>0</v>
      </c>
      <c r="E1379" s="121">
        <f>ROUND(C1379*'FR_Mantenimiento tasas'!$D$43/360,5)</f>
        <v>0</v>
      </c>
    </row>
    <row r="1380" spans="1:5">
      <c r="A1380" s="123">
        <f t="shared" si="42"/>
        <v>1378</v>
      </c>
      <c r="B1380" s="122">
        <f>IF(DAY(A1380)=DAY('F-Ahorro Futuro Genérico'!$H$11),'F-Ahorro Futuro Genérico'!$H$9,0)</f>
        <v>0</v>
      </c>
      <c r="C1380" s="122">
        <f t="shared" si="43"/>
        <v>0</v>
      </c>
      <c r="D1380" s="121">
        <f>ROUND(C1380*'FR_Mantenimiento tasas'!$C$43/360,5)</f>
        <v>0</v>
      </c>
      <c r="E1380" s="121">
        <f>ROUND(C1380*'FR_Mantenimiento tasas'!$D$43/360,5)</f>
        <v>0</v>
      </c>
    </row>
    <row r="1381" spans="1:5">
      <c r="A1381" s="123">
        <f t="shared" si="42"/>
        <v>1379</v>
      </c>
      <c r="B1381" s="122">
        <f>IF(DAY(A1381)=DAY('F-Ahorro Futuro Genérico'!$H$11),'F-Ahorro Futuro Genérico'!$H$9,0)</f>
        <v>0</v>
      </c>
      <c r="C1381" s="122">
        <f t="shared" si="43"/>
        <v>0</v>
      </c>
      <c r="D1381" s="121">
        <f>ROUND(C1381*'FR_Mantenimiento tasas'!$C$43/360,5)</f>
        <v>0</v>
      </c>
      <c r="E1381" s="121">
        <f>ROUND(C1381*'FR_Mantenimiento tasas'!$D$43/360,5)</f>
        <v>0</v>
      </c>
    </row>
    <row r="1382" spans="1:5">
      <c r="A1382" s="123">
        <f t="shared" si="42"/>
        <v>1380</v>
      </c>
      <c r="B1382" s="122">
        <f>IF(DAY(A1382)=DAY('F-Ahorro Futuro Genérico'!$H$11),'F-Ahorro Futuro Genérico'!$H$9,0)</f>
        <v>0</v>
      </c>
      <c r="C1382" s="122">
        <f t="shared" si="43"/>
        <v>0</v>
      </c>
      <c r="D1382" s="121">
        <f>ROUND(C1382*'FR_Mantenimiento tasas'!$C$43/360,5)</f>
        <v>0</v>
      </c>
      <c r="E1382" s="121">
        <f>ROUND(C1382*'FR_Mantenimiento tasas'!$D$43/360,5)</f>
        <v>0</v>
      </c>
    </row>
    <row r="1383" spans="1:5">
      <c r="A1383" s="123">
        <f t="shared" si="42"/>
        <v>1381</v>
      </c>
      <c r="B1383" s="122">
        <f>IF(DAY(A1383)=DAY('F-Ahorro Futuro Genérico'!$H$11),'F-Ahorro Futuro Genérico'!$H$9,0)</f>
        <v>0</v>
      </c>
      <c r="C1383" s="122">
        <f t="shared" si="43"/>
        <v>0</v>
      </c>
      <c r="D1383" s="121">
        <f>ROUND(C1383*'FR_Mantenimiento tasas'!$C$43/360,5)</f>
        <v>0</v>
      </c>
      <c r="E1383" s="121">
        <f>ROUND(C1383*'FR_Mantenimiento tasas'!$D$43/360,5)</f>
        <v>0</v>
      </c>
    </row>
    <row r="1384" spans="1:5">
      <c r="A1384" s="123">
        <f t="shared" si="42"/>
        <v>1382</v>
      </c>
      <c r="B1384" s="122">
        <f>IF(DAY(A1384)=DAY('F-Ahorro Futuro Genérico'!$H$11),'F-Ahorro Futuro Genérico'!$H$9,0)</f>
        <v>0</v>
      </c>
      <c r="C1384" s="122">
        <f t="shared" si="43"/>
        <v>0</v>
      </c>
      <c r="D1384" s="121">
        <f>ROUND(C1384*'FR_Mantenimiento tasas'!$C$43/360,5)</f>
        <v>0</v>
      </c>
      <c r="E1384" s="121">
        <f>ROUND(C1384*'FR_Mantenimiento tasas'!$D$43/360,5)</f>
        <v>0</v>
      </c>
    </row>
    <row r="1385" spans="1:5">
      <c r="A1385" s="123">
        <f t="shared" si="42"/>
        <v>1383</v>
      </c>
      <c r="B1385" s="122">
        <f>IF(DAY(A1385)=DAY('F-Ahorro Futuro Genérico'!$H$11),'F-Ahorro Futuro Genérico'!$H$9,0)</f>
        <v>0</v>
      </c>
      <c r="C1385" s="122">
        <f t="shared" si="43"/>
        <v>0</v>
      </c>
      <c r="D1385" s="121">
        <f>ROUND(C1385*'FR_Mantenimiento tasas'!$C$43/360,5)</f>
        <v>0</v>
      </c>
      <c r="E1385" s="121">
        <f>ROUND(C1385*'FR_Mantenimiento tasas'!$D$43/360,5)</f>
        <v>0</v>
      </c>
    </row>
    <row r="1386" spans="1:5">
      <c r="A1386" s="123">
        <f t="shared" si="42"/>
        <v>1384</v>
      </c>
      <c r="B1386" s="122">
        <f>IF(DAY(A1386)=DAY('F-Ahorro Futuro Genérico'!$H$11),'F-Ahorro Futuro Genérico'!$H$9,0)</f>
        <v>0</v>
      </c>
      <c r="C1386" s="122">
        <f t="shared" si="43"/>
        <v>0</v>
      </c>
      <c r="D1386" s="121">
        <f>ROUND(C1386*'FR_Mantenimiento tasas'!$C$43/360,5)</f>
        <v>0</v>
      </c>
      <c r="E1386" s="121">
        <f>ROUND(C1386*'FR_Mantenimiento tasas'!$D$43/360,5)</f>
        <v>0</v>
      </c>
    </row>
    <row r="1387" spans="1:5">
      <c r="A1387" s="123">
        <f t="shared" si="42"/>
        <v>1385</v>
      </c>
      <c r="B1387" s="122">
        <f>IF(DAY(A1387)=DAY('F-Ahorro Futuro Genérico'!$H$11),'F-Ahorro Futuro Genérico'!$H$9,0)</f>
        <v>0</v>
      </c>
      <c r="C1387" s="122">
        <f t="shared" si="43"/>
        <v>0</v>
      </c>
      <c r="D1387" s="121">
        <f>ROUND(C1387*'FR_Mantenimiento tasas'!$C$43/360,5)</f>
        <v>0</v>
      </c>
      <c r="E1387" s="121">
        <f>ROUND(C1387*'FR_Mantenimiento tasas'!$D$43/360,5)</f>
        <v>0</v>
      </c>
    </row>
    <row r="1388" spans="1:5">
      <c r="A1388" s="123">
        <f t="shared" si="42"/>
        <v>1386</v>
      </c>
      <c r="B1388" s="122">
        <f>IF(DAY(A1388)=DAY('F-Ahorro Futuro Genérico'!$H$11),'F-Ahorro Futuro Genérico'!$H$9,0)</f>
        <v>0</v>
      </c>
      <c r="C1388" s="122">
        <f t="shared" si="43"/>
        <v>0</v>
      </c>
      <c r="D1388" s="121">
        <f>ROUND(C1388*'FR_Mantenimiento tasas'!$C$43/360,5)</f>
        <v>0</v>
      </c>
      <c r="E1388" s="121">
        <f>ROUND(C1388*'FR_Mantenimiento tasas'!$D$43/360,5)</f>
        <v>0</v>
      </c>
    </row>
    <row r="1389" spans="1:5">
      <c r="A1389" s="123">
        <f t="shared" si="42"/>
        <v>1387</v>
      </c>
      <c r="B1389" s="122">
        <f>IF(DAY(A1389)=DAY('F-Ahorro Futuro Genérico'!$H$11),'F-Ahorro Futuro Genérico'!$H$9,0)</f>
        <v>0</v>
      </c>
      <c r="C1389" s="122">
        <f t="shared" si="43"/>
        <v>0</v>
      </c>
      <c r="D1389" s="121">
        <f>ROUND(C1389*'FR_Mantenimiento tasas'!$C$43/360,5)</f>
        <v>0</v>
      </c>
      <c r="E1389" s="121">
        <f>ROUND(C1389*'FR_Mantenimiento tasas'!$D$43/360,5)</f>
        <v>0</v>
      </c>
    </row>
    <row r="1390" spans="1:5">
      <c r="A1390" s="123">
        <f t="shared" si="42"/>
        <v>1388</v>
      </c>
      <c r="B1390" s="122">
        <f>IF(DAY(A1390)=DAY('F-Ahorro Futuro Genérico'!$H$11),'F-Ahorro Futuro Genérico'!$H$9,0)</f>
        <v>0</v>
      </c>
      <c r="C1390" s="122">
        <f t="shared" si="43"/>
        <v>0</v>
      </c>
      <c r="D1390" s="121">
        <f>ROUND(C1390*'FR_Mantenimiento tasas'!$C$43/360,5)</f>
        <v>0</v>
      </c>
      <c r="E1390" s="121">
        <f>ROUND(C1390*'FR_Mantenimiento tasas'!$D$43/360,5)</f>
        <v>0</v>
      </c>
    </row>
    <row r="1391" spans="1:5">
      <c r="A1391" s="123">
        <f t="shared" si="42"/>
        <v>1389</v>
      </c>
      <c r="B1391" s="122">
        <f>IF(DAY(A1391)=DAY('F-Ahorro Futuro Genérico'!$H$11),'F-Ahorro Futuro Genérico'!$H$9,0)</f>
        <v>0</v>
      </c>
      <c r="C1391" s="122">
        <f t="shared" si="43"/>
        <v>0</v>
      </c>
      <c r="D1391" s="121">
        <f>ROUND(C1391*'FR_Mantenimiento tasas'!$C$43/360,5)</f>
        <v>0</v>
      </c>
      <c r="E1391" s="121">
        <f>ROUND(C1391*'FR_Mantenimiento tasas'!$D$43/360,5)</f>
        <v>0</v>
      </c>
    </row>
    <row r="1392" spans="1:5">
      <c r="A1392" s="123">
        <f t="shared" si="42"/>
        <v>1390</v>
      </c>
      <c r="B1392" s="122">
        <f>IF(DAY(A1392)=DAY('F-Ahorro Futuro Genérico'!$H$11),'F-Ahorro Futuro Genérico'!$H$9,0)</f>
        <v>0</v>
      </c>
      <c r="C1392" s="122">
        <f t="shared" si="43"/>
        <v>0</v>
      </c>
      <c r="D1392" s="121">
        <f>ROUND(C1392*'FR_Mantenimiento tasas'!$C$43/360,5)</f>
        <v>0</v>
      </c>
      <c r="E1392" s="121">
        <f>ROUND(C1392*'FR_Mantenimiento tasas'!$D$43/360,5)</f>
        <v>0</v>
      </c>
    </row>
    <row r="1393" spans="1:5">
      <c r="A1393" s="123">
        <f t="shared" si="42"/>
        <v>1391</v>
      </c>
      <c r="B1393" s="122">
        <f>IF(DAY(A1393)=DAY('F-Ahorro Futuro Genérico'!$H$11),'F-Ahorro Futuro Genérico'!$H$9,0)</f>
        <v>0</v>
      </c>
      <c r="C1393" s="122">
        <f t="shared" si="43"/>
        <v>0</v>
      </c>
      <c r="D1393" s="121">
        <f>ROUND(C1393*'FR_Mantenimiento tasas'!$C$43/360,5)</f>
        <v>0</v>
      </c>
      <c r="E1393" s="121">
        <f>ROUND(C1393*'FR_Mantenimiento tasas'!$D$43/360,5)</f>
        <v>0</v>
      </c>
    </row>
    <row r="1394" spans="1:5">
      <c r="A1394" s="123">
        <f t="shared" si="42"/>
        <v>1392</v>
      </c>
      <c r="B1394" s="122">
        <f>IF(DAY(A1394)=DAY('F-Ahorro Futuro Genérico'!$H$11),'F-Ahorro Futuro Genérico'!$H$9,0)</f>
        <v>0</v>
      </c>
      <c r="C1394" s="122">
        <f t="shared" si="43"/>
        <v>0</v>
      </c>
      <c r="D1394" s="121">
        <f>ROUND(C1394*'FR_Mantenimiento tasas'!$C$43/360,5)</f>
        <v>0</v>
      </c>
      <c r="E1394" s="121">
        <f>ROUND(C1394*'FR_Mantenimiento tasas'!$D$43/360,5)</f>
        <v>0</v>
      </c>
    </row>
    <row r="1395" spans="1:5">
      <c r="A1395" s="123">
        <f t="shared" si="42"/>
        <v>1393</v>
      </c>
      <c r="B1395" s="122">
        <f>IF(DAY(A1395)=DAY('F-Ahorro Futuro Genérico'!$H$11),'F-Ahorro Futuro Genérico'!$H$9,0)</f>
        <v>0</v>
      </c>
      <c r="C1395" s="122">
        <f t="shared" si="43"/>
        <v>0</v>
      </c>
      <c r="D1395" s="121">
        <f>ROUND(C1395*'FR_Mantenimiento tasas'!$C$43/360,5)</f>
        <v>0</v>
      </c>
      <c r="E1395" s="121">
        <f>ROUND(C1395*'FR_Mantenimiento tasas'!$D$43/360,5)</f>
        <v>0</v>
      </c>
    </row>
    <row r="1396" spans="1:5">
      <c r="A1396" s="123">
        <f t="shared" si="42"/>
        <v>1394</v>
      </c>
      <c r="B1396" s="122">
        <f>IF(DAY(A1396)=DAY('F-Ahorro Futuro Genérico'!$H$11),'F-Ahorro Futuro Genérico'!$H$9,0)</f>
        <v>0</v>
      </c>
      <c r="C1396" s="122">
        <f t="shared" si="43"/>
        <v>0</v>
      </c>
      <c r="D1396" s="121">
        <f>ROUND(C1396*'FR_Mantenimiento tasas'!$C$43/360,5)</f>
        <v>0</v>
      </c>
      <c r="E1396" s="121">
        <f>ROUND(C1396*'FR_Mantenimiento tasas'!$D$43/360,5)</f>
        <v>0</v>
      </c>
    </row>
    <row r="1397" spans="1:5">
      <c r="A1397" s="123">
        <f t="shared" si="42"/>
        <v>1395</v>
      </c>
      <c r="B1397" s="122">
        <f>IF(DAY(A1397)=DAY('F-Ahorro Futuro Genérico'!$H$11),'F-Ahorro Futuro Genérico'!$H$9,0)</f>
        <v>0</v>
      </c>
      <c r="C1397" s="122">
        <f t="shared" si="43"/>
        <v>0</v>
      </c>
      <c r="D1397" s="121">
        <f>ROUND(C1397*'FR_Mantenimiento tasas'!$C$43/360,5)</f>
        <v>0</v>
      </c>
      <c r="E1397" s="121">
        <f>ROUND(C1397*'FR_Mantenimiento tasas'!$D$43/360,5)</f>
        <v>0</v>
      </c>
    </row>
    <row r="1398" spans="1:5">
      <c r="A1398" s="123">
        <f t="shared" si="42"/>
        <v>1396</v>
      </c>
      <c r="B1398" s="122">
        <f>IF(DAY(A1398)=DAY('F-Ahorro Futuro Genérico'!$H$11),'F-Ahorro Futuro Genérico'!$H$9,0)</f>
        <v>0</v>
      </c>
      <c r="C1398" s="122">
        <f t="shared" si="43"/>
        <v>0</v>
      </c>
      <c r="D1398" s="121">
        <f>ROUND(C1398*'FR_Mantenimiento tasas'!$C$43/360,5)</f>
        <v>0</v>
      </c>
      <c r="E1398" s="121">
        <f>ROUND(C1398*'FR_Mantenimiento tasas'!$D$43/360,5)</f>
        <v>0</v>
      </c>
    </row>
    <row r="1399" spans="1:5">
      <c r="A1399" s="123">
        <f t="shared" si="42"/>
        <v>1397</v>
      </c>
      <c r="B1399" s="122">
        <f>IF(DAY(A1399)=DAY('F-Ahorro Futuro Genérico'!$H$11),'F-Ahorro Futuro Genérico'!$H$9,0)</f>
        <v>0</v>
      </c>
      <c r="C1399" s="122">
        <f t="shared" si="43"/>
        <v>0</v>
      </c>
      <c r="D1399" s="121">
        <f>ROUND(C1399*'FR_Mantenimiento tasas'!$C$43/360,5)</f>
        <v>0</v>
      </c>
      <c r="E1399" s="121">
        <f>ROUND(C1399*'FR_Mantenimiento tasas'!$D$43/360,5)</f>
        <v>0</v>
      </c>
    </row>
    <row r="1400" spans="1:5">
      <c r="A1400" s="123">
        <f t="shared" si="42"/>
        <v>1398</v>
      </c>
      <c r="B1400" s="122">
        <f>IF(DAY(A1400)=DAY('F-Ahorro Futuro Genérico'!$H$11),'F-Ahorro Futuro Genérico'!$H$9,0)</f>
        <v>0</v>
      </c>
      <c r="C1400" s="122">
        <f t="shared" si="43"/>
        <v>0</v>
      </c>
      <c r="D1400" s="121">
        <f>ROUND(C1400*'FR_Mantenimiento tasas'!$C$43/360,5)</f>
        <v>0</v>
      </c>
      <c r="E1400" s="121">
        <f>ROUND(C1400*'FR_Mantenimiento tasas'!$D$43/360,5)</f>
        <v>0</v>
      </c>
    </row>
    <row r="1401" spans="1:5">
      <c r="A1401" s="123">
        <f t="shared" si="42"/>
        <v>1399</v>
      </c>
      <c r="B1401" s="122">
        <f>IF(DAY(A1401)=DAY('F-Ahorro Futuro Genérico'!$H$11),'F-Ahorro Futuro Genérico'!$H$9,0)</f>
        <v>0</v>
      </c>
      <c r="C1401" s="122">
        <f t="shared" si="43"/>
        <v>0</v>
      </c>
      <c r="D1401" s="121">
        <f>ROUND(C1401*'FR_Mantenimiento tasas'!$C$43/360,5)</f>
        <v>0</v>
      </c>
      <c r="E1401" s="121">
        <f>ROUND(C1401*'FR_Mantenimiento tasas'!$D$43/360,5)</f>
        <v>0</v>
      </c>
    </row>
    <row r="1402" spans="1:5">
      <c r="A1402" s="123">
        <f t="shared" si="42"/>
        <v>1400</v>
      </c>
      <c r="B1402" s="122">
        <f>IF(DAY(A1402)=DAY('F-Ahorro Futuro Genérico'!$H$11),'F-Ahorro Futuro Genérico'!$H$9,0)</f>
        <v>0</v>
      </c>
      <c r="C1402" s="122">
        <f t="shared" si="43"/>
        <v>0</v>
      </c>
      <c r="D1402" s="121">
        <f>ROUND(C1402*'FR_Mantenimiento tasas'!$C$43/360,5)</f>
        <v>0</v>
      </c>
      <c r="E1402" s="121">
        <f>ROUND(C1402*'FR_Mantenimiento tasas'!$D$43/360,5)</f>
        <v>0</v>
      </c>
    </row>
    <row r="1403" spans="1:5">
      <c r="A1403" s="123">
        <f t="shared" si="42"/>
        <v>1401</v>
      </c>
      <c r="B1403" s="122">
        <f>IF(DAY(A1403)=DAY('F-Ahorro Futuro Genérico'!$H$11),'F-Ahorro Futuro Genérico'!$H$9,0)</f>
        <v>0</v>
      </c>
      <c r="C1403" s="122">
        <f t="shared" si="43"/>
        <v>0</v>
      </c>
      <c r="D1403" s="121">
        <f>ROUND(C1403*'FR_Mantenimiento tasas'!$C$43/360,5)</f>
        <v>0</v>
      </c>
      <c r="E1403" s="121">
        <f>ROUND(C1403*'FR_Mantenimiento tasas'!$D$43/360,5)</f>
        <v>0</v>
      </c>
    </row>
    <row r="1404" spans="1:5">
      <c r="A1404" s="123">
        <f t="shared" si="42"/>
        <v>1402</v>
      </c>
      <c r="B1404" s="122">
        <f>IF(DAY(A1404)=DAY('F-Ahorro Futuro Genérico'!$H$11),'F-Ahorro Futuro Genérico'!$H$9,0)</f>
        <v>0</v>
      </c>
      <c r="C1404" s="122">
        <f t="shared" si="43"/>
        <v>0</v>
      </c>
      <c r="D1404" s="121">
        <f>ROUND(C1404*'FR_Mantenimiento tasas'!$C$43/360,5)</f>
        <v>0</v>
      </c>
      <c r="E1404" s="121">
        <f>ROUND(C1404*'FR_Mantenimiento tasas'!$D$43/360,5)</f>
        <v>0</v>
      </c>
    </row>
    <row r="1405" spans="1:5">
      <c r="A1405" s="123">
        <f t="shared" si="42"/>
        <v>1403</v>
      </c>
      <c r="B1405" s="122">
        <f>IF(DAY(A1405)=DAY('F-Ahorro Futuro Genérico'!$H$11),'F-Ahorro Futuro Genérico'!$H$9,0)</f>
        <v>0</v>
      </c>
      <c r="C1405" s="122">
        <f t="shared" si="43"/>
        <v>0</v>
      </c>
      <c r="D1405" s="121">
        <f>ROUND(C1405*'FR_Mantenimiento tasas'!$C$43/360,5)</f>
        <v>0</v>
      </c>
      <c r="E1405" s="121">
        <f>ROUND(C1405*'FR_Mantenimiento tasas'!$D$43/360,5)</f>
        <v>0</v>
      </c>
    </row>
    <row r="1406" spans="1:5">
      <c r="A1406" s="123">
        <f t="shared" si="42"/>
        <v>1404</v>
      </c>
      <c r="B1406" s="122">
        <f>IF(DAY(A1406)=DAY('F-Ahorro Futuro Genérico'!$H$11),'F-Ahorro Futuro Genérico'!$H$9,0)</f>
        <v>0</v>
      </c>
      <c r="C1406" s="122">
        <f t="shared" si="43"/>
        <v>0</v>
      </c>
      <c r="D1406" s="121">
        <f>ROUND(C1406*'FR_Mantenimiento tasas'!$C$43/360,5)</f>
        <v>0</v>
      </c>
      <c r="E1406" s="121">
        <f>ROUND(C1406*'FR_Mantenimiento tasas'!$D$43/360,5)</f>
        <v>0</v>
      </c>
    </row>
    <row r="1407" spans="1:5">
      <c r="A1407" s="123">
        <f t="shared" si="42"/>
        <v>1405</v>
      </c>
      <c r="B1407" s="122">
        <f>IF(DAY(A1407)=DAY('F-Ahorro Futuro Genérico'!$H$11),'F-Ahorro Futuro Genérico'!$H$9,0)</f>
        <v>0</v>
      </c>
      <c r="C1407" s="122">
        <f t="shared" si="43"/>
        <v>0</v>
      </c>
      <c r="D1407" s="121">
        <f>ROUND(C1407*'FR_Mantenimiento tasas'!$C$43/360,5)</f>
        <v>0</v>
      </c>
      <c r="E1407" s="121">
        <f>ROUND(C1407*'FR_Mantenimiento tasas'!$D$43/360,5)</f>
        <v>0</v>
      </c>
    </row>
    <row r="1408" spans="1:5">
      <c r="A1408" s="123">
        <f t="shared" si="42"/>
        <v>1406</v>
      </c>
      <c r="B1408" s="122">
        <f>IF(DAY(A1408)=DAY('F-Ahorro Futuro Genérico'!$H$11),'F-Ahorro Futuro Genérico'!$H$9,0)</f>
        <v>0</v>
      </c>
      <c r="C1408" s="122">
        <f t="shared" si="43"/>
        <v>0</v>
      </c>
      <c r="D1408" s="121">
        <f>ROUND(C1408*'FR_Mantenimiento tasas'!$C$43/360,5)</f>
        <v>0</v>
      </c>
      <c r="E1408" s="121">
        <f>ROUND(C1408*'FR_Mantenimiento tasas'!$D$43/360,5)</f>
        <v>0</v>
      </c>
    </row>
    <row r="1409" spans="1:5">
      <c r="A1409" s="123">
        <f t="shared" si="42"/>
        <v>1407</v>
      </c>
      <c r="B1409" s="122">
        <f>IF(DAY(A1409)=DAY('F-Ahorro Futuro Genérico'!$H$11),'F-Ahorro Futuro Genérico'!$H$9,0)</f>
        <v>0</v>
      </c>
      <c r="C1409" s="122">
        <f t="shared" si="43"/>
        <v>0</v>
      </c>
      <c r="D1409" s="121">
        <f>ROUND(C1409*'FR_Mantenimiento tasas'!$C$43/360,5)</f>
        <v>0</v>
      </c>
      <c r="E1409" s="121">
        <f>ROUND(C1409*'FR_Mantenimiento tasas'!$D$43/360,5)</f>
        <v>0</v>
      </c>
    </row>
    <row r="1410" spans="1:5">
      <c r="A1410" s="123">
        <f t="shared" si="42"/>
        <v>1408</v>
      </c>
      <c r="B1410" s="122">
        <f>IF(DAY(A1410)=DAY('F-Ahorro Futuro Genérico'!$H$11),'F-Ahorro Futuro Genérico'!$H$9,0)</f>
        <v>0</v>
      </c>
      <c r="C1410" s="122">
        <f t="shared" si="43"/>
        <v>0</v>
      </c>
      <c r="D1410" s="121">
        <f>ROUND(C1410*'FR_Mantenimiento tasas'!$C$43/360,5)</f>
        <v>0</v>
      </c>
      <c r="E1410" s="121">
        <f>ROUND(C1410*'FR_Mantenimiento tasas'!$D$43/360,5)</f>
        <v>0</v>
      </c>
    </row>
    <row r="1411" spans="1:5">
      <c r="A1411" s="123">
        <f t="shared" si="42"/>
        <v>1409</v>
      </c>
      <c r="B1411" s="122">
        <f>IF(DAY(A1411)=DAY('F-Ahorro Futuro Genérico'!$H$11),'F-Ahorro Futuro Genérico'!$H$9,0)</f>
        <v>0</v>
      </c>
      <c r="C1411" s="122">
        <f t="shared" si="43"/>
        <v>0</v>
      </c>
      <c r="D1411" s="121">
        <f>ROUND(C1411*'FR_Mantenimiento tasas'!$C$43/360,5)</f>
        <v>0</v>
      </c>
      <c r="E1411" s="121">
        <f>ROUND(C1411*'FR_Mantenimiento tasas'!$D$43/360,5)</f>
        <v>0</v>
      </c>
    </row>
    <row r="1412" spans="1:5">
      <c r="A1412" s="123">
        <f t="shared" ref="A1412:A1475" si="44">+A1411+1</f>
        <v>1410</v>
      </c>
      <c r="B1412" s="122">
        <f>IF(DAY(A1412)=DAY('F-Ahorro Futuro Genérico'!$H$11),'F-Ahorro Futuro Genérico'!$H$9,0)</f>
        <v>0</v>
      </c>
      <c r="C1412" s="122">
        <f t="shared" ref="C1412:C1475" si="45">+B1412+C1411+D1411</f>
        <v>0</v>
      </c>
      <c r="D1412" s="121">
        <f>ROUND(C1412*'FR_Mantenimiento tasas'!$C$43/360,5)</f>
        <v>0</v>
      </c>
      <c r="E1412" s="121">
        <f>ROUND(C1412*'FR_Mantenimiento tasas'!$D$43/360,5)</f>
        <v>0</v>
      </c>
    </row>
    <row r="1413" spans="1:5">
      <c r="A1413" s="123">
        <f t="shared" si="44"/>
        <v>1411</v>
      </c>
      <c r="B1413" s="122">
        <f>IF(DAY(A1413)=DAY('F-Ahorro Futuro Genérico'!$H$11),'F-Ahorro Futuro Genérico'!$H$9,0)</f>
        <v>0</v>
      </c>
      <c r="C1413" s="122">
        <f t="shared" si="45"/>
        <v>0</v>
      </c>
      <c r="D1413" s="121">
        <f>ROUND(C1413*'FR_Mantenimiento tasas'!$C$43/360,5)</f>
        <v>0</v>
      </c>
      <c r="E1413" s="121">
        <f>ROUND(C1413*'FR_Mantenimiento tasas'!$D$43/360,5)</f>
        <v>0</v>
      </c>
    </row>
    <row r="1414" spans="1:5">
      <c r="A1414" s="123">
        <f t="shared" si="44"/>
        <v>1412</v>
      </c>
      <c r="B1414" s="122">
        <f>IF(DAY(A1414)=DAY('F-Ahorro Futuro Genérico'!$H$11),'F-Ahorro Futuro Genérico'!$H$9,0)</f>
        <v>0</v>
      </c>
      <c r="C1414" s="122">
        <f t="shared" si="45"/>
        <v>0</v>
      </c>
      <c r="D1414" s="121">
        <f>ROUND(C1414*'FR_Mantenimiento tasas'!$C$43/360,5)</f>
        <v>0</v>
      </c>
      <c r="E1414" s="121">
        <f>ROUND(C1414*'FR_Mantenimiento tasas'!$D$43/360,5)</f>
        <v>0</v>
      </c>
    </row>
    <row r="1415" spans="1:5">
      <c r="A1415" s="123">
        <f t="shared" si="44"/>
        <v>1413</v>
      </c>
      <c r="B1415" s="122">
        <f>IF(DAY(A1415)=DAY('F-Ahorro Futuro Genérico'!$H$11),'F-Ahorro Futuro Genérico'!$H$9,0)</f>
        <v>0</v>
      </c>
      <c r="C1415" s="122">
        <f t="shared" si="45"/>
        <v>0</v>
      </c>
      <c r="D1415" s="121">
        <f>ROUND(C1415*'FR_Mantenimiento tasas'!$C$43/360,5)</f>
        <v>0</v>
      </c>
      <c r="E1415" s="121">
        <f>ROUND(C1415*'FR_Mantenimiento tasas'!$D$43/360,5)</f>
        <v>0</v>
      </c>
    </row>
    <row r="1416" spans="1:5">
      <c r="A1416" s="123">
        <f t="shared" si="44"/>
        <v>1414</v>
      </c>
      <c r="B1416" s="122">
        <f>IF(DAY(A1416)=DAY('F-Ahorro Futuro Genérico'!$H$11),'F-Ahorro Futuro Genérico'!$H$9,0)</f>
        <v>0</v>
      </c>
      <c r="C1416" s="122">
        <f t="shared" si="45"/>
        <v>0</v>
      </c>
      <c r="D1416" s="121">
        <f>ROUND(C1416*'FR_Mantenimiento tasas'!$C$43/360,5)</f>
        <v>0</v>
      </c>
      <c r="E1416" s="121">
        <f>ROUND(C1416*'FR_Mantenimiento tasas'!$D$43/360,5)</f>
        <v>0</v>
      </c>
    </row>
    <row r="1417" spans="1:5">
      <c r="A1417" s="123">
        <f t="shared" si="44"/>
        <v>1415</v>
      </c>
      <c r="B1417" s="122">
        <f>IF(DAY(A1417)=DAY('F-Ahorro Futuro Genérico'!$H$11),'F-Ahorro Futuro Genérico'!$H$9,0)</f>
        <v>0</v>
      </c>
      <c r="C1417" s="122">
        <f t="shared" si="45"/>
        <v>0</v>
      </c>
      <c r="D1417" s="121">
        <f>ROUND(C1417*'FR_Mantenimiento tasas'!$C$43/360,5)</f>
        <v>0</v>
      </c>
      <c r="E1417" s="121">
        <f>ROUND(C1417*'FR_Mantenimiento tasas'!$D$43/360,5)</f>
        <v>0</v>
      </c>
    </row>
    <row r="1418" spans="1:5">
      <c r="A1418" s="123">
        <f t="shared" si="44"/>
        <v>1416</v>
      </c>
      <c r="B1418" s="122">
        <f>IF(DAY(A1418)=DAY('F-Ahorro Futuro Genérico'!$H$11),'F-Ahorro Futuro Genérico'!$H$9,0)</f>
        <v>0</v>
      </c>
      <c r="C1418" s="122">
        <f t="shared" si="45"/>
        <v>0</v>
      </c>
      <c r="D1418" s="121">
        <f>ROUND(C1418*'FR_Mantenimiento tasas'!$C$43/360,5)</f>
        <v>0</v>
      </c>
      <c r="E1418" s="121">
        <f>ROUND(C1418*'FR_Mantenimiento tasas'!$D$43/360,5)</f>
        <v>0</v>
      </c>
    </row>
    <row r="1419" spans="1:5">
      <c r="A1419" s="123">
        <f t="shared" si="44"/>
        <v>1417</v>
      </c>
      <c r="B1419" s="122">
        <f>IF(DAY(A1419)=DAY('F-Ahorro Futuro Genérico'!$H$11),'F-Ahorro Futuro Genérico'!$H$9,0)</f>
        <v>0</v>
      </c>
      <c r="C1419" s="122">
        <f t="shared" si="45"/>
        <v>0</v>
      </c>
      <c r="D1419" s="121">
        <f>ROUND(C1419*'FR_Mantenimiento tasas'!$C$43/360,5)</f>
        <v>0</v>
      </c>
      <c r="E1419" s="121">
        <f>ROUND(C1419*'FR_Mantenimiento tasas'!$D$43/360,5)</f>
        <v>0</v>
      </c>
    </row>
    <row r="1420" spans="1:5">
      <c r="A1420" s="123">
        <f t="shared" si="44"/>
        <v>1418</v>
      </c>
      <c r="B1420" s="122">
        <f>IF(DAY(A1420)=DAY('F-Ahorro Futuro Genérico'!$H$11),'F-Ahorro Futuro Genérico'!$H$9,0)</f>
        <v>0</v>
      </c>
      <c r="C1420" s="122">
        <f t="shared" si="45"/>
        <v>0</v>
      </c>
      <c r="D1420" s="121">
        <f>ROUND(C1420*'FR_Mantenimiento tasas'!$C$43/360,5)</f>
        <v>0</v>
      </c>
      <c r="E1420" s="121">
        <f>ROUND(C1420*'FR_Mantenimiento tasas'!$D$43/360,5)</f>
        <v>0</v>
      </c>
    </row>
    <row r="1421" spans="1:5">
      <c r="A1421" s="123">
        <f t="shared" si="44"/>
        <v>1419</v>
      </c>
      <c r="B1421" s="122">
        <f>IF(DAY(A1421)=DAY('F-Ahorro Futuro Genérico'!$H$11),'F-Ahorro Futuro Genérico'!$H$9,0)</f>
        <v>0</v>
      </c>
      <c r="C1421" s="122">
        <f t="shared" si="45"/>
        <v>0</v>
      </c>
      <c r="D1421" s="121">
        <f>ROUND(C1421*'FR_Mantenimiento tasas'!$C$43/360,5)</f>
        <v>0</v>
      </c>
      <c r="E1421" s="121">
        <f>ROUND(C1421*'FR_Mantenimiento tasas'!$D$43/360,5)</f>
        <v>0</v>
      </c>
    </row>
    <row r="1422" spans="1:5">
      <c r="A1422" s="123">
        <f t="shared" si="44"/>
        <v>1420</v>
      </c>
      <c r="B1422" s="122">
        <f>IF(DAY(A1422)=DAY('F-Ahorro Futuro Genérico'!$H$11),'F-Ahorro Futuro Genérico'!$H$9,0)</f>
        <v>0</v>
      </c>
      <c r="C1422" s="122">
        <f t="shared" si="45"/>
        <v>0</v>
      </c>
      <c r="D1422" s="121">
        <f>ROUND(C1422*'FR_Mantenimiento tasas'!$C$43/360,5)</f>
        <v>0</v>
      </c>
      <c r="E1422" s="121">
        <f>ROUND(C1422*'FR_Mantenimiento tasas'!$D$43/360,5)</f>
        <v>0</v>
      </c>
    </row>
    <row r="1423" spans="1:5">
      <c r="A1423" s="123">
        <f t="shared" si="44"/>
        <v>1421</v>
      </c>
      <c r="B1423" s="122">
        <f>IF(DAY(A1423)=DAY('F-Ahorro Futuro Genérico'!$H$11),'F-Ahorro Futuro Genérico'!$H$9,0)</f>
        <v>0</v>
      </c>
      <c r="C1423" s="122">
        <f t="shared" si="45"/>
        <v>0</v>
      </c>
      <c r="D1423" s="121">
        <f>ROUND(C1423*'FR_Mantenimiento tasas'!$C$43/360,5)</f>
        <v>0</v>
      </c>
      <c r="E1423" s="121">
        <f>ROUND(C1423*'FR_Mantenimiento tasas'!$D$43/360,5)</f>
        <v>0</v>
      </c>
    </row>
    <row r="1424" spans="1:5">
      <c r="A1424" s="123">
        <f t="shared" si="44"/>
        <v>1422</v>
      </c>
      <c r="B1424" s="122">
        <f>IF(DAY(A1424)=DAY('F-Ahorro Futuro Genérico'!$H$11),'F-Ahorro Futuro Genérico'!$H$9,0)</f>
        <v>0</v>
      </c>
      <c r="C1424" s="122">
        <f t="shared" si="45"/>
        <v>0</v>
      </c>
      <c r="D1424" s="121">
        <f>ROUND(C1424*'FR_Mantenimiento tasas'!$C$43/360,5)</f>
        <v>0</v>
      </c>
      <c r="E1424" s="121">
        <f>ROUND(C1424*'FR_Mantenimiento tasas'!$D$43/360,5)</f>
        <v>0</v>
      </c>
    </row>
    <row r="1425" spans="1:5">
      <c r="A1425" s="123">
        <f t="shared" si="44"/>
        <v>1423</v>
      </c>
      <c r="B1425" s="122">
        <f>IF(DAY(A1425)=DAY('F-Ahorro Futuro Genérico'!$H$11),'F-Ahorro Futuro Genérico'!$H$9,0)</f>
        <v>0</v>
      </c>
      <c r="C1425" s="122">
        <f t="shared" si="45"/>
        <v>0</v>
      </c>
      <c r="D1425" s="121">
        <f>ROUND(C1425*'FR_Mantenimiento tasas'!$C$43/360,5)</f>
        <v>0</v>
      </c>
      <c r="E1425" s="121">
        <f>ROUND(C1425*'FR_Mantenimiento tasas'!$D$43/360,5)</f>
        <v>0</v>
      </c>
    </row>
    <row r="1426" spans="1:5">
      <c r="A1426" s="123">
        <f t="shared" si="44"/>
        <v>1424</v>
      </c>
      <c r="B1426" s="122">
        <f>IF(DAY(A1426)=DAY('F-Ahorro Futuro Genérico'!$H$11),'F-Ahorro Futuro Genérico'!$H$9,0)</f>
        <v>0</v>
      </c>
      <c r="C1426" s="122">
        <f t="shared" si="45"/>
        <v>0</v>
      </c>
      <c r="D1426" s="121">
        <f>ROUND(C1426*'FR_Mantenimiento tasas'!$C$43/360,5)</f>
        <v>0</v>
      </c>
      <c r="E1426" s="121">
        <f>ROUND(C1426*'FR_Mantenimiento tasas'!$D$43/360,5)</f>
        <v>0</v>
      </c>
    </row>
    <row r="1427" spans="1:5">
      <c r="A1427" s="123">
        <f t="shared" si="44"/>
        <v>1425</v>
      </c>
      <c r="B1427" s="122">
        <f>IF(DAY(A1427)=DAY('F-Ahorro Futuro Genérico'!$H$11),'F-Ahorro Futuro Genérico'!$H$9,0)</f>
        <v>0</v>
      </c>
      <c r="C1427" s="122">
        <f t="shared" si="45"/>
        <v>0</v>
      </c>
      <c r="D1427" s="121">
        <f>ROUND(C1427*'FR_Mantenimiento tasas'!$C$43/360,5)</f>
        <v>0</v>
      </c>
      <c r="E1427" s="121">
        <f>ROUND(C1427*'FR_Mantenimiento tasas'!$D$43/360,5)</f>
        <v>0</v>
      </c>
    </row>
    <row r="1428" spans="1:5">
      <c r="A1428" s="123">
        <f t="shared" si="44"/>
        <v>1426</v>
      </c>
      <c r="B1428" s="122">
        <f>IF(DAY(A1428)=DAY('F-Ahorro Futuro Genérico'!$H$11),'F-Ahorro Futuro Genérico'!$H$9,0)</f>
        <v>0</v>
      </c>
      <c r="C1428" s="122">
        <f t="shared" si="45"/>
        <v>0</v>
      </c>
      <c r="D1428" s="121">
        <f>ROUND(C1428*'FR_Mantenimiento tasas'!$C$43/360,5)</f>
        <v>0</v>
      </c>
      <c r="E1428" s="121">
        <f>ROUND(C1428*'FR_Mantenimiento tasas'!$D$43/360,5)</f>
        <v>0</v>
      </c>
    </row>
    <row r="1429" spans="1:5">
      <c r="A1429" s="123">
        <f t="shared" si="44"/>
        <v>1427</v>
      </c>
      <c r="B1429" s="122">
        <f>IF(DAY(A1429)=DAY('F-Ahorro Futuro Genérico'!$H$11),'F-Ahorro Futuro Genérico'!$H$9,0)</f>
        <v>0</v>
      </c>
      <c r="C1429" s="122">
        <f t="shared" si="45"/>
        <v>0</v>
      </c>
      <c r="D1429" s="121">
        <f>ROUND(C1429*'FR_Mantenimiento tasas'!$C$43/360,5)</f>
        <v>0</v>
      </c>
      <c r="E1429" s="121">
        <f>ROUND(C1429*'FR_Mantenimiento tasas'!$D$43/360,5)</f>
        <v>0</v>
      </c>
    </row>
    <row r="1430" spans="1:5">
      <c r="A1430" s="123">
        <f t="shared" si="44"/>
        <v>1428</v>
      </c>
      <c r="B1430" s="122">
        <f>IF(DAY(A1430)=DAY('F-Ahorro Futuro Genérico'!$H$11),'F-Ahorro Futuro Genérico'!$H$9,0)</f>
        <v>0</v>
      </c>
      <c r="C1430" s="122">
        <f t="shared" si="45"/>
        <v>0</v>
      </c>
      <c r="D1430" s="121">
        <f>ROUND(C1430*'FR_Mantenimiento tasas'!$C$43/360,5)</f>
        <v>0</v>
      </c>
      <c r="E1430" s="121">
        <f>ROUND(C1430*'FR_Mantenimiento tasas'!$D$43/360,5)</f>
        <v>0</v>
      </c>
    </row>
    <row r="1431" spans="1:5">
      <c r="A1431" s="123">
        <f t="shared" si="44"/>
        <v>1429</v>
      </c>
      <c r="B1431" s="122">
        <f>IF(DAY(A1431)=DAY('F-Ahorro Futuro Genérico'!$H$11),'F-Ahorro Futuro Genérico'!$H$9,0)</f>
        <v>0</v>
      </c>
      <c r="C1431" s="122">
        <f t="shared" si="45"/>
        <v>0</v>
      </c>
      <c r="D1431" s="121">
        <f>ROUND(C1431*'FR_Mantenimiento tasas'!$C$43/360,5)</f>
        <v>0</v>
      </c>
      <c r="E1431" s="121">
        <f>ROUND(C1431*'FR_Mantenimiento tasas'!$D$43/360,5)</f>
        <v>0</v>
      </c>
    </row>
    <row r="1432" spans="1:5">
      <c r="A1432" s="123">
        <f t="shared" si="44"/>
        <v>1430</v>
      </c>
      <c r="B1432" s="122">
        <f>IF(DAY(A1432)=DAY('F-Ahorro Futuro Genérico'!$H$11),'F-Ahorro Futuro Genérico'!$H$9,0)</f>
        <v>0</v>
      </c>
      <c r="C1432" s="122">
        <f t="shared" si="45"/>
        <v>0</v>
      </c>
      <c r="D1432" s="121">
        <f>ROUND(C1432*'FR_Mantenimiento tasas'!$C$43/360,5)</f>
        <v>0</v>
      </c>
      <c r="E1432" s="121">
        <f>ROUND(C1432*'FR_Mantenimiento tasas'!$D$43/360,5)</f>
        <v>0</v>
      </c>
    </row>
    <row r="1433" spans="1:5">
      <c r="A1433" s="123">
        <f t="shared" si="44"/>
        <v>1431</v>
      </c>
      <c r="B1433" s="122">
        <f>IF(DAY(A1433)=DAY('F-Ahorro Futuro Genérico'!$H$11),'F-Ahorro Futuro Genérico'!$H$9,0)</f>
        <v>0</v>
      </c>
      <c r="C1433" s="122">
        <f t="shared" si="45"/>
        <v>0</v>
      </c>
      <c r="D1433" s="121">
        <f>ROUND(C1433*'FR_Mantenimiento tasas'!$C$43/360,5)</f>
        <v>0</v>
      </c>
      <c r="E1433" s="121">
        <f>ROUND(C1433*'FR_Mantenimiento tasas'!$D$43/360,5)</f>
        <v>0</v>
      </c>
    </row>
    <row r="1434" spans="1:5">
      <c r="A1434" s="123">
        <f t="shared" si="44"/>
        <v>1432</v>
      </c>
      <c r="B1434" s="122">
        <f>IF(DAY(A1434)=DAY('F-Ahorro Futuro Genérico'!$H$11),'F-Ahorro Futuro Genérico'!$H$9,0)</f>
        <v>0</v>
      </c>
      <c r="C1434" s="122">
        <f t="shared" si="45"/>
        <v>0</v>
      </c>
      <c r="D1434" s="121">
        <f>ROUND(C1434*'FR_Mantenimiento tasas'!$C$43/360,5)</f>
        <v>0</v>
      </c>
      <c r="E1434" s="121">
        <f>ROUND(C1434*'FR_Mantenimiento tasas'!$D$43/360,5)</f>
        <v>0</v>
      </c>
    </row>
    <row r="1435" spans="1:5">
      <c r="A1435" s="123">
        <f t="shared" si="44"/>
        <v>1433</v>
      </c>
      <c r="B1435" s="122">
        <f>IF(DAY(A1435)=DAY('F-Ahorro Futuro Genérico'!$H$11),'F-Ahorro Futuro Genérico'!$H$9,0)</f>
        <v>0</v>
      </c>
      <c r="C1435" s="122">
        <f t="shared" si="45"/>
        <v>0</v>
      </c>
      <c r="D1435" s="121">
        <f>ROUND(C1435*'FR_Mantenimiento tasas'!$C$43/360,5)</f>
        <v>0</v>
      </c>
      <c r="E1435" s="121">
        <f>ROUND(C1435*'FR_Mantenimiento tasas'!$D$43/360,5)</f>
        <v>0</v>
      </c>
    </row>
    <row r="1436" spans="1:5">
      <c r="A1436" s="123">
        <f t="shared" si="44"/>
        <v>1434</v>
      </c>
      <c r="B1436" s="122">
        <f>IF(DAY(A1436)=DAY('F-Ahorro Futuro Genérico'!$H$11),'F-Ahorro Futuro Genérico'!$H$9,0)</f>
        <v>0</v>
      </c>
      <c r="C1436" s="122">
        <f t="shared" si="45"/>
        <v>0</v>
      </c>
      <c r="D1436" s="121">
        <f>ROUND(C1436*'FR_Mantenimiento tasas'!$C$43/360,5)</f>
        <v>0</v>
      </c>
      <c r="E1436" s="121">
        <f>ROUND(C1436*'FR_Mantenimiento tasas'!$D$43/360,5)</f>
        <v>0</v>
      </c>
    </row>
    <row r="1437" spans="1:5">
      <c r="A1437" s="123">
        <f t="shared" si="44"/>
        <v>1435</v>
      </c>
      <c r="B1437" s="122">
        <f>IF(DAY(A1437)=DAY('F-Ahorro Futuro Genérico'!$H$11),'F-Ahorro Futuro Genérico'!$H$9,0)</f>
        <v>0</v>
      </c>
      <c r="C1437" s="122">
        <f t="shared" si="45"/>
        <v>0</v>
      </c>
      <c r="D1437" s="121">
        <f>ROUND(C1437*'FR_Mantenimiento tasas'!$C$43/360,5)</f>
        <v>0</v>
      </c>
      <c r="E1437" s="121">
        <f>ROUND(C1437*'FR_Mantenimiento tasas'!$D$43/360,5)</f>
        <v>0</v>
      </c>
    </row>
    <row r="1438" spans="1:5">
      <c r="A1438" s="123">
        <f t="shared" si="44"/>
        <v>1436</v>
      </c>
      <c r="B1438" s="122">
        <f>IF(DAY(A1438)=DAY('F-Ahorro Futuro Genérico'!$H$11),'F-Ahorro Futuro Genérico'!$H$9,0)</f>
        <v>0</v>
      </c>
      <c r="C1438" s="122">
        <f t="shared" si="45"/>
        <v>0</v>
      </c>
      <c r="D1438" s="121">
        <f>ROUND(C1438*'FR_Mantenimiento tasas'!$C$43/360,5)</f>
        <v>0</v>
      </c>
      <c r="E1438" s="121">
        <f>ROUND(C1438*'FR_Mantenimiento tasas'!$D$43/360,5)</f>
        <v>0</v>
      </c>
    </row>
    <row r="1439" spans="1:5">
      <c r="A1439" s="123">
        <f t="shared" si="44"/>
        <v>1437</v>
      </c>
      <c r="B1439" s="122">
        <f>IF(DAY(A1439)=DAY('F-Ahorro Futuro Genérico'!$H$11),'F-Ahorro Futuro Genérico'!$H$9,0)</f>
        <v>0</v>
      </c>
      <c r="C1439" s="122">
        <f t="shared" si="45"/>
        <v>0</v>
      </c>
      <c r="D1439" s="121">
        <f>ROUND(C1439*'FR_Mantenimiento tasas'!$C$43/360,5)</f>
        <v>0</v>
      </c>
      <c r="E1439" s="121">
        <f>ROUND(C1439*'FR_Mantenimiento tasas'!$D$43/360,5)</f>
        <v>0</v>
      </c>
    </row>
    <row r="1440" spans="1:5">
      <c r="A1440" s="123">
        <f t="shared" si="44"/>
        <v>1438</v>
      </c>
      <c r="B1440" s="122">
        <f>IF(DAY(A1440)=DAY('F-Ahorro Futuro Genérico'!$H$11),'F-Ahorro Futuro Genérico'!$H$9,0)</f>
        <v>0</v>
      </c>
      <c r="C1440" s="122">
        <f t="shared" si="45"/>
        <v>0</v>
      </c>
      <c r="D1440" s="121">
        <f>ROUND(C1440*'FR_Mantenimiento tasas'!$C$43/360,5)</f>
        <v>0</v>
      </c>
      <c r="E1440" s="121">
        <f>ROUND(C1440*'FR_Mantenimiento tasas'!$D$43/360,5)</f>
        <v>0</v>
      </c>
    </row>
    <row r="1441" spans="1:5">
      <c r="A1441" s="123">
        <f t="shared" si="44"/>
        <v>1439</v>
      </c>
      <c r="B1441" s="122">
        <f>IF(DAY(A1441)=DAY('F-Ahorro Futuro Genérico'!$H$11),'F-Ahorro Futuro Genérico'!$H$9,0)</f>
        <v>0</v>
      </c>
      <c r="C1441" s="122">
        <f t="shared" si="45"/>
        <v>0</v>
      </c>
      <c r="D1441" s="121">
        <f>ROUND(C1441*'FR_Mantenimiento tasas'!$C$43/360,5)</f>
        <v>0</v>
      </c>
      <c r="E1441" s="121">
        <f>ROUND(C1441*'FR_Mantenimiento tasas'!$D$43/360,5)</f>
        <v>0</v>
      </c>
    </row>
    <row r="1442" spans="1:5">
      <c r="A1442" s="123">
        <f t="shared" si="44"/>
        <v>1440</v>
      </c>
      <c r="B1442" s="122">
        <f>IF(DAY(A1442)=DAY('F-Ahorro Futuro Genérico'!$H$11),'F-Ahorro Futuro Genérico'!$H$9,0)</f>
        <v>0</v>
      </c>
      <c r="C1442" s="122">
        <f t="shared" si="45"/>
        <v>0</v>
      </c>
      <c r="D1442" s="121">
        <f>ROUND(C1442*'FR_Mantenimiento tasas'!$C$43/360,5)</f>
        <v>0</v>
      </c>
      <c r="E1442" s="121">
        <f>ROUND(C1442*'FR_Mantenimiento tasas'!$D$43/360,5)</f>
        <v>0</v>
      </c>
    </row>
    <row r="1443" spans="1:5">
      <c r="A1443" s="123">
        <f t="shared" si="44"/>
        <v>1441</v>
      </c>
      <c r="B1443" s="122">
        <f>IF(DAY(A1443)=DAY('F-Ahorro Futuro Genérico'!$H$11),'F-Ahorro Futuro Genérico'!$H$9,0)</f>
        <v>0</v>
      </c>
      <c r="C1443" s="122">
        <f t="shared" si="45"/>
        <v>0</v>
      </c>
      <c r="D1443" s="121">
        <f>ROUND(C1443*'FR_Mantenimiento tasas'!$C$43/360,5)</f>
        <v>0</v>
      </c>
      <c r="E1443" s="121">
        <f>ROUND(C1443*'FR_Mantenimiento tasas'!$D$43/360,5)</f>
        <v>0</v>
      </c>
    </row>
    <row r="1444" spans="1:5">
      <c r="A1444" s="123">
        <f t="shared" si="44"/>
        <v>1442</v>
      </c>
      <c r="B1444" s="122">
        <f>IF(DAY(A1444)=DAY('F-Ahorro Futuro Genérico'!$H$11),'F-Ahorro Futuro Genérico'!$H$9,0)</f>
        <v>0</v>
      </c>
      <c r="C1444" s="122">
        <f t="shared" si="45"/>
        <v>0</v>
      </c>
      <c r="D1444" s="121">
        <f>ROUND(C1444*'FR_Mantenimiento tasas'!$C$43/360,5)</f>
        <v>0</v>
      </c>
      <c r="E1444" s="121">
        <f>ROUND(C1444*'FR_Mantenimiento tasas'!$D$43/360,5)</f>
        <v>0</v>
      </c>
    </row>
    <row r="1445" spans="1:5">
      <c r="A1445" s="123">
        <f t="shared" si="44"/>
        <v>1443</v>
      </c>
      <c r="B1445" s="122">
        <f>IF(DAY(A1445)=DAY('F-Ahorro Futuro Genérico'!$H$11),'F-Ahorro Futuro Genérico'!$H$9,0)</f>
        <v>0</v>
      </c>
      <c r="C1445" s="122">
        <f t="shared" si="45"/>
        <v>0</v>
      </c>
      <c r="D1445" s="121">
        <f>ROUND(C1445*'FR_Mantenimiento tasas'!$C$43/360,5)</f>
        <v>0</v>
      </c>
      <c r="E1445" s="121">
        <f>ROUND(C1445*'FR_Mantenimiento tasas'!$D$43/360,5)</f>
        <v>0</v>
      </c>
    </row>
    <row r="1446" spans="1:5">
      <c r="A1446" s="123">
        <f t="shared" si="44"/>
        <v>1444</v>
      </c>
      <c r="B1446" s="122">
        <f>IF(DAY(A1446)=DAY('F-Ahorro Futuro Genérico'!$H$11),'F-Ahorro Futuro Genérico'!$H$9,0)</f>
        <v>0</v>
      </c>
      <c r="C1446" s="122">
        <f t="shared" si="45"/>
        <v>0</v>
      </c>
      <c r="D1446" s="121">
        <f>ROUND(C1446*'FR_Mantenimiento tasas'!$C$43/360,5)</f>
        <v>0</v>
      </c>
      <c r="E1446" s="121">
        <f>ROUND(C1446*'FR_Mantenimiento tasas'!$D$43/360,5)</f>
        <v>0</v>
      </c>
    </row>
    <row r="1447" spans="1:5">
      <c r="A1447" s="123">
        <f t="shared" si="44"/>
        <v>1445</v>
      </c>
      <c r="B1447" s="122">
        <f>IF(DAY(A1447)=DAY('F-Ahorro Futuro Genérico'!$H$11),'F-Ahorro Futuro Genérico'!$H$9,0)</f>
        <v>0</v>
      </c>
      <c r="C1447" s="122">
        <f t="shared" si="45"/>
        <v>0</v>
      </c>
      <c r="D1447" s="121">
        <f>ROUND(C1447*'FR_Mantenimiento tasas'!$C$43/360,5)</f>
        <v>0</v>
      </c>
      <c r="E1447" s="121">
        <f>ROUND(C1447*'FR_Mantenimiento tasas'!$D$43/360,5)</f>
        <v>0</v>
      </c>
    </row>
    <row r="1448" spans="1:5">
      <c r="A1448" s="123">
        <f t="shared" si="44"/>
        <v>1446</v>
      </c>
      <c r="B1448" s="122">
        <f>IF(DAY(A1448)=DAY('F-Ahorro Futuro Genérico'!$H$11),'F-Ahorro Futuro Genérico'!$H$9,0)</f>
        <v>0</v>
      </c>
      <c r="C1448" s="122">
        <f t="shared" si="45"/>
        <v>0</v>
      </c>
      <c r="D1448" s="121">
        <f>ROUND(C1448*'FR_Mantenimiento tasas'!$C$43/360,5)</f>
        <v>0</v>
      </c>
      <c r="E1448" s="121">
        <f>ROUND(C1448*'FR_Mantenimiento tasas'!$D$43/360,5)</f>
        <v>0</v>
      </c>
    </row>
    <row r="1449" spans="1:5">
      <c r="A1449" s="123">
        <f t="shared" si="44"/>
        <v>1447</v>
      </c>
      <c r="B1449" s="122">
        <f>IF(DAY(A1449)=DAY('F-Ahorro Futuro Genérico'!$H$11),'F-Ahorro Futuro Genérico'!$H$9,0)</f>
        <v>0</v>
      </c>
      <c r="C1449" s="122">
        <f t="shared" si="45"/>
        <v>0</v>
      </c>
      <c r="D1449" s="121">
        <f>ROUND(C1449*'FR_Mantenimiento tasas'!$C$43/360,5)</f>
        <v>0</v>
      </c>
      <c r="E1449" s="121">
        <f>ROUND(C1449*'FR_Mantenimiento tasas'!$D$43/360,5)</f>
        <v>0</v>
      </c>
    </row>
    <row r="1450" spans="1:5">
      <c r="A1450" s="123">
        <f t="shared" si="44"/>
        <v>1448</v>
      </c>
      <c r="B1450" s="122">
        <f>IF(DAY(A1450)=DAY('F-Ahorro Futuro Genérico'!$H$11),'F-Ahorro Futuro Genérico'!$H$9,0)</f>
        <v>0</v>
      </c>
      <c r="C1450" s="122">
        <f t="shared" si="45"/>
        <v>0</v>
      </c>
      <c r="D1450" s="121">
        <f>ROUND(C1450*'FR_Mantenimiento tasas'!$C$43/360,5)</f>
        <v>0</v>
      </c>
      <c r="E1450" s="121">
        <f>ROUND(C1450*'FR_Mantenimiento tasas'!$D$43/360,5)</f>
        <v>0</v>
      </c>
    </row>
    <row r="1451" spans="1:5">
      <c r="A1451" s="123">
        <f t="shared" si="44"/>
        <v>1449</v>
      </c>
      <c r="B1451" s="122">
        <f>IF(DAY(A1451)=DAY('F-Ahorro Futuro Genérico'!$H$11),'F-Ahorro Futuro Genérico'!$H$9,0)</f>
        <v>0</v>
      </c>
      <c r="C1451" s="122">
        <f t="shared" si="45"/>
        <v>0</v>
      </c>
      <c r="D1451" s="121">
        <f>ROUND(C1451*'FR_Mantenimiento tasas'!$C$43/360,5)</f>
        <v>0</v>
      </c>
      <c r="E1451" s="121">
        <f>ROUND(C1451*'FR_Mantenimiento tasas'!$D$43/360,5)</f>
        <v>0</v>
      </c>
    </row>
    <row r="1452" spans="1:5">
      <c r="A1452" s="123">
        <f t="shared" si="44"/>
        <v>1450</v>
      </c>
      <c r="B1452" s="122">
        <f>IF(DAY(A1452)=DAY('F-Ahorro Futuro Genérico'!$H$11),'F-Ahorro Futuro Genérico'!$H$9,0)</f>
        <v>0</v>
      </c>
      <c r="C1452" s="122">
        <f t="shared" si="45"/>
        <v>0</v>
      </c>
      <c r="D1452" s="121">
        <f>ROUND(C1452*'FR_Mantenimiento tasas'!$C$43/360,5)</f>
        <v>0</v>
      </c>
      <c r="E1452" s="121">
        <f>ROUND(C1452*'FR_Mantenimiento tasas'!$D$43/360,5)</f>
        <v>0</v>
      </c>
    </row>
    <row r="1453" spans="1:5">
      <c r="A1453" s="123">
        <f t="shared" si="44"/>
        <v>1451</v>
      </c>
      <c r="B1453" s="122">
        <f>IF(DAY(A1453)=DAY('F-Ahorro Futuro Genérico'!$H$11),'F-Ahorro Futuro Genérico'!$H$9,0)</f>
        <v>0</v>
      </c>
      <c r="C1453" s="122">
        <f t="shared" si="45"/>
        <v>0</v>
      </c>
      <c r="D1453" s="121">
        <f>ROUND(C1453*'FR_Mantenimiento tasas'!$C$43/360,5)</f>
        <v>0</v>
      </c>
      <c r="E1453" s="121">
        <f>ROUND(C1453*'FR_Mantenimiento tasas'!$D$43/360,5)</f>
        <v>0</v>
      </c>
    </row>
    <row r="1454" spans="1:5">
      <c r="A1454" s="123">
        <f t="shared" si="44"/>
        <v>1452</v>
      </c>
      <c r="B1454" s="122">
        <f>IF(DAY(A1454)=DAY('F-Ahorro Futuro Genérico'!$H$11),'F-Ahorro Futuro Genérico'!$H$9,0)</f>
        <v>0</v>
      </c>
      <c r="C1454" s="122">
        <f t="shared" si="45"/>
        <v>0</v>
      </c>
      <c r="D1454" s="121">
        <f>ROUND(C1454*'FR_Mantenimiento tasas'!$C$43/360,5)</f>
        <v>0</v>
      </c>
      <c r="E1454" s="121">
        <f>ROUND(C1454*'FR_Mantenimiento tasas'!$D$43/360,5)</f>
        <v>0</v>
      </c>
    </row>
    <row r="1455" spans="1:5">
      <c r="A1455" s="123">
        <f t="shared" si="44"/>
        <v>1453</v>
      </c>
      <c r="B1455" s="122">
        <f>IF(DAY(A1455)=DAY('F-Ahorro Futuro Genérico'!$H$11),'F-Ahorro Futuro Genérico'!$H$9,0)</f>
        <v>0</v>
      </c>
      <c r="C1455" s="122">
        <f t="shared" si="45"/>
        <v>0</v>
      </c>
      <c r="D1455" s="121">
        <f>ROUND(C1455*'FR_Mantenimiento tasas'!$C$43/360,5)</f>
        <v>0</v>
      </c>
      <c r="E1455" s="121">
        <f>ROUND(C1455*'FR_Mantenimiento tasas'!$D$43/360,5)</f>
        <v>0</v>
      </c>
    </row>
    <row r="1456" spans="1:5">
      <c r="A1456" s="123">
        <f t="shared" si="44"/>
        <v>1454</v>
      </c>
      <c r="B1456" s="122">
        <f>IF(DAY(A1456)=DAY('F-Ahorro Futuro Genérico'!$H$11),'F-Ahorro Futuro Genérico'!$H$9,0)</f>
        <v>0</v>
      </c>
      <c r="C1456" s="122">
        <f t="shared" si="45"/>
        <v>0</v>
      </c>
      <c r="D1456" s="121">
        <f>ROUND(C1456*'FR_Mantenimiento tasas'!$C$43/360,5)</f>
        <v>0</v>
      </c>
      <c r="E1456" s="121">
        <f>ROUND(C1456*'FR_Mantenimiento tasas'!$D$43/360,5)</f>
        <v>0</v>
      </c>
    </row>
    <row r="1457" spans="1:5">
      <c r="A1457" s="123">
        <f t="shared" si="44"/>
        <v>1455</v>
      </c>
      <c r="B1457" s="122">
        <f>IF(DAY(A1457)=DAY('F-Ahorro Futuro Genérico'!$H$11),'F-Ahorro Futuro Genérico'!$H$9,0)</f>
        <v>0</v>
      </c>
      <c r="C1457" s="122">
        <f t="shared" si="45"/>
        <v>0</v>
      </c>
      <c r="D1457" s="121">
        <f>ROUND(C1457*'FR_Mantenimiento tasas'!$C$43/360,5)</f>
        <v>0</v>
      </c>
      <c r="E1457" s="121">
        <f>ROUND(C1457*'FR_Mantenimiento tasas'!$D$43/360,5)</f>
        <v>0</v>
      </c>
    </row>
    <row r="1458" spans="1:5">
      <c r="A1458" s="123">
        <f t="shared" si="44"/>
        <v>1456</v>
      </c>
      <c r="B1458" s="122">
        <f>IF(DAY(A1458)=DAY('F-Ahorro Futuro Genérico'!$H$11),'F-Ahorro Futuro Genérico'!$H$9,0)</f>
        <v>0</v>
      </c>
      <c r="C1458" s="122">
        <f t="shared" si="45"/>
        <v>0</v>
      </c>
      <c r="D1458" s="121">
        <f>ROUND(C1458*'FR_Mantenimiento tasas'!$C$43/360,5)</f>
        <v>0</v>
      </c>
      <c r="E1458" s="121">
        <f>ROUND(C1458*'FR_Mantenimiento tasas'!$D$43/360,5)</f>
        <v>0</v>
      </c>
    </row>
    <row r="1459" spans="1:5">
      <c r="A1459" s="123">
        <f t="shared" si="44"/>
        <v>1457</v>
      </c>
      <c r="B1459" s="122">
        <f>IF(DAY(A1459)=DAY('F-Ahorro Futuro Genérico'!$H$11),'F-Ahorro Futuro Genérico'!$H$9,0)</f>
        <v>0</v>
      </c>
      <c r="C1459" s="122">
        <f t="shared" si="45"/>
        <v>0</v>
      </c>
      <c r="D1459" s="121">
        <f>ROUND(C1459*'FR_Mantenimiento tasas'!$C$43/360,5)</f>
        <v>0</v>
      </c>
      <c r="E1459" s="121">
        <f>ROUND(C1459*'FR_Mantenimiento tasas'!$D$43/360,5)</f>
        <v>0</v>
      </c>
    </row>
    <row r="1460" spans="1:5">
      <c r="A1460" s="123">
        <f t="shared" si="44"/>
        <v>1458</v>
      </c>
      <c r="B1460" s="122">
        <f>IF(DAY(A1460)=DAY('F-Ahorro Futuro Genérico'!$H$11),'F-Ahorro Futuro Genérico'!$H$9,0)</f>
        <v>0</v>
      </c>
      <c r="C1460" s="122">
        <f t="shared" si="45"/>
        <v>0</v>
      </c>
      <c r="D1460" s="121">
        <f>ROUND(C1460*'FR_Mantenimiento tasas'!$C$43/360,5)</f>
        <v>0</v>
      </c>
      <c r="E1460" s="121">
        <f>ROUND(C1460*'FR_Mantenimiento tasas'!$D$43/360,5)</f>
        <v>0</v>
      </c>
    </row>
    <row r="1461" spans="1:5">
      <c r="A1461" s="123">
        <f t="shared" si="44"/>
        <v>1459</v>
      </c>
      <c r="B1461" s="122">
        <f>IF(DAY(A1461)=DAY('F-Ahorro Futuro Genérico'!$H$11),'F-Ahorro Futuro Genérico'!$H$9,0)</f>
        <v>0</v>
      </c>
      <c r="C1461" s="122">
        <f t="shared" si="45"/>
        <v>0</v>
      </c>
      <c r="D1461" s="121">
        <f>ROUND(C1461*'FR_Mantenimiento tasas'!$C$43/360,5)</f>
        <v>0</v>
      </c>
      <c r="E1461" s="121">
        <f>ROUND(C1461*'FR_Mantenimiento tasas'!$D$43/360,5)</f>
        <v>0</v>
      </c>
    </row>
    <row r="1462" spans="1:5">
      <c r="A1462" s="123">
        <f t="shared" si="44"/>
        <v>1460</v>
      </c>
      <c r="B1462" s="122">
        <f>IF(DAY(A1462)=DAY('F-Ahorro Futuro Genérico'!$H$11),'F-Ahorro Futuro Genérico'!$H$9,0)</f>
        <v>0</v>
      </c>
      <c r="C1462" s="122">
        <f t="shared" si="45"/>
        <v>0</v>
      </c>
      <c r="D1462" s="121">
        <f>ROUND(C1462*'FR_Mantenimiento tasas'!$C$43/360,5)</f>
        <v>0</v>
      </c>
      <c r="E1462" s="121">
        <f>ROUND(C1462*'FR_Mantenimiento tasas'!$D$43/360,5)</f>
        <v>0</v>
      </c>
    </row>
    <row r="1463" spans="1:5">
      <c r="A1463" s="123">
        <f t="shared" si="44"/>
        <v>1461</v>
      </c>
      <c r="B1463" s="122">
        <f>IF(DAY(A1463)=DAY('F-Ahorro Futuro Genérico'!$H$11),'F-Ahorro Futuro Genérico'!$H$9,0)</f>
        <v>0</v>
      </c>
      <c r="C1463" s="122">
        <f t="shared" si="45"/>
        <v>0</v>
      </c>
      <c r="D1463" s="121">
        <f>ROUND(C1463*'FR_Mantenimiento tasas'!$C$43/360,5)</f>
        <v>0</v>
      </c>
      <c r="E1463" s="121">
        <f>ROUND(C1463*'FR_Mantenimiento tasas'!$D$43/360,5)</f>
        <v>0</v>
      </c>
    </row>
    <row r="1464" spans="1:5">
      <c r="A1464" s="123">
        <f t="shared" si="44"/>
        <v>1462</v>
      </c>
      <c r="B1464" s="122">
        <f>IF(DAY(A1464)=DAY('F-Ahorro Futuro Genérico'!$H$11),'F-Ahorro Futuro Genérico'!$H$9,0)</f>
        <v>0</v>
      </c>
      <c r="C1464" s="122">
        <f t="shared" si="45"/>
        <v>0</v>
      </c>
      <c r="D1464" s="121">
        <f>ROUND(C1464*'FR_Mantenimiento tasas'!$C$43/360,5)</f>
        <v>0</v>
      </c>
      <c r="E1464" s="121">
        <f>ROUND(C1464*'FR_Mantenimiento tasas'!$D$43/360,5)</f>
        <v>0</v>
      </c>
    </row>
    <row r="1465" spans="1:5">
      <c r="A1465" s="123">
        <f t="shared" si="44"/>
        <v>1463</v>
      </c>
      <c r="B1465" s="122">
        <f>IF(DAY(A1465)=DAY('F-Ahorro Futuro Genérico'!$H$11),'F-Ahorro Futuro Genérico'!$H$9,0)</f>
        <v>0</v>
      </c>
      <c r="C1465" s="122">
        <f t="shared" si="45"/>
        <v>0</v>
      </c>
      <c r="D1465" s="121">
        <f>ROUND(C1465*'FR_Mantenimiento tasas'!$C$43/360,5)</f>
        <v>0</v>
      </c>
      <c r="E1465" s="121">
        <f>ROUND(C1465*'FR_Mantenimiento tasas'!$D$43/360,5)</f>
        <v>0</v>
      </c>
    </row>
    <row r="1466" spans="1:5">
      <c r="A1466" s="123">
        <f t="shared" si="44"/>
        <v>1464</v>
      </c>
      <c r="B1466" s="122">
        <f>IF(DAY(A1466)=DAY('F-Ahorro Futuro Genérico'!$H$11),'F-Ahorro Futuro Genérico'!$H$9,0)</f>
        <v>0</v>
      </c>
      <c r="C1466" s="122">
        <f t="shared" si="45"/>
        <v>0</v>
      </c>
      <c r="D1466" s="121">
        <f>ROUND(C1466*'FR_Mantenimiento tasas'!$C$43/360,5)</f>
        <v>0</v>
      </c>
      <c r="E1466" s="121">
        <f>ROUND(C1466*'FR_Mantenimiento tasas'!$D$43/360,5)</f>
        <v>0</v>
      </c>
    </row>
    <row r="1467" spans="1:5">
      <c r="A1467" s="123">
        <f t="shared" si="44"/>
        <v>1465</v>
      </c>
      <c r="B1467" s="122">
        <f>IF(DAY(A1467)=DAY('F-Ahorro Futuro Genérico'!$H$11),'F-Ahorro Futuro Genérico'!$H$9,0)</f>
        <v>0</v>
      </c>
      <c r="C1467" s="122">
        <f t="shared" si="45"/>
        <v>0</v>
      </c>
      <c r="D1467" s="121">
        <f>ROUND(C1467*'FR_Mantenimiento tasas'!$C$43/360,5)</f>
        <v>0</v>
      </c>
      <c r="E1467" s="121">
        <f>ROUND(C1467*'FR_Mantenimiento tasas'!$D$43/360,5)</f>
        <v>0</v>
      </c>
    </row>
    <row r="1468" spans="1:5">
      <c r="A1468" s="123">
        <f t="shared" si="44"/>
        <v>1466</v>
      </c>
      <c r="B1468" s="122">
        <f>IF(DAY(A1468)=DAY('F-Ahorro Futuro Genérico'!$H$11),'F-Ahorro Futuro Genérico'!$H$9,0)</f>
        <v>0</v>
      </c>
      <c r="C1468" s="122">
        <f t="shared" si="45"/>
        <v>0</v>
      </c>
      <c r="D1468" s="121">
        <f>ROUND(C1468*'FR_Mantenimiento tasas'!$C$43/360,5)</f>
        <v>0</v>
      </c>
      <c r="E1468" s="121">
        <f>ROUND(C1468*'FR_Mantenimiento tasas'!$D$43/360,5)</f>
        <v>0</v>
      </c>
    </row>
    <row r="1469" spans="1:5">
      <c r="A1469" s="123">
        <f t="shared" si="44"/>
        <v>1467</v>
      </c>
      <c r="B1469" s="122">
        <f>IF(DAY(A1469)=DAY('F-Ahorro Futuro Genérico'!$H$11),'F-Ahorro Futuro Genérico'!$H$9,0)</f>
        <v>0</v>
      </c>
      <c r="C1469" s="122">
        <f t="shared" si="45"/>
        <v>0</v>
      </c>
      <c r="D1469" s="121">
        <f>ROUND(C1469*'FR_Mantenimiento tasas'!$C$43/360,5)</f>
        <v>0</v>
      </c>
      <c r="E1469" s="121">
        <f>ROUND(C1469*'FR_Mantenimiento tasas'!$D$43/360,5)</f>
        <v>0</v>
      </c>
    </row>
    <row r="1470" spans="1:5">
      <c r="A1470" s="123">
        <f t="shared" si="44"/>
        <v>1468</v>
      </c>
      <c r="B1470" s="122">
        <f>IF(DAY(A1470)=DAY('F-Ahorro Futuro Genérico'!$H$11),'F-Ahorro Futuro Genérico'!$H$9,0)</f>
        <v>0</v>
      </c>
      <c r="C1470" s="122">
        <f t="shared" si="45"/>
        <v>0</v>
      </c>
      <c r="D1470" s="121">
        <f>ROUND(C1470*'FR_Mantenimiento tasas'!$C$43/360,5)</f>
        <v>0</v>
      </c>
      <c r="E1470" s="121">
        <f>ROUND(C1470*'FR_Mantenimiento tasas'!$D$43/360,5)</f>
        <v>0</v>
      </c>
    </row>
    <row r="1471" spans="1:5">
      <c r="A1471" s="123">
        <f t="shared" si="44"/>
        <v>1469</v>
      </c>
      <c r="B1471" s="122">
        <f>IF(DAY(A1471)=DAY('F-Ahorro Futuro Genérico'!$H$11),'F-Ahorro Futuro Genérico'!$H$9,0)</f>
        <v>0</v>
      </c>
      <c r="C1471" s="122">
        <f t="shared" si="45"/>
        <v>0</v>
      </c>
      <c r="D1471" s="121">
        <f>ROUND(C1471*'FR_Mantenimiento tasas'!$C$43/360,5)</f>
        <v>0</v>
      </c>
      <c r="E1471" s="121">
        <f>ROUND(C1471*'FR_Mantenimiento tasas'!$D$43/360,5)</f>
        <v>0</v>
      </c>
    </row>
    <row r="1472" spans="1:5">
      <c r="A1472" s="123">
        <f t="shared" si="44"/>
        <v>1470</v>
      </c>
      <c r="B1472" s="122">
        <f>IF(DAY(A1472)=DAY('F-Ahorro Futuro Genérico'!$H$11),'F-Ahorro Futuro Genérico'!$H$9,0)</f>
        <v>0</v>
      </c>
      <c r="C1472" s="122">
        <f t="shared" si="45"/>
        <v>0</v>
      </c>
      <c r="D1472" s="121">
        <f>ROUND(C1472*'FR_Mantenimiento tasas'!$C$43/360,5)</f>
        <v>0</v>
      </c>
      <c r="E1472" s="121">
        <f>ROUND(C1472*'FR_Mantenimiento tasas'!$D$43/360,5)</f>
        <v>0</v>
      </c>
    </row>
    <row r="1473" spans="1:5">
      <c r="A1473" s="123">
        <f t="shared" si="44"/>
        <v>1471</v>
      </c>
      <c r="B1473" s="122">
        <f>IF(DAY(A1473)=DAY('F-Ahorro Futuro Genérico'!$H$11),'F-Ahorro Futuro Genérico'!$H$9,0)</f>
        <v>0</v>
      </c>
      <c r="C1473" s="122">
        <f t="shared" si="45"/>
        <v>0</v>
      </c>
      <c r="D1473" s="121">
        <f>ROUND(C1473*'FR_Mantenimiento tasas'!$C$43/360,5)</f>
        <v>0</v>
      </c>
      <c r="E1473" s="121">
        <f>ROUND(C1473*'FR_Mantenimiento tasas'!$D$43/360,5)</f>
        <v>0</v>
      </c>
    </row>
    <row r="1474" spans="1:5">
      <c r="A1474" s="123">
        <f t="shared" si="44"/>
        <v>1472</v>
      </c>
      <c r="B1474" s="122">
        <f>IF(DAY(A1474)=DAY('F-Ahorro Futuro Genérico'!$H$11),'F-Ahorro Futuro Genérico'!$H$9,0)</f>
        <v>0</v>
      </c>
      <c r="C1474" s="122">
        <f t="shared" si="45"/>
        <v>0</v>
      </c>
      <c r="D1474" s="121">
        <f>ROUND(C1474*'FR_Mantenimiento tasas'!$C$43/360,5)</f>
        <v>0</v>
      </c>
      <c r="E1474" s="121">
        <f>ROUND(C1474*'FR_Mantenimiento tasas'!$D$43/360,5)</f>
        <v>0</v>
      </c>
    </row>
    <row r="1475" spans="1:5">
      <c r="A1475" s="123">
        <f t="shared" si="44"/>
        <v>1473</v>
      </c>
      <c r="B1475" s="122">
        <f>IF(DAY(A1475)=DAY('F-Ahorro Futuro Genérico'!$H$11),'F-Ahorro Futuro Genérico'!$H$9,0)</f>
        <v>0</v>
      </c>
      <c r="C1475" s="122">
        <f t="shared" si="45"/>
        <v>0</v>
      </c>
      <c r="D1475" s="121">
        <f>ROUND(C1475*'FR_Mantenimiento tasas'!$C$43/360,5)</f>
        <v>0</v>
      </c>
      <c r="E1475" s="121">
        <f>ROUND(C1475*'FR_Mantenimiento tasas'!$D$43/360,5)</f>
        <v>0</v>
      </c>
    </row>
    <row r="1476" spans="1:5">
      <c r="A1476" s="123">
        <f t="shared" ref="A1476:A1539" si="46">+A1475+1</f>
        <v>1474</v>
      </c>
      <c r="B1476" s="122">
        <f>IF(DAY(A1476)=DAY('F-Ahorro Futuro Genérico'!$H$11),'F-Ahorro Futuro Genérico'!$H$9,0)</f>
        <v>0</v>
      </c>
      <c r="C1476" s="122">
        <f t="shared" ref="C1476:C1539" si="47">+B1476+C1475+D1475</f>
        <v>0</v>
      </c>
      <c r="D1476" s="121">
        <f>ROUND(C1476*'FR_Mantenimiento tasas'!$C$43/360,5)</f>
        <v>0</v>
      </c>
      <c r="E1476" s="121">
        <f>ROUND(C1476*'FR_Mantenimiento tasas'!$D$43/360,5)</f>
        <v>0</v>
      </c>
    </row>
    <row r="1477" spans="1:5">
      <c r="A1477" s="123">
        <f t="shared" si="46"/>
        <v>1475</v>
      </c>
      <c r="B1477" s="122">
        <f>IF(DAY(A1477)=DAY('F-Ahorro Futuro Genérico'!$H$11),'F-Ahorro Futuro Genérico'!$H$9,0)</f>
        <v>0</v>
      </c>
      <c r="C1477" s="122">
        <f t="shared" si="47"/>
        <v>0</v>
      </c>
      <c r="D1477" s="121">
        <f>ROUND(C1477*'FR_Mantenimiento tasas'!$C$43/360,5)</f>
        <v>0</v>
      </c>
      <c r="E1477" s="121">
        <f>ROUND(C1477*'FR_Mantenimiento tasas'!$D$43/360,5)</f>
        <v>0</v>
      </c>
    </row>
    <row r="1478" spans="1:5">
      <c r="A1478" s="123">
        <f t="shared" si="46"/>
        <v>1476</v>
      </c>
      <c r="B1478" s="122">
        <f>IF(DAY(A1478)=DAY('F-Ahorro Futuro Genérico'!$H$11),'F-Ahorro Futuro Genérico'!$H$9,0)</f>
        <v>0</v>
      </c>
      <c r="C1478" s="122">
        <f t="shared" si="47"/>
        <v>0</v>
      </c>
      <c r="D1478" s="121">
        <f>ROUND(C1478*'FR_Mantenimiento tasas'!$C$43/360,5)</f>
        <v>0</v>
      </c>
      <c r="E1478" s="121">
        <f>ROUND(C1478*'FR_Mantenimiento tasas'!$D$43/360,5)</f>
        <v>0</v>
      </c>
    </row>
    <row r="1479" spans="1:5">
      <c r="A1479" s="123">
        <f t="shared" si="46"/>
        <v>1477</v>
      </c>
      <c r="B1479" s="122">
        <f>IF(DAY(A1479)=DAY('F-Ahorro Futuro Genérico'!$H$11),'F-Ahorro Futuro Genérico'!$H$9,0)</f>
        <v>0</v>
      </c>
      <c r="C1479" s="122">
        <f t="shared" si="47"/>
        <v>0</v>
      </c>
      <c r="D1479" s="121">
        <f>ROUND(C1479*'FR_Mantenimiento tasas'!$C$43/360,5)</f>
        <v>0</v>
      </c>
      <c r="E1479" s="121">
        <f>ROUND(C1479*'FR_Mantenimiento tasas'!$D$43/360,5)</f>
        <v>0</v>
      </c>
    </row>
    <row r="1480" spans="1:5">
      <c r="A1480" s="123">
        <f t="shared" si="46"/>
        <v>1478</v>
      </c>
      <c r="B1480" s="122">
        <f>IF(DAY(A1480)=DAY('F-Ahorro Futuro Genérico'!$H$11),'F-Ahorro Futuro Genérico'!$H$9,0)</f>
        <v>0</v>
      </c>
      <c r="C1480" s="122">
        <f t="shared" si="47"/>
        <v>0</v>
      </c>
      <c r="D1480" s="121">
        <f>ROUND(C1480*'FR_Mantenimiento tasas'!$C$43/360,5)</f>
        <v>0</v>
      </c>
      <c r="E1480" s="121">
        <f>ROUND(C1480*'FR_Mantenimiento tasas'!$D$43/360,5)</f>
        <v>0</v>
      </c>
    </row>
    <row r="1481" spans="1:5">
      <c r="A1481" s="123">
        <f t="shared" si="46"/>
        <v>1479</v>
      </c>
      <c r="B1481" s="122">
        <f>IF(DAY(A1481)=DAY('F-Ahorro Futuro Genérico'!$H$11),'F-Ahorro Futuro Genérico'!$H$9,0)</f>
        <v>0</v>
      </c>
      <c r="C1481" s="122">
        <f t="shared" si="47"/>
        <v>0</v>
      </c>
      <c r="D1481" s="121">
        <f>ROUND(C1481*'FR_Mantenimiento tasas'!$C$43/360,5)</f>
        <v>0</v>
      </c>
      <c r="E1481" s="121">
        <f>ROUND(C1481*'FR_Mantenimiento tasas'!$D$43/360,5)</f>
        <v>0</v>
      </c>
    </row>
    <row r="1482" spans="1:5">
      <c r="A1482" s="123">
        <f t="shared" si="46"/>
        <v>1480</v>
      </c>
      <c r="B1482" s="122">
        <f>IF(DAY(A1482)=DAY('F-Ahorro Futuro Genérico'!$H$11),'F-Ahorro Futuro Genérico'!$H$9,0)</f>
        <v>0</v>
      </c>
      <c r="C1482" s="122">
        <f t="shared" si="47"/>
        <v>0</v>
      </c>
      <c r="D1482" s="121">
        <f>ROUND(C1482*'FR_Mantenimiento tasas'!$C$43/360,5)</f>
        <v>0</v>
      </c>
      <c r="E1482" s="121">
        <f>ROUND(C1482*'FR_Mantenimiento tasas'!$D$43/360,5)</f>
        <v>0</v>
      </c>
    </row>
    <row r="1483" spans="1:5">
      <c r="A1483" s="123">
        <f t="shared" si="46"/>
        <v>1481</v>
      </c>
      <c r="B1483" s="122">
        <f>IF(DAY(A1483)=DAY('F-Ahorro Futuro Genérico'!$H$11),'F-Ahorro Futuro Genérico'!$H$9,0)</f>
        <v>0</v>
      </c>
      <c r="C1483" s="122">
        <f t="shared" si="47"/>
        <v>0</v>
      </c>
      <c r="D1483" s="121">
        <f>ROUND(C1483*'FR_Mantenimiento tasas'!$C$43/360,5)</f>
        <v>0</v>
      </c>
      <c r="E1483" s="121">
        <f>ROUND(C1483*'FR_Mantenimiento tasas'!$D$43/360,5)</f>
        <v>0</v>
      </c>
    </row>
    <row r="1484" spans="1:5">
      <c r="A1484" s="123">
        <f t="shared" si="46"/>
        <v>1482</v>
      </c>
      <c r="B1484" s="122">
        <f>IF(DAY(A1484)=DAY('F-Ahorro Futuro Genérico'!$H$11),'F-Ahorro Futuro Genérico'!$H$9,0)</f>
        <v>0</v>
      </c>
      <c r="C1484" s="122">
        <f t="shared" si="47"/>
        <v>0</v>
      </c>
      <c r="D1484" s="121">
        <f>ROUND(C1484*'FR_Mantenimiento tasas'!$C$43/360,5)</f>
        <v>0</v>
      </c>
      <c r="E1484" s="121">
        <f>ROUND(C1484*'FR_Mantenimiento tasas'!$D$43/360,5)</f>
        <v>0</v>
      </c>
    </row>
    <row r="1485" spans="1:5">
      <c r="A1485" s="123">
        <f t="shared" si="46"/>
        <v>1483</v>
      </c>
      <c r="B1485" s="122">
        <f>IF(DAY(A1485)=DAY('F-Ahorro Futuro Genérico'!$H$11),'F-Ahorro Futuro Genérico'!$H$9,0)</f>
        <v>0</v>
      </c>
      <c r="C1485" s="122">
        <f t="shared" si="47"/>
        <v>0</v>
      </c>
      <c r="D1485" s="121">
        <f>ROUND(C1485*'FR_Mantenimiento tasas'!$C$43/360,5)</f>
        <v>0</v>
      </c>
      <c r="E1485" s="121">
        <f>ROUND(C1485*'FR_Mantenimiento tasas'!$D$43/360,5)</f>
        <v>0</v>
      </c>
    </row>
    <row r="1486" spans="1:5">
      <c r="A1486" s="123">
        <f t="shared" si="46"/>
        <v>1484</v>
      </c>
      <c r="B1486" s="122">
        <f>IF(DAY(A1486)=DAY('F-Ahorro Futuro Genérico'!$H$11),'F-Ahorro Futuro Genérico'!$H$9,0)</f>
        <v>0</v>
      </c>
      <c r="C1486" s="122">
        <f t="shared" si="47"/>
        <v>0</v>
      </c>
      <c r="D1486" s="121">
        <f>ROUND(C1486*'FR_Mantenimiento tasas'!$C$43/360,5)</f>
        <v>0</v>
      </c>
      <c r="E1486" s="121">
        <f>ROUND(C1486*'FR_Mantenimiento tasas'!$D$43/360,5)</f>
        <v>0</v>
      </c>
    </row>
    <row r="1487" spans="1:5">
      <c r="A1487" s="123">
        <f t="shared" si="46"/>
        <v>1485</v>
      </c>
      <c r="B1487" s="122">
        <f>IF(DAY(A1487)=DAY('F-Ahorro Futuro Genérico'!$H$11),'F-Ahorro Futuro Genérico'!$H$9,0)</f>
        <v>0</v>
      </c>
      <c r="C1487" s="122">
        <f t="shared" si="47"/>
        <v>0</v>
      </c>
      <c r="D1487" s="121">
        <f>ROUND(C1487*'FR_Mantenimiento tasas'!$C$43/360,5)</f>
        <v>0</v>
      </c>
      <c r="E1487" s="121">
        <f>ROUND(C1487*'FR_Mantenimiento tasas'!$D$43/360,5)</f>
        <v>0</v>
      </c>
    </row>
    <row r="1488" spans="1:5">
      <c r="A1488" s="123">
        <f t="shared" si="46"/>
        <v>1486</v>
      </c>
      <c r="B1488" s="122">
        <f>IF(DAY(A1488)=DAY('F-Ahorro Futuro Genérico'!$H$11),'F-Ahorro Futuro Genérico'!$H$9,0)</f>
        <v>0</v>
      </c>
      <c r="C1488" s="122">
        <f t="shared" si="47"/>
        <v>0</v>
      </c>
      <c r="D1488" s="121">
        <f>ROUND(C1488*'FR_Mantenimiento tasas'!$C$43/360,5)</f>
        <v>0</v>
      </c>
      <c r="E1488" s="121">
        <f>ROUND(C1488*'FR_Mantenimiento tasas'!$D$43/360,5)</f>
        <v>0</v>
      </c>
    </row>
    <row r="1489" spans="1:5">
      <c r="A1489" s="123">
        <f t="shared" si="46"/>
        <v>1487</v>
      </c>
      <c r="B1489" s="122">
        <f>IF(DAY(A1489)=DAY('F-Ahorro Futuro Genérico'!$H$11),'F-Ahorro Futuro Genérico'!$H$9,0)</f>
        <v>0</v>
      </c>
      <c r="C1489" s="122">
        <f t="shared" si="47"/>
        <v>0</v>
      </c>
      <c r="D1489" s="121">
        <f>ROUND(C1489*'FR_Mantenimiento tasas'!$C$43/360,5)</f>
        <v>0</v>
      </c>
      <c r="E1489" s="121">
        <f>ROUND(C1489*'FR_Mantenimiento tasas'!$D$43/360,5)</f>
        <v>0</v>
      </c>
    </row>
    <row r="1490" spans="1:5">
      <c r="A1490" s="123">
        <f t="shared" si="46"/>
        <v>1488</v>
      </c>
      <c r="B1490" s="122">
        <f>IF(DAY(A1490)=DAY('F-Ahorro Futuro Genérico'!$H$11),'F-Ahorro Futuro Genérico'!$H$9,0)</f>
        <v>0</v>
      </c>
      <c r="C1490" s="122">
        <f t="shared" si="47"/>
        <v>0</v>
      </c>
      <c r="D1490" s="121">
        <f>ROUND(C1490*'FR_Mantenimiento tasas'!$C$43/360,5)</f>
        <v>0</v>
      </c>
      <c r="E1490" s="121">
        <f>ROUND(C1490*'FR_Mantenimiento tasas'!$D$43/360,5)</f>
        <v>0</v>
      </c>
    </row>
    <row r="1491" spans="1:5">
      <c r="A1491" s="123">
        <f t="shared" si="46"/>
        <v>1489</v>
      </c>
      <c r="B1491" s="122">
        <f>IF(DAY(A1491)=DAY('F-Ahorro Futuro Genérico'!$H$11),'F-Ahorro Futuro Genérico'!$H$9,0)</f>
        <v>0</v>
      </c>
      <c r="C1491" s="122">
        <f t="shared" si="47"/>
        <v>0</v>
      </c>
      <c r="D1491" s="121">
        <f>ROUND(C1491*'FR_Mantenimiento tasas'!$C$43/360,5)</f>
        <v>0</v>
      </c>
      <c r="E1491" s="121">
        <f>ROUND(C1491*'FR_Mantenimiento tasas'!$D$43/360,5)</f>
        <v>0</v>
      </c>
    </row>
    <row r="1492" spans="1:5">
      <c r="A1492" s="123">
        <f t="shared" si="46"/>
        <v>1490</v>
      </c>
      <c r="B1492" s="122">
        <f>IF(DAY(A1492)=DAY('F-Ahorro Futuro Genérico'!$H$11),'F-Ahorro Futuro Genérico'!$H$9,0)</f>
        <v>0</v>
      </c>
      <c r="C1492" s="122">
        <f t="shared" si="47"/>
        <v>0</v>
      </c>
      <c r="D1492" s="121">
        <f>ROUND(C1492*'FR_Mantenimiento tasas'!$C$43/360,5)</f>
        <v>0</v>
      </c>
      <c r="E1492" s="121">
        <f>ROUND(C1492*'FR_Mantenimiento tasas'!$D$43/360,5)</f>
        <v>0</v>
      </c>
    </row>
    <row r="1493" spans="1:5">
      <c r="A1493" s="123">
        <f t="shared" si="46"/>
        <v>1491</v>
      </c>
      <c r="B1493" s="122">
        <f>IF(DAY(A1493)=DAY('F-Ahorro Futuro Genérico'!$H$11),'F-Ahorro Futuro Genérico'!$H$9,0)</f>
        <v>0</v>
      </c>
      <c r="C1493" s="122">
        <f t="shared" si="47"/>
        <v>0</v>
      </c>
      <c r="D1493" s="121">
        <f>ROUND(C1493*'FR_Mantenimiento tasas'!$C$43/360,5)</f>
        <v>0</v>
      </c>
      <c r="E1493" s="121">
        <f>ROUND(C1493*'FR_Mantenimiento tasas'!$D$43/360,5)</f>
        <v>0</v>
      </c>
    </row>
    <row r="1494" spans="1:5">
      <c r="A1494" s="123">
        <f t="shared" si="46"/>
        <v>1492</v>
      </c>
      <c r="B1494" s="122">
        <f>IF(DAY(A1494)=DAY('F-Ahorro Futuro Genérico'!$H$11),'F-Ahorro Futuro Genérico'!$H$9,0)</f>
        <v>0</v>
      </c>
      <c r="C1494" s="122">
        <f t="shared" si="47"/>
        <v>0</v>
      </c>
      <c r="D1494" s="121">
        <f>ROUND(C1494*'FR_Mantenimiento tasas'!$C$43/360,5)</f>
        <v>0</v>
      </c>
      <c r="E1494" s="121">
        <f>ROUND(C1494*'FR_Mantenimiento tasas'!$D$43/360,5)</f>
        <v>0</v>
      </c>
    </row>
    <row r="1495" spans="1:5">
      <c r="A1495" s="123">
        <f t="shared" si="46"/>
        <v>1493</v>
      </c>
      <c r="B1495" s="122">
        <f>IF(DAY(A1495)=DAY('F-Ahorro Futuro Genérico'!$H$11),'F-Ahorro Futuro Genérico'!$H$9,0)</f>
        <v>0</v>
      </c>
      <c r="C1495" s="122">
        <f t="shared" si="47"/>
        <v>0</v>
      </c>
      <c r="D1495" s="121">
        <f>ROUND(C1495*'FR_Mantenimiento tasas'!$C$43/360,5)</f>
        <v>0</v>
      </c>
      <c r="E1495" s="121">
        <f>ROUND(C1495*'FR_Mantenimiento tasas'!$D$43/360,5)</f>
        <v>0</v>
      </c>
    </row>
    <row r="1496" spans="1:5">
      <c r="A1496" s="123">
        <f t="shared" si="46"/>
        <v>1494</v>
      </c>
      <c r="B1496" s="122">
        <f>IF(DAY(A1496)=DAY('F-Ahorro Futuro Genérico'!$H$11),'F-Ahorro Futuro Genérico'!$H$9,0)</f>
        <v>0</v>
      </c>
      <c r="C1496" s="122">
        <f t="shared" si="47"/>
        <v>0</v>
      </c>
      <c r="D1496" s="121">
        <f>ROUND(C1496*'FR_Mantenimiento tasas'!$C$43/360,5)</f>
        <v>0</v>
      </c>
      <c r="E1496" s="121">
        <f>ROUND(C1496*'FR_Mantenimiento tasas'!$D$43/360,5)</f>
        <v>0</v>
      </c>
    </row>
    <row r="1497" spans="1:5">
      <c r="A1497" s="123">
        <f t="shared" si="46"/>
        <v>1495</v>
      </c>
      <c r="B1497" s="122">
        <f>IF(DAY(A1497)=DAY('F-Ahorro Futuro Genérico'!$H$11),'F-Ahorro Futuro Genérico'!$H$9,0)</f>
        <v>0</v>
      </c>
      <c r="C1497" s="122">
        <f t="shared" si="47"/>
        <v>0</v>
      </c>
      <c r="D1497" s="121">
        <f>ROUND(C1497*'FR_Mantenimiento tasas'!$C$43/360,5)</f>
        <v>0</v>
      </c>
      <c r="E1497" s="121">
        <f>ROUND(C1497*'FR_Mantenimiento tasas'!$D$43/360,5)</f>
        <v>0</v>
      </c>
    </row>
    <row r="1498" spans="1:5">
      <c r="A1498" s="123">
        <f t="shared" si="46"/>
        <v>1496</v>
      </c>
      <c r="B1498" s="122">
        <f>IF(DAY(A1498)=DAY('F-Ahorro Futuro Genérico'!$H$11),'F-Ahorro Futuro Genérico'!$H$9,0)</f>
        <v>0</v>
      </c>
      <c r="C1498" s="122">
        <f t="shared" si="47"/>
        <v>0</v>
      </c>
      <c r="D1498" s="121">
        <f>ROUND(C1498*'FR_Mantenimiento tasas'!$C$43/360,5)</f>
        <v>0</v>
      </c>
      <c r="E1498" s="121">
        <f>ROUND(C1498*'FR_Mantenimiento tasas'!$D$43/360,5)</f>
        <v>0</v>
      </c>
    </row>
    <row r="1499" spans="1:5">
      <c r="A1499" s="123">
        <f t="shared" si="46"/>
        <v>1497</v>
      </c>
      <c r="B1499" s="122">
        <f>IF(DAY(A1499)=DAY('F-Ahorro Futuro Genérico'!$H$11),'F-Ahorro Futuro Genérico'!$H$9,0)</f>
        <v>0</v>
      </c>
      <c r="C1499" s="122">
        <f t="shared" si="47"/>
        <v>0</v>
      </c>
      <c r="D1499" s="121">
        <f>ROUND(C1499*'FR_Mantenimiento tasas'!$C$43/360,5)</f>
        <v>0</v>
      </c>
      <c r="E1499" s="121">
        <f>ROUND(C1499*'FR_Mantenimiento tasas'!$D$43/360,5)</f>
        <v>0</v>
      </c>
    </row>
    <row r="1500" spans="1:5">
      <c r="A1500" s="123">
        <f t="shared" si="46"/>
        <v>1498</v>
      </c>
      <c r="B1500" s="122">
        <f>IF(DAY(A1500)=DAY('F-Ahorro Futuro Genérico'!$H$11),'F-Ahorro Futuro Genérico'!$H$9,0)</f>
        <v>0</v>
      </c>
      <c r="C1500" s="122">
        <f t="shared" si="47"/>
        <v>0</v>
      </c>
      <c r="D1500" s="121">
        <f>ROUND(C1500*'FR_Mantenimiento tasas'!$C$43/360,5)</f>
        <v>0</v>
      </c>
      <c r="E1500" s="121">
        <f>ROUND(C1500*'FR_Mantenimiento tasas'!$D$43/360,5)</f>
        <v>0</v>
      </c>
    </row>
    <row r="1501" spans="1:5">
      <c r="A1501" s="123">
        <f t="shared" si="46"/>
        <v>1499</v>
      </c>
      <c r="B1501" s="122">
        <f>IF(DAY(A1501)=DAY('F-Ahorro Futuro Genérico'!$H$11),'F-Ahorro Futuro Genérico'!$H$9,0)</f>
        <v>0</v>
      </c>
      <c r="C1501" s="122">
        <f t="shared" si="47"/>
        <v>0</v>
      </c>
      <c r="D1501" s="121">
        <f>ROUND(C1501*'FR_Mantenimiento tasas'!$C$43/360,5)</f>
        <v>0</v>
      </c>
      <c r="E1501" s="121">
        <f>ROUND(C1501*'FR_Mantenimiento tasas'!$D$43/360,5)</f>
        <v>0</v>
      </c>
    </row>
    <row r="1502" spans="1:5">
      <c r="A1502" s="123">
        <f t="shared" si="46"/>
        <v>1500</v>
      </c>
      <c r="B1502" s="122">
        <f>IF(DAY(A1502)=DAY('F-Ahorro Futuro Genérico'!$H$11),'F-Ahorro Futuro Genérico'!$H$9,0)</f>
        <v>0</v>
      </c>
      <c r="C1502" s="122">
        <f t="shared" si="47"/>
        <v>0</v>
      </c>
      <c r="D1502" s="121">
        <f>ROUND(C1502*'FR_Mantenimiento tasas'!$C$43/360,5)</f>
        <v>0</v>
      </c>
      <c r="E1502" s="121">
        <f>ROUND(C1502*'FR_Mantenimiento tasas'!$D$43/360,5)</f>
        <v>0</v>
      </c>
    </row>
    <row r="1503" spans="1:5">
      <c r="A1503" s="123">
        <f t="shared" si="46"/>
        <v>1501</v>
      </c>
      <c r="B1503" s="122">
        <f>IF(DAY(A1503)=DAY('F-Ahorro Futuro Genérico'!$H$11),'F-Ahorro Futuro Genérico'!$H$9,0)</f>
        <v>0</v>
      </c>
      <c r="C1503" s="122">
        <f t="shared" si="47"/>
        <v>0</v>
      </c>
      <c r="D1503" s="121">
        <f>ROUND(C1503*'FR_Mantenimiento tasas'!$C$43/360,5)</f>
        <v>0</v>
      </c>
      <c r="E1503" s="121">
        <f>ROUND(C1503*'FR_Mantenimiento tasas'!$D$43/360,5)</f>
        <v>0</v>
      </c>
    </row>
    <row r="1504" spans="1:5">
      <c r="A1504" s="123">
        <f t="shared" si="46"/>
        <v>1502</v>
      </c>
      <c r="B1504" s="122">
        <f>IF(DAY(A1504)=DAY('F-Ahorro Futuro Genérico'!$H$11),'F-Ahorro Futuro Genérico'!$H$9,0)</f>
        <v>0</v>
      </c>
      <c r="C1504" s="122">
        <f t="shared" si="47"/>
        <v>0</v>
      </c>
      <c r="D1504" s="121">
        <f>ROUND(C1504*'FR_Mantenimiento tasas'!$C$43/360,5)</f>
        <v>0</v>
      </c>
      <c r="E1504" s="121">
        <f>ROUND(C1504*'FR_Mantenimiento tasas'!$D$43/360,5)</f>
        <v>0</v>
      </c>
    </row>
    <row r="1505" spans="1:5">
      <c r="A1505" s="123">
        <f t="shared" si="46"/>
        <v>1503</v>
      </c>
      <c r="B1505" s="122">
        <f>IF(DAY(A1505)=DAY('F-Ahorro Futuro Genérico'!$H$11),'F-Ahorro Futuro Genérico'!$H$9,0)</f>
        <v>0</v>
      </c>
      <c r="C1505" s="122">
        <f t="shared" si="47"/>
        <v>0</v>
      </c>
      <c r="D1505" s="121">
        <f>ROUND(C1505*'FR_Mantenimiento tasas'!$C$43/360,5)</f>
        <v>0</v>
      </c>
      <c r="E1505" s="121">
        <f>ROUND(C1505*'FR_Mantenimiento tasas'!$D$43/360,5)</f>
        <v>0</v>
      </c>
    </row>
    <row r="1506" spans="1:5">
      <c r="A1506" s="123">
        <f t="shared" si="46"/>
        <v>1504</v>
      </c>
      <c r="B1506" s="122">
        <f>IF(DAY(A1506)=DAY('F-Ahorro Futuro Genérico'!$H$11),'F-Ahorro Futuro Genérico'!$H$9,0)</f>
        <v>0</v>
      </c>
      <c r="C1506" s="122">
        <f t="shared" si="47"/>
        <v>0</v>
      </c>
      <c r="D1506" s="121">
        <f>ROUND(C1506*'FR_Mantenimiento tasas'!$C$43/360,5)</f>
        <v>0</v>
      </c>
      <c r="E1506" s="121">
        <f>ROUND(C1506*'FR_Mantenimiento tasas'!$D$43/360,5)</f>
        <v>0</v>
      </c>
    </row>
    <row r="1507" spans="1:5">
      <c r="A1507" s="123">
        <f t="shared" si="46"/>
        <v>1505</v>
      </c>
      <c r="B1507" s="122">
        <f>IF(DAY(A1507)=DAY('F-Ahorro Futuro Genérico'!$H$11),'F-Ahorro Futuro Genérico'!$H$9,0)</f>
        <v>0</v>
      </c>
      <c r="C1507" s="122">
        <f t="shared" si="47"/>
        <v>0</v>
      </c>
      <c r="D1507" s="121">
        <f>ROUND(C1507*'FR_Mantenimiento tasas'!$C$43/360,5)</f>
        <v>0</v>
      </c>
      <c r="E1507" s="121">
        <f>ROUND(C1507*'FR_Mantenimiento tasas'!$D$43/360,5)</f>
        <v>0</v>
      </c>
    </row>
    <row r="1508" spans="1:5">
      <c r="A1508" s="123">
        <f t="shared" si="46"/>
        <v>1506</v>
      </c>
      <c r="B1508" s="122">
        <f>IF(DAY(A1508)=DAY('F-Ahorro Futuro Genérico'!$H$11),'F-Ahorro Futuro Genérico'!$H$9,0)</f>
        <v>0</v>
      </c>
      <c r="C1508" s="122">
        <f t="shared" si="47"/>
        <v>0</v>
      </c>
      <c r="D1508" s="121">
        <f>ROUND(C1508*'FR_Mantenimiento tasas'!$C$43/360,5)</f>
        <v>0</v>
      </c>
      <c r="E1508" s="121">
        <f>ROUND(C1508*'FR_Mantenimiento tasas'!$D$43/360,5)</f>
        <v>0</v>
      </c>
    </row>
    <row r="1509" spans="1:5">
      <c r="A1509" s="123">
        <f t="shared" si="46"/>
        <v>1507</v>
      </c>
      <c r="B1509" s="122">
        <f>IF(DAY(A1509)=DAY('F-Ahorro Futuro Genérico'!$H$11),'F-Ahorro Futuro Genérico'!$H$9,0)</f>
        <v>0</v>
      </c>
      <c r="C1509" s="122">
        <f t="shared" si="47"/>
        <v>0</v>
      </c>
      <c r="D1509" s="121">
        <f>ROUND(C1509*'FR_Mantenimiento tasas'!$C$43/360,5)</f>
        <v>0</v>
      </c>
      <c r="E1509" s="121">
        <f>ROUND(C1509*'FR_Mantenimiento tasas'!$D$43/360,5)</f>
        <v>0</v>
      </c>
    </row>
    <row r="1510" spans="1:5">
      <c r="A1510" s="123">
        <f t="shared" si="46"/>
        <v>1508</v>
      </c>
      <c r="B1510" s="122">
        <f>IF(DAY(A1510)=DAY('F-Ahorro Futuro Genérico'!$H$11),'F-Ahorro Futuro Genérico'!$H$9,0)</f>
        <v>0</v>
      </c>
      <c r="C1510" s="122">
        <f t="shared" si="47"/>
        <v>0</v>
      </c>
      <c r="D1510" s="121">
        <f>ROUND(C1510*'FR_Mantenimiento tasas'!$C$43/360,5)</f>
        <v>0</v>
      </c>
      <c r="E1510" s="121">
        <f>ROUND(C1510*'FR_Mantenimiento tasas'!$D$43/360,5)</f>
        <v>0</v>
      </c>
    </row>
    <row r="1511" spans="1:5">
      <c r="A1511" s="123">
        <f t="shared" si="46"/>
        <v>1509</v>
      </c>
      <c r="B1511" s="122">
        <f>IF(DAY(A1511)=DAY('F-Ahorro Futuro Genérico'!$H$11),'F-Ahorro Futuro Genérico'!$H$9,0)</f>
        <v>0</v>
      </c>
      <c r="C1511" s="122">
        <f t="shared" si="47"/>
        <v>0</v>
      </c>
      <c r="D1511" s="121">
        <f>ROUND(C1511*'FR_Mantenimiento tasas'!$C$43/360,5)</f>
        <v>0</v>
      </c>
      <c r="E1511" s="121">
        <f>ROUND(C1511*'FR_Mantenimiento tasas'!$D$43/360,5)</f>
        <v>0</v>
      </c>
    </row>
    <row r="1512" spans="1:5">
      <c r="A1512" s="123">
        <f t="shared" si="46"/>
        <v>1510</v>
      </c>
      <c r="B1512" s="122">
        <f>IF(DAY(A1512)=DAY('F-Ahorro Futuro Genérico'!$H$11),'F-Ahorro Futuro Genérico'!$H$9,0)</f>
        <v>0</v>
      </c>
      <c r="C1512" s="122">
        <f t="shared" si="47"/>
        <v>0</v>
      </c>
      <c r="D1512" s="121">
        <f>ROUND(C1512*'FR_Mantenimiento tasas'!$C$43/360,5)</f>
        <v>0</v>
      </c>
      <c r="E1512" s="121">
        <f>ROUND(C1512*'FR_Mantenimiento tasas'!$D$43/360,5)</f>
        <v>0</v>
      </c>
    </row>
    <row r="1513" spans="1:5">
      <c r="A1513" s="123">
        <f t="shared" si="46"/>
        <v>1511</v>
      </c>
      <c r="B1513" s="122">
        <f>IF(DAY(A1513)=DAY('F-Ahorro Futuro Genérico'!$H$11),'F-Ahorro Futuro Genérico'!$H$9,0)</f>
        <v>0</v>
      </c>
      <c r="C1513" s="122">
        <f t="shared" si="47"/>
        <v>0</v>
      </c>
      <c r="D1513" s="121">
        <f>ROUND(C1513*'FR_Mantenimiento tasas'!$C$43/360,5)</f>
        <v>0</v>
      </c>
      <c r="E1513" s="121">
        <f>ROUND(C1513*'FR_Mantenimiento tasas'!$D$43/360,5)</f>
        <v>0</v>
      </c>
    </row>
    <row r="1514" spans="1:5">
      <c r="A1514" s="123">
        <f t="shared" si="46"/>
        <v>1512</v>
      </c>
      <c r="B1514" s="122">
        <f>IF(DAY(A1514)=DAY('F-Ahorro Futuro Genérico'!$H$11),'F-Ahorro Futuro Genérico'!$H$9,0)</f>
        <v>0</v>
      </c>
      <c r="C1514" s="122">
        <f t="shared" si="47"/>
        <v>0</v>
      </c>
      <c r="D1514" s="121">
        <f>ROUND(C1514*'FR_Mantenimiento tasas'!$C$43/360,5)</f>
        <v>0</v>
      </c>
      <c r="E1514" s="121">
        <f>ROUND(C1514*'FR_Mantenimiento tasas'!$D$43/360,5)</f>
        <v>0</v>
      </c>
    </row>
    <row r="1515" spans="1:5">
      <c r="A1515" s="123">
        <f t="shared" si="46"/>
        <v>1513</v>
      </c>
      <c r="B1515" s="122">
        <f>IF(DAY(A1515)=DAY('F-Ahorro Futuro Genérico'!$H$11),'F-Ahorro Futuro Genérico'!$H$9,0)</f>
        <v>0</v>
      </c>
      <c r="C1515" s="122">
        <f t="shared" si="47"/>
        <v>0</v>
      </c>
      <c r="D1515" s="121">
        <f>ROUND(C1515*'FR_Mantenimiento tasas'!$C$43/360,5)</f>
        <v>0</v>
      </c>
      <c r="E1515" s="121">
        <f>ROUND(C1515*'FR_Mantenimiento tasas'!$D$43/360,5)</f>
        <v>0</v>
      </c>
    </row>
    <row r="1516" spans="1:5">
      <c r="A1516" s="123">
        <f t="shared" si="46"/>
        <v>1514</v>
      </c>
      <c r="B1516" s="122">
        <f>IF(DAY(A1516)=DAY('F-Ahorro Futuro Genérico'!$H$11),'F-Ahorro Futuro Genérico'!$H$9,0)</f>
        <v>0</v>
      </c>
      <c r="C1516" s="122">
        <f t="shared" si="47"/>
        <v>0</v>
      </c>
      <c r="D1516" s="121">
        <f>ROUND(C1516*'FR_Mantenimiento tasas'!$C$43/360,5)</f>
        <v>0</v>
      </c>
      <c r="E1516" s="121">
        <f>ROUND(C1516*'FR_Mantenimiento tasas'!$D$43/360,5)</f>
        <v>0</v>
      </c>
    </row>
    <row r="1517" spans="1:5">
      <c r="A1517" s="123">
        <f t="shared" si="46"/>
        <v>1515</v>
      </c>
      <c r="B1517" s="122">
        <f>IF(DAY(A1517)=DAY('F-Ahorro Futuro Genérico'!$H$11),'F-Ahorro Futuro Genérico'!$H$9,0)</f>
        <v>0</v>
      </c>
      <c r="C1517" s="122">
        <f t="shared" si="47"/>
        <v>0</v>
      </c>
      <c r="D1517" s="121">
        <f>ROUND(C1517*'FR_Mantenimiento tasas'!$C$43/360,5)</f>
        <v>0</v>
      </c>
      <c r="E1517" s="121">
        <f>ROUND(C1517*'FR_Mantenimiento tasas'!$D$43/360,5)</f>
        <v>0</v>
      </c>
    </row>
    <row r="1518" spans="1:5">
      <c r="A1518" s="123">
        <f t="shared" si="46"/>
        <v>1516</v>
      </c>
      <c r="B1518" s="122">
        <f>IF(DAY(A1518)=DAY('F-Ahorro Futuro Genérico'!$H$11),'F-Ahorro Futuro Genérico'!$H$9,0)</f>
        <v>0</v>
      </c>
      <c r="C1518" s="122">
        <f t="shared" si="47"/>
        <v>0</v>
      </c>
      <c r="D1518" s="121">
        <f>ROUND(C1518*'FR_Mantenimiento tasas'!$C$43/360,5)</f>
        <v>0</v>
      </c>
      <c r="E1518" s="121">
        <f>ROUND(C1518*'FR_Mantenimiento tasas'!$D$43/360,5)</f>
        <v>0</v>
      </c>
    </row>
    <row r="1519" spans="1:5">
      <c r="A1519" s="123">
        <f t="shared" si="46"/>
        <v>1517</v>
      </c>
      <c r="B1519" s="122">
        <f>IF(DAY(A1519)=DAY('F-Ahorro Futuro Genérico'!$H$11),'F-Ahorro Futuro Genérico'!$H$9,0)</f>
        <v>0</v>
      </c>
      <c r="C1519" s="122">
        <f t="shared" si="47"/>
        <v>0</v>
      </c>
      <c r="D1519" s="121">
        <f>ROUND(C1519*'FR_Mantenimiento tasas'!$C$43/360,5)</f>
        <v>0</v>
      </c>
      <c r="E1519" s="121">
        <f>ROUND(C1519*'FR_Mantenimiento tasas'!$D$43/360,5)</f>
        <v>0</v>
      </c>
    </row>
    <row r="1520" spans="1:5">
      <c r="A1520" s="123">
        <f t="shared" si="46"/>
        <v>1518</v>
      </c>
      <c r="B1520" s="122">
        <f>IF(DAY(A1520)=DAY('F-Ahorro Futuro Genérico'!$H$11),'F-Ahorro Futuro Genérico'!$H$9,0)</f>
        <v>0</v>
      </c>
      <c r="C1520" s="122">
        <f t="shared" si="47"/>
        <v>0</v>
      </c>
      <c r="D1520" s="121">
        <f>ROUND(C1520*'FR_Mantenimiento tasas'!$C$43/360,5)</f>
        <v>0</v>
      </c>
      <c r="E1520" s="121">
        <f>ROUND(C1520*'FR_Mantenimiento tasas'!$D$43/360,5)</f>
        <v>0</v>
      </c>
    </row>
    <row r="1521" spans="1:5">
      <c r="A1521" s="123">
        <f t="shared" si="46"/>
        <v>1519</v>
      </c>
      <c r="B1521" s="122">
        <f>IF(DAY(A1521)=DAY('F-Ahorro Futuro Genérico'!$H$11),'F-Ahorro Futuro Genérico'!$H$9,0)</f>
        <v>0</v>
      </c>
      <c r="C1521" s="122">
        <f t="shared" si="47"/>
        <v>0</v>
      </c>
      <c r="D1521" s="121">
        <f>ROUND(C1521*'FR_Mantenimiento tasas'!$C$43/360,5)</f>
        <v>0</v>
      </c>
      <c r="E1521" s="121">
        <f>ROUND(C1521*'FR_Mantenimiento tasas'!$D$43/360,5)</f>
        <v>0</v>
      </c>
    </row>
    <row r="1522" spans="1:5">
      <c r="A1522" s="123">
        <f t="shared" si="46"/>
        <v>1520</v>
      </c>
      <c r="B1522" s="122">
        <f>IF(DAY(A1522)=DAY('F-Ahorro Futuro Genérico'!$H$11),'F-Ahorro Futuro Genérico'!$H$9,0)</f>
        <v>0</v>
      </c>
      <c r="C1522" s="122">
        <f t="shared" si="47"/>
        <v>0</v>
      </c>
      <c r="D1522" s="121">
        <f>ROUND(C1522*'FR_Mantenimiento tasas'!$C$43/360,5)</f>
        <v>0</v>
      </c>
      <c r="E1522" s="121">
        <f>ROUND(C1522*'FR_Mantenimiento tasas'!$D$43/360,5)</f>
        <v>0</v>
      </c>
    </row>
    <row r="1523" spans="1:5">
      <c r="A1523" s="123">
        <f t="shared" si="46"/>
        <v>1521</v>
      </c>
      <c r="B1523" s="122">
        <f>IF(DAY(A1523)=DAY('F-Ahorro Futuro Genérico'!$H$11),'F-Ahorro Futuro Genérico'!$H$9,0)</f>
        <v>0</v>
      </c>
      <c r="C1523" s="122">
        <f t="shared" si="47"/>
        <v>0</v>
      </c>
      <c r="D1523" s="121">
        <f>ROUND(C1523*'FR_Mantenimiento tasas'!$C$43/360,5)</f>
        <v>0</v>
      </c>
      <c r="E1523" s="121">
        <f>ROUND(C1523*'FR_Mantenimiento tasas'!$D$43/360,5)</f>
        <v>0</v>
      </c>
    </row>
    <row r="1524" spans="1:5">
      <c r="A1524" s="123">
        <f t="shared" si="46"/>
        <v>1522</v>
      </c>
      <c r="B1524" s="122">
        <f>IF(DAY(A1524)=DAY('F-Ahorro Futuro Genérico'!$H$11),'F-Ahorro Futuro Genérico'!$H$9,0)</f>
        <v>0</v>
      </c>
      <c r="C1524" s="122">
        <f t="shared" si="47"/>
        <v>0</v>
      </c>
      <c r="D1524" s="121">
        <f>ROUND(C1524*'FR_Mantenimiento tasas'!$C$43/360,5)</f>
        <v>0</v>
      </c>
      <c r="E1524" s="121">
        <f>ROUND(C1524*'FR_Mantenimiento tasas'!$D$43/360,5)</f>
        <v>0</v>
      </c>
    </row>
    <row r="1525" spans="1:5">
      <c r="A1525" s="123">
        <f t="shared" si="46"/>
        <v>1523</v>
      </c>
      <c r="B1525" s="122">
        <f>IF(DAY(A1525)=DAY('F-Ahorro Futuro Genérico'!$H$11),'F-Ahorro Futuro Genérico'!$H$9,0)</f>
        <v>0</v>
      </c>
      <c r="C1525" s="122">
        <f t="shared" si="47"/>
        <v>0</v>
      </c>
      <c r="D1525" s="121">
        <f>ROUND(C1525*'FR_Mantenimiento tasas'!$C$43/360,5)</f>
        <v>0</v>
      </c>
      <c r="E1525" s="121">
        <f>ROUND(C1525*'FR_Mantenimiento tasas'!$D$43/360,5)</f>
        <v>0</v>
      </c>
    </row>
    <row r="1526" spans="1:5">
      <c r="A1526" s="123">
        <f t="shared" si="46"/>
        <v>1524</v>
      </c>
      <c r="B1526" s="122">
        <f>IF(DAY(A1526)=DAY('F-Ahorro Futuro Genérico'!$H$11),'F-Ahorro Futuro Genérico'!$H$9,0)</f>
        <v>0</v>
      </c>
      <c r="C1526" s="122">
        <f t="shared" si="47"/>
        <v>0</v>
      </c>
      <c r="D1526" s="121">
        <f>ROUND(C1526*'FR_Mantenimiento tasas'!$C$43/360,5)</f>
        <v>0</v>
      </c>
      <c r="E1526" s="121">
        <f>ROUND(C1526*'FR_Mantenimiento tasas'!$D$43/360,5)</f>
        <v>0</v>
      </c>
    </row>
    <row r="1527" spans="1:5">
      <c r="A1527" s="123">
        <f t="shared" si="46"/>
        <v>1525</v>
      </c>
      <c r="B1527" s="122">
        <f>IF(DAY(A1527)=DAY('F-Ahorro Futuro Genérico'!$H$11),'F-Ahorro Futuro Genérico'!$H$9,0)</f>
        <v>0</v>
      </c>
      <c r="C1527" s="122">
        <f t="shared" si="47"/>
        <v>0</v>
      </c>
      <c r="D1527" s="121">
        <f>ROUND(C1527*'FR_Mantenimiento tasas'!$C$43/360,5)</f>
        <v>0</v>
      </c>
      <c r="E1527" s="121">
        <f>ROUND(C1527*'FR_Mantenimiento tasas'!$D$43/360,5)</f>
        <v>0</v>
      </c>
    </row>
    <row r="1528" spans="1:5">
      <c r="A1528" s="123">
        <f t="shared" si="46"/>
        <v>1526</v>
      </c>
      <c r="B1528" s="122">
        <f>IF(DAY(A1528)=DAY('F-Ahorro Futuro Genérico'!$H$11),'F-Ahorro Futuro Genérico'!$H$9,0)</f>
        <v>0</v>
      </c>
      <c r="C1528" s="122">
        <f t="shared" si="47"/>
        <v>0</v>
      </c>
      <c r="D1528" s="121">
        <f>ROUND(C1528*'FR_Mantenimiento tasas'!$C$43/360,5)</f>
        <v>0</v>
      </c>
      <c r="E1528" s="121">
        <f>ROUND(C1528*'FR_Mantenimiento tasas'!$D$43/360,5)</f>
        <v>0</v>
      </c>
    </row>
    <row r="1529" spans="1:5">
      <c r="A1529" s="123">
        <f t="shared" si="46"/>
        <v>1527</v>
      </c>
      <c r="B1529" s="122">
        <f>IF(DAY(A1529)=DAY('F-Ahorro Futuro Genérico'!$H$11),'F-Ahorro Futuro Genérico'!$H$9,0)</f>
        <v>0</v>
      </c>
      <c r="C1529" s="122">
        <f t="shared" si="47"/>
        <v>0</v>
      </c>
      <c r="D1529" s="121">
        <f>ROUND(C1529*'FR_Mantenimiento tasas'!$C$43/360,5)</f>
        <v>0</v>
      </c>
      <c r="E1529" s="121">
        <f>ROUND(C1529*'FR_Mantenimiento tasas'!$D$43/360,5)</f>
        <v>0</v>
      </c>
    </row>
    <row r="1530" spans="1:5">
      <c r="A1530" s="123">
        <f t="shared" si="46"/>
        <v>1528</v>
      </c>
      <c r="B1530" s="122">
        <f>IF(DAY(A1530)=DAY('F-Ahorro Futuro Genérico'!$H$11),'F-Ahorro Futuro Genérico'!$H$9,0)</f>
        <v>0</v>
      </c>
      <c r="C1530" s="122">
        <f t="shared" si="47"/>
        <v>0</v>
      </c>
      <c r="D1530" s="121">
        <f>ROUND(C1530*'FR_Mantenimiento tasas'!$C$43/360,5)</f>
        <v>0</v>
      </c>
      <c r="E1530" s="121">
        <f>ROUND(C1530*'FR_Mantenimiento tasas'!$D$43/360,5)</f>
        <v>0</v>
      </c>
    </row>
    <row r="1531" spans="1:5">
      <c r="A1531" s="123">
        <f t="shared" si="46"/>
        <v>1529</v>
      </c>
      <c r="B1531" s="122">
        <f>IF(DAY(A1531)=DAY('F-Ahorro Futuro Genérico'!$H$11),'F-Ahorro Futuro Genérico'!$H$9,0)</f>
        <v>0</v>
      </c>
      <c r="C1531" s="122">
        <f t="shared" si="47"/>
        <v>0</v>
      </c>
      <c r="D1531" s="121">
        <f>ROUND(C1531*'FR_Mantenimiento tasas'!$C$43/360,5)</f>
        <v>0</v>
      </c>
      <c r="E1531" s="121">
        <f>ROUND(C1531*'FR_Mantenimiento tasas'!$D$43/360,5)</f>
        <v>0</v>
      </c>
    </row>
    <row r="1532" spans="1:5">
      <c r="A1532" s="123">
        <f t="shared" si="46"/>
        <v>1530</v>
      </c>
      <c r="B1532" s="122">
        <f>IF(DAY(A1532)=DAY('F-Ahorro Futuro Genérico'!$H$11),'F-Ahorro Futuro Genérico'!$H$9,0)</f>
        <v>0</v>
      </c>
      <c r="C1532" s="122">
        <f t="shared" si="47"/>
        <v>0</v>
      </c>
      <c r="D1532" s="121">
        <f>ROUND(C1532*'FR_Mantenimiento tasas'!$C$43/360,5)</f>
        <v>0</v>
      </c>
      <c r="E1532" s="121">
        <f>ROUND(C1532*'FR_Mantenimiento tasas'!$D$43/360,5)</f>
        <v>0</v>
      </c>
    </row>
    <row r="1533" spans="1:5">
      <c r="A1533" s="123">
        <f t="shared" si="46"/>
        <v>1531</v>
      </c>
      <c r="B1533" s="122">
        <f>IF(DAY(A1533)=DAY('F-Ahorro Futuro Genérico'!$H$11),'F-Ahorro Futuro Genérico'!$H$9,0)</f>
        <v>0</v>
      </c>
      <c r="C1533" s="122">
        <f t="shared" si="47"/>
        <v>0</v>
      </c>
      <c r="D1533" s="121">
        <f>ROUND(C1533*'FR_Mantenimiento tasas'!$C$43/360,5)</f>
        <v>0</v>
      </c>
      <c r="E1533" s="121">
        <f>ROUND(C1533*'FR_Mantenimiento tasas'!$D$43/360,5)</f>
        <v>0</v>
      </c>
    </row>
    <row r="1534" spans="1:5">
      <c r="A1534" s="123">
        <f t="shared" si="46"/>
        <v>1532</v>
      </c>
      <c r="B1534" s="122">
        <f>IF(DAY(A1534)=DAY('F-Ahorro Futuro Genérico'!$H$11),'F-Ahorro Futuro Genérico'!$H$9,0)</f>
        <v>0</v>
      </c>
      <c r="C1534" s="122">
        <f t="shared" si="47"/>
        <v>0</v>
      </c>
      <c r="D1534" s="121">
        <f>ROUND(C1534*'FR_Mantenimiento tasas'!$C$43/360,5)</f>
        <v>0</v>
      </c>
      <c r="E1534" s="121">
        <f>ROUND(C1534*'FR_Mantenimiento tasas'!$D$43/360,5)</f>
        <v>0</v>
      </c>
    </row>
    <row r="1535" spans="1:5">
      <c r="A1535" s="123">
        <f t="shared" si="46"/>
        <v>1533</v>
      </c>
      <c r="B1535" s="122">
        <f>IF(DAY(A1535)=DAY('F-Ahorro Futuro Genérico'!$H$11),'F-Ahorro Futuro Genérico'!$H$9,0)</f>
        <v>0</v>
      </c>
      <c r="C1535" s="122">
        <f t="shared" si="47"/>
        <v>0</v>
      </c>
      <c r="D1535" s="121">
        <f>ROUND(C1535*'FR_Mantenimiento tasas'!$C$43/360,5)</f>
        <v>0</v>
      </c>
      <c r="E1535" s="121">
        <f>ROUND(C1535*'FR_Mantenimiento tasas'!$D$43/360,5)</f>
        <v>0</v>
      </c>
    </row>
    <row r="1536" spans="1:5">
      <c r="A1536" s="123">
        <f t="shared" si="46"/>
        <v>1534</v>
      </c>
      <c r="B1536" s="122">
        <f>IF(DAY(A1536)=DAY('F-Ahorro Futuro Genérico'!$H$11),'F-Ahorro Futuro Genérico'!$H$9,0)</f>
        <v>0</v>
      </c>
      <c r="C1536" s="122">
        <f t="shared" si="47"/>
        <v>0</v>
      </c>
      <c r="D1536" s="121">
        <f>ROUND(C1536*'FR_Mantenimiento tasas'!$C$43/360,5)</f>
        <v>0</v>
      </c>
      <c r="E1536" s="121">
        <f>ROUND(C1536*'FR_Mantenimiento tasas'!$D$43/360,5)</f>
        <v>0</v>
      </c>
    </row>
    <row r="1537" spans="1:5">
      <c r="A1537" s="123">
        <f t="shared" si="46"/>
        <v>1535</v>
      </c>
      <c r="B1537" s="122">
        <f>IF(DAY(A1537)=DAY('F-Ahorro Futuro Genérico'!$H$11),'F-Ahorro Futuro Genérico'!$H$9,0)</f>
        <v>0</v>
      </c>
      <c r="C1537" s="122">
        <f t="shared" si="47"/>
        <v>0</v>
      </c>
      <c r="D1537" s="121">
        <f>ROUND(C1537*'FR_Mantenimiento tasas'!$C$43/360,5)</f>
        <v>0</v>
      </c>
      <c r="E1537" s="121">
        <f>ROUND(C1537*'FR_Mantenimiento tasas'!$D$43/360,5)</f>
        <v>0</v>
      </c>
    </row>
    <row r="1538" spans="1:5">
      <c r="A1538" s="123">
        <f t="shared" si="46"/>
        <v>1536</v>
      </c>
      <c r="B1538" s="122">
        <f>IF(DAY(A1538)=DAY('F-Ahorro Futuro Genérico'!$H$11),'F-Ahorro Futuro Genérico'!$H$9,0)</f>
        <v>0</v>
      </c>
      <c r="C1538" s="122">
        <f t="shared" si="47"/>
        <v>0</v>
      </c>
      <c r="D1538" s="121">
        <f>ROUND(C1538*'FR_Mantenimiento tasas'!$C$43/360,5)</f>
        <v>0</v>
      </c>
      <c r="E1538" s="121">
        <f>ROUND(C1538*'FR_Mantenimiento tasas'!$D$43/360,5)</f>
        <v>0</v>
      </c>
    </row>
    <row r="1539" spans="1:5">
      <c r="A1539" s="123">
        <f t="shared" si="46"/>
        <v>1537</v>
      </c>
      <c r="B1539" s="122">
        <f>IF(DAY(A1539)=DAY('F-Ahorro Futuro Genérico'!$H$11),'F-Ahorro Futuro Genérico'!$H$9,0)</f>
        <v>0</v>
      </c>
      <c r="C1539" s="122">
        <f t="shared" si="47"/>
        <v>0</v>
      </c>
      <c r="D1539" s="121">
        <f>ROUND(C1539*'FR_Mantenimiento tasas'!$C$43/360,5)</f>
        <v>0</v>
      </c>
      <c r="E1539" s="121">
        <f>ROUND(C1539*'FR_Mantenimiento tasas'!$D$43/360,5)</f>
        <v>0</v>
      </c>
    </row>
    <row r="1540" spans="1:5">
      <c r="A1540" s="123">
        <f t="shared" ref="A1540:A1603" si="48">+A1539+1</f>
        <v>1538</v>
      </c>
      <c r="B1540" s="122">
        <f>IF(DAY(A1540)=DAY('F-Ahorro Futuro Genérico'!$H$11),'F-Ahorro Futuro Genérico'!$H$9,0)</f>
        <v>0</v>
      </c>
      <c r="C1540" s="122">
        <f t="shared" ref="C1540:C1603" si="49">+B1540+C1539+D1539</f>
        <v>0</v>
      </c>
      <c r="D1540" s="121">
        <f>ROUND(C1540*'FR_Mantenimiento tasas'!$C$43/360,5)</f>
        <v>0</v>
      </c>
      <c r="E1540" s="121">
        <f>ROUND(C1540*'FR_Mantenimiento tasas'!$D$43/360,5)</f>
        <v>0</v>
      </c>
    </row>
    <row r="1541" spans="1:5">
      <c r="A1541" s="123">
        <f t="shared" si="48"/>
        <v>1539</v>
      </c>
      <c r="B1541" s="122">
        <f>IF(DAY(A1541)=DAY('F-Ahorro Futuro Genérico'!$H$11),'F-Ahorro Futuro Genérico'!$H$9,0)</f>
        <v>0</v>
      </c>
      <c r="C1541" s="122">
        <f t="shared" si="49"/>
        <v>0</v>
      </c>
      <c r="D1541" s="121">
        <f>ROUND(C1541*'FR_Mantenimiento tasas'!$C$43/360,5)</f>
        <v>0</v>
      </c>
      <c r="E1541" s="121">
        <f>ROUND(C1541*'FR_Mantenimiento tasas'!$D$43/360,5)</f>
        <v>0</v>
      </c>
    </row>
    <row r="1542" spans="1:5">
      <c r="A1542" s="123">
        <f t="shared" si="48"/>
        <v>1540</v>
      </c>
      <c r="B1542" s="122">
        <f>IF(DAY(A1542)=DAY('F-Ahorro Futuro Genérico'!$H$11),'F-Ahorro Futuro Genérico'!$H$9,0)</f>
        <v>0</v>
      </c>
      <c r="C1542" s="122">
        <f t="shared" si="49"/>
        <v>0</v>
      </c>
      <c r="D1542" s="121">
        <f>ROUND(C1542*'FR_Mantenimiento tasas'!$C$43/360,5)</f>
        <v>0</v>
      </c>
      <c r="E1542" s="121">
        <f>ROUND(C1542*'FR_Mantenimiento tasas'!$D$43/360,5)</f>
        <v>0</v>
      </c>
    </row>
    <row r="1543" spans="1:5">
      <c r="A1543" s="123">
        <f t="shared" si="48"/>
        <v>1541</v>
      </c>
      <c r="B1543" s="122">
        <f>IF(DAY(A1543)=DAY('F-Ahorro Futuro Genérico'!$H$11),'F-Ahorro Futuro Genérico'!$H$9,0)</f>
        <v>0</v>
      </c>
      <c r="C1543" s="122">
        <f t="shared" si="49"/>
        <v>0</v>
      </c>
      <c r="D1543" s="121">
        <f>ROUND(C1543*'FR_Mantenimiento tasas'!$C$43/360,5)</f>
        <v>0</v>
      </c>
      <c r="E1543" s="121">
        <f>ROUND(C1543*'FR_Mantenimiento tasas'!$D$43/360,5)</f>
        <v>0</v>
      </c>
    </row>
    <row r="1544" spans="1:5">
      <c r="A1544" s="123">
        <f t="shared" si="48"/>
        <v>1542</v>
      </c>
      <c r="B1544" s="122">
        <f>IF(DAY(A1544)=DAY('F-Ahorro Futuro Genérico'!$H$11),'F-Ahorro Futuro Genérico'!$H$9,0)</f>
        <v>0</v>
      </c>
      <c r="C1544" s="122">
        <f t="shared" si="49"/>
        <v>0</v>
      </c>
      <c r="D1544" s="121">
        <f>ROUND(C1544*'FR_Mantenimiento tasas'!$C$43/360,5)</f>
        <v>0</v>
      </c>
      <c r="E1544" s="121">
        <f>ROUND(C1544*'FR_Mantenimiento tasas'!$D$43/360,5)</f>
        <v>0</v>
      </c>
    </row>
    <row r="1545" spans="1:5">
      <c r="A1545" s="123">
        <f t="shared" si="48"/>
        <v>1543</v>
      </c>
      <c r="B1545" s="122">
        <f>IF(DAY(A1545)=DAY('F-Ahorro Futuro Genérico'!$H$11),'F-Ahorro Futuro Genérico'!$H$9,0)</f>
        <v>0</v>
      </c>
      <c r="C1545" s="122">
        <f t="shared" si="49"/>
        <v>0</v>
      </c>
      <c r="D1545" s="121">
        <f>ROUND(C1545*'FR_Mantenimiento tasas'!$C$43/360,5)</f>
        <v>0</v>
      </c>
      <c r="E1545" s="121">
        <f>ROUND(C1545*'FR_Mantenimiento tasas'!$D$43/360,5)</f>
        <v>0</v>
      </c>
    </row>
    <row r="1546" spans="1:5">
      <c r="A1546" s="123">
        <f t="shared" si="48"/>
        <v>1544</v>
      </c>
      <c r="B1546" s="122">
        <f>IF(DAY(A1546)=DAY('F-Ahorro Futuro Genérico'!$H$11),'F-Ahorro Futuro Genérico'!$H$9,0)</f>
        <v>0</v>
      </c>
      <c r="C1546" s="122">
        <f t="shared" si="49"/>
        <v>0</v>
      </c>
      <c r="D1546" s="121">
        <f>ROUND(C1546*'FR_Mantenimiento tasas'!$C$43/360,5)</f>
        <v>0</v>
      </c>
      <c r="E1546" s="121">
        <f>ROUND(C1546*'FR_Mantenimiento tasas'!$D$43/360,5)</f>
        <v>0</v>
      </c>
    </row>
    <row r="1547" spans="1:5">
      <c r="A1547" s="123">
        <f t="shared" si="48"/>
        <v>1545</v>
      </c>
      <c r="B1547" s="122">
        <f>IF(DAY(A1547)=DAY('F-Ahorro Futuro Genérico'!$H$11),'F-Ahorro Futuro Genérico'!$H$9,0)</f>
        <v>0</v>
      </c>
      <c r="C1547" s="122">
        <f t="shared" si="49"/>
        <v>0</v>
      </c>
      <c r="D1547" s="121">
        <f>ROUND(C1547*'FR_Mantenimiento tasas'!$C$43/360,5)</f>
        <v>0</v>
      </c>
      <c r="E1547" s="121">
        <f>ROUND(C1547*'FR_Mantenimiento tasas'!$D$43/360,5)</f>
        <v>0</v>
      </c>
    </row>
    <row r="1548" spans="1:5">
      <c r="A1548" s="123">
        <f t="shared" si="48"/>
        <v>1546</v>
      </c>
      <c r="B1548" s="122">
        <f>IF(DAY(A1548)=DAY('F-Ahorro Futuro Genérico'!$H$11),'F-Ahorro Futuro Genérico'!$H$9,0)</f>
        <v>0</v>
      </c>
      <c r="C1548" s="122">
        <f t="shared" si="49"/>
        <v>0</v>
      </c>
      <c r="D1548" s="121">
        <f>ROUND(C1548*'FR_Mantenimiento tasas'!$C$43/360,5)</f>
        <v>0</v>
      </c>
      <c r="E1548" s="121">
        <f>ROUND(C1548*'FR_Mantenimiento tasas'!$D$43/360,5)</f>
        <v>0</v>
      </c>
    </row>
    <row r="1549" spans="1:5">
      <c r="A1549" s="123">
        <f t="shared" si="48"/>
        <v>1547</v>
      </c>
      <c r="B1549" s="122">
        <f>IF(DAY(A1549)=DAY('F-Ahorro Futuro Genérico'!$H$11),'F-Ahorro Futuro Genérico'!$H$9,0)</f>
        <v>0</v>
      </c>
      <c r="C1549" s="122">
        <f t="shared" si="49"/>
        <v>0</v>
      </c>
      <c r="D1549" s="121">
        <f>ROUND(C1549*'FR_Mantenimiento tasas'!$C$43/360,5)</f>
        <v>0</v>
      </c>
      <c r="E1549" s="121">
        <f>ROUND(C1549*'FR_Mantenimiento tasas'!$D$43/360,5)</f>
        <v>0</v>
      </c>
    </row>
    <row r="1550" spans="1:5">
      <c r="A1550" s="123">
        <f t="shared" si="48"/>
        <v>1548</v>
      </c>
      <c r="B1550" s="122">
        <f>IF(DAY(A1550)=DAY('F-Ahorro Futuro Genérico'!$H$11),'F-Ahorro Futuro Genérico'!$H$9,0)</f>
        <v>0</v>
      </c>
      <c r="C1550" s="122">
        <f t="shared" si="49"/>
        <v>0</v>
      </c>
      <c r="D1550" s="121">
        <f>ROUND(C1550*'FR_Mantenimiento tasas'!$C$43/360,5)</f>
        <v>0</v>
      </c>
      <c r="E1550" s="121">
        <f>ROUND(C1550*'FR_Mantenimiento tasas'!$D$43/360,5)</f>
        <v>0</v>
      </c>
    </row>
    <row r="1551" spans="1:5">
      <c r="A1551" s="123">
        <f t="shared" si="48"/>
        <v>1549</v>
      </c>
      <c r="B1551" s="122">
        <f>IF(DAY(A1551)=DAY('F-Ahorro Futuro Genérico'!$H$11),'F-Ahorro Futuro Genérico'!$H$9,0)</f>
        <v>0</v>
      </c>
      <c r="C1551" s="122">
        <f t="shared" si="49"/>
        <v>0</v>
      </c>
      <c r="D1551" s="121">
        <f>ROUND(C1551*'FR_Mantenimiento tasas'!$C$43/360,5)</f>
        <v>0</v>
      </c>
      <c r="E1551" s="121">
        <f>ROUND(C1551*'FR_Mantenimiento tasas'!$D$43/360,5)</f>
        <v>0</v>
      </c>
    </row>
    <row r="1552" spans="1:5">
      <c r="A1552" s="123">
        <f t="shared" si="48"/>
        <v>1550</v>
      </c>
      <c r="B1552" s="122">
        <f>IF(DAY(A1552)=DAY('F-Ahorro Futuro Genérico'!$H$11),'F-Ahorro Futuro Genérico'!$H$9,0)</f>
        <v>0</v>
      </c>
      <c r="C1552" s="122">
        <f t="shared" si="49"/>
        <v>0</v>
      </c>
      <c r="D1552" s="121">
        <f>ROUND(C1552*'FR_Mantenimiento tasas'!$C$43/360,5)</f>
        <v>0</v>
      </c>
      <c r="E1552" s="121">
        <f>ROUND(C1552*'FR_Mantenimiento tasas'!$D$43/360,5)</f>
        <v>0</v>
      </c>
    </row>
    <row r="1553" spans="1:5">
      <c r="A1553" s="123">
        <f t="shared" si="48"/>
        <v>1551</v>
      </c>
      <c r="B1553" s="122">
        <f>IF(DAY(A1553)=DAY('F-Ahorro Futuro Genérico'!$H$11),'F-Ahorro Futuro Genérico'!$H$9,0)</f>
        <v>0</v>
      </c>
      <c r="C1553" s="122">
        <f t="shared" si="49"/>
        <v>0</v>
      </c>
      <c r="D1553" s="121">
        <f>ROUND(C1553*'FR_Mantenimiento tasas'!$C$43/360,5)</f>
        <v>0</v>
      </c>
      <c r="E1553" s="121">
        <f>ROUND(C1553*'FR_Mantenimiento tasas'!$D$43/360,5)</f>
        <v>0</v>
      </c>
    </row>
    <row r="1554" spans="1:5">
      <c r="A1554" s="123">
        <f t="shared" si="48"/>
        <v>1552</v>
      </c>
      <c r="B1554" s="122">
        <f>IF(DAY(A1554)=DAY('F-Ahorro Futuro Genérico'!$H$11),'F-Ahorro Futuro Genérico'!$H$9,0)</f>
        <v>0</v>
      </c>
      <c r="C1554" s="122">
        <f t="shared" si="49"/>
        <v>0</v>
      </c>
      <c r="D1554" s="121">
        <f>ROUND(C1554*'FR_Mantenimiento tasas'!$C$43/360,5)</f>
        <v>0</v>
      </c>
      <c r="E1554" s="121">
        <f>ROUND(C1554*'FR_Mantenimiento tasas'!$D$43/360,5)</f>
        <v>0</v>
      </c>
    </row>
    <row r="1555" spans="1:5">
      <c r="A1555" s="123">
        <f t="shared" si="48"/>
        <v>1553</v>
      </c>
      <c r="B1555" s="122">
        <f>IF(DAY(A1555)=DAY('F-Ahorro Futuro Genérico'!$H$11),'F-Ahorro Futuro Genérico'!$H$9,0)</f>
        <v>0</v>
      </c>
      <c r="C1555" s="122">
        <f t="shared" si="49"/>
        <v>0</v>
      </c>
      <c r="D1555" s="121">
        <f>ROUND(C1555*'FR_Mantenimiento tasas'!$C$43/360,5)</f>
        <v>0</v>
      </c>
      <c r="E1555" s="121">
        <f>ROUND(C1555*'FR_Mantenimiento tasas'!$D$43/360,5)</f>
        <v>0</v>
      </c>
    </row>
    <row r="1556" spans="1:5">
      <c r="A1556" s="123">
        <f t="shared" si="48"/>
        <v>1554</v>
      </c>
      <c r="B1556" s="122">
        <f>IF(DAY(A1556)=DAY('F-Ahorro Futuro Genérico'!$H$11),'F-Ahorro Futuro Genérico'!$H$9,0)</f>
        <v>0</v>
      </c>
      <c r="C1556" s="122">
        <f t="shared" si="49"/>
        <v>0</v>
      </c>
      <c r="D1556" s="121">
        <f>ROUND(C1556*'FR_Mantenimiento tasas'!$C$43/360,5)</f>
        <v>0</v>
      </c>
      <c r="E1556" s="121">
        <f>ROUND(C1556*'FR_Mantenimiento tasas'!$D$43/360,5)</f>
        <v>0</v>
      </c>
    </row>
    <row r="1557" spans="1:5">
      <c r="A1557" s="123">
        <f t="shared" si="48"/>
        <v>1555</v>
      </c>
      <c r="B1557" s="122">
        <f>IF(DAY(A1557)=DAY('F-Ahorro Futuro Genérico'!$H$11),'F-Ahorro Futuro Genérico'!$H$9,0)</f>
        <v>0</v>
      </c>
      <c r="C1557" s="122">
        <f t="shared" si="49"/>
        <v>0</v>
      </c>
      <c r="D1557" s="121">
        <f>ROUND(C1557*'FR_Mantenimiento tasas'!$C$43/360,5)</f>
        <v>0</v>
      </c>
      <c r="E1557" s="121">
        <f>ROUND(C1557*'FR_Mantenimiento tasas'!$D$43/360,5)</f>
        <v>0</v>
      </c>
    </row>
    <row r="1558" spans="1:5">
      <c r="A1558" s="123">
        <f t="shared" si="48"/>
        <v>1556</v>
      </c>
      <c r="B1558" s="122">
        <f>IF(DAY(A1558)=DAY('F-Ahorro Futuro Genérico'!$H$11),'F-Ahorro Futuro Genérico'!$H$9,0)</f>
        <v>0</v>
      </c>
      <c r="C1558" s="122">
        <f t="shared" si="49"/>
        <v>0</v>
      </c>
      <c r="D1558" s="121">
        <f>ROUND(C1558*'FR_Mantenimiento tasas'!$C$43/360,5)</f>
        <v>0</v>
      </c>
      <c r="E1558" s="121">
        <f>ROUND(C1558*'FR_Mantenimiento tasas'!$D$43/360,5)</f>
        <v>0</v>
      </c>
    </row>
    <row r="1559" spans="1:5">
      <c r="A1559" s="123">
        <f t="shared" si="48"/>
        <v>1557</v>
      </c>
      <c r="B1559" s="122">
        <f>IF(DAY(A1559)=DAY('F-Ahorro Futuro Genérico'!$H$11),'F-Ahorro Futuro Genérico'!$H$9,0)</f>
        <v>0</v>
      </c>
      <c r="C1559" s="122">
        <f t="shared" si="49"/>
        <v>0</v>
      </c>
      <c r="D1559" s="121">
        <f>ROUND(C1559*'FR_Mantenimiento tasas'!$C$43/360,5)</f>
        <v>0</v>
      </c>
      <c r="E1559" s="121">
        <f>ROUND(C1559*'FR_Mantenimiento tasas'!$D$43/360,5)</f>
        <v>0</v>
      </c>
    </row>
    <row r="1560" spans="1:5">
      <c r="A1560" s="123">
        <f t="shared" si="48"/>
        <v>1558</v>
      </c>
      <c r="B1560" s="122">
        <f>IF(DAY(A1560)=DAY('F-Ahorro Futuro Genérico'!$H$11),'F-Ahorro Futuro Genérico'!$H$9,0)</f>
        <v>0</v>
      </c>
      <c r="C1560" s="122">
        <f t="shared" si="49"/>
        <v>0</v>
      </c>
      <c r="D1560" s="121">
        <f>ROUND(C1560*'FR_Mantenimiento tasas'!$C$43/360,5)</f>
        <v>0</v>
      </c>
      <c r="E1560" s="121">
        <f>ROUND(C1560*'FR_Mantenimiento tasas'!$D$43/360,5)</f>
        <v>0</v>
      </c>
    </row>
    <row r="1561" spans="1:5">
      <c r="A1561" s="123">
        <f t="shared" si="48"/>
        <v>1559</v>
      </c>
      <c r="B1561" s="122">
        <f>IF(DAY(A1561)=DAY('F-Ahorro Futuro Genérico'!$H$11),'F-Ahorro Futuro Genérico'!$H$9,0)</f>
        <v>0</v>
      </c>
      <c r="C1561" s="122">
        <f t="shared" si="49"/>
        <v>0</v>
      </c>
      <c r="D1561" s="121">
        <f>ROUND(C1561*'FR_Mantenimiento tasas'!$C$43/360,5)</f>
        <v>0</v>
      </c>
      <c r="E1561" s="121">
        <f>ROUND(C1561*'FR_Mantenimiento tasas'!$D$43/360,5)</f>
        <v>0</v>
      </c>
    </row>
    <row r="1562" spans="1:5">
      <c r="A1562" s="123">
        <f t="shared" si="48"/>
        <v>1560</v>
      </c>
      <c r="B1562" s="122">
        <f>IF(DAY(A1562)=DAY('F-Ahorro Futuro Genérico'!$H$11),'F-Ahorro Futuro Genérico'!$H$9,0)</f>
        <v>0</v>
      </c>
      <c r="C1562" s="122">
        <f t="shared" si="49"/>
        <v>0</v>
      </c>
      <c r="D1562" s="121">
        <f>ROUND(C1562*'FR_Mantenimiento tasas'!$C$43/360,5)</f>
        <v>0</v>
      </c>
      <c r="E1562" s="121">
        <f>ROUND(C1562*'FR_Mantenimiento tasas'!$D$43/360,5)</f>
        <v>0</v>
      </c>
    </row>
    <row r="1563" spans="1:5">
      <c r="A1563" s="123">
        <f t="shared" si="48"/>
        <v>1561</v>
      </c>
      <c r="B1563" s="122">
        <f>IF(DAY(A1563)=DAY('F-Ahorro Futuro Genérico'!$H$11),'F-Ahorro Futuro Genérico'!$H$9,0)</f>
        <v>0</v>
      </c>
      <c r="C1563" s="122">
        <f t="shared" si="49"/>
        <v>0</v>
      </c>
      <c r="D1563" s="121">
        <f>ROUND(C1563*'FR_Mantenimiento tasas'!$C$43/360,5)</f>
        <v>0</v>
      </c>
      <c r="E1563" s="121">
        <f>ROUND(C1563*'FR_Mantenimiento tasas'!$D$43/360,5)</f>
        <v>0</v>
      </c>
    </row>
    <row r="1564" spans="1:5">
      <c r="A1564" s="123">
        <f t="shared" si="48"/>
        <v>1562</v>
      </c>
      <c r="B1564" s="122">
        <f>IF(DAY(A1564)=DAY('F-Ahorro Futuro Genérico'!$H$11),'F-Ahorro Futuro Genérico'!$H$9,0)</f>
        <v>0</v>
      </c>
      <c r="C1564" s="122">
        <f t="shared" si="49"/>
        <v>0</v>
      </c>
      <c r="D1564" s="121">
        <f>ROUND(C1564*'FR_Mantenimiento tasas'!$C$43/360,5)</f>
        <v>0</v>
      </c>
      <c r="E1564" s="121">
        <f>ROUND(C1564*'FR_Mantenimiento tasas'!$D$43/360,5)</f>
        <v>0</v>
      </c>
    </row>
    <row r="1565" spans="1:5">
      <c r="A1565" s="123">
        <f t="shared" si="48"/>
        <v>1563</v>
      </c>
      <c r="B1565" s="122">
        <f>IF(DAY(A1565)=DAY('F-Ahorro Futuro Genérico'!$H$11),'F-Ahorro Futuro Genérico'!$H$9,0)</f>
        <v>0</v>
      </c>
      <c r="C1565" s="122">
        <f t="shared" si="49"/>
        <v>0</v>
      </c>
      <c r="D1565" s="121">
        <f>ROUND(C1565*'FR_Mantenimiento tasas'!$C$43/360,5)</f>
        <v>0</v>
      </c>
      <c r="E1565" s="121">
        <f>ROUND(C1565*'FR_Mantenimiento tasas'!$D$43/360,5)</f>
        <v>0</v>
      </c>
    </row>
    <row r="1566" spans="1:5">
      <c r="A1566" s="123">
        <f t="shared" si="48"/>
        <v>1564</v>
      </c>
      <c r="B1566" s="122">
        <f>IF(DAY(A1566)=DAY('F-Ahorro Futuro Genérico'!$H$11),'F-Ahorro Futuro Genérico'!$H$9,0)</f>
        <v>0</v>
      </c>
      <c r="C1566" s="122">
        <f t="shared" si="49"/>
        <v>0</v>
      </c>
      <c r="D1566" s="121">
        <f>ROUND(C1566*'FR_Mantenimiento tasas'!$C$43/360,5)</f>
        <v>0</v>
      </c>
      <c r="E1566" s="121">
        <f>ROUND(C1566*'FR_Mantenimiento tasas'!$D$43/360,5)</f>
        <v>0</v>
      </c>
    </row>
    <row r="1567" spans="1:5">
      <c r="A1567" s="123">
        <f t="shared" si="48"/>
        <v>1565</v>
      </c>
      <c r="B1567" s="122">
        <f>IF(DAY(A1567)=DAY('F-Ahorro Futuro Genérico'!$H$11),'F-Ahorro Futuro Genérico'!$H$9,0)</f>
        <v>0</v>
      </c>
      <c r="C1567" s="122">
        <f t="shared" si="49"/>
        <v>0</v>
      </c>
      <c r="D1567" s="121">
        <f>ROUND(C1567*'FR_Mantenimiento tasas'!$C$43/360,5)</f>
        <v>0</v>
      </c>
      <c r="E1567" s="121">
        <f>ROUND(C1567*'FR_Mantenimiento tasas'!$D$43/360,5)</f>
        <v>0</v>
      </c>
    </row>
    <row r="1568" spans="1:5">
      <c r="A1568" s="123">
        <f t="shared" si="48"/>
        <v>1566</v>
      </c>
      <c r="B1568" s="122">
        <f>IF(DAY(A1568)=DAY('F-Ahorro Futuro Genérico'!$H$11),'F-Ahorro Futuro Genérico'!$H$9,0)</f>
        <v>0</v>
      </c>
      <c r="C1568" s="122">
        <f t="shared" si="49"/>
        <v>0</v>
      </c>
      <c r="D1568" s="121">
        <f>ROUND(C1568*'FR_Mantenimiento tasas'!$C$43/360,5)</f>
        <v>0</v>
      </c>
      <c r="E1568" s="121">
        <f>ROUND(C1568*'FR_Mantenimiento tasas'!$D$43/360,5)</f>
        <v>0</v>
      </c>
    </row>
    <row r="1569" spans="1:5">
      <c r="A1569" s="123">
        <f t="shared" si="48"/>
        <v>1567</v>
      </c>
      <c r="B1569" s="122">
        <f>IF(DAY(A1569)=DAY('F-Ahorro Futuro Genérico'!$H$11),'F-Ahorro Futuro Genérico'!$H$9,0)</f>
        <v>0</v>
      </c>
      <c r="C1569" s="122">
        <f t="shared" si="49"/>
        <v>0</v>
      </c>
      <c r="D1569" s="121">
        <f>ROUND(C1569*'FR_Mantenimiento tasas'!$C$43/360,5)</f>
        <v>0</v>
      </c>
      <c r="E1569" s="121">
        <f>ROUND(C1569*'FR_Mantenimiento tasas'!$D$43/360,5)</f>
        <v>0</v>
      </c>
    </row>
    <row r="1570" spans="1:5">
      <c r="A1570" s="123">
        <f t="shared" si="48"/>
        <v>1568</v>
      </c>
      <c r="B1570" s="122">
        <f>IF(DAY(A1570)=DAY('F-Ahorro Futuro Genérico'!$H$11),'F-Ahorro Futuro Genérico'!$H$9,0)</f>
        <v>0</v>
      </c>
      <c r="C1570" s="122">
        <f t="shared" si="49"/>
        <v>0</v>
      </c>
      <c r="D1570" s="121">
        <f>ROUND(C1570*'FR_Mantenimiento tasas'!$C$43/360,5)</f>
        <v>0</v>
      </c>
      <c r="E1570" s="121">
        <f>ROUND(C1570*'FR_Mantenimiento tasas'!$D$43/360,5)</f>
        <v>0</v>
      </c>
    </row>
    <row r="1571" spans="1:5">
      <c r="A1571" s="123">
        <f t="shared" si="48"/>
        <v>1569</v>
      </c>
      <c r="B1571" s="122">
        <f>IF(DAY(A1571)=DAY('F-Ahorro Futuro Genérico'!$H$11),'F-Ahorro Futuro Genérico'!$H$9,0)</f>
        <v>0</v>
      </c>
      <c r="C1571" s="122">
        <f t="shared" si="49"/>
        <v>0</v>
      </c>
      <c r="D1571" s="121">
        <f>ROUND(C1571*'FR_Mantenimiento tasas'!$C$43/360,5)</f>
        <v>0</v>
      </c>
      <c r="E1571" s="121">
        <f>ROUND(C1571*'FR_Mantenimiento tasas'!$D$43/360,5)</f>
        <v>0</v>
      </c>
    </row>
    <row r="1572" spans="1:5">
      <c r="A1572" s="123">
        <f t="shared" si="48"/>
        <v>1570</v>
      </c>
      <c r="B1572" s="122">
        <f>IF(DAY(A1572)=DAY('F-Ahorro Futuro Genérico'!$H$11),'F-Ahorro Futuro Genérico'!$H$9,0)</f>
        <v>0</v>
      </c>
      <c r="C1572" s="122">
        <f t="shared" si="49"/>
        <v>0</v>
      </c>
      <c r="D1572" s="121">
        <f>ROUND(C1572*'FR_Mantenimiento tasas'!$C$43/360,5)</f>
        <v>0</v>
      </c>
      <c r="E1572" s="121">
        <f>ROUND(C1572*'FR_Mantenimiento tasas'!$D$43/360,5)</f>
        <v>0</v>
      </c>
    </row>
    <row r="1573" spans="1:5">
      <c r="A1573" s="123">
        <f t="shared" si="48"/>
        <v>1571</v>
      </c>
      <c r="B1573" s="122">
        <f>IF(DAY(A1573)=DAY('F-Ahorro Futuro Genérico'!$H$11),'F-Ahorro Futuro Genérico'!$H$9,0)</f>
        <v>0</v>
      </c>
      <c r="C1573" s="122">
        <f t="shared" si="49"/>
        <v>0</v>
      </c>
      <c r="D1573" s="121">
        <f>ROUND(C1573*'FR_Mantenimiento tasas'!$C$43/360,5)</f>
        <v>0</v>
      </c>
      <c r="E1573" s="121">
        <f>ROUND(C1573*'FR_Mantenimiento tasas'!$D$43/360,5)</f>
        <v>0</v>
      </c>
    </row>
    <row r="1574" spans="1:5">
      <c r="A1574" s="123">
        <f t="shared" si="48"/>
        <v>1572</v>
      </c>
      <c r="B1574" s="122">
        <f>IF(DAY(A1574)=DAY('F-Ahorro Futuro Genérico'!$H$11),'F-Ahorro Futuro Genérico'!$H$9,0)</f>
        <v>0</v>
      </c>
      <c r="C1574" s="122">
        <f t="shared" si="49"/>
        <v>0</v>
      </c>
      <c r="D1574" s="121">
        <f>ROUND(C1574*'FR_Mantenimiento tasas'!$C$43/360,5)</f>
        <v>0</v>
      </c>
      <c r="E1574" s="121">
        <f>ROUND(C1574*'FR_Mantenimiento tasas'!$D$43/360,5)</f>
        <v>0</v>
      </c>
    </row>
    <row r="1575" spans="1:5">
      <c r="A1575" s="123">
        <f t="shared" si="48"/>
        <v>1573</v>
      </c>
      <c r="B1575" s="122">
        <f>IF(DAY(A1575)=DAY('F-Ahorro Futuro Genérico'!$H$11),'F-Ahorro Futuro Genérico'!$H$9,0)</f>
        <v>0</v>
      </c>
      <c r="C1575" s="122">
        <f t="shared" si="49"/>
        <v>0</v>
      </c>
      <c r="D1575" s="121">
        <f>ROUND(C1575*'FR_Mantenimiento tasas'!$C$43/360,5)</f>
        <v>0</v>
      </c>
      <c r="E1575" s="121">
        <f>ROUND(C1575*'FR_Mantenimiento tasas'!$D$43/360,5)</f>
        <v>0</v>
      </c>
    </row>
    <row r="1576" spans="1:5">
      <c r="A1576" s="123">
        <f t="shared" si="48"/>
        <v>1574</v>
      </c>
      <c r="B1576" s="122">
        <f>IF(DAY(A1576)=DAY('F-Ahorro Futuro Genérico'!$H$11),'F-Ahorro Futuro Genérico'!$H$9,0)</f>
        <v>0</v>
      </c>
      <c r="C1576" s="122">
        <f t="shared" si="49"/>
        <v>0</v>
      </c>
      <c r="D1576" s="121">
        <f>ROUND(C1576*'FR_Mantenimiento tasas'!$C$43/360,5)</f>
        <v>0</v>
      </c>
      <c r="E1576" s="121">
        <f>ROUND(C1576*'FR_Mantenimiento tasas'!$D$43/360,5)</f>
        <v>0</v>
      </c>
    </row>
    <row r="1577" spans="1:5">
      <c r="A1577" s="123">
        <f t="shared" si="48"/>
        <v>1575</v>
      </c>
      <c r="B1577" s="122">
        <f>IF(DAY(A1577)=DAY('F-Ahorro Futuro Genérico'!$H$11),'F-Ahorro Futuro Genérico'!$H$9,0)</f>
        <v>0</v>
      </c>
      <c r="C1577" s="122">
        <f t="shared" si="49"/>
        <v>0</v>
      </c>
      <c r="D1577" s="121">
        <f>ROUND(C1577*'FR_Mantenimiento tasas'!$C$43/360,5)</f>
        <v>0</v>
      </c>
      <c r="E1577" s="121">
        <f>ROUND(C1577*'FR_Mantenimiento tasas'!$D$43/360,5)</f>
        <v>0</v>
      </c>
    </row>
    <row r="1578" spans="1:5">
      <c r="A1578" s="123">
        <f t="shared" si="48"/>
        <v>1576</v>
      </c>
      <c r="B1578" s="122">
        <f>IF(DAY(A1578)=DAY('F-Ahorro Futuro Genérico'!$H$11),'F-Ahorro Futuro Genérico'!$H$9,0)</f>
        <v>0</v>
      </c>
      <c r="C1578" s="122">
        <f t="shared" si="49"/>
        <v>0</v>
      </c>
      <c r="D1578" s="121">
        <f>ROUND(C1578*'FR_Mantenimiento tasas'!$C$43/360,5)</f>
        <v>0</v>
      </c>
      <c r="E1578" s="121">
        <f>ROUND(C1578*'FR_Mantenimiento tasas'!$D$43/360,5)</f>
        <v>0</v>
      </c>
    </row>
    <row r="1579" spans="1:5">
      <c r="A1579" s="123">
        <f t="shared" si="48"/>
        <v>1577</v>
      </c>
      <c r="B1579" s="122">
        <f>IF(DAY(A1579)=DAY('F-Ahorro Futuro Genérico'!$H$11),'F-Ahorro Futuro Genérico'!$H$9,0)</f>
        <v>0</v>
      </c>
      <c r="C1579" s="122">
        <f t="shared" si="49"/>
        <v>0</v>
      </c>
      <c r="D1579" s="121">
        <f>ROUND(C1579*'FR_Mantenimiento tasas'!$C$43/360,5)</f>
        <v>0</v>
      </c>
      <c r="E1579" s="121">
        <f>ROUND(C1579*'FR_Mantenimiento tasas'!$D$43/360,5)</f>
        <v>0</v>
      </c>
    </row>
    <row r="1580" spans="1:5">
      <c r="A1580" s="123">
        <f t="shared" si="48"/>
        <v>1578</v>
      </c>
      <c r="B1580" s="122">
        <f>IF(DAY(A1580)=DAY('F-Ahorro Futuro Genérico'!$H$11),'F-Ahorro Futuro Genérico'!$H$9,0)</f>
        <v>0</v>
      </c>
      <c r="C1580" s="122">
        <f t="shared" si="49"/>
        <v>0</v>
      </c>
      <c r="D1580" s="121">
        <f>ROUND(C1580*'FR_Mantenimiento tasas'!$C$43/360,5)</f>
        <v>0</v>
      </c>
      <c r="E1580" s="121">
        <f>ROUND(C1580*'FR_Mantenimiento tasas'!$D$43/360,5)</f>
        <v>0</v>
      </c>
    </row>
    <row r="1581" spans="1:5">
      <c r="A1581" s="123">
        <f t="shared" si="48"/>
        <v>1579</v>
      </c>
      <c r="B1581" s="122">
        <f>IF(DAY(A1581)=DAY('F-Ahorro Futuro Genérico'!$H$11),'F-Ahorro Futuro Genérico'!$H$9,0)</f>
        <v>0</v>
      </c>
      <c r="C1581" s="122">
        <f t="shared" si="49"/>
        <v>0</v>
      </c>
      <c r="D1581" s="121">
        <f>ROUND(C1581*'FR_Mantenimiento tasas'!$C$43/360,5)</f>
        <v>0</v>
      </c>
      <c r="E1581" s="121">
        <f>ROUND(C1581*'FR_Mantenimiento tasas'!$D$43/360,5)</f>
        <v>0</v>
      </c>
    </row>
    <row r="1582" spans="1:5">
      <c r="A1582" s="123">
        <f t="shared" si="48"/>
        <v>1580</v>
      </c>
      <c r="B1582" s="122">
        <f>IF(DAY(A1582)=DAY('F-Ahorro Futuro Genérico'!$H$11),'F-Ahorro Futuro Genérico'!$H$9,0)</f>
        <v>0</v>
      </c>
      <c r="C1582" s="122">
        <f t="shared" si="49"/>
        <v>0</v>
      </c>
      <c r="D1582" s="121">
        <f>ROUND(C1582*'FR_Mantenimiento tasas'!$C$43/360,5)</f>
        <v>0</v>
      </c>
      <c r="E1582" s="121">
        <f>ROUND(C1582*'FR_Mantenimiento tasas'!$D$43/360,5)</f>
        <v>0</v>
      </c>
    </row>
    <row r="1583" spans="1:5">
      <c r="A1583" s="123">
        <f t="shared" si="48"/>
        <v>1581</v>
      </c>
      <c r="B1583" s="122">
        <f>IF(DAY(A1583)=DAY('F-Ahorro Futuro Genérico'!$H$11),'F-Ahorro Futuro Genérico'!$H$9,0)</f>
        <v>0</v>
      </c>
      <c r="C1583" s="122">
        <f t="shared" si="49"/>
        <v>0</v>
      </c>
      <c r="D1583" s="121">
        <f>ROUND(C1583*'FR_Mantenimiento tasas'!$C$43/360,5)</f>
        <v>0</v>
      </c>
      <c r="E1583" s="121">
        <f>ROUND(C1583*'FR_Mantenimiento tasas'!$D$43/360,5)</f>
        <v>0</v>
      </c>
    </row>
    <row r="1584" spans="1:5">
      <c r="A1584" s="123">
        <f t="shared" si="48"/>
        <v>1582</v>
      </c>
      <c r="B1584" s="122">
        <f>IF(DAY(A1584)=DAY('F-Ahorro Futuro Genérico'!$H$11),'F-Ahorro Futuro Genérico'!$H$9,0)</f>
        <v>0</v>
      </c>
      <c r="C1584" s="122">
        <f t="shared" si="49"/>
        <v>0</v>
      </c>
      <c r="D1584" s="121">
        <f>ROUND(C1584*'FR_Mantenimiento tasas'!$C$43/360,5)</f>
        <v>0</v>
      </c>
      <c r="E1584" s="121">
        <f>ROUND(C1584*'FR_Mantenimiento tasas'!$D$43/360,5)</f>
        <v>0</v>
      </c>
    </row>
    <row r="1585" spans="1:5">
      <c r="A1585" s="123">
        <f t="shared" si="48"/>
        <v>1583</v>
      </c>
      <c r="B1585" s="122">
        <f>IF(DAY(A1585)=DAY('F-Ahorro Futuro Genérico'!$H$11),'F-Ahorro Futuro Genérico'!$H$9,0)</f>
        <v>0</v>
      </c>
      <c r="C1585" s="122">
        <f t="shared" si="49"/>
        <v>0</v>
      </c>
      <c r="D1585" s="121">
        <f>ROUND(C1585*'FR_Mantenimiento tasas'!$C$43/360,5)</f>
        <v>0</v>
      </c>
      <c r="E1585" s="121">
        <f>ROUND(C1585*'FR_Mantenimiento tasas'!$D$43/360,5)</f>
        <v>0</v>
      </c>
    </row>
    <row r="1586" spans="1:5">
      <c r="A1586" s="123">
        <f t="shared" si="48"/>
        <v>1584</v>
      </c>
      <c r="B1586" s="122">
        <f>IF(DAY(A1586)=DAY('F-Ahorro Futuro Genérico'!$H$11),'F-Ahorro Futuro Genérico'!$H$9,0)</f>
        <v>0</v>
      </c>
      <c r="C1586" s="122">
        <f t="shared" si="49"/>
        <v>0</v>
      </c>
      <c r="D1586" s="121">
        <f>ROUND(C1586*'FR_Mantenimiento tasas'!$C$43/360,5)</f>
        <v>0</v>
      </c>
      <c r="E1586" s="121">
        <f>ROUND(C1586*'FR_Mantenimiento tasas'!$D$43/360,5)</f>
        <v>0</v>
      </c>
    </row>
    <row r="1587" spans="1:5">
      <c r="A1587" s="123">
        <f t="shared" si="48"/>
        <v>1585</v>
      </c>
      <c r="B1587" s="122">
        <f>IF(DAY(A1587)=DAY('F-Ahorro Futuro Genérico'!$H$11),'F-Ahorro Futuro Genérico'!$H$9,0)</f>
        <v>0</v>
      </c>
      <c r="C1587" s="122">
        <f t="shared" si="49"/>
        <v>0</v>
      </c>
      <c r="D1587" s="121">
        <f>ROUND(C1587*'FR_Mantenimiento tasas'!$C$43/360,5)</f>
        <v>0</v>
      </c>
      <c r="E1587" s="121">
        <f>ROUND(C1587*'FR_Mantenimiento tasas'!$D$43/360,5)</f>
        <v>0</v>
      </c>
    </row>
    <row r="1588" spans="1:5">
      <c r="A1588" s="123">
        <f t="shared" si="48"/>
        <v>1586</v>
      </c>
      <c r="B1588" s="122">
        <f>IF(DAY(A1588)=DAY('F-Ahorro Futuro Genérico'!$H$11),'F-Ahorro Futuro Genérico'!$H$9,0)</f>
        <v>0</v>
      </c>
      <c r="C1588" s="122">
        <f t="shared" si="49"/>
        <v>0</v>
      </c>
      <c r="D1588" s="121">
        <f>ROUND(C1588*'FR_Mantenimiento tasas'!$C$43/360,5)</f>
        <v>0</v>
      </c>
      <c r="E1588" s="121">
        <f>ROUND(C1588*'FR_Mantenimiento tasas'!$D$43/360,5)</f>
        <v>0</v>
      </c>
    </row>
    <row r="1589" spans="1:5">
      <c r="A1589" s="123">
        <f t="shared" si="48"/>
        <v>1587</v>
      </c>
      <c r="B1589" s="122">
        <f>IF(DAY(A1589)=DAY('F-Ahorro Futuro Genérico'!$H$11),'F-Ahorro Futuro Genérico'!$H$9,0)</f>
        <v>0</v>
      </c>
      <c r="C1589" s="122">
        <f t="shared" si="49"/>
        <v>0</v>
      </c>
      <c r="D1589" s="121">
        <f>ROUND(C1589*'FR_Mantenimiento tasas'!$C$43/360,5)</f>
        <v>0</v>
      </c>
      <c r="E1589" s="121">
        <f>ROUND(C1589*'FR_Mantenimiento tasas'!$D$43/360,5)</f>
        <v>0</v>
      </c>
    </row>
    <row r="1590" spans="1:5">
      <c r="A1590" s="123">
        <f t="shared" si="48"/>
        <v>1588</v>
      </c>
      <c r="B1590" s="122">
        <f>IF(DAY(A1590)=DAY('F-Ahorro Futuro Genérico'!$H$11),'F-Ahorro Futuro Genérico'!$H$9,0)</f>
        <v>0</v>
      </c>
      <c r="C1590" s="122">
        <f t="shared" si="49"/>
        <v>0</v>
      </c>
      <c r="D1590" s="121">
        <f>ROUND(C1590*'FR_Mantenimiento tasas'!$C$43/360,5)</f>
        <v>0</v>
      </c>
      <c r="E1590" s="121">
        <f>ROUND(C1590*'FR_Mantenimiento tasas'!$D$43/360,5)</f>
        <v>0</v>
      </c>
    </row>
    <row r="1591" spans="1:5">
      <c r="A1591" s="123">
        <f t="shared" si="48"/>
        <v>1589</v>
      </c>
      <c r="B1591" s="122">
        <f>IF(DAY(A1591)=DAY('F-Ahorro Futuro Genérico'!$H$11),'F-Ahorro Futuro Genérico'!$H$9,0)</f>
        <v>0</v>
      </c>
      <c r="C1591" s="122">
        <f t="shared" si="49"/>
        <v>0</v>
      </c>
      <c r="D1591" s="121">
        <f>ROUND(C1591*'FR_Mantenimiento tasas'!$C$43/360,5)</f>
        <v>0</v>
      </c>
      <c r="E1591" s="121">
        <f>ROUND(C1591*'FR_Mantenimiento tasas'!$D$43/360,5)</f>
        <v>0</v>
      </c>
    </row>
    <row r="1592" spans="1:5">
      <c r="A1592" s="123">
        <f t="shared" si="48"/>
        <v>1590</v>
      </c>
      <c r="B1592" s="122">
        <f>IF(DAY(A1592)=DAY('F-Ahorro Futuro Genérico'!$H$11),'F-Ahorro Futuro Genérico'!$H$9,0)</f>
        <v>0</v>
      </c>
      <c r="C1592" s="122">
        <f t="shared" si="49"/>
        <v>0</v>
      </c>
      <c r="D1592" s="121">
        <f>ROUND(C1592*'FR_Mantenimiento tasas'!$C$43/360,5)</f>
        <v>0</v>
      </c>
      <c r="E1592" s="121">
        <f>ROUND(C1592*'FR_Mantenimiento tasas'!$D$43/360,5)</f>
        <v>0</v>
      </c>
    </row>
    <row r="1593" spans="1:5">
      <c r="A1593" s="123">
        <f t="shared" si="48"/>
        <v>1591</v>
      </c>
      <c r="B1593" s="122">
        <f>IF(DAY(A1593)=DAY('F-Ahorro Futuro Genérico'!$H$11),'F-Ahorro Futuro Genérico'!$H$9,0)</f>
        <v>0</v>
      </c>
      <c r="C1593" s="122">
        <f t="shared" si="49"/>
        <v>0</v>
      </c>
      <c r="D1593" s="121">
        <f>ROUND(C1593*'FR_Mantenimiento tasas'!$C$43/360,5)</f>
        <v>0</v>
      </c>
      <c r="E1593" s="121">
        <f>ROUND(C1593*'FR_Mantenimiento tasas'!$D$43/360,5)</f>
        <v>0</v>
      </c>
    </row>
    <row r="1594" spans="1:5">
      <c r="A1594" s="123">
        <f t="shared" si="48"/>
        <v>1592</v>
      </c>
      <c r="B1594" s="122">
        <f>IF(DAY(A1594)=DAY('F-Ahorro Futuro Genérico'!$H$11),'F-Ahorro Futuro Genérico'!$H$9,0)</f>
        <v>0</v>
      </c>
      <c r="C1594" s="122">
        <f t="shared" si="49"/>
        <v>0</v>
      </c>
      <c r="D1594" s="121">
        <f>ROUND(C1594*'FR_Mantenimiento tasas'!$C$43/360,5)</f>
        <v>0</v>
      </c>
      <c r="E1594" s="121">
        <f>ROUND(C1594*'FR_Mantenimiento tasas'!$D$43/360,5)</f>
        <v>0</v>
      </c>
    </row>
    <row r="1595" spans="1:5">
      <c r="A1595" s="123">
        <f t="shared" si="48"/>
        <v>1593</v>
      </c>
      <c r="B1595" s="122">
        <f>IF(DAY(A1595)=DAY('F-Ahorro Futuro Genérico'!$H$11),'F-Ahorro Futuro Genérico'!$H$9,0)</f>
        <v>0</v>
      </c>
      <c r="C1595" s="122">
        <f t="shared" si="49"/>
        <v>0</v>
      </c>
      <c r="D1595" s="121">
        <f>ROUND(C1595*'FR_Mantenimiento tasas'!$C$43/360,5)</f>
        <v>0</v>
      </c>
      <c r="E1595" s="121">
        <f>ROUND(C1595*'FR_Mantenimiento tasas'!$D$43/360,5)</f>
        <v>0</v>
      </c>
    </row>
    <row r="1596" spans="1:5">
      <c r="A1596" s="123">
        <f t="shared" si="48"/>
        <v>1594</v>
      </c>
      <c r="B1596" s="122">
        <f>IF(DAY(A1596)=DAY('F-Ahorro Futuro Genérico'!$H$11),'F-Ahorro Futuro Genérico'!$H$9,0)</f>
        <v>0</v>
      </c>
      <c r="C1596" s="122">
        <f t="shared" si="49"/>
        <v>0</v>
      </c>
      <c r="D1596" s="121">
        <f>ROUND(C1596*'FR_Mantenimiento tasas'!$C$43/360,5)</f>
        <v>0</v>
      </c>
      <c r="E1596" s="121">
        <f>ROUND(C1596*'FR_Mantenimiento tasas'!$D$43/360,5)</f>
        <v>0</v>
      </c>
    </row>
    <row r="1597" spans="1:5">
      <c r="A1597" s="123">
        <f t="shared" si="48"/>
        <v>1595</v>
      </c>
      <c r="B1597" s="122">
        <f>IF(DAY(A1597)=DAY('F-Ahorro Futuro Genérico'!$H$11),'F-Ahorro Futuro Genérico'!$H$9,0)</f>
        <v>0</v>
      </c>
      <c r="C1597" s="122">
        <f t="shared" si="49"/>
        <v>0</v>
      </c>
      <c r="D1597" s="121">
        <f>ROUND(C1597*'FR_Mantenimiento tasas'!$C$43/360,5)</f>
        <v>0</v>
      </c>
      <c r="E1597" s="121">
        <f>ROUND(C1597*'FR_Mantenimiento tasas'!$D$43/360,5)</f>
        <v>0</v>
      </c>
    </row>
    <row r="1598" spans="1:5">
      <c r="A1598" s="123">
        <f t="shared" si="48"/>
        <v>1596</v>
      </c>
      <c r="B1598" s="122">
        <f>IF(DAY(A1598)=DAY('F-Ahorro Futuro Genérico'!$H$11),'F-Ahorro Futuro Genérico'!$H$9,0)</f>
        <v>0</v>
      </c>
      <c r="C1598" s="122">
        <f t="shared" si="49"/>
        <v>0</v>
      </c>
      <c r="D1598" s="121">
        <f>ROUND(C1598*'FR_Mantenimiento tasas'!$C$43/360,5)</f>
        <v>0</v>
      </c>
      <c r="E1598" s="121">
        <f>ROUND(C1598*'FR_Mantenimiento tasas'!$D$43/360,5)</f>
        <v>0</v>
      </c>
    </row>
    <row r="1599" spans="1:5">
      <c r="A1599" s="123">
        <f t="shared" si="48"/>
        <v>1597</v>
      </c>
      <c r="B1599" s="122">
        <f>IF(DAY(A1599)=DAY('F-Ahorro Futuro Genérico'!$H$11),'F-Ahorro Futuro Genérico'!$H$9,0)</f>
        <v>0</v>
      </c>
      <c r="C1599" s="122">
        <f t="shared" si="49"/>
        <v>0</v>
      </c>
      <c r="D1599" s="121">
        <f>ROUND(C1599*'FR_Mantenimiento tasas'!$C$43/360,5)</f>
        <v>0</v>
      </c>
      <c r="E1599" s="121">
        <f>ROUND(C1599*'FR_Mantenimiento tasas'!$D$43/360,5)</f>
        <v>0</v>
      </c>
    </row>
    <row r="1600" spans="1:5">
      <c r="A1600" s="123">
        <f t="shared" si="48"/>
        <v>1598</v>
      </c>
      <c r="B1600" s="122">
        <f>IF(DAY(A1600)=DAY('F-Ahorro Futuro Genérico'!$H$11),'F-Ahorro Futuro Genérico'!$H$9,0)</f>
        <v>0</v>
      </c>
      <c r="C1600" s="122">
        <f t="shared" si="49"/>
        <v>0</v>
      </c>
      <c r="D1600" s="121">
        <f>ROUND(C1600*'FR_Mantenimiento tasas'!$C$43/360,5)</f>
        <v>0</v>
      </c>
      <c r="E1600" s="121">
        <f>ROUND(C1600*'FR_Mantenimiento tasas'!$D$43/360,5)</f>
        <v>0</v>
      </c>
    </row>
    <row r="1601" spans="1:5">
      <c r="A1601" s="123">
        <f t="shared" si="48"/>
        <v>1599</v>
      </c>
      <c r="B1601" s="122">
        <f>IF(DAY(A1601)=DAY('F-Ahorro Futuro Genérico'!$H$11),'F-Ahorro Futuro Genérico'!$H$9,0)</f>
        <v>0</v>
      </c>
      <c r="C1601" s="122">
        <f t="shared" si="49"/>
        <v>0</v>
      </c>
      <c r="D1601" s="121">
        <f>ROUND(C1601*'FR_Mantenimiento tasas'!$C$43/360,5)</f>
        <v>0</v>
      </c>
      <c r="E1601" s="121">
        <f>ROUND(C1601*'FR_Mantenimiento tasas'!$D$43/360,5)</f>
        <v>0</v>
      </c>
    </row>
    <row r="1602" spans="1:5">
      <c r="A1602" s="123">
        <f t="shared" si="48"/>
        <v>1600</v>
      </c>
      <c r="B1602" s="122">
        <f>IF(DAY(A1602)=DAY('F-Ahorro Futuro Genérico'!$H$11),'F-Ahorro Futuro Genérico'!$H$9,0)</f>
        <v>0</v>
      </c>
      <c r="C1602" s="122">
        <f t="shared" si="49"/>
        <v>0</v>
      </c>
      <c r="D1602" s="121">
        <f>ROUND(C1602*'FR_Mantenimiento tasas'!$C$43/360,5)</f>
        <v>0</v>
      </c>
      <c r="E1602" s="121">
        <f>ROUND(C1602*'FR_Mantenimiento tasas'!$D$43/360,5)</f>
        <v>0</v>
      </c>
    </row>
    <row r="1603" spans="1:5">
      <c r="A1603" s="123">
        <f t="shared" si="48"/>
        <v>1601</v>
      </c>
      <c r="B1603" s="122">
        <f>IF(DAY(A1603)=DAY('F-Ahorro Futuro Genérico'!$H$11),'F-Ahorro Futuro Genérico'!$H$9,0)</f>
        <v>0</v>
      </c>
      <c r="C1603" s="122">
        <f t="shared" si="49"/>
        <v>0</v>
      </c>
      <c r="D1603" s="121">
        <f>ROUND(C1603*'FR_Mantenimiento tasas'!$C$43/360,5)</f>
        <v>0</v>
      </c>
      <c r="E1603" s="121">
        <f>ROUND(C1603*'FR_Mantenimiento tasas'!$D$43/360,5)</f>
        <v>0</v>
      </c>
    </row>
    <row r="1604" spans="1:5">
      <c r="A1604" s="123">
        <f t="shared" ref="A1604:A1667" si="50">+A1603+1</f>
        <v>1602</v>
      </c>
      <c r="B1604" s="122">
        <f>IF(DAY(A1604)=DAY('F-Ahorro Futuro Genérico'!$H$11),'F-Ahorro Futuro Genérico'!$H$9,0)</f>
        <v>0</v>
      </c>
      <c r="C1604" s="122">
        <f t="shared" ref="C1604:C1667" si="51">+B1604+C1603+D1603</f>
        <v>0</v>
      </c>
      <c r="D1604" s="121">
        <f>ROUND(C1604*'FR_Mantenimiento tasas'!$C$43/360,5)</f>
        <v>0</v>
      </c>
      <c r="E1604" s="121">
        <f>ROUND(C1604*'FR_Mantenimiento tasas'!$D$43/360,5)</f>
        <v>0</v>
      </c>
    </row>
    <row r="1605" spans="1:5">
      <c r="A1605" s="123">
        <f t="shared" si="50"/>
        <v>1603</v>
      </c>
      <c r="B1605" s="122">
        <f>IF(DAY(A1605)=DAY('F-Ahorro Futuro Genérico'!$H$11),'F-Ahorro Futuro Genérico'!$H$9,0)</f>
        <v>0</v>
      </c>
      <c r="C1605" s="122">
        <f t="shared" si="51"/>
        <v>0</v>
      </c>
      <c r="D1605" s="121">
        <f>ROUND(C1605*'FR_Mantenimiento tasas'!$C$43/360,5)</f>
        <v>0</v>
      </c>
      <c r="E1605" s="121">
        <f>ROUND(C1605*'FR_Mantenimiento tasas'!$D$43/360,5)</f>
        <v>0</v>
      </c>
    </row>
    <row r="1606" spans="1:5">
      <c r="A1606" s="123">
        <f t="shared" si="50"/>
        <v>1604</v>
      </c>
      <c r="B1606" s="122">
        <f>IF(DAY(A1606)=DAY('F-Ahorro Futuro Genérico'!$H$11),'F-Ahorro Futuro Genérico'!$H$9,0)</f>
        <v>0</v>
      </c>
      <c r="C1606" s="122">
        <f t="shared" si="51"/>
        <v>0</v>
      </c>
      <c r="D1606" s="121">
        <f>ROUND(C1606*'FR_Mantenimiento tasas'!$C$43/360,5)</f>
        <v>0</v>
      </c>
      <c r="E1606" s="121">
        <f>ROUND(C1606*'FR_Mantenimiento tasas'!$D$43/360,5)</f>
        <v>0</v>
      </c>
    </row>
    <row r="1607" spans="1:5">
      <c r="A1607" s="123">
        <f t="shared" si="50"/>
        <v>1605</v>
      </c>
      <c r="B1607" s="122">
        <f>IF(DAY(A1607)=DAY('F-Ahorro Futuro Genérico'!$H$11),'F-Ahorro Futuro Genérico'!$H$9,0)</f>
        <v>0</v>
      </c>
      <c r="C1607" s="122">
        <f t="shared" si="51"/>
        <v>0</v>
      </c>
      <c r="D1607" s="121">
        <f>ROUND(C1607*'FR_Mantenimiento tasas'!$C$43/360,5)</f>
        <v>0</v>
      </c>
      <c r="E1607" s="121">
        <f>ROUND(C1607*'FR_Mantenimiento tasas'!$D$43/360,5)</f>
        <v>0</v>
      </c>
    </row>
    <row r="1608" spans="1:5">
      <c r="A1608" s="123">
        <f t="shared" si="50"/>
        <v>1606</v>
      </c>
      <c r="B1608" s="122">
        <f>IF(DAY(A1608)=DAY('F-Ahorro Futuro Genérico'!$H$11),'F-Ahorro Futuro Genérico'!$H$9,0)</f>
        <v>0</v>
      </c>
      <c r="C1608" s="122">
        <f t="shared" si="51"/>
        <v>0</v>
      </c>
      <c r="D1608" s="121">
        <f>ROUND(C1608*'FR_Mantenimiento tasas'!$C$43/360,5)</f>
        <v>0</v>
      </c>
      <c r="E1608" s="121">
        <f>ROUND(C1608*'FR_Mantenimiento tasas'!$D$43/360,5)</f>
        <v>0</v>
      </c>
    </row>
    <row r="1609" spans="1:5">
      <c r="A1609" s="123">
        <f t="shared" si="50"/>
        <v>1607</v>
      </c>
      <c r="B1609" s="122">
        <f>IF(DAY(A1609)=DAY('F-Ahorro Futuro Genérico'!$H$11),'F-Ahorro Futuro Genérico'!$H$9,0)</f>
        <v>0</v>
      </c>
      <c r="C1609" s="122">
        <f t="shared" si="51"/>
        <v>0</v>
      </c>
      <c r="D1609" s="121">
        <f>ROUND(C1609*'FR_Mantenimiento tasas'!$C$43/360,5)</f>
        <v>0</v>
      </c>
      <c r="E1609" s="121">
        <f>ROUND(C1609*'FR_Mantenimiento tasas'!$D$43/360,5)</f>
        <v>0</v>
      </c>
    </row>
    <row r="1610" spans="1:5">
      <c r="A1610" s="123">
        <f t="shared" si="50"/>
        <v>1608</v>
      </c>
      <c r="B1610" s="122">
        <f>IF(DAY(A1610)=DAY('F-Ahorro Futuro Genérico'!$H$11),'F-Ahorro Futuro Genérico'!$H$9,0)</f>
        <v>0</v>
      </c>
      <c r="C1610" s="122">
        <f t="shared" si="51"/>
        <v>0</v>
      </c>
      <c r="D1610" s="121">
        <f>ROUND(C1610*'FR_Mantenimiento tasas'!$C$43/360,5)</f>
        <v>0</v>
      </c>
      <c r="E1610" s="121">
        <f>ROUND(C1610*'FR_Mantenimiento tasas'!$D$43/360,5)</f>
        <v>0</v>
      </c>
    </row>
    <row r="1611" spans="1:5">
      <c r="A1611" s="123">
        <f t="shared" si="50"/>
        <v>1609</v>
      </c>
      <c r="B1611" s="122">
        <f>IF(DAY(A1611)=DAY('F-Ahorro Futuro Genérico'!$H$11),'F-Ahorro Futuro Genérico'!$H$9,0)</f>
        <v>0</v>
      </c>
      <c r="C1611" s="122">
        <f t="shared" si="51"/>
        <v>0</v>
      </c>
      <c r="D1611" s="121">
        <f>ROUND(C1611*'FR_Mantenimiento tasas'!$C$43/360,5)</f>
        <v>0</v>
      </c>
      <c r="E1611" s="121">
        <f>ROUND(C1611*'FR_Mantenimiento tasas'!$D$43/360,5)</f>
        <v>0</v>
      </c>
    </row>
    <row r="1612" spans="1:5">
      <c r="A1612" s="123">
        <f t="shared" si="50"/>
        <v>1610</v>
      </c>
      <c r="B1612" s="122">
        <f>IF(DAY(A1612)=DAY('F-Ahorro Futuro Genérico'!$H$11),'F-Ahorro Futuro Genérico'!$H$9,0)</f>
        <v>0</v>
      </c>
      <c r="C1612" s="122">
        <f t="shared" si="51"/>
        <v>0</v>
      </c>
      <c r="D1612" s="121">
        <f>ROUND(C1612*'FR_Mantenimiento tasas'!$C$43/360,5)</f>
        <v>0</v>
      </c>
      <c r="E1612" s="121">
        <f>ROUND(C1612*'FR_Mantenimiento tasas'!$D$43/360,5)</f>
        <v>0</v>
      </c>
    </row>
    <row r="1613" spans="1:5">
      <c r="A1613" s="123">
        <f t="shared" si="50"/>
        <v>1611</v>
      </c>
      <c r="B1613" s="122">
        <f>IF(DAY(A1613)=DAY('F-Ahorro Futuro Genérico'!$H$11),'F-Ahorro Futuro Genérico'!$H$9,0)</f>
        <v>0</v>
      </c>
      <c r="C1613" s="122">
        <f t="shared" si="51"/>
        <v>0</v>
      </c>
      <c r="D1613" s="121">
        <f>ROUND(C1613*'FR_Mantenimiento tasas'!$C$43/360,5)</f>
        <v>0</v>
      </c>
      <c r="E1613" s="121">
        <f>ROUND(C1613*'FR_Mantenimiento tasas'!$D$43/360,5)</f>
        <v>0</v>
      </c>
    </row>
    <row r="1614" spans="1:5">
      <c r="A1614" s="123">
        <f t="shared" si="50"/>
        <v>1612</v>
      </c>
      <c r="B1614" s="122">
        <f>IF(DAY(A1614)=DAY('F-Ahorro Futuro Genérico'!$H$11),'F-Ahorro Futuro Genérico'!$H$9,0)</f>
        <v>0</v>
      </c>
      <c r="C1614" s="122">
        <f t="shared" si="51"/>
        <v>0</v>
      </c>
      <c r="D1614" s="121">
        <f>ROUND(C1614*'FR_Mantenimiento tasas'!$C$43/360,5)</f>
        <v>0</v>
      </c>
      <c r="E1614" s="121">
        <f>ROUND(C1614*'FR_Mantenimiento tasas'!$D$43/360,5)</f>
        <v>0</v>
      </c>
    </row>
    <row r="1615" spans="1:5">
      <c r="A1615" s="123">
        <f t="shared" si="50"/>
        <v>1613</v>
      </c>
      <c r="B1615" s="122">
        <f>IF(DAY(A1615)=DAY('F-Ahorro Futuro Genérico'!$H$11),'F-Ahorro Futuro Genérico'!$H$9,0)</f>
        <v>0</v>
      </c>
      <c r="C1615" s="122">
        <f t="shared" si="51"/>
        <v>0</v>
      </c>
      <c r="D1615" s="121">
        <f>ROUND(C1615*'FR_Mantenimiento tasas'!$C$43/360,5)</f>
        <v>0</v>
      </c>
      <c r="E1615" s="121">
        <f>ROUND(C1615*'FR_Mantenimiento tasas'!$D$43/360,5)</f>
        <v>0</v>
      </c>
    </row>
    <row r="1616" spans="1:5">
      <c r="A1616" s="123">
        <f t="shared" si="50"/>
        <v>1614</v>
      </c>
      <c r="B1616" s="122">
        <f>IF(DAY(A1616)=DAY('F-Ahorro Futuro Genérico'!$H$11),'F-Ahorro Futuro Genérico'!$H$9,0)</f>
        <v>0</v>
      </c>
      <c r="C1616" s="122">
        <f t="shared" si="51"/>
        <v>0</v>
      </c>
      <c r="D1616" s="121">
        <f>ROUND(C1616*'FR_Mantenimiento tasas'!$C$43/360,5)</f>
        <v>0</v>
      </c>
      <c r="E1616" s="121">
        <f>ROUND(C1616*'FR_Mantenimiento tasas'!$D$43/360,5)</f>
        <v>0</v>
      </c>
    </row>
    <row r="1617" spans="1:5">
      <c r="A1617" s="123">
        <f t="shared" si="50"/>
        <v>1615</v>
      </c>
      <c r="B1617" s="122">
        <f>IF(DAY(A1617)=DAY('F-Ahorro Futuro Genérico'!$H$11),'F-Ahorro Futuro Genérico'!$H$9,0)</f>
        <v>0</v>
      </c>
      <c r="C1617" s="122">
        <f t="shared" si="51"/>
        <v>0</v>
      </c>
      <c r="D1617" s="121">
        <f>ROUND(C1617*'FR_Mantenimiento tasas'!$C$43/360,5)</f>
        <v>0</v>
      </c>
      <c r="E1617" s="121">
        <f>ROUND(C1617*'FR_Mantenimiento tasas'!$D$43/360,5)</f>
        <v>0</v>
      </c>
    </row>
    <row r="1618" spans="1:5">
      <c r="A1618" s="123">
        <f t="shared" si="50"/>
        <v>1616</v>
      </c>
      <c r="B1618" s="122">
        <f>IF(DAY(A1618)=DAY('F-Ahorro Futuro Genérico'!$H$11),'F-Ahorro Futuro Genérico'!$H$9,0)</f>
        <v>0</v>
      </c>
      <c r="C1618" s="122">
        <f t="shared" si="51"/>
        <v>0</v>
      </c>
      <c r="D1618" s="121">
        <f>ROUND(C1618*'FR_Mantenimiento tasas'!$C$43/360,5)</f>
        <v>0</v>
      </c>
      <c r="E1618" s="121">
        <f>ROUND(C1618*'FR_Mantenimiento tasas'!$D$43/360,5)</f>
        <v>0</v>
      </c>
    </row>
    <row r="1619" spans="1:5">
      <c r="A1619" s="123">
        <f t="shared" si="50"/>
        <v>1617</v>
      </c>
      <c r="B1619" s="122">
        <f>IF(DAY(A1619)=DAY('F-Ahorro Futuro Genérico'!$H$11),'F-Ahorro Futuro Genérico'!$H$9,0)</f>
        <v>0</v>
      </c>
      <c r="C1619" s="122">
        <f t="shared" si="51"/>
        <v>0</v>
      </c>
      <c r="D1619" s="121">
        <f>ROUND(C1619*'FR_Mantenimiento tasas'!$C$43/360,5)</f>
        <v>0</v>
      </c>
      <c r="E1619" s="121">
        <f>ROUND(C1619*'FR_Mantenimiento tasas'!$D$43/360,5)</f>
        <v>0</v>
      </c>
    </row>
    <row r="1620" spans="1:5">
      <c r="A1620" s="123">
        <f t="shared" si="50"/>
        <v>1618</v>
      </c>
      <c r="B1620" s="122">
        <f>IF(DAY(A1620)=DAY('F-Ahorro Futuro Genérico'!$H$11),'F-Ahorro Futuro Genérico'!$H$9,0)</f>
        <v>0</v>
      </c>
      <c r="C1620" s="122">
        <f t="shared" si="51"/>
        <v>0</v>
      </c>
      <c r="D1620" s="121">
        <f>ROUND(C1620*'FR_Mantenimiento tasas'!$C$43/360,5)</f>
        <v>0</v>
      </c>
      <c r="E1620" s="121">
        <f>ROUND(C1620*'FR_Mantenimiento tasas'!$D$43/360,5)</f>
        <v>0</v>
      </c>
    </row>
    <row r="1621" spans="1:5">
      <c r="A1621" s="123">
        <f t="shared" si="50"/>
        <v>1619</v>
      </c>
      <c r="B1621" s="122">
        <f>IF(DAY(A1621)=DAY('F-Ahorro Futuro Genérico'!$H$11),'F-Ahorro Futuro Genérico'!$H$9,0)</f>
        <v>0</v>
      </c>
      <c r="C1621" s="122">
        <f t="shared" si="51"/>
        <v>0</v>
      </c>
      <c r="D1621" s="121">
        <f>ROUND(C1621*'FR_Mantenimiento tasas'!$C$43/360,5)</f>
        <v>0</v>
      </c>
      <c r="E1621" s="121">
        <f>ROUND(C1621*'FR_Mantenimiento tasas'!$D$43/360,5)</f>
        <v>0</v>
      </c>
    </row>
    <row r="1622" spans="1:5">
      <c r="A1622" s="123">
        <f t="shared" si="50"/>
        <v>1620</v>
      </c>
      <c r="B1622" s="122">
        <f>IF(DAY(A1622)=DAY('F-Ahorro Futuro Genérico'!$H$11),'F-Ahorro Futuro Genérico'!$H$9,0)</f>
        <v>0</v>
      </c>
      <c r="C1622" s="122">
        <f t="shared" si="51"/>
        <v>0</v>
      </c>
      <c r="D1622" s="121">
        <f>ROUND(C1622*'FR_Mantenimiento tasas'!$C$43/360,5)</f>
        <v>0</v>
      </c>
      <c r="E1622" s="121">
        <f>ROUND(C1622*'FR_Mantenimiento tasas'!$D$43/360,5)</f>
        <v>0</v>
      </c>
    </row>
    <row r="1623" spans="1:5">
      <c r="A1623" s="123">
        <f t="shared" si="50"/>
        <v>1621</v>
      </c>
      <c r="B1623" s="122">
        <f>IF(DAY(A1623)=DAY('F-Ahorro Futuro Genérico'!$H$11),'F-Ahorro Futuro Genérico'!$H$9,0)</f>
        <v>0</v>
      </c>
      <c r="C1623" s="122">
        <f t="shared" si="51"/>
        <v>0</v>
      </c>
      <c r="D1623" s="121">
        <f>ROUND(C1623*'FR_Mantenimiento tasas'!$C$43/360,5)</f>
        <v>0</v>
      </c>
      <c r="E1623" s="121">
        <f>ROUND(C1623*'FR_Mantenimiento tasas'!$D$43/360,5)</f>
        <v>0</v>
      </c>
    </row>
    <row r="1624" spans="1:5">
      <c r="A1624" s="123">
        <f t="shared" si="50"/>
        <v>1622</v>
      </c>
      <c r="B1624" s="122">
        <f>IF(DAY(A1624)=DAY('F-Ahorro Futuro Genérico'!$H$11),'F-Ahorro Futuro Genérico'!$H$9,0)</f>
        <v>0</v>
      </c>
      <c r="C1624" s="122">
        <f t="shared" si="51"/>
        <v>0</v>
      </c>
      <c r="D1624" s="121">
        <f>ROUND(C1624*'FR_Mantenimiento tasas'!$C$43/360,5)</f>
        <v>0</v>
      </c>
      <c r="E1624" s="121">
        <f>ROUND(C1624*'FR_Mantenimiento tasas'!$D$43/360,5)</f>
        <v>0</v>
      </c>
    </row>
    <row r="1625" spans="1:5">
      <c r="A1625" s="123">
        <f t="shared" si="50"/>
        <v>1623</v>
      </c>
      <c r="B1625" s="122">
        <f>IF(DAY(A1625)=DAY('F-Ahorro Futuro Genérico'!$H$11),'F-Ahorro Futuro Genérico'!$H$9,0)</f>
        <v>0</v>
      </c>
      <c r="C1625" s="122">
        <f t="shared" si="51"/>
        <v>0</v>
      </c>
      <c r="D1625" s="121">
        <f>ROUND(C1625*'FR_Mantenimiento tasas'!$C$43/360,5)</f>
        <v>0</v>
      </c>
      <c r="E1625" s="121">
        <f>ROUND(C1625*'FR_Mantenimiento tasas'!$D$43/360,5)</f>
        <v>0</v>
      </c>
    </row>
    <row r="1626" spans="1:5">
      <c r="A1626" s="123">
        <f t="shared" si="50"/>
        <v>1624</v>
      </c>
      <c r="B1626" s="122">
        <f>IF(DAY(A1626)=DAY('F-Ahorro Futuro Genérico'!$H$11),'F-Ahorro Futuro Genérico'!$H$9,0)</f>
        <v>0</v>
      </c>
      <c r="C1626" s="122">
        <f t="shared" si="51"/>
        <v>0</v>
      </c>
      <c r="D1626" s="121">
        <f>ROUND(C1626*'FR_Mantenimiento tasas'!$C$43/360,5)</f>
        <v>0</v>
      </c>
      <c r="E1626" s="121">
        <f>ROUND(C1626*'FR_Mantenimiento tasas'!$D$43/360,5)</f>
        <v>0</v>
      </c>
    </row>
    <row r="1627" spans="1:5">
      <c r="A1627" s="123">
        <f t="shared" si="50"/>
        <v>1625</v>
      </c>
      <c r="B1627" s="122">
        <f>IF(DAY(A1627)=DAY('F-Ahorro Futuro Genérico'!$H$11),'F-Ahorro Futuro Genérico'!$H$9,0)</f>
        <v>0</v>
      </c>
      <c r="C1627" s="122">
        <f t="shared" si="51"/>
        <v>0</v>
      </c>
      <c r="D1627" s="121">
        <f>ROUND(C1627*'FR_Mantenimiento tasas'!$C$43/360,5)</f>
        <v>0</v>
      </c>
      <c r="E1627" s="121">
        <f>ROUND(C1627*'FR_Mantenimiento tasas'!$D$43/360,5)</f>
        <v>0</v>
      </c>
    </row>
    <row r="1628" spans="1:5">
      <c r="A1628" s="123">
        <f t="shared" si="50"/>
        <v>1626</v>
      </c>
      <c r="B1628" s="122">
        <f>IF(DAY(A1628)=DAY('F-Ahorro Futuro Genérico'!$H$11),'F-Ahorro Futuro Genérico'!$H$9,0)</f>
        <v>0</v>
      </c>
      <c r="C1628" s="122">
        <f t="shared" si="51"/>
        <v>0</v>
      </c>
      <c r="D1628" s="121">
        <f>ROUND(C1628*'FR_Mantenimiento tasas'!$C$43/360,5)</f>
        <v>0</v>
      </c>
      <c r="E1628" s="121">
        <f>ROUND(C1628*'FR_Mantenimiento tasas'!$D$43/360,5)</f>
        <v>0</v>
      </c>
    </row>
    <row r="1629" spans="1:5">
      <c r="A1629" s="123">
        <f t="shared" si="50"/>
        <v>1627</v>
      </c>
      <c r="B1629" s="122">
        <f>IF(DAY(A1629)=DAY('F-Ahorro Futuro Genérico'!$H$11),'F-Ahorro Futuro Genérico'!$H$9,0)</f>
        <v>0</v>
      </c>
      <c r="C1629" s="122">
        <f t="shared" si="51"/>
        <v>0</v>
      </c>
      <c r="D1629" s="121">
        <f>ROUND(C1629*'FR_Mantenimiento tasas'!$C$43/360,5)</f>
        <v>0</v>
      </c>
      <c r="E1629" s="121">
        <f>ROUND(C1629*'FR_Mantenimiento tasas'!$D$43/360,5)</f>
        <v>0</v>
      </c>
    </row>
    <row r="1630" spans="1:5">
      <c r="A1630" s="123">
        <f t="shared" si="50"/>
        <v>1628</v>
      </c>
      <c r="B1630" s="122">
        <f>IF(DAY(A1630)=DAY('F-Ahorro Futuro Genérico'!$H$11),'F-Ahorro Futuro Genérico'!$H$9,0)</f>
        <v>0</v>
      </c>
      <c r="C1630" s="122">
        <f t="shared" si="51"/>
        <v>0</v>
      </c>
      <c r="D1630" s="121">
        <f>ROUND(C1630*'FR_Mantenimiento tasas'!$C$43/360,5)</f>
        <v>0</v>
      </c>
      <c r="E1630" s="121">
        <f>ROUND(C1630*'FR_Mantenimiento tasas'!$D$43/360,5)</f>
        <v>0</v>
      </c>
    </row>
    <row r="1631" spans="1:5">
      <c r="A1631" s="123">
        <f t="shared" si="50"/>
        <v>1629</v>
      </c>
      <c r="B1631" s="122">
        <f>IF(DAY(A1631)=DAY('F-Ahorro Futuro Genérico'!$H$11),'F-Ahorro Futuro Genérico'!$H$9,0)</f>
        <v>0</v>
      </c>
      <c r="C1631" s="122">
        <f t="shared" si="51"/>
        <v>0</v>
      </c>
      <c r="D1631" s="121">
        <f>ROUND(C1631*'FR_Mantenimiento tasas'!$C$43/360,5)</f>
        <v>0</v>
      </c>
      <c r="E1631" s="121">
        <f>ROUND(C1631*'FR_Mantenimiento tasas'!$D$43/360,5)</f>
        <v>0</v>
      </c>
    </row>
    <row r="1632" spans="1:5">
      <c r="A1632" s="123">
        <f t="shared" si="50"/>
        <v>1630</v>
      </c>
      <c r="B1632" s="122">
        <f>IF(DAY(A1632)=DAY('F-Ahorro Futuro Genérico'!$H$11),'F-Ahorro Futuro Genérico'!$H$9,0)</f>
        <v>0</v>
      </c>
      <c r="C1632" s="122">
        <f t="shared" si="51"/>
        <v>0</v>
      </c>
      <c r="D1632" s="121">
        <f>ROUND(C1632*'FR_Mantenimiento tasas'!$C$43/360,5)</f>
        <v>0</v>
      </c>
      <c r="E1632" s="121">
        <f>ROUND(C1632*'FR_Mantenimiento tasas'!$D$43/360,5)</f>
        <v>0</v>
      </c>
    </row>
    <row r="1633" spans="1:5">
      <c r="A1633" s="123">
        <f t="shared" si="50"/>
        <v>1631</v>
      </c>
      <c r="B1633" s="122">
        <f>IF(DAY(A1633)=DAY('F-Ahorro Futuro Genérico'!$H$11),'F-Ahorro Futuro Genérico'!$H$9,0)</f>
        <v>0</v>
      </c>
      <c r="C1633" s="122">
        <f t="shared" si="51"/>
        <v>0</v>
      </c>
      <c r="D1633" s="121">
        <f>ROUND(C1633*'FR_Mantenimiento tasas'!$C$43/360,5)</f>
        <v>0</v>
      </c>
      <c r="E1633" s="121">
        <f>ROUND(C1633*'FR_Mantenimiento tasas'!$D$43/360,5)</f>
        <v>0</v>
      </c>
    </row>
    <row r="1634" spans="1:5">
      <c r="A1634" s="123">
        <f t="shared" si="50"/>
        <v>1632</v>
      </c>
      <c r="B1634" s="122">
        <f>IF(DAY(A1634)=DAY('F-Ahorro Futuro Genérico'!$H$11),'F-Ahorro Futuro Genérico'!$H$9,0)</f>
        <v>0</v>
      </c>
      <c r="C1634" s="122">
        <f t="shared" si="51"/>
        <v>0</v>
      </c>
      <c r="D1634" s="121">
        <f>ROUND(C1634*'FR_Mantenimiento tasas'!$C$43/360,5)</f>
        <v>0</v>
      </c>
      <c r="E1634" s="121">
        <f>ROUND(C1634*'FR_Mantenimiento tasas'!$D$43/360,5)</f>
        <v>0</v>
      </c>
    </row>
    <row r="1635" spans="1:5">
      <c r="A1635" s="123">
        <f t="shared" si="50"/>
        <v>1633</v>
      </c>
      <c r="B1635" s="122">
        <f>IF(DAY(A1635)=DAY('F-Ahorro Futuro Genérico'!$H$11),'F-Ahorro Futuro Genérico'!$H$9,0)</f>
        <v>0</v>
      </c>
      <c r="C1635" s="122">
        <f t="shared" si="51"/>
        <v>0</v>
      </c>
      <c r="D1635" s="121">
        <f>ROUND(C1635*'FR_Mantenimiento tasas'!$C$43/360,5)</f>
        <v>0</v>
      </c>
      <c r="E1635" s="121">
        <f>ROUND(C1635*'FR_Mantenimiento tasas'!$D$43/360,5)</f>
        <v>0</v>
      </c>
    </row>
    <row r="1636" spans="1:5">
      <c r="A1636" s="123">
        <f t="shared" si="50"/>
        <v>1634</v>
      </c>
      <c r="B1636" s="122">
        <f>IF(DAY(A1636)=DAY('F-Ahorro Futuro Genérico'!$H$11),'F-Ahorro Futuro Genérico'!$H$9,0)</f>
        <v>0</v>
      </c>
      <c r="C1636" s="122">
        <f t="shared" si="51"/>
        <v>0</v>
      </c>
      <c r="D1636" s="121">
        <f>ROUND(C1636*'FR_Mantenimiento tasas'!$C$43/360,5)</f>
        <v>0</v>
      </c>
      <c r="E1636" s="121">
        <f>ROUND(C1636*'FR_Mantenimiento tasas'!$D$43/360,5)</f>
        <v>0</v>
      </c>
    </row>
    <row r="1637" spans="1:5">
      <c r="A1637" s="123">
        <f t="shared" si="50"/>
        <v>1635</v>
      </c>
      <c r="B1637" s="122">
        <f>IF(DAY(A1637)=DAY('F-Ahorro Futuro Genérico'!$H$11),'F-Ahorro Futuro Genérico'!$H$9,0)</f>
        <v>0</v>
      </c>
      <c r="C1637" s="122">
        <f t="shared" si="51"/>
        <v>0</v>
      </c>
      <c r="D1637" s="121">
        <f>ROUND(C1637*'FR_Mantenimiento tasas'!$C$43/360,5)</f>
        <v>0</v>
      </c>
      <c r="E1637" s="121">
        <f>ROUND(C1637*'FR_Mantenimiento tasas'!$D$43/360,5)</f>
        <v>0</v>
      </c>
    </row>
    <row r="1638" spans="1:5">
      <c r="A1638" s="123">
        <f t="shared" si="50"/>
        <v>1636</v>
      </c>
      <c r="B1638" s="122">
        <f>IF(DAY(A1638)=DAY('F-Ahorro Futuro Genérico'!$H$11),'F-Ahorro Futuro Genérico'!$H$9,0)</f>
        <v>0</v>
      </c>
      <c r="C1638" s="122">
        <f t="shared" si="51"/>
        <v>0</v>
      </c>
      <c r="D1638" s="121">
        <f>ROUND(C1638*'FR_Mantenimiento tasas'!$C$43/360,5)</f>
        <v>0</v>
      </c>
      <c r="E1638" s="121">
        <f>ROUND(C1638*'FR_Mantenimiento tasas'!$D$43/360,5)</f>
        <v>0</v>
      </c>
    </row>
    <row r="1639" spans="1:5">
      <c r="A1639" s="123">
        <f t="shared" si="50"/>
        <v>1637</v>
      </c>
      <c r="B1639" s="122">
        <f>IF(DAY(A1639)=DAY('F-Ahorro Futuro Genérico'!$H$11),'F-Ahorro Futuro Genérico'!$H$9,0)</f>
        <v>0</v>
      </c>
      <c r="C1639" s="122">
        <f t="shared" si="51"/>
        <v>0</v>
      </c>
      <c r="D1639" s="121">
        <f>ROUND(C1639*'FR_Mantenimiento tasas'!$C$43/360,5)</f>
        <v>0</v>
      </c>
      <c r="E1639" s="121">
        <f>ROUND(C1639*'FR_Mantenimiento tasas'!$D$43/360,5)</f>
        <v>0</v>
      </c>
    </row>
    <row r="1640" spans="1:5">
      <c r="A1640" s="123">
        <f t="shared" si="50"/>
        <v>1638</v>
      </c>
      <c r="B1640" s="122">
        <f>IF(DAY(A1640)=DAY('F-Ahorro Futuro Genérico'!$H$11),'F-Ahorro Futuro Genérico'!$H$9,0)</f>
        <v>0</v>
      </c>
      <c r="C1640" s="122">
        <f t="shared" si="51"/>
        <v>0</v>
      </c>
      <c r="D1640" s="121">
        <f>ROUND(C1640*'FR_Mantenimiento tasas'!$C$43/360,5)</f>
        <v>0</v>
      </c>
      <c r="E1640" s="121">
        <f>ROUND(C1640*'FR_Mantenimiento tasas'!$D$43/360,5)</f>
        <v>0</v>
      </c>
    </row>
    <row r="1641" spans="1:5">
      <c r="A1641" s="123">
        <f t="shared" si="50"/>
        <v>1639</v>
      </c>
      <c r="B1641" s="122">
        <f>IF(DAY(A1641)=DAY('F-Ahorro Futuro Genérico'!$H$11),'F-Ahorro Futuro Genérico'!$H$9,0)</f>
        <v>0</v>
      </c>
      <c r="C1641" s="122">
        <f t="shared" si="51"/>
        <v>0</v>
      </c>
      <c r="D1641" s="121">
        <f>ROUND(C1641*'FR_Mantenimiento tasas'!$C$43/360,5)</f>
        <v>0</v>
      </c>
      <c r="E1641" s="121">
        <f>ROUND(C1641*'FR_Mantenimiento tasas'!$D$43/360,5)</f>
        <v>0</v>
      </c>
    </row>
    <row r="1642" spans="1:5">
      <c r="A1642" s="123">
        <f t="shared" si="50"/>
        <v>1640</v>
      </c>
      <c r="B1642" s="122">
        <f>IF(DAY(A1642)=DAY('F-Ahorro Futuro Genérico'!$H$11),'F-Ahorro Futuro Genérico'!$H$9,0)</f>
        <v>0</v>
      </c>
      <c r="C1642" s="122">
        <f t="shared" si="51"/>
        <v>0</v>
      </c>
      <c r="D1642" s="121">
        <f>ROUND(C1642*'FR_Mantenimiento tasas'!$C$43/360,5)</f>
        <v>0</v>
      </c>
      <c r="E1642" s="121">
        <f>ROUND(C1642*'FR_Mantenimiento tasas'!$D$43/360,5)</f>
        <v>0</v>
      </c>
    </row>
    <row r="1643" spans="1:5">
      <c r="A1643" s="123">
        <f t="shared" si="50"/>
        <v>1641</v>
      </c>
      <c r="B1643" s="122">
        <f>IF(DAY(A1643)=DAY('F-Ahorro Futuro Genérico'!$H$11),'F-Ahorro Futuro Genérico'!$H$9,0)</f>
        <v>0</v>
      </c>
      <c r="C1643" s="122">
        <f t="shared" si="51"/>
        <v>0</v>
      </c>
      <c r="D1643" s="121">
        <f>ROUND(C1643*'FR_Mantenimiento tasas'!$C$43/360,5)</f>
        <v>0</v>
      </c>
      <c r="E1643" s="121">
        <f>ROUND(C1643*'FR_Mantenimiento tasas'!$D$43/360,5)</f>
        <v>0</v>
      </c>
    </row>
    <row r="1644" spans="1:5">
      <c r="A1644" s="123">
        <f t="shared" si="50"/>
        <v>1642</v>
      </c>
      <c r="B1644" s="122">
        <f>IF(DAY(A1644)=DAY('F-Ahorro Futuro Genérico'!$H$11),'F-Ahorro Futuro Genérico'!$H$9,0)</f>
        <v>0</v>
      </c>
      <c r="C1644" s="122">
        <f t="shared" si="51"/>
        <v>0</v>
      </c>
      <c r="D1644" s="121">
        <f>ROUND(C1644*'FR_Mantenimiento tasas'!$C$43/360,5)</f>
        <v>0</v>
      </c>
      <c r="E1644" s="121">
        <f>ROUND(C1644*'FR_Mantenimiento tasas'!$D$43/360,5)</f>
        <v>0</v>
      </c>
    </row>
    <row r="1645" spans="1:5">
      <c r="A1645" s="123">
        <f t="shared" si="50"/>
        <v>1643</v>
      </c>
      <c r="B1645" s="122">
        <f>IF(DAY(A1645)=DAY('F-Ahorro Futuro Genérico'!$H$11),'F-Ahorro Futuro Genérico'!$H$9,0)</f>
        <v>0</v>
      </c>
      <c r="C1645" s="122">
        <f t="shared" si="51"/>
        <v>0</v>
      </c>
      <c r="D1645" s="121">
        <f>ROUND(C1645*'FR_Mantenimiento tasas'!$C$43/360,5)</f>
        <v>0</v>
      </c>
      <c r="E1645" s="121">
        <f>ROUND(C1645*'FR_Mantenimiento tasas'!$D$43/360,5)</f>
        <v>0</v>
      </c>
    </row>
    <row r="1646" spans="1:5">
      <c r="A1646" s="123">
        <f t="shared" si="50"/>
        <v>1644</v>
      </c>
      <c r="B1646" s="122">
        <f>IF(DAY(A1646)=DAY('F-Ahorro Futuro Genérico'!$H$11),'F-Ahorro Futuro Genérico'!$H$9,0)</f>
        <v>0</v>
      </c>
      <c r="C1646" s="122">
        <f t="shared" si="51"/>
        <v>0</v>
      </c>
      <c r="D1646" s="121">
        <f>ROUND(C1646*'FR_Mantenimiento tasas'!$C$43/360,5)</f>
        <v>0</v>
      </c>
      <c r="E1646" s="121">
        <f>ROUND(C1646*'FR_Mantenimiento tasas'!$D$43/360,5)</f>
        <v>0</v>
      </c>
    </row>
    <row r="1647" spans="1:5">
      <c r="A1647" s="123">
        <f t="shared" si="50"/>
        <v>1645</v>
      </c>
      <c r="B1647" s="122">
        <f>IF(DAY(A1647)=DAY('F-Ahorro Futuro Genérico'!$H$11),'F-Ahorro Futuro Genérico'!$H$9,0)</f>
        <v>0</v>
      </c>
      <c r="C1647" s="122">
        <f t="shared" si="51"/>
        <v>0</v>
      </c>
      <c r="D1647" s="121">
        <f>ROUND(C1647*'FR_Mantenimiento tasas'!$C$43/360,5)</f>
        <v>0</v>
      </c>
      <c r="E1647" s="121">
        <f>ROUND(C1647*'FR_Mantenimiento tasas'!$D$43/360,5)</f>
        <v>0</v>
      </c>
    </row>
    <row r="1648" spans="1:5">
      <c r="A1648" s="123">
        <f t="shared" si="50"/>
        <v>1646</v>
      </c>
      <c r="B1648" s="122">
        <f>IF(DAY(A1648)=DAY('F-Ahorro Futuro Genérico'!$H$11),'F-Ahorro Futuro Genérico'!$H$9,0)</f>
        <v>0</v>
      </c>
      <c r="C1648" s="122">
        <f t="shared" si="51"/>
        <v>0</v>
      </c>
      <c r="D1648" s="121">
        <f>ROUND(C1648*'FR_Mantenimiento tasas'!$C$43/360,5)</f>
        <v>0</v>
      </c>
      <c r="E1648" s="121">
        <f>ROUND(C1648*'FR_Mantenimiento tasas'!$D$43/360,5)</f>
        <v>0</v>
      </c>
    </row>
    <row r="1649" spans="1:5">
      <c r="A1649" s="123">
        <f t="shared" si="50"/>
        <v>1647</v>
      </c>
      <c r="B1649" s="122">
        <f>IF(DAY(A1649)=DAY('F-Ahorro Futuro Genérico'!$H$11),'F-Ahorro Futuro Genérico'!$H$9,0)</f>
        <v>0</v>
      </c>
      <c r="C1649" s="122">
        <f t="shared" si="51"/>
        <v>0</v>
      </c>
      <c r="D1649" s="121">
        <f>ROUND(C1649*'FR_Mantenimiento tasas'!$C$43/360,5)</f>
        <v>0</v>
      </c>
      <c r="E1649" s="121">
        <f>ROUND(C1649*'FR_Mantenimiento tasas'!$D$43/360,5)</f>
        <v>0</v>
      </c>
    </row>
    <row r="1650" spans="1:5">
      <c r="A1650" s="123">
        <f t="shared" si="50"/>
        <v>1648</v>
      </c>
      <c r="B1650" s="122">
        <f>IF(DAY(A1650)=DAY('F-Ahorro Futuro Genérico'!$H$11),'F-Ahorro Futuro Genérico'!$H$9,0)</f>
        <v>0</v>
      </c>
      <c r="C1650" s="122">
        <f t="shared" si="51"/>
        <v>0</v>
      </c>
      <c r="D1650" s="121">
        <f>ROUND(C1650*'FR_Mantenimiento tasas'!$C$43/360,5)</f>
        <v>0</v>
      </c>
      <c r="E1650" s="121">
        <f>ROUND(C1650*'FR_Mantenimiento tasas'!$D$43/360,5)</f>
        <v>0</v>
      </c>
    </row>
    <row r="1651" spans="1:5">
      <c r="A1651" s="123">
        <f t="shared" si="50"/>
        <v>1649</v>
      </c>
      <c r="B1651" s="122">
        <f>IF(DAY(A1651)=DAY('F-Ahorro Futuro Genérico'!$H$11),'F-Ahorro Futuro Genérico'!$H$9,0)</f>
        <v>0</v>
      </c>
      <c r="C1651" s="122">
        <f t="shared" si="51"/>
        <v>0</v>
      </c>
      <c r="D1651" s="121">
        <f>ROUND(C1651*'FR_Mantenimiento tasas'!$C$43/360,5)</f>
        <v>0</v>
      </c>
      <c r="E1651" s="121">
        <f>ROUND(C1651*'FR_Mantenimiento tasas'!$D$43/360,5)</f>
        <v>0</v>
      </c>
    </row>
    <row r="1652" spans="1:5">
      <c r="A1652" s="123">
        <f t="shared" si="50"/>
        <v>1650</v>
      </c>
      <c r="B1652" s="122">
        <f>IF(DAY(A1652)=DAY('F-Ahorro Futuro Genérico'!$H$11),'F-Ahorro Futuro Genérico'!$H$9,0)</f>
        <v>0</v>
      </c>
      <c r="C1652" s="122">
        <f t="shared" si="51"/>
        <v>0</v>
      </c>
      <c r="D1652" s="121">
        <f>ROUND(C1652*'FR_Mantenimiento tasas'!$C$43/360,5)</f>
        <v>0</v>
      </c>
      <c r="E1652" s="121">
        <f>ROUND(C1652*'FR_Mantenimiento tasas'!$D$43/360,5)</f>
        <v>0</v>
      </c>
    </row>
    <row r="1653" spans="1:5">
      <c r="A1653" s="123">
        <f t="shared" si="50"/>
        <v>1651</v>
      </c>
      <c r="B1653" s="122">
        <f>IF(DAY(A1653)=DAY('F-Ahorro Futuro Genérico'!$H$11),'F-Ahorro Futuro Genérico'!$H$9,0)</f>
        <v>0</v>
      </c>
      <c r="C1653" s="122">
        <f t="shared" si="51"/>
        <v>0</v>
      </c>
      <c r="D1653" s="121">
        <f>ROUND(C1653*'FR_Mantenimiento tasas'!$C$43/360,5)</f>
        <v>0</v>
      </c>
      <c r="E1653" s="121">
        <f>ROUND(C1653*'FR_Mantenimiento tasas'!$D$43/360,5)</f>
        <v>0</v>
      </c>
    </row>
    <row r="1654" spans="1:5">
      <c r="A1654" s="123">
        <f t="shared" si="50"/>
        <v>1652</v>
      </c>
      <c r="B1654" s="122">
        <f>IF(DAY(A1654)=DAY('F-Ahorro Futuro Genérico'!$H$11),'F-Ahorro Futuro Genérico'!$H$9,0)</f>
        <v>0</v>
      </c>
      <c r="C1654" s="122">
        <f t="shared" si="51"/>
        <v>0</v>
      </c>
      <c r="D1654" s="121">
        <f>ROUND(C1654*'FR_Mantenimiento tasas'!$C$43/360,5)</f>
        <v>0</v>
      </c>
      <c r="E1654" s="121">
        <f>ROUND(C1654*'FR_Mantenimiento tasas'!$D$43/360,5)</f>
        <v>0</v>
      </c>
    </row>
    <row r="1655" spans="1:5">
      <c r="A1655" s="123">
        <f t="shared" si="50"/>
        <v>1653</v>
      </c>
      <c r="B1655" s="122">
        <f>IF(DAY(A1655)=DAY('F-Ahorro Futuro Genérico'!$H$11),'F-Ahorro Futuro Genérico'!$H$9,0)</f>
        <v>0</v>
      </c>
      <c r="C1655" s="122">
        <f t="shared" si="51"/>
        <v>0</v>
      </c>
      <c r="D1655" s="121">
        <f>ROUND(C1655*'FR_Mantenimiento tasas'!$C$43/360,5)</f>
        <v>0</v>
      </c>
      <c r="E1655" s="121">
        <f>ROUND(C1655*'FR_Mantenimiento tasas'!$D$43/360,5)</f>
        <v>0</v>
      </c>
    </row>
    <row r="1656" spans="1:5">
      <c r="A1656" s="123">
        <f t="shared" si="50"/>
        <v>1654</v>
      </c>
      <c r="B1656" s="122">
        <f>IF(DAY(A1656)=DAY('F-Ahorro Futuro Genérico'!$H$11),'F-Ahorro Futuro Genérico'!$H$9,0)</f>
        <v>0</v>
      </c>
      <c r="C1656" s="122">
        <f t="shared" si="51"/>
        <v>0</v>
      </c>
      <c r="D1656" s="121">
        <f>ROUND(C1656*'FR_Mantenimiento tasas'!$C$43/360,5)</f>
        <v>0</v>
      </c>
      <c r="E1656" s="121">
        <f>ROUND(C1656*'FR_Mantenimiento tasas'!$D$43/360,5)</f>
        <v>0</v>
      </c>
    </row>
    <row r="1657" spans="1:5">
      <c r="A1657" s="123">
        <f t="shared" si="50"/>
        <v>1655</v>
      </c>
      <c r="B1657" s="122">
        <f>IF(DAY(A1657)=DAY('F-Ahorro Futuro Genérico'!$H$11),'F-Ahorro Futuro Genérico'!$H$9,0)</f>
        <v>0</v>
      </c>
      <c r="C1657" s="122">
        <f t="shared" si="51"/>
        <v>0</v>
      </c>
      <c r="D1657" s="121">
        <f>ROUND(C1657*'FR_Mantenimiento tasas'!$C$43/360,5)</f>
        <v>0</v>
      </c>
      <c r="E1657" s="121">
        <f>ROUND(C1657*'FR_Mantenimiento tasas'!$D$43/360,5)</f>
        <v>0</v>
      </c>
    </row>
    <row r="1658" spans="1:5">
      <c r="A1658" s="123">
        <f t="shared" si="50"/>
        <v>1656</v>
      </c>
      <c r="B1658" s="122">
        <f>IF(DAY(A1658)=DAY('F-Ahorro Futuro Genérico'!$H$11),'F-Ahorro Futuro Genérico'!$H$9,0)</f>
        <v>0</v>
      </c>
      <c r="C1658" s="122">
        <f t="shared" si="51"/>
        <v>0</v>
      </c>
      <c r="D1658" s="121">
        <f>ROUND(C1658*'FR_Mantenimiento tasas'!$C$43/360,5)</f>
        <v>0</v>
      </c>
      <c r="E1658" s="121">
        <f>ROUND(C1658*'FR_Mantenimiento tasas'!$D$43/360,5)</f>
        <v>0</v>
      </c>
    </row>
    <row r="1659" spans="1:5">
      <c r="A1659" s="123">
        <f t="shared" si="50"/>
        <v>1657</v>
      </c>
      <c r="B1659" s="122">
        <f>IF(DAY(A1659)=DAY('F-Ahorro Futuro Genérico'!$H$11),'F-Ahorro Futuro Genérico'!$H$9,0)</f>
        <v>0</v>
      </c>
      <c r="C1659" s="122">
        <f t="shared" si="51"/>
        <v>0</v>
      </c>
      <c r="D1659" s="121">
        <f>ROUND(C1659*'FR_Mantenimiento tasas'!$C$43/360,5)</f>
        <v>0</v>
      </c>
      <c r="E1659" s="121">
        <f>ROUND(C1659*'FR_Mantenimiento tasas'!$D$43/360,5)</f>
        <v>0</v>
      </c>
    </row>
    <row r="1660" spans="1:5">
      <c r="A1660" s="123">
        <f t="shared" si="50"/>
        <v>1658</v>
      </c>
      <c r="B1660" s="122">
        <f>IF(DAY(A1660)=DAY('F-Ahorro Futuro Genérico'!$H$11),'F-Ahorro Futuro Genérico'!$H$9,0)</f>
        <v>0</v>
      </c>
      <c r="C1660" s="122">
        <f t="shared" si="51"/>
        <v>0</v>
      </c>
      <c r="D1660" s="121">
        <f>ROUND(C1660*'FR_Mantenimiento tasas'!$C$43/360,5)</f>
        <v>0</v>
      </c>
      <c r="E1660" s="121">
        <f>ROUND(C1660*'FR_Mantenimiento tasas'!$D$43/360,5)</f>
        <v>0</v>
      </c>
    </row>
    <row r="1661" spans="1:5">
      <c r="A1661" s="123">
        <f t="shared" si="50"/>
        <v>1659</v>
      </c>
      <c r="B1661" s="122">
        <f>IF(DAY(A1661)=DAY('F-Ahorro Futuro Genérico'!$H$11),'F-Ahorro Futuro Genérico'!$H$9,0)</f>
        <v>0</v>
      </c>
      <c r="C1661" s="122">
        <f t="shared" si="51"/>
        <v>0</v>
      </c>
      <c r="D1661" s="121">
        <f>ROUND(C1661*'FR_Mantenimiento tasas'!$C$43/360,5)</f>
        <v>0</v>
      </c>
      <c r="E1661" s="121">
        <f>ROUND(C1661*'FR_Mantenimiento tasas'!$D$43/360,5)</f>
        <v>0</v>
      </c>
    </row>
    <row r="1662" spans="1:5">
      <c r="A1662" s="123">
        <f t="shared" si="50"/>
        <v>1660</v>
      </c>
      <c r="B1662" s="122">
        <f>IF(DAY(A1662)=DAY('F-Ahorro Futuro Genérico'!$H$11),'F-Ahorro Futuro Genérico'!$H$9,0)</f>
        <v>0</v>
      </c>
      <c r="C1662" s="122">
        <f t="shared" si="51"/>
        <v>0</v>
      </c>
      <c r="D1662" s="121">
        <f>ROUND(C1662*'FR_Mantenimiento tasas'!$C$43/360,5)</f>
        <v>0</v>
      </c>
      <c r="E1662" s="121">
        <f>ROUND(C1662*'FR_Mantenimiento tasas'!$D$43/360,5)</f>
        <v>0</v>
      </c>
    </row>
    <row r="1663" spans="1:5">
      <c r="A1663" s="123">
        <f t="shared" si="50"/>
        <v>1661</v>
      </c>
      <c r="B1663" s="122">
        <f>IF(DAY(A1663)=DAY('F-Ahorro Futuro Genérico'!$H$11),'F-Ahorro Futuro Genérico'!$H$9,0)</f>
        <v>0</v>
      </c>
      <c r="C1663" s="122">
        <f t="shared" si="51"/>
        <v>0</v>
      </c>
      <c r="D1663" s="121">
        <f>ROUND(C1663*'FR_Mantenimiento tasas'!$C$43/360,5)</f>
        <v>0</v>
      </c>
      <c r="E1663" s="121">
        <f>ROUND(C1663*'FR_Mantenimiento tasas'!$D$43/360,5)</f>
        <v>0</v>
      </c>
    </row>
    <row r="1664" spans="1:5">
      <c r="A1664" s="123">
        <f t="shared" si="50"/>
        <v>1662</v>
      </c>
      <c r="B1664" s="122">
        <f>IF(DAY(A1664)=DAY('F-Ahorro Futuro Genérico'!$H$11),'F-Ahorro Futuro Genérico'!$H$9,0)</f>
        <v>0</v>
      </c>
      <c r="C1664" s="122">
        <f t="shared" si="51"/>
        <v>0</v>
      </c>
      <c r="D1664" s="121">
        <f>ROUND(C1664*'FR_Mantenimiento tasas'!$C$43/360,5)</f>
        <v>0</v>
      </c>
      <c r="E1664" s="121">
        <f>ROUND(C1664*'FR_Mantenimiento tasas'!$D$43/360,5)</f>
        <v>0</v>
      </c>
    </row>
    <row r="1665" spans="1:5">
      <c r="A1665" s="123">
        <f t="shared" si="50"/>
        <v>1663</v>
      </c>
      <c r="B1665" s="122">
        <f>IF(DAY(A1665)=DAY('F-Ahorro Futuro Genérico'!$H$11),'F-Ahorro Futuro Genérico'!$H$9,0)</f>
        <v>0</v>
      </c>
      <c r="C1665" s="122">
        <f t="shared" si="51"/>
        <v>0</v>
      </c>
      <c r="D1665" s="121">
        <f>ROUND(C1665*'FR_Mantenimiento tasas'!$C$43/360,5)</f>
        <v>0</v>
      </c>
      <c r="E1665" s="121">
        <f>ROUND(C1665*'FR_Mantenimiento tasas'!$D$43/360,5)</f>
        <v>0</v>
      </c>
    </row>
    <row r="1666" spans="1:5">
      <c r="A1666" s="123">
        <f t="shared" si="50"/>
        <v>1664</v>
      </c>
      <c r="B1666" s="122">
        <f>IF(DAY(A1666)=DAY('F-Ahorro Futuro Genérico'!$H$11),'F-Ahorro Futuro Genérico'!$H$9,0)</f>
        <v>0</v>
      </c>
      <c r="C1666" s="122">
        <f t="shared" si="51"/>
        <v>0</v>
      </c>
      <c r="D1666" s="121">
        <f>ROUND(C1666*'FR_Mantenimiento tasas'!$C$43/360,5)</f>
        <v>0</v>
      </c>
      <c r="E1666" s="121">
        <f>ROUND(C1666*'FR_Mantenimiento tasas'!$D$43/360,5)</f>
        <v>0</v>
      </c>
    </row>
    <row r="1667" spans="1:5">
      <c r="A1667" s="123">
        <f t="shared" si="50"/>
        <v>1665</v>
      </c>
      <c r="B1667" s="122">
        <f>IF(DAY(A1667)=DAY('F-Ahorro Futuro Genérico'!$H$11),'F-Ahorro Futuro Genérico'!$H$9,0)</f>
        <v>0</v>
      </c>
      <c r="C1667" s="122">
        <f t="shared" si="51"/>
        <v>0</v>
      </c>
      <c r="D1667" s="121">
        <f>ROUND(C1667*'FR_Mantenimiento tasas'!$C$43/360,5)</f>
        <v>0</v>
      </c>
      <c r="E1667" s="121">
        <f>ROUND(C1667*'FR_Mantenimiento tasas'!$D$43/360,5)</f>
        <v>0</v>
      </c>
    </row>
    <row r="1668" spans="1:5">
      <c r="A1668" s="123">
        <f t="shared" ref="A1668:A1731" si="52">+A1667+1</f>
        <v>1666</v>
      </c>
      <c r="B1668" s="122">
        <f>IF(DAY(A1668)=DAY('F-Ahorro Futuro Genérico'!$H$11),'F-Ahorro Futuro Genérico'!$H$9,0)</f>
        <v>0</v>
      </c>
      <c r="C1668" s="122">
        <f t="shared" ref="C1668:C1731" si="53">+B1668+C1667+D1667</f>
        <v>0</v>
      </c>
      <c r="D1668" s="121">
        <f>ROUND(C1668*'FR_Mantenimiento tasas'!$C$43/360,5)</f>
        <v>0</v>
      </c>
      <c r="E1668" s="121">
        <f>ROUND(C1668*'FR_Mantenimiento tasas'!$D$43/360,5)</f>
        <v>0</v>
      </c>
    </row>
    <row r="1669" spans="1:5">
      <c r="A1669" s="123">
        <f t="shared" si="52"/>
        <v>1667</v>
      </c>
      <c r="B1669" s="122">
        <f>IF(DAY(A1669)=DAY('F-Ahorro Futuro Genérico'!$H$11),'F-Ahorro Futuro Genérico'!$H$9,0)</f>
        <v>0</v>
      </c>
      <c r="C1669" s="122">
        <f t="shared" si="53"/>
        <v>0</v>
      </c>
      <c r="D1669" s="121">
        <f>ROUND(C1669*'FR_Mantenimiento tasas'!$C$43/360,5)</f>
        <v>0</v>
      </c>
      <c r="E1669" s="121">
        <f>ROUND(C1669*'FR_Mantenimiento tasas'!$D$43/360,5)</f>
        <v>0</v>
      </c>
    </row>
    <row r="1670" spans="1:5">
      <c r="A1670" s="123">
        <f t="shared" si="52"/>
        <v>1668</v>
      </c>
      <c r="B1670" s="122">
        <f>IF(DAY(A1670)=DAY('F-Ahorro Futuro Genérico'!$H$11),'F-Ahorro Futuro Genérico'!$H$9,0)</f>
        <v>0</v>
      </c>
      <c r="C1670" s="122">
        <f t="shared" si="53"/>
        <v>0</v>
      </c>
      <c r="D1670" s="121">
        <f>ROUND(C1670*'FR_Mantenimiento tasas'!$C$43/360,5)</f>
        <v>0</v>
      </c>
      <c r="E1670" s="121">
        <f>ROUND(C1670*'FR_Mantenimiento tasas'!$D$43/360,5)</f>
        <v>0</v>
      </c>
    </row>
    <row r="1671" spans="1:5">
      <c r="A1671" s="123">
        <f t="shared" si="52"/>
        <v>1669</v>
      </c>
      <c r="B1671" s="122">
        <f>IF(DAY(A1671)=DAY('F-Ahorro Futuro Genérico'!$H$11),'F-Ahorro Futuro Genérico'!$H$9,0)</f>
        <v>0</v>
      </c>
      <c r="C1671" s="122">
        <f t="shared" si="53"/>
        <v>0</v>
      </c>
      <c r="D1671" s="121">
        <f>ROUND(C1671*'FR_Mantenimiento tasas'!$C$43/360,5)</f>
        <v>0</v>
      </c>
      <c r="E1671" s="121">
        <f>ROUND(C1671*'FR_Mantenimiento tasas'!$D$43/360,5)</f>
        <v>0</v>
      </c>
    </row>
    <row r="1672" spans="1:5">
      <c r="A1672" s="123">
        <f t="shared" si="52"/>
        <v>1670</v>
      </c>
      <c r="B1672" s="122">
        <f>IF(DAY(A1672)=DAY('F-Ahorro Futuro Genérico'!$H$11),'F-Ahorro Futuro Genérico'!$H$9,0)</f>
        <v>0</v>
      </c>
      <c r="C1672" s="122">
        <f t="shared" si="53"/>
        <v>0</v>
      </c>
      <c r="D1672" s="121">
        <f>ROUND(C1672*'FR_Mantenimiento tasas'!$C$43/360,5)</f>
        <v>0</v>
      </c>
      <c r="E1672" s="121">
        <f>ROUND(C1672*'FR_Mantenimiento tasas'!$D$43/360,5)</f>
        <v>0</v>
      </c>
    </row>
    <row r="1673" spans="1:5">
      <c r="A1673" s="123">
        <f t="shared" si="52"/>
        <v>1671</v>
      </c>
      <c r="B1673" s="122">
        <f>IF(DAY(A1673)=DAY('F-Ahorro Futuro Genérico'!$H$11),'F-Ahorro Futuro Genérico'!$H$9,0)</f>
        <v>0</v>
      </c>
      <c r="C1673" s="122">
        <f t="shared" si="53"/>
        <v>0</v>
      </c>
      <c r="D1673" s="121">
        <f>ROUND(C1673*'FR_Mantenimiento tasas'!$C$43/360,5)</f>
        <v>0</v>
      </c>
      <c r="E1673" s="121">
        <f>ROUND(C1673*'FR_Mantenimiento tasas'!$D$43/360,5)</f>
        <v>0</v>
      </c>
    </row>
    <row r="1674" spans="1:5">
      <c r="A1674" s="123">
        <f t="shared" si="52"/>
        <v>1672</v>
      </c>
      <c r="B1674" s="122">
        <f>IF(DAY(A1674)=DAY('F-Ahorro Futuro Genérico'!$H$11),'F-Ahorro Futuro Genérico'!$H$9,0)</f>
        <v>0</v>
      </c>
      <c r="C1674" s="122">
        <f t="shared" si="53"/>
        <v>0</v>
      </c>
      <c r="D1674" s="121">
        <f>ROUND(C1674*'FR_Mantenimiento tasas'!$C$43/360,5)</f>
        <v>0</v>
      </c>
      <c r="E1674" s="121">
        <f>ROUND(C1674*'FR_Mantenimiento tasas'!$D$43/360,5)</f>
        <v>0</v>
      </c>
    </row>
    <row r="1675" spans="1:5">
      <c r="A1675" s="123">
        <f t="shared" si="52"/>
        <v>1673</v>
      </c>
      <c r="B1675" s="122">
        <f>IF(DAY(A1675)=DAY('F-Ahorro Futuro Genérico'!$H$11),'F-Ahorro Futuro Genérico'!$H$9,0)</f>
        <v>0</v>
      </c>
      <c r="C1675" s="122">
        <f t="shared" si="53"/>
        <v>0</v>
      </c>
      <c r="D1675" s="121">
        <f>ROUND(C1675*'FR_Mantenimiento tasas'!$C$43/360,5)</f>
        <v>0</v>
      </c>
      <c r="E1675" s="121">
        <f>ROUND(C1675*'FR_Mantenimiento tasas'!$D$43/360,5)</f>
        <v>0</v>
      </c>
    </row>
    <row r="1676" spans="1:5">
      <c r="A1676" s="123">
        <f t="shared" si="52"/>
        <v>1674</v>
      </c>
      <c r="B1676" s="122">
        <f>IF(DAY(A1676)=DAY('F-Ahorro Futuro Genérico'!$H$11),'F-Ahorro Futuro Genérico'!$H$9,0)</f>
        <v>0</v>
      </c>
      <c r="C1676" s="122">
        <f t="shared" si="53"/>
        <v>0</v>
      </c>
      <c r="D1676" s="121">
        <f>ROUND(C1676*'FR_Mantenimiento tasas'!$C$43/360,5)</f>
        <v>0</v>
      </c>
      <c r="E1676" s="121">
        <f>ROUND(C1676*'FR_Mantenimiento tasas'!$D$43/360,5)</f>
        <v>0</v>
      </c>
    </row>
    <row r="1677" spans="1:5">
      <c r="A1677" s="123">
        <f t="shared" si="52"/>
        <v>1675</v>
      </c>
      <c r="B1677" s="122">
        <f>IF(DAY(A1677)=DAY('F-Ahorro Futuro Genérico'!$H$11),'F-Ahorro Futuro Genérico'!$H$9,0)</f>
        <v>0</v>
      </c>
      <c r="C1677" s="122">
        <f t="shared" si="53"/>
        <v>0</v>
      </c>
      <c r="D1677" s="121">
        <f>ROUND(C1677*'FR_Mantenimiento tasas'!$C$43/360,5)</f>
        <v>0</v>
      </c>
      <c r="E1677" s="121">
        <f>ROUND(C1677*'FR_Mantenimiento tasas'!$D$43/360,5)</f>
        <v>0</v>
      </c>
    </row>
    <row r="1678" spans="1:5">
      <c r="A1678" s="123">
        <f t="shared" si="52"/>
        <v>1676</v>
      </c>
      <c r="B1678" s="122">
        <f>IF(DAY(A1678)=DAY('F-Ahorro Futuro Genérico'!$H$11),'F-Ahorro Futuro Genérico'!$H$9,0)</f>
        <v>0</v>
      </c>
      <c r="C1678" s="122">
        <f t="shared" si="53"/>
        <v>0</v>
      </c>
      <c r="D1678" s="121">
        <f>ROUND(C1678*'FR_Mantenimiento tasas'!$C$43/360,5)</f>
        <v>0</v>
      </c>
      <c r="E1678" s="121">
        <f>ROUND(C1678*'FR_Mantenimiento tasas'!$D$43/360,5)</f>
        <v>0</v>
      </c>
    </row>
    <row r="1679" spans="1:5">
      <c r="A1679" s="123">
        <f t="shared" si="52"/>
        <v>1677</v>
      </c>
      <c r="B1679" s="122">
        <f>IF(DAY(A1679)=DAY('F-Ahorro Futuro Genérico'!$H$11),'F-Ahorro Futuro Genérico'!$H$9,0)</f>
        <v>0</v>
      </c>
      <c r="C1679" s="122">
        <f t="shared" si="53"/>
        <v>0</v>
      </c>
      <c r="D1679" s="121">
        <f>ROUND(C1679*'FR_Mantenimiento tasas'!$C$43/360,5)</f>
        <v>0</v>
      </c>
      <c r="E1679" s="121">
        <f>ROUND(C1679*'FR_Mantenimiento tasas'!$D$43/360,5)</f>
        <v>0</v>
      </c>
    </row>
    <row r="1680" spans="1:5">
      <c r="A1680" s="123">
        <f t="shared" si="52"/>
        <v>1678</v>
      </c>
      <c r="B1680" s="122">
        <f>IF(DAY(A1680)=DAY('F-Ahorro Futuro Genérico'!$H$11),'F-Ahorro Futuro Genérico'!$H$9,0)</f>
        <v>0</v>
      </c>
      <c r="C1680" s="122">
        <f t="shared" si="53"/>
        <v>0</v>
      </c>
      <c r="D1680" s="121">
        <f>ROUND(C1680*'FR_Mantenimiento tasas'!$C$43/360,5)</f>
        <v>0</v>
      </c>
      <c r="E1680" s="121">
        <f>ROUND(C1680*'FR_Mantenimiento tasas'!$D$43/360,5)</f>
        <v>0</v>
      </c>
    </row>
    <row r="1681" spans="1:5">
      <c r="A1681" s="123">
        <f t="shared" si="52"/>
        <v>1679</v>
      </c>
      <c r="B1681" s="122">
        <f>IF(DAY(A1681)=DAY('F-Ahorro Futuro Genérico'!$H$11),'F-Ahorro Futuro Genérico'!$H$9,0)</f>
        <v>0</v>
      </c>
      <c r="C1681" s="122">
        <f t="shared" si="53"/>
        <v>0</v>
      </c>
      <c r="D1681" s="121">
        <f>ROUND(C1681*'FR_Mantenimiento tasas'!$C$43/360,5)</f>
        <v>0</v>
      </c>
      <c r="E1681" s="121">
        <f>ROUND(C1681*'FR_Mantenimiento tasas'!$D$43/360,5)</f>
        <v>0</v>
      </c>
    </row>
    <row r="1682" spans="1:5">
      <c r="A1682" s="123">
        <f t="shared" si="52"/>
        <v>1680</v>
      </c>
      <c r="B1682" s="122">
        <f>IF(DAY(A1682)=DAY('F-Ahorro Futuro Genérico'!$H$11),'F-Ahorro Futuro Genérico'!$H$9,0)</f>
        <v>0</v>
      </c>
      <c r="C1682" s="122">
        <f t="shared" si="53"/>
        <v>0</v>
      </c>
      <c r="D1682" s="121">
        <f>ROUND(C1682*'FR_Mantenimiento tasas'!$C$43/360,5)</f>
        <v>0</v>
      </c>
      <c r="E1682" s="121">
        <f>ROUND(C1682*'FR_Mantenimiento tasas'!$D$43/360,5)</f>
        <v>0</v>
      </c>
    </row>
    <row r="1683" spans="1:5">
      <c r="A1683" s="123">
        <f t="shared" si="52"/>
        <v>1681</v>
      </c>
      <c r="B1683" s="122">
        <f>IF(DAY(A1683)=DAY('F-Ahorro Futuro Genérico'!$H$11),'F-Ahorro Futuro Genérico'!$H$9,0)</f>
        <v>0</v>
      </c>
      <c r="C1683" s="122">
        <f t="shared" si="53"/>
        <v>0</v>
      </c>
      <c r="D1683" s="121">
        <f>ROUND(C1683*'FR_Mantenimiento tasas'!$C$43/360,5)</f>
        <v>0</v>
      </c>
      <c r="E1683" s="121">
        <f>ROUND(C1683*'FR_Mantenimiento tasas'!$D$43/360,5)</f>
        <v>0</v>
      </c>
    </row>
    <row r="1684" spans="1:5">
      <c r="A1684" s="123">
        <f t="shared" si="52"/>
        <v>1682</v>
      </c>
      <c r="B1684" s="122">
        <f>IF(DAY(A1684)=DAY('F-Ahorro Futuro Genérico'!$H$11),'F-Ahorro Futuro Genérico'!$H$9,0)</f>
        <v>0</v>
      </c>
      <c r="C1684" s="122">
        <f t="shared" si="53"/>
        <v>0</v>
      </c>
      <c r="D1684" s="121">
        <f>ROUND(C1684*'FR_Mantenimiento tasas'!$C$43/360,5)</f>
        <v>0</v>
      </c>
      <c r="E1684" s="121">
        <f>ROUND(C1684*'FR_Mantenimiento tasas'!$D$43/360,5)</f>
        <v>0</v>
      </c>
    </row>
    <row r="1685" spans="1:5">
      <c r="A1685" s="123">
        <f t="shared" si="52"/>
        <v>1683</v>
      </c>
      <c r="B1685" s="122">
        <f>IF(DAY(A1685)=DAY('F-Ahorro Futuro Genérico'!$H$11),'F-Ahorro Futuro Genérico'!$H$9,0)</f>
        <v>0</v>
      </c>
      <c r="C1685" s="122">
        <f t="shared" si="53"/>
        <v>0</v>
      </c>
      <c r="D1685" s="121">
        <f>ROUND(C1685*'FR_Mantenimiento tasas'!$C$43/360,5)</f>
        <v>0</v>
      </c>
      <c r="E1685" s="121">
        <f>ROUND(C1685*'FR_Mantenimiento tasas'!$D$43/360,5)</f>
        <v>0</v>
      </c>
    </row>
    <row r="1686" spans="1:5">
      <c r="A1686" s="123">
        <f t="shared" si="52"/>
        <v>1684</v>
      </c>
      <c r="B1686" s="122">
        <f>IF(DAY(A1686)=DAY('F-Ahorro Futuro Genérico'!$H$11),'F-Ahorro Futuro Genérico'!$H$9,0)</f>
        <v>0</v>
      </c>
      <c r="C1686" s="122">
        <f t="shared" si="53"/>
        <v>0</v>
      </c>
      <c r="D1686" s="121">
        <f>ROUND(C1686*'FR_Mantenimiento tasas'!$C$43/360,5)</f>
        <v>0</v>
      </c>
      <c r="E1686" s="121">
        <f>ROUND(C1686*'FR_Mantenimiento tasas'!$D$43/360,5)</f>
        <v>0</v>
      </c>
    </row>
    <row r="1687" spans="1:5">
      <c r="A1687" s="123">
        <f t="shared" si="52"/>
        <v>1685</v>
      </c>
      <c r="B1687" s="122">
        <f>IF(DAY(A1687)=DAY('F-Ahorro Futuro Genérico'!$H$11),'F-Ahorro Futuro Genérico'!$H$9,0)</f>
        <v>0</v>
      </c>
      <c r="C1687" s="122">
        <f t="shared" si="53"/>
        <v>0</v>
      </c>
      <c r="D1687" s="121">
        <f>ROUND(C1687*'FR_Mantenimiento tasas'!$C$43/360,5)</f>
        <v>0</v>
      </c>
      <c r="E1687" s="121">
        <f>ROUND(C1687*'FR_Mantenimiento tasas'!$D$43/360,5)</f>
        <v>0</v>
      </c>
    </row>
    <row r="1688" spans="1:5">
      <c r="A1688" s="123">
        <f t="shared" si="52"/>
        <v>1686</v>
      </c>
      <c r="B1688" s="122">
        <f>IF(DAY(A1688)=DAY('F-Ahorro Futuro Genérico'!$H$11),'F-Ahorro Futuro Genérico'!$H$9,0)</f>
        <v>0</v>
      </c>
      <c r="C1688" s="122">
        <f t="shared" si="53"/>
        <v>0</v>
      </c>
      <c r="D1688" s="121">
        <f>ROUND(C1688*'FR_Mantenimiento tasas'!$C$43/360,5)</f>
        <v>0</v>
      </c>
      <c r="E1688" s="121">
        <f>ROUND(C1688*'FR_Mantenimiento tasas'!$D$43/360,5)</f>
        <v>0</v>
      </c>
    </row>
    <row r="1689" spans="1:5">
      <c r="A1689" s="123">
        <f t="shared" si="52"/>
        <v>1687</v>
      </c>
      <c r="B1689" s="122">
        <f>IF(DAY(A1689)=DAY('F-Ahorro Futuro Genérico'!$H$11),'F-Ahorro Futuro Genérico'!$H$9,0)</f>
        <v>0</v>
      </c>
      <c r="C1689" s="122">
        <f t="shared" si="53"/>
        <v>0</v>
      </c>
      <c r="D1689" s="121">
        <f>ROUND(C1689*'FR_Mantenimiento tasas'!$C$43/360,5)</f>
        <v>0</v>
      </c>
      <c r="E1689" s="121">
        <f>ROUND(C1689*'FR_Mantenimiento tasas'!$D$43/360,5)</f>
        <v>0</v>
      </c>
    </row>
    <row r="1690" spans="1:5">
      <c r="A1690" s="123">
        <f t="shared" si="52"/>
        <v>1688</v>
      </c>
      <c r="B1690" s="122">
        <f>IF(DAY(A1690)=DAY('F-Ahorro Futuro Genérico'!$H$11),'F-Ahorro Futuro Genérico'!$H$9,0)</f>
        <v>0</v>
      </c>
      <c r="C1690" s="122">
        <f t="shared" si="53"/>
        <v>0</v>
      </c>
      <c r="D1690" s="121">
        <f>ROUND(C1690*'FR_Mantenimiento tasas'!$C$43/360,5)</f>
        <v>0</v>
      </c>
      <c r="E1690" s="121">
        <f>ROUND(C1690*'FR_Mantenimiento tasas'!$D$43/360,5)</f>
        <v>0</v>
      </c>
    </row>
    <row r="1691" spans="1:5">
      <c r="A1691" s="123">
        <f t="shared" si="52"/>
        <v>1689</v>
      </c>
      <c r="B1691" s="122">
        <f>IF(DAY(A1691)=DAY('F-Ahorro Futuro Genérico'!$H$11),'F-Ahorro Futuro Genérico'!$H$9,0)</f>
        <v>0</v>
      </c>
      <c r="C1691" s="122">
        <f t="shared" si="53"/>
        <v>0</v>
      </c>
      <c r="D1691" s="121">
        <f>ROUND(C1691*'FR_Mantenimiento tasas'!$C$43/360,5)</f>
        <v>0</v>
      </c>
      <c r="E1691" s="121">
        <f>ROUND(C1691*'FR_Mantenimiento tasas'!$D$43/360,5)</f>
        <v>0</v>
      </c>
    </row>
    <row r="1692" spans="1:5">
      <c r="A1692" s="123">
        <f t="shared" si="52"/>
        <v>1690</v>
      </c>
      <c r="B1692" s="122">
        <f>IF(DAY(A1692)=DAY('F-Ahorro Futuro Genérico'!$H$11),'F-Ahorro Futuro Genérico'!$H$9,0)</f>
        <v>0</v>
      </c>
      <c r="C1692" s="122">
        <f t="shared" si="53"/>
        <v>0</v>
      </c>
      <c r="D1692" s="121">
        <f>ROUND(C1692*'FR_Mantenimiento tasas'!$C$43/360,5)</f>
        <v>0</v>
      </c>
      <c r="E1692" s="121">
        <f>ROUND(C1692*'FR_Mantenimiento tasas'!$D$43/360,5)</f>
        <v>0</v>
      </c>
    </row>
    <row r="1693" spans="1:5">
      <c r="A1693" s="123">
        <f t="shared" si="52"/>
        <v>1691</v>
      </c>
      <c r="B1693" s="122">
        <f>IF(DAY(A1693)=DAY('F-Ahorro Futuro Genérico'!$H$11),'F-Ahorro Futuro Genérico'!$H$9,0)</f>
        <v>0</v>
      </c>
      <c r="C1693" s="122">
        <f t="shared" si="53"/>
        <v>0</v>
      </c>
      <c r="D1693" s="121">
        <f>ROUND(C1693*'FR_Mantenimiento tasas'!$C$43/360,5)</f>
        <v>0</v>
      </c>
      <c r="E1693" s="121">
        <f>ROUND(C1693*'FR_Mantenimiento tasas'!$D$43/360,5)</f>
        <v>0</v>
      </c>
    </row>
    <row r="1694" spans="1:5">
      <c r="A1694" s="123">
        <f t="shared" si="52"/>
        <v>1692</v>
      </c>
      <c r="B1694" s="122">
        <f>IF(DAY(A1694)=DAY('F-Ahorro Futuro Genérico'!$H$11),'F-Ahorro Futuro Genérico'!$H$9,0)</f>
        <v>0</v>
      </c>
      <c r="C1694" s="122">
        <f t="shared" si="53"/>
        <v>0</v>
      </c>
      <c r="D1694" s="121">
        <f>ROUND(C1694*'FR_Mantenimiento tasas'!$C$43/360,5)</f>
        <v>0</v>
      </c>
      <c r="E1694" s="121">
        <f>ROUND(C1694*'FR_Mantenimiento tasas'!$D$43/360,5)</f>
        <v>0</v>
      </c>
    </row>
    <row r="1695" spans="1:5">
      <c r="A1695" s="123">
        <f t="shared" si="52"/>
        <v>1693</v>
      </c>
      <c r="B1695" s="122">
        <f>IF(DAY(A1695)=DAY('F-Ahorro Futuro Genérico'!$H$11),'F-Ahorro Futuro Genérico'!$H$9,0)</f>
        <v>0</v>
      </c>
      <c r="C1695" s="122">
        <f t="shared" si="53"/>
        <v>0</v>
      </c>
      <c r="D1695" s="121">
        <f>ROUND(C1695*'FR_Mantenimiento tasas'!$C$43/360,5)</f>
        <v>0</v>
      </c>
      <c r="E1695" s="121">
        <f>ROUND(C1695*'FR_Mantenimiento tasas'!$D$43/360,5)</f>
        <v>0</v>
      </c>
    </row>
    <row r="1696" spans="1:5">
      <c r="A1696" s="123">
        <f t="shared" si="52"/>
        <v>1694</v>
      </c>
      <c r="B1696" s="122">
        <f>IF(DAY(A1696)=DAY('F-Ahorro Futuro Genérico'!$H$11),'F-Ahorro Futuro Genérico'!$H$9,0)</f>
        <v>0</v>
      </c>
      <c r="C1696" s="122">
        <f t="shared" si="53"/>
        <v>0</v>
      </c>
      <c r="D1696" s="121">
        <f>ROUND(C1696*'FR_Mantenimiento tasas'!$C$43/360,5)</f>
        <v>0</v>
      </c>
      <c r="E1696" s="121">
        <f>ROUND(C1696*'FR_Mantenimiento tasas'!$D$43/360,5)</f>
        <v>0</v>
      </c>
    </row>
    <row r="1697" spans="1:5">
      <c r="A1697" s="123">
        <f t="shared" si="52"/>
        <v>1695</v>
      </c>
      <c r="B1697" s="122">
        <f>IF(DAY(A1697)=DAY('F-Ahorro Futuro Genérico'!$H$11),'F-Ahorro Futuro Genérico'!$H$9,0)</f>
        <v>0</v>
      </c>
      <c r="C1697" s="122">
        <f t="shared" si="53"/>
        <v>0</v>
      </c>
      <c r="D1697" s="121">
        <f>ROUND(C1697*'FR_Mantenimiento tasas'!$C$43/360,5)</f>
        <v>0</v>
      </c>
      <c r="E1697" s="121">
        <f>ROUND(C1697*'FR_Mantenimiento tasas'!$D$43/360,5)</f>
        <v>0</v>
      </c>
    </row>
    <row r="1698" spans="1:5">
      <c r="A1698" s="123">
        <f t="shared" si="52"/>
        <v>1696</v>
      </c>
      <c r="B1698" s="122">
        <f>IF(DAY(A1698)=DAY('F-Ahorro Futuro Genérico'!$H$11),'F-Ahorro Futuro Genérico'!$H$9,0)</f>
        <v>0</v>
      </c>
      <c r="C1698" s="122">
        <f t="shared" si="53"/>
        <v>0</v>
      </c>
      <c r="D1698" s="121">
        <f>ROUND(C1698*'FR_Mantenimiento tasas'!$C$43/360,5)</f>
        <v>0</v>
      </c>
      <c r="E1698" s="121">
        <f>ROUND(C1698*'FR_Mantenimiento tasas'!$D$43/360,5)</f>
        <v>0</v>
      </c>
    </row>
    <row r="1699" spans="1:5">
      <c r="A1699" s="123">
        <f t="shared" si="52"/>
        <v>1697</v>
      </c>
      <c r="B1699" s="122">
        <f>IF(DAY(A1699)=DAY('F-Ahorro Futuro Genérico'!$H$11),'F-Ahorro Futuro Genérico'!$H$9,0)</f>
        <v>0</v>
      </c>
      <c r="C1699" s="122">
        <f t="shared" si="53"/>
        <v>0</v>
      </c>
      <c r="D1699" s="121">
        <f>ROUND(C1699*'FR_Mantenimiento tasas'!$C$43/360,5)</f>
        <v>0</v>
      </c>
      <c r="E1699" s="121">
        <f>ROUND(C1699*'FR_Mantenimiento tasas'!$D$43/360,5)</f>
        <v>0</v>
      </c>
    </row>
    <row r="1700" spans="1:5">
      <c r="A1700" s="123">
        <f t="shared" si="52"/>
        <v>1698</v>
      </c>
      <c r="B1700" s="122">
        <f>IF(DAY(A1700)=DAY('F-Ahorro Futuro Genérico'!$H$11),'F-Ahorro Futuro Genérico'!$H$9,0)</f>
        <v>0</v>
      </c>
      <c r="C1700" s="122">
        <f t="shared" si="53"/>
        <v>0</v>
      </c>
      <c r="D1700" s="121">
        <f>ROUND(C1700*'FR_Mantenimiento tasas'!$C$43/360,5)</f>
        <v>0</v>
      </c>
      <c r="E1700" s="121">
        <f>ROUND(C1700*'FR_Mantenimiento tasas'!$D$43/360,5)</f>
        <v>0</v>
      </c>
    </row>
    <row r="1701" spans="1:5">
      <c r="A1701" s="123">
        <f t="shared" si="52"/>
        <v>1699</v>
      </c>
      <c r="B1701" s="122">
        <f>IF(DAY(A1701)=DAY('F-Ahorro Futuro Genérico'!$H$11),'F-Ahorro Futuro Genérico'!$H$9,0)</f>
        <v>0</v>
      </c>
      <c r="C1701" s="122">
        <f t="shared" si="53"/>
        <v>0</v>
      </c>
      <c r="D1701" s="121">
        <f>ROUND(C1701*'FR_Mantenimiento tasas'!$C$43/360,5)</f>
        <v>0</v>
      </c>
      <c r="E1701" s="121">
        <f>ROUND(C1701*'FR_Mantenimiento tasas'!$D$43/360,5)</f>
        <v>0</v>
      </c>
    </row>
    <row r="1702" spans="1:5">
      <c r="A1702" s="123">
        <f t="shared" si="52"/>
        <v>1700</v>
      </c>
      <c r="B1702" s="122">
        <f>IF(DAY(A1702)=DAY('F-Ahorro Futuro Genérico'!$H$11),'F-Ahorro Futuro Genérico'!$H$9,0)</f>
        <v>0</v>
      </c>
      <c r="C1702" s="122">
        <f t="shared" si="53"/>
        <v>0</v>
      </c>
      <c r="D1702" s="121">
        <f>ROUND(C1702*'FR_Mantenimiento tasas'!$C$43/360,5)</f>
        <v>0</v>
      </c>
      <c r="E1702" s="121">
        <f>ROUND(C1702*'FR_Mantenimiento tasas'!$D$43/360,5)</f>
        <v>0</v>
      </c>
    </row>
    <row r="1703" spans="1:5">
      <c r="A1703" s="123">
        <f t="shared" si="52"/>
        <v>1701</v>
      </c>
      <c r="B1703" s="122">
        <f>IF(DAY(A1703)=DAY('F-Ahorro Futuro Genérico'!$H$11),'F-Ahorro Futuro Genérico'!$H$9,0)</f>
        <v>0</v>
      </c>
      <c r="C1703" s="122">
        <f t="shared" si="53"/>
        <v>0</v>
      </c>
      <c r="D1703" s="121">
        <f>ROUND(C1703*'FR_Mantenimiento tasas'!$C$43/360,5)</f>
        <v>0</v>
      </c>
      <c r="E1703" s="121">
        <f>ROUND(C1703*'FR_Mantenimiento tasas'!$D$43/360,5)</f>
        <v>0</v>
      </c>
    </row>
    <row r="1704" spans="1:5">
      <c r="A1704" s="123">
        <f t="shared" si="52"/>
        <v>1702</v>
      </c>
      <c r="B1704" s="122">
        <f>IF(DAY(A1704)=DAY('F-Ahorro Futuro Genérico'!$H$11),'F-Ahorro Futuro Genérico'!$H$9,0)</f>
        <v>0</v>
      </c>
      <c r="C1704" s="122">
        <f t="shared" si="53"/>
        <v>0</v>
      </c>
      <c r="D1704" s="121">
        <f>ROUND(C1704*'FR_Mantenimiento tasas'!$C$43/360,5)</f>
        <v>0</v>
      </c>
      <c r="E1704" s="121">
        <f>ROUND(C1704*'FR_Mantenimiento tasas'!$D$43/360,5)</f>
        <v>0</v>
      </c>
    </row>
    <row r="1705" spans="1:5">
      <c r="A1705" s="123">
        <f t="shared" si="52"/>
        <v>1703</v>
      </c>
      <c r="B1705" s="122">
        <f>IF(DAY(A1705)=DAY('F-Ahorro Futuro Genérico'!$H$11),'F-Ahorro Futuro Genérico'!$H$9,0)</f>
        <v>0</v>
      </c>
      <c r="C1705" s="122">
        <f t="shared" si="53"/>
        <v>0</v>
      </c>
      <c r="D1705" s="121">
        <f>ROUND(C1705*'FR_Mantenimiento tasas'!$C$43/360,5)</f>
        <v>0</v>
      </c>
      <c r="E1705" s="121">
        <f>ROUND(C1705*'FR_Mantenimiento tasas'!$D$43/360,5)</f>
        <v>0</v>
      </c>
    </row>
    <row r="1706" spans="1:5">
      <c r="A1706" s="123">
        <f t="shared" si="52"/>
        <v>1704</v>
      </c>
      <c r="B1706" s="122">
        <f>IF(DAY(A1706)=DAY('F-Ahorro Futuro Genérico'!$H$11),'F-Ahorro Futuro Genérico'!$H$9,0)</f>
        <v>0</v>
      </c>
      <c r="C1706" s="122">
        <f t="shared" si="53"/>
        <v>0</v>
      </c>
      <c r="D1706" s="121">
        <f>ROUND(C1706*'FR_Mantenimiento tasas'!$C$43/360,5)</f>
        <v>0</v>
      </c>
      <c r="E1706" s="121">
        <f>ROUND(C1706*'FR_Mantenimiento tasas'!$D$43/360,5)</f>
        <v>0</v>
      </c>
    </row>
    <row r="1707" spans="1:5">
      <c r="A1707" s="123">
        <f t="shared" si="52"/>
        <v>1705</v>
      </c>
      <c r="B1707" s="122">
        <f>IF(DAY(A1707)=DAY('F-Ahorro Futuro Genérico'!$H$11),'F-Ahorro Futuro Genérico'!$H$9,0)</f>
        <v>0</v>
      </c>
      <c r="C1707" s="122">
        <f t="shared" si="53"/>
        <v>0</v>
      </c>
      <c r="D1707" s="121">
        <f>ROUND(C1707*'FR_Mantenimiento tasas'!$C$43/360,5)</f>
        <v>0</v>
      </c>
      <c r="E1707" s="121">
        <f>ROUND(C1707*'FR_Mantenimiento tasas'!$D$43/360,5)</f>
        <v>0</v>
      </c>
    </row>
    <row r="1708" spans="1:5">
      <c r="A1708" s="123">
        <f t="shared" si="52"/>
        <v>1706</v>
      </c>
      <c r="B1708" s="122">
        <f>IF(DAY(A1708)=DAY('F-Ahorro Futuro Genérico'!$H$11),'F-Ahorro Futuro Genérico'!$H$9,0)</f>
        <v>0</v>
      </c>
      <c r="C1708" s="122">
        <f t="shared" si="53"/>
        <v>0</v>
      </c>
      <c r="D1708" s="121">
        <f>ROUND(C1708*'FR_Mantenimiento tasas'!$C$43/360,5)</f>
        <v>0</v>
      </c>
      <c r="E1708" s="121">
        <f>ROUND(C1708*'FR_Mantenimiento tasas'!$D$43/360,5)</f>
        <v>0</v>
      </c>
    </row>
    <row r="1709" spans="1:5">
      <c r="A1709" s="123">
        <f t="shared" si="52"/>
        <v>1707</v>
      </c>
      <c r="B1709" s="122">
        <f>IF(DAY(A1709)=DAY('F-Ahorro Futuro Genérico'!$H$11),'F-Ahorro Futuro Genérico'!$H$9,0)</f>
        <v>0</v>
      </c>
      <c r="C1709" s="122">
        <f t="shared" si="53"/>
        <v>0</v>
      </c>
      <c r="D1709" s="121">
        <f>ROUND(C1709*'FR_Mantenimiento tasas'!$C$43/360,5)</f>
        <v>0</v>
      </c>
      <c r="E1709" s="121">
        <f>ROUND(C1709*'FR_Mantenimiento tasas'!$D$43/360,5)</f>
        <v>0</v>
      </c>
    </row>
    <row r="1710" spans="1:5">
      <c r="A1710" s="123">
        <f t="shared" si="52"/>
        <v>1708</v>
      </c>
      <c r="B1710" s="122">
        <f>IF(DAY(A1710)=DAY('F-Ahorro Futuro Genérico'!$H$11),'F-Ahorro Futuro Genérico'!$H$9,0)</f>
        <v>0</v>
      </c>
      <c r="C1710" s="122">
        <f t="shared" si="53"/>
        <v>0</v>
      </c>
      <c r="D1710" s="121">
        <f>ROUND(C1710*'FR_Mantenimiento tasas'!$C$43/360,5)</f>
        <v>0</v>
      </c>
      <c r="E1710" s="121">
        <f>ROUND(C1710*'FR_Mantenimiento tasas'!$D$43/360,5)</f>
        <v>0</v>
      </c>
    </row>
    <row r="1711" spans="1:5">
      <c r="A1711" s="123">
        <f t="shared" si="52"/>
        <v>1709</v>
      </c>
      <c r="B1711" s="122">
        <f>IF(DAY(A1711)=DAY('F-Ahorro Futuro Genérico'!$H$11),'F-Ahorro Futuro Genérico'!$H$9,0)</f>
        <v>0</v>
      </c>
      <c r="C1711" s="122">
        <f t="shared" si="53"/>
        <v>0</v>
      </c>
      <c r="D1711" s="121">
        <f>ROUND(C1711*'FR_Mantenimiento tasas'!$C$43/360,5)</f>
        <v>0</v>
      </c>
      <c r="E1711" s="121">
        <f>ROUND(C1711*'FR_Mantenimiento tasas'!$D$43/360,5)</f>
        <v>0</v>
      </c>
    </row>
    <row r="1712" spans="1:5">
      <c r="A1712" s="123">
        <f t="shared" si="52"/>
        <v>1710</v>
      </c>
      <c r="B1712" s="122">
        <f>IF(DAY(A1712)=DAY('F-Ahorro Futuro Genérico'!$H$11),'F-Ahorro Futuro Genérico'!$H$9,0)</f>
        <v>0</v>
      </c>
      <c r="C1712" s="122">
        <f t="shared" si="53"/>
        <v>0</v>
      </c>
      <c r="D1712" s="121">
        <f>ROUND(C1712*'FR_Mantenimiento tasas'!$C$43/360,5)</f>
        <v>0</v>
      </c>
      <c r="E1712" s="121">
        <f>ROUND(C1712*'FR_Mantenimiento tasas'!$D$43/360,5)</f>
        <v>0</v>
      </c>
    </row>
    <row r="1713" spans="1:5">
      <c r="A1713" s="123">
        <f t="shared" si="52"/>
        <v>1711</v>
      </c>
      <c r="B1713" s="122">
        <f>IF(DAY(A1713)=DAY('F-Ahorro Futuro Genérico'!$H$11),'F-Ahorro Futuro Genérico'!$H$9,0)</f>
        <v>0</v>
      </c>
      <c r="C1713" s="122">
        <f t="shared" si="53"/>
        <v>0</v>
      </c>
      <c r="D1713" s="121">
        <f>ROUND(C1713*'FR_Mantenimiento tasas'!$C$43/360,5)</f>
        <v>0</v>
      </c>
      <c r="E1713" s="121">
        <f>ROUND(C1713*'FR_Mantenimiento tasas'!$D$43/360,5)</f>
        <v>0</v>
      </c>
    </row>
    <row r="1714" spans="1:5">
      <c r="A1714" s="123">
        <f t="shared" si="52"/>
        <v>1712</v>
      </c>
      <c r="B1714" s="122">
        <f>IF(DAY(A1714)=DAY('F-Ahorro Futuro Genérico'!$H$11),'F-Ahorro Futuro Genérico'!$H$9,0)</f>
        <v>0</v>
      </c>
      <c r="C1714" s="122">
        <f t="shared" si="53"/>
        <v>0</v>
      </c>
      <c r="D1714" s="121">
        <f>ROUND(C1714*'FR_Mantenimiento tasas'!$C$43/360,5)</f>
        <v>0</v>
      </c>
      <c r="E1714" s="121">
        <f>ROUND(C1714*'FR_Mantenimiento tasas'!$D$43/360,5)</f>
        <v>0</v>
      </c>
    </row>
    <row r="1715" spans="1:5">
      <c r="A1715" s="123">
        <f t="shared" si="52"/>
        <v>1713</v>
      </c>
      <c r="B1715" s="122">
        <f>IF(DAY(A1715)=DAY('F-Ahorro Futuro Genérico'!$H$11),'F-Ahorro Futuro Genérico'!$H$9,0)</f>
        <v>0</v>
      </c>
      <c r="C1715" s="122">
        <f t="shared" si="53"/>
        <v>0</v>
      </c>
      <c r="D1715" s="121">
        <f>ROUND(C1715*'FR_Mantenimiento tasas'!$C$43/360,5)</f>
        <v>0</v>
      </c>
      <c r="E1715" s="121">
        <f>ROUND(C1715*'FR_Mantenimiento tasas'!$D$43/360,5)</f>
        <v>0</v>
      </c>
    </row>
    <row r="1716" spans="1:5">
      <c r="A1716" s="123">
        <f t="shared" si="52"/>
        <v>1714</v>
      </c>
      <c r="B1716" s="122">
        <f>IF(DAY(A1716)=DAY('F-Ahorro Futuro Genérico'!$H$11),'F-Ahorro Futuro Genérico'!$H$9,0)</f>
        <v>0</v>
      </c>
      <c r="C1716" s="122">
        <f t="shared" si="53"/>
        <v>0</v>
      </c>
      <c r="D1716" s="121">
        <f>ROUND(C1716*'FR_Mantenimiento tasas'!$C$43/360,5)</f>
        <v>0</v>
      </c>
      <c r="E1716" s="121">
        <f>ROUND(C1716*'FR_Mantenimiento tasas'!$D$43/360,5)</f>
        <v>0</v>
      </c>
    </row>
    <row r="1717" spans="1:5">
      <c r="A1717" s="123">
        <f t="shared" si="52"/>
        <v>1715</v>
      </c>
      <c r="B1717" s="122">
        <f>IF(DAY(A1717)=DAY('F-Ahorro Futuro Genérico'!$H$11),'F-Ahorro Futuro Genérico'!$H$9,0)</f>
        <v>0</v>
      </c>
      <c r="C1717" s="122">
        <f t="shared" si="53"/>
        <v>0</v>
      </c>
      <c r="D1717" s="121">
        <f>ROUND(C1717*'FR_Mantenimiento tasas'!$C$43/360,5)</f>
        <v>0</v>
      </c>
      <c r="E1717" s="121">
        <f>ROUND(C1717*'FR_Mantenimiento tasas'!$D$43/360,5)</f>
        <v>0</v>
      </c>
    </row>
    <row r="1718" spans="1:5">
      <c r="A1718" s="123">
        <f t="shared" si="52"/>
        <v>1716</v>
      </c>
      <c r="B1718" s="122">
        <f>IF(DAY(A1718)=DAY('F-Ahorro Futuro Genérico'!$H$11),'F-Ahorro Futuro Genérico'!$H$9,0)</f>
        <v>0</v>
      </c>
      <c r="C1718" s="122">
        <f t="shared" si="53"/>
        <v>0</v>
      </c>
      <c r="D1718" s="121">
        <f>ROUND(C1718*'FR_Mantenimiento tasas'!$C$43/360,5)</f>
        <v>0</v>
      </c>
      <c r="E1718" s="121">
        <f>ROUND(C1718*'FR_Mantenimiento tasas'!$D$43/360,5)</f>
        <v>0</v>
      </c>
    </row>
    <row r="1719" spans="1:5">
      <c r="A1719" s="123">
        <f t="shared" si="52"/>
        <v>1717</v>
      </c>
      <c r="B1719" s="122">
        <f>IF(DAY(A1719)=DAY('F-Ahorro Futuro Genérico'!$H$11),'F-Ahorro Futuro Genérico'!$H$9,0)</f>
        <v>0</v>
      </c>
      <c r="C1719" s="122">
        <f t="shared" si="53"/>
        <v>0</v>
      </c>
      <c r="D1719" s="121">
        <f>ROUND(C1719*'FR_Mantenimiento tasas'!$C$43/360,5)</f>
        <v>0</v>
      </c>
      <c r="E1719" s="121">
        <f>ROUND(C1719*'FR_Mantenimiento tasas'!$D$43/360,5)</f>
        <v>0</v>
      </c>
    </row>
    <row r="1720" spans="1:5">
      <c r="A1720" s="123">
        <f t="shared" si="52"/>
        <v>1718</v>
      </c>
      <c r="B1720" s="122">
        <f>IF(DAY(A1720)=DAY('F-Ahorro Futuro Genérico'!$H$11),'F-Ahorro Futuro Genérico'!$H$9,0)</f>
        <v>0</v>
      </c>
      <c r="C1720" s="122">
        <f t="shared" si="53"/>
        <v>0</v>
      </c>
      <c r="D1720" s="121">
        <f>ROUND(C1720*'FR_Mantenimiento tasas'!$C$43/360,5)</f>
        <v>0</v>
      </c>
      <c r="E1720" s="121">
        <f>ROUND(C1720*'FR_Mantenimiento tasas'!$D$43/360,5)</f>
        <v>0</v>
      </c>
    </row>
    <row r="1721" spans="1:5">
      <c r="A1721" s="123">
        <f t="shared" si="52"/>
        <v>1719</v>
      </c>
      <c r="B1721" s="122">
        <f>IF(DAY(A1721)=DAY('F-Ahorro Futuro Genérico'!$H$11),'F-Ahorro Futuro Genérico'!$H$9,0)</f>
        <v>0</v>
      </c>
      <c r="C1721" s="122">
        <f t="shared" si="53"/>
        <v>0</v>
      </c>
      <c r="D1721" s="121">
        <f>ROUND(C1721*'FR_Mantenimiento tasas'!$C$43/360,5)</f>
        <v>0</v>
      </c>
      <c r="E1721" s="121">
        <f>ROUND(C1721*'FR_Mantenimiento tasas'!$D$43/360,5)</f>
        <v>0</v>
      </c>
    </row>
    <row r="1722" spans="1:5">
      <c r="A1722" s="123">
        <f t="shared" si="52"/>
        <v>1720</v>
      </c>
      <c r="B1722" s="122">
        <f>IF(DAY(A1722)=DAY('F-Ahorro Futuro Genérico'!$H$11),'F-Ahorro Futuro Genérico'!$H$9,0)</f>
        <v>0</v>
      </c>
      <c r="C1722" s="122">
        <f t="shared" si="53"/>
        <v>0</v>
      </c>
      <c r="D1722" s="121">
        <f>ROUND(C1722*'FR_Mantenimiento tasas'!$C$43/360,5)</f>
        <v>0</v>
      </c>
      <c r="E1722" s="121">
        <f>ROUND(C1722*'FR_Mantenimiento tasas'!$D$43/360,5)</f>
        <v>0</v>
      </c>
    </row>
    <row r="1723" spans="1:5">
      <c r="A1723" s="123">
        <f t="shared" si="52"/>
        <v>1721</v>
      </c>
      <c r="B1723" s="122">
        <f>IF(DAY(A1723)=DAY('F-Ahorro Futuro Genérico'!$H$11),'F-Ahorro Futuro Genérico'!$H$9,0)</f>
        <v>0</v>
      </c>
      <c r="C1723" s="122">
        <f t="shared" si="53"/>
        <v>0</v>
      </c>
      <c r="D1723" s="121">
        <f>ROUND(C1723*'FR_Mantenimiento tasas'!$C$43/360,5)</f>
        <v>0</v>
      </c>
      <c r="E1723" s="121">
        <f>ROUND(C1723*'FR_Mantenimiento tasas'!$D$43/360,5)</f>
        <v>0</v>
      </c>
    </row>
    <row r="1724" spans="1:5">
      <c r="A1724" s="123">
        <f t="shared" si="52"/>
        <v>1722</v>
      </c>
      <c r="B1724" s="122">
        <f>IF(DAY(A1724)=DAY('F-Ahorro Futuro Genérico'!$H$11),'F-Ahorro Futuro Genérico'!$H$9,0)</f>
        <v>0</v>
      </c>
      <c r="C1724" s="122">
        <f t="shared" si="53"/>
        <v>0</v>
      </c>
      <c r="D1724" s="121">
        <f>ROUND(C1724*'FR_Mantenimiento tasas'!$C$43/360,5)</f>
        <v>0</v>
      </c>
      <c r="E1724" s="121">
        <f>ROUND(C1724*'FR_Mantenimiento tasas'!$D$43/360,5)</f>
        <v>0</v>
      </c>
    </row>
    <row r="1725" spans="1:5">
      <c r="A1725" s="123">
        <f t="shared" si="52"/>
        <v>1723</v>
      </c>
      <c r="B1725" s="122">
        <f>IF(DAY(A1725)=DAY('F-Ahorro Futuro Genérico'!$H$11),'F-Ahorro Futuro Genérico'!$H$9,0)</f>
        <v>0</v>
      </c>
      <c r="C1725" s="122">
        <f t="shared" si="53"/>
        <v>0</v>
      </c>
      <c r="D1725" s="121">
        <f>ROUND(C1725*'FR_Mantenimiento tasas'!$C$43/360,5)</f>
        <v>0</v>
      </c>
      <c r="E1725" s="121">
        <f>ROUND(C1725*'FR_Mantenimiento tasas'!$D$43/360,5)</f>
        <v>0</v>
      </c>
    </row>
    <row r="1726" spans="1:5">
      <c r="A1726" s="123">
        <f t="shared" si="52"/>
        <v>1724</v>
      </c>
      <c r="B1726" s="122">
        <f>IF(DAY(A1726)=DAY('F-Ahorro Futuro Genérico'!$H$11),'F-Ahorro Futuro Genérico'!$H$9,0)</f>
        <v>0</v>
      </c>
      <c r="C1726" s="122">
        <f t="shared" si="53"/>
        <v>0</v>
      </c>
      <c r="D1726" s="121">
        <f>ROUND(C1726*'FR_Mantenimiento tasas'!$C$43/360,5)</f>
        <v>0</v>
      </c>
      <c r="E1726" s="121">
        <f>ROUND(C1726*'FR_Mantenimiento tasas'!$D$43/360,5)</f>
        <v>0</v>
      </c>
    </row>
    <row r="1727" spans="1:5">
      <c r="A1727" s="123">
        <f t="shared" si="52"/>
        <v>1725</v>
      </c>
      <c r="B1727" s="122">
        <f>IF(DAY(A1727)=DAY('F-Ahorro Futuro Genérico'!$H$11),'F-Ahorro Futuro Genérico'!$H$9,0)</f>
        <v>0</v>
      </c>
      <c r="C1727" s="122">
        <f t="shared" si="53"/>
        <v>0</v>
      </c>
      <c r="D1727" s="121">
        <f>ROUND(C1727*'FR_Mantenimiento tasas'!$C$43/360,5)</f>
        <v>0</v>
      </c>
      <c r="E1727" s="121">
        <f>ROUND(C1727*'FR_Mantenimiento tasas'!$D$43/360,5)</f>
        <v>0</v>
      </c>
    </row>
    <row r="1728" spans="1:5">
      <c r="A1728" s="123">
        <f t="shared" si="52"/>
        <v>1726</v>
      </c>
      <c r="B1728" s="122">
        <f>IF(DAY(A1728)=DAY('F-Ahorro Futuro Genérico'!$H$11),'F-Ahorro Futuro Genérico'!$H$9,0)</f>
        <v>0</v>
      </c>
      <c r="C1728" s="122">
        <f t="shared" si="53"/>
        <v>0</v>
      </c>
      <c r="D1728" s="121">
        <f>ROUND(C1728*'FR_Mantenimiento tasas'!$C$43/360,5)</f>
        <v>0</v>
      </c>
      <c r="E1728" s="121">
        <f>ROUND(C1728*'FR_Mantenimiento tasas'!$D$43/360,5)</f>
        <v>0</v>
      </c>
    </row>
    <row r="1729" spans="1:5">
      <c r="A1729" s="123">
        <f t="shared" si="52"/>
        <v>1727</v>
      </c>
      <c r="B1729" s="122">
        <f>IF(DAY(A1729)=DAY('F-Ahorro Futuro Genérico'!$H$11),'F-Ahorro Futuro Genérico'!$H$9,0)</f>
        <v>0</v>
      </c>
      <c r="C1729" s="122">
        <f t="shared" si="53"/>
        <v>0</v>
      </c>
      <c r="D1729" s="121">
        <f>ROUND(C1729*'FR_Mantenimiento tasas'!$C$43/360,5)</f>
        <v>0</v>
      </c>
      <c r="E1729" s="121">
        <f>ROUND(C1729*'FR_Mantenimiento tasas'!$D$43/360,5)</f>
        <v>0</v>
      </c>
    </row>
    <row r="1730" spans="1:5">
      <c r="A1730" s="123">
        <f t="shared" si="52"/>
        <v>1728</v>
      </c>
      <c r="B1730" s="122">
        <f>IF(DAY(A1730)=DAY('F-Ahorro Futuro Genérico'!$H$11),'F-Ahorro Futuro Genérico'!$H$9,0)</f>
        <v>0</v>
      </c>
      <c r="C1730" s="122">
        <f t="shared" si="53"/>
        <v>0</v>
      </c>
      <c r="D1730" s="121">
        <f>ROUND(C1730*'FR_Mantenimiento tasas'!$C$43/360,5)</f>
        <v>0</v>
      </c>
      <c r="E1730" s="121">
        <f>ROUND(C1730*'FR_Mantenimiento tasas'!$D$43/360,5)</f>
        <v>0</v>
      </c>
    </row>
    <row r="1731" spans="1:5">
      <c r="A1731" s="123">
        <f t="shared" si="52"/>
        <v>1729</v>
      </c>
      <c r="B1731" s="122">
        <f>IF(DAY(A1731)=DAY('F-Ahorro Futuro Genérico'!$H$11),'F-Ahorro Futuro Genérico'!$H$9,0)</f>
        <v>0</v>
      </c>
      <c r="C1731" s="122">
        <f t="shared" si="53"/>
        <v>0</v>
      </c>
      <c r="D1731" s="121">
        <f>ROUND(C1731*'FR_Mantenimiento tasas'!$C$43/360,5)</f>
        <v>0</v>
      </c>
      <c r="E1731" s="121">
        <f>ROUND(C1731*'FR_Mantenimiento tasas'!$D$43/360,5)</f>
        <v>0</v>
      </c>
    </row>
    <row r="1732" spans="1:5">
      <c r="A1732" s="123">
        <f t="shared" ref="A1732:A1795" si="54">+A1731+1</f>
        <v>1730</v>
      </c>
      <c r="B1732" s="122">
        <f>IF(DAY(A1732)=DAY('F-Ahorro Futuro Genérico'!$H$11),'F-Ahorro Futuro Genérico'!$H$9,0)</f>
        <v>0</v>
      </c>
      <c r="C1732" s="122">
        <f t="shared" ref="C1732:C1795" si="55">+B1732+C1731+D1731</f>
        <v>0</v>
      </c>
      <c r="D1732" s="121">
        <f>ROUND(C1732*'FR_Mantenimiento tasas'!$C$43/360,5)</f>
        <v>0</v>
      </c>
      <c r="E1732" s="121">
        <f>ROUND(C1732*'FR_Mantenimiento tasas'!$D$43/360,5)</f>
        <v>0</v>
      </c>
    </row>
    <row r="1733" spans="1:5">
      <c r="A1733" s="123">
        <f t="shared" si="54"/>
        <v>1731</v>
      </c>
      <c r="B1733" s="122">
        <f>IF(DAY(A1733)=DAY('F-Ahorro Futuro Genérico'!$H$11),'F-Ahorro Futuro Genérico'!$H$9,0)</f>
        <v>0</v>
      </c>
      <c r="C1733" s="122">
        <f t="shared" si="55"/>
        <v>0</v>
      </c>
      <c r="D1733" s="121">
        <f>ROUND(C1733*'FR_Mantenimiento tasas'!$C$43/360,5)</f>
        <v>0</v>
      </c>
      <c r="E1733" s="121">
        <f>ROUND(C1733*'FR_Mantenimiento tasas'!$D$43/360,5)</f>
        <v>0</v>
      </c>
    </row>
    <row r="1734" spans="1:5">
      <c r="A1734" s="123">
        <f t="shared" si="54"/>
        <v>1732</v>
      </c>
      <c r="B1734" s="122">
        <f>IF(DAY(A1734)=DAY('F-Ahorro Futuro Genérico'!$H$11),'F-Ahorro Futuro Genérico'!$H$9,0)</f>
        <v>0</v>
      </c>
      <c r="C1734" s="122">
        <f t="shared" si="55"/>
        <v>0</v>
      </c>
      <c r="D1734" s="121">
        <f>ROUND(C1734*'FR_Mantenimiento tasas'!$C$43/360,5)</f>
        <v>0</v>
      </c>
      <c r="E1734" s="121">
        <f>ROUND(C1734*'FR_Mantenimiento tasas'!$D$43/360,5)</f>
        <v>0</v>
      </c>
    </row>
    <row r="1735" spans="1:5">
      <c r="A1735" s="123">
        <f t="shared" si="54"/>
        <v>1733</v>
      </c>
      <c r="B1735" s="122">
        <f>IF(DAY(A1735)=DAY('F-Ahorro Futuro Genérico'!$H$11),'F-Ahorro Futuro Genérico'!$H$9,0)</f>
        <v>0</v>
      </c>
      <c r="C1735" s="122">
        <f t="shared" si="55"/>
        <v>0</v>
      </c>
      <c r="D1735" s="121">
        <f>ROUND(C1735*'FR_Mantenimiento tasas'!$C$43/360,5)</f>
        <v>0</v>
      </c>
      <c r="E1735" s="121">
        <f>ROUND(C1735*'FR_Mantenimiento tasas'!$D$43/360,5)</f>
        <v>0</v>
      </c>
    </row>
    <row r="1736" spans="1:5">
      <c r="A1736" s="123">
        <f t="shared" si="54"/>
        <v>1734</v>
      </c>
      <c r="B1736" s="122">
        <f>IF(DAY(A1736)=DAY('F-Ahorro Futuro Genérico'!$H$11),'F-Ahorro Futuro Genérico'!$H$9,0)</f>
        <v>0</v>
      </c>
      <c r="C1736" s="122">
        <f t="shared" si="55"/>
        <v>0</v>
      </c>
      <c r="D1736" s="121">
        <f>ROUND(C1736*'FR_Mantenimiento tasas'!$C$43/360,5)</f>
        <v>0</v>
      </c>
      <c r="E1736" s="121">
        <f>ROUND(C1736*'FR_Mantenimiento tasas'!$D$43/360,5)</f>
        <v>0</v>
      </c>
    </row>
    <row r="1737" spans="1:5">
      <c r="A1737" s="123">
        <f t="shared" si="54"/>
        <v>1735</v>
      </c>
      <c r="B1737" s="122">
        <f>IF(DAY(A1737)=DAY('F-Ahorro Futuro Genérico'!$H$11),'F-Ahorro Futuro Genérico'!$H$9,0)</f>
        <v>0</v>
      </c>
      <c r="C1737" s="122">
        <f t="shared" si="55"/>
        <v>0</v>
      </c>
      <c r="D1737" s="121">
        <f>ROUND(C1737*'FR_Mantenimiento tasas'!$C$43/360,5)</f>
        <v>0</v>
      </c>
      <c r="E1737" s="121">
        <f>ROUND(C1737*'FR_Mantenimiento tasas'!$D$43/360,5)</f>
        <v>0</v>
      </c>
    </row>
    <row r="1738" spans="1:5">
      <c r="A1738" s="123">
        <f t="shared" si="54"/>
        <v>1736</v>
      </c>
      <c r="B1738" s="122">
        <f>IF(DAY(A1738)=DAY('F-Ahorro Futuro Genérico'!$H$11),'F-Ahorro Futuro Genérico'!$H$9,0)</f>
        <v>0</v>
      </c>
      <c r="C1738" s="122">
        <f t="shared" si="55"/>
        <v>0</v>
      </c>
      <c r="D1738" s="121">
        <f>ROUND(C1738*'FR_Mantenimiento tasas'!$C$43/360,5)</f>
        <v>0</v>
      </c>
      <c r="E1738" s="121">
        <f>ROUND(C1738*'FR_Mantenimiento tasas'!$D$43/360,5)</f>
        <v>0</v>
      </c>
    </row>
    <row r="1739" spans="1:5">
      <c r="A1739" s="123">
        <f t="shared" si="54"/>
        <v>1737</v>
      </c>
      <c r="B1739" s="122">
        <f>IF(DAY(A1739)=DAY('F-Ahorro Futuro Genérico'!$H$11),'F-Ahorro Futuro Genérico'!$H$9,0)</f>
        <v>0</v>
      </c>
      <c r="C1739" s="122">
        <f t="shared" si="55"/>
        <v>0</v>
      </c>
      <c r="D1739" s="121">
        <f>ROUND(C1739*'FR_Mantenimiento tasas'!$C$43/360,5)</f>
        <v>0</v>
      </c>
      <c r="E1739" s="121">
        <f>ROUND(C1739*'FR_Mantenimiento tasas'!$D$43/360,5)</f>
        <v>0</v>
      </c>
    </row>
    <row r="1740" spans="1:5">
      <c r="A1740" s="123">
        <f t="shared" si="54"/>
        <v>1738</v>
      </c>
      <c r="B1740" s="122">
        <f>IF(DAY(A1740)=DAY('F-Ahorro Futuro Genérico'!$H$11),'F-Ahorro Futuro Genérico'!$H$9,0)</f>
        <v>0</v>
      </c>
      <c r="C1740" s="122">
        <f t="shared" si="55"/>
        <v>0</v>
      </c>
      <c r="D1740" s="121">
        <f>ROUND(C1740*'FR_Mantenimiento tasas'!$C$43/360,5)</f>
        <v>0</v>
      </c>
      <c r="E1740" s="121">
        <f>ROUND(C1740*'FR_Mantenimiento tasas'!$D$43/360,5)</f>
        <v>0</v>
      </c>
    </row>
    <row r="1741" spans="1:5">
      <c r="A1741" s="123">
        <f t="shared" si="54"/>
        <v>1739</v>
      </c>
      <c r="B1741" s="122">
        <f>IF(DAY(A1741)=DAY('F-Ahorro Futuro Genérico'!$H$11),'F-Ahorro Futuro Genérico'!$H$9,0)</f>
        <v>0</v>
      </c>
      <c r="C1741" s="122">
        <f t="shared" si="55"/>
        <v>0</v>
      </c>
      <c r="D1741" s="121">
        <f>ROUND(C1741*'FR_Mantenimiento tasas'!$C$43/360,5)</f>
        <v>0</v>
      </c>
      <c r="E1741" s="121">
        <f>ROUND(C1741*'FR_Mantenimiento tasas'!$D$43/360,5)</f>
        <v>0</v>
      </c>
    </row>
    <row r="1742" spans="1:5">
      <c r="A1742" s="123">
        <f t="shared" si="54"/>
        <v>1740</v>
      </c>
      <c r="B1742" s="122">
        <f>IF(DAY(A1742)=DAY('F-Ahorro Futuro Genérico'!$H$11),'F-Ahorro Futuro Genérico'!$H$9,0)</f>
        <v>0</v>
      </c>
      <c r="C1742" s="122">
        <f t="shared" si="55"/>
        <v>0</v>
      </c>
      <c r="D1742" s="121">
        <f>ROUND(C1742*'FR_Mantenimiento tasas'!$C$43/360,5)</f>
        <v>0</v>
      </c>
      <c r="E1742" s="121">
        <f>ROUND(C1742*'FR_Mantenimiento tasas'!$D$43/360,5)</f>
        <v>0</v>
      </c>
    </row>
    <row r="1743" spans="1:5">
      <c r="A1743" s="123">
        <f t="shared" si="54"/>
        <v>1741</v>
      </c>
      <c r="B1743" s="122">
        <f>IF(DAY(A1743)=DAY('F-Ahorro Futuro Genérico'!$H$11),'F-Ahorro Futuro Genérico'!$H$9,0)</f>
        <v>0</v>
      </c>
      <c r="C1743" s="122">
        <f t="shared" si="55"/>
        <v>0</v>
      </c>
      <c r="D1743" s="121">
        <f>ROUND(C1743*'FR_Mantenimiento tasas'!$C$43/360,5)</f>
        <v>0</v>
      </c>
      <c r="E1743" s="121">
        <f>ROUND(C1743*'FR_Mantenimiento tasas'!$D$43/360,5)</f>
        <v>0</v>
      </c>
    </row>
    <row r="1744" spans="1:5">
      <c r="A1744" s="123">
        <f t="shared" si="54"/>
        <v>1742</v>
      </c>
      <c r="B1744" s="122">
        <f>IF(DAY(A1744)=DAY('F-Ahorro Futuro Genérico'!$H$11),'F-Ahorro Futuro Genérico'!$H$9,0)</f>
        <v>0</v>
      </c>
      <c r="C1744" s="122">
        <f t="shared" si="55"/>
        <v>0</v>
      </c>
      <c r="D1744" s="121">
        <f>ROUND(C1744*'FR_Mantenimiento tasas'!$C$43/360,5)</f>
        <v>0</v>
      </c>
      <c r="E1744" s="121">
        <f>ROUND(C1744*'FR_Mantenimiento tasas'!$D$43/360,5)</f>
        <v>0</v>
      </c>
    </row>
    <row r="1745" spans="1:5">
      <c r="A1745" s="123">
        <f t="shared" si="54"/>
        <v>1743</v>
      </c>
      <c r="B1745" s="122">
        <f>IF(DAY(A1745)=DAY('F-Ahorro Futuro Genérico'!$H$11),'F-Ahorro Futuro Genérico'!$H$9,0)</f>
        <v>0</v>
      </c>
      <c r="C1745" s="122">
        <f t="shared" si="55"/>
        <v>0</v>
      </c>
      <c r="D1745" s="121">
        <f>ROUND(C1745*'FR_Mantenimiento tasas'!$C$43/360,5)</f>
        <v>0</v>
      </c>
      <c r="E1745" s="121">
        <f>ROUND(C1745*'FR_Mantenimiento tasas'!$D$43/360,5)</f>
        <v>0</v>
      </c>
    </row>
    <row r="1746" spans="1:5">
      <c r="A1746" s="123">
        <f t="shared" si="54"/>
        <v>1744</v>
      </c>
      <c r="B1746" s="122">
        <f>IF(DAY(A1746)=DAY('F-Ahorro Futuro Genérico'!$H$11),'F-Ahorro Futuro Genérico'!$H$9,0)</f>
        <v>0</v>
      </c>
      <c r="C1746" s="122">
        <f t="shared" si="55"/>
        <v>0</v>
      </c>
      <c r="D1746" s="121">
        <f>ROUND(C1746*'FR_Mantenimiento tasas'!$C$43/360,5)</f>
        <v>0</v>
      </c>
      <c r="E1746" s="121">
        <f>ROUND(C1746*'FR_Mantenimiento tasas'!$D$43/360,5)</f>
        <v>0</v>
      </c>
    </row>
    <row r="1747" spans="1:5">
      <c r="A1747" s="123">
        <f t="shared" si="54"/>
        <v>1745</v>
      </c>
      <c r="B1747" s="122">
        <f>IF(DAY(A1747)=DAY('F-Ahorro Futuro Genérico'!$H$11),'F-Ahorro Futuro Genérico'!$H$9,0)</f>
        <v>0</v>
      </c>
      <c r="C1747" s="122">
        <f t="shared" si="55"/>
        <v>0</v>
      </c>
      <c r="D1747" s="121">
        <f>ROUND(C1747*'FR_Mantenimiento tasas'!$C$43/360,5)</f>
        <v>0</v>
      </c>
      <c r="E1747" s="121">
        <f>ROUND(C1747*'FR_Mantenimiento tasas'!$D$43/360,5)</f>
        <v>0</v>
      </c>
    </row>
    <row r="1748" spans="1:5">
      <c r="A1748" s="123">
        <f t="shared" si="54"/>
        <v>1746</v>
      </c>
      <c r="B1748" s="122">
        <f>IF(DAY(A1748)=DAY('F-Ahorro Futuro Genérico'!$H$11),'F-Ahorro Futuro Genérico'!$H$9,0)</f>
        <v>0</v>
      </c>
      <c r="C1748" s="122">
        <f t="shared" si="55"/>
        <v>0</v>
      </c>
      <c r="D1748" s="121">
        <f>ROUND(C1748*'FR_Mantenimiento tasas'!$C$43/360,5)</f>
        <v>0</v>
      </c>
      <c r="E1748" s="121">
        <f>ROUND(C1748*'FR_Mantenimiento tasas'!$D$43/360,5)</f>
        <v>0</v>
      </c>
    </row>
    <row r="1749" spans="1:5">
      <c r="A1749" s="123">
        <f t="shared" si="54"/>
        <v>1747</v>
      </c>
      <c r="B1749" s="122">
        <f>IF(DAY(A1749)=DAY('F-Ahorro Futuro Genérico'!$H$11),'F-Ahorro Futuro Genérico'!$H$9,0)</f>
        <v>0</v>
      </c>
      <c r="C1749" s="122">
        <f t="shared" si="55"/>
        <v>0</v>
      </c>
      <c r="D1749" s="121">
        <f>ROUND(C1749*'FR_Mantenimiento tasas'!$C$43/360,5)</f>
        <v>0</v>
      </c>
      <c r="E1749" s="121">
        <f>ROUND(C1749*'FR_Mantenimiento tasas'!$D$43/360,5)</f>
        <v>0</v>
      </c>
    </row>
    <row r="1750" spans="1:5">
      <c r="A1750" s="123">
        <f t="shared" si="54"/>
        <v>1748</v>
      </c>
      <c r="B1750" s="122">
        <f>IF(DAY(A1750)=DAY('F-Ahorro Futuro Genérico'!$H$11),'F-Ahorro Futuro Genérico'!$H$9,0)</f>
        <v>0</v>
      </c>
      <c r="C1750" s="122">
        <f t="shared" si="55"/>
        <v>0</v>
      </c>
      <c r="D1750" s="121">
        <f>ROUND(C1750*'FR_Mantenimiento tasas'!$C$43/360,5)</f>
        <v>0</v>
      </c>
      <c r="E1750" s="121">
        <f>ROUND(C1750*'FR_Mantenimiento tasas'!$D$43/360,5)</f>
        <v>0</v>
      </c>
    </row>
    <row r="1751" spans="1:5">
      <c r="A1751" s="123">
        <f t="shared" si="54"/>
        <v>1749</v>
      </c>
      <c r="B1751" s="122">
        <f>IF(DAY(A1751)=DAY('F-Ahorro Futuro Genérico'!$H$11),'F-Ahorro Futuro Genérico'!$H$9,0)</f>
        <v>0</v>
      </c>
      <c r="C1751" s="122">
        <f t="shared" si="55"/>
        <v>0</v>
      </c>
      <c r="D1751" s="121">
        <f>ROUND(C1751*'FR_Mantenimiento tasas'!$C$43/360,5)</f>
        <v>0</v>
      </c>
      <c r="E1751" s="121">
        <f>ROUND(C1751*'FR_Mantenimiento tasas'!$D$43/360,5)</f>
        <v>0</v>
      </c>
    </row>
    <row r="1752" spans="1:5">
      <c r="A1752" s="123">
        <f t="shared" si="54"/>
        <v>1750</v>
      </c>
      <c r="B1752" s="122">
        <f>IF(DAY(A1752)=DAY('F-Ahorro Futuro Genérico'!$H$11),'F-Ahorro Futuro Genérico'!$H$9,0)</f>
        <v>0</v>
      </c>
      <c r="C1752" s="122">
        <f t="shared" si="55"/>
        <v>0</v>
      </c>
      <c r="D1752" s="121">
        <f>ROUND(C1752*'FR_Mantenimiento tasas'!$C$43/360,5)</f>
        <v>0</v>
      </c>
      <c r="E1752" s="121">
        <f>ROUND(C1752*'FR_Mantenimiento tasas'!$D$43/360,5)</f>
        <v>0</v>
      </c>
    </row>
    <row r="1753" spans="1:5">
      <c r="A1753" s="123">
        <f t="shared" si="54"/>
        <v>1751</v>
      </c>
      <c r="B1753" s="122">
        <f>IF(DAY(A1753)=DAY('F-Ahorro Futuro Genérico'!$H$11),'F-Ahorro Futuro Genérico'!$H$9,0)</f>
        <v>0</v>
      </c>
      <c r="C1753" s="122">
        <f t="shared" si="55"/>
        <v>0</v>
      </c>
      <c r="D1753" s="121">
        <f>ROUND(C1753*'FR_Mantenimiento tasas'!$C$43/360,5)</f>
        <v>0</v>
      </c>
      <c r="E1753" s="121">
        <f>ROUND(C1753*'FR_Mantenimiento tasas'!$D$43/360,5)</f>
        <v>0</v>
      </c>
    </row>
    <row r="1754" spans="1:5">
      <c r="A1754" s="123">
        <f t="shared" si="54"/>
        <v>1752</v>
      </c>
      <c r="B1754" s="122">
        <f>IF(DAY(A1754)=DAY('F-Ahorro Futuro Genérico'!$H$11),'F-Ahorro Futuro Genérico'!$H$9,0)</f>
        <v>0</v>
      </c>
      <c r="C1754" s="122">
        <f t="shared" si="55"/>
        <v>0</v>
      </c>
      <c r="D1754" s="121">
        <f>ROUND(C1754*'FR_Mantenimiento tasas'!$C$43/360,5)</f>
        <v>0</v>
      </c>
      <c r="E1754" s="121">
        <f>ROUND(C1754*'FR_Mantenimiento tasas'!$D$43/360,5)</f>
        <v>0</v>
      </c>
    </row>
    <row r="1755" spans="1:5">
      <c r="A1755" s="123">
        <f t="shared" si="54"/>
        <v>1753</v>
      </c>
      <c r="B1755" s="122">
        <f>IF(DAY(A1755)=DAY('F-Ahorro Futuro Genérico'!$H$11),'F-Ahorro Futuro Genérico'!$H$9,0)</f>
        <v>0</v>
      </c>
      <c r="C1755" s="122">
        <f t="shared" si="55"/>
        <v>0</v>
      </c>
      <c r="D1755" s="121">
        <f>ROUND(C1755*'FR_Mantenimiento tasas'!$C$43/360,5)</f>
        <v>0</v>
      </c>
      <c r="E1755" s="121">
        <f>ROUND(C1755*'FR_Mantenimiento tasas'!$D$43/360,5)</f>
        <v>0</v>
      </c>
    </row>
    <row r="1756" spans="1:5">
      <c r="A1756" s="123">
        <f t="shared" si="54"/>
        <v>1754</v>
      </c>
      <c r="B1756" s="122">
        <f>IF(DAY(A1756)=DAY('F-Ahorro Futuro Genérico'!$H$11),'F-Ahorro Futuro Genérico'!$H$9,0)</f>
        <v>0</v>
      </c>
      <c r="C1756" s="122">
        <f t="shared" si="55"/>
        <v>0</v>
      </c>
      <c r="D1756" s="121">
        <f>ROUND(C1756*'FR_Mantenimiento tasas'!$C$43/360,5)</f>
        <v>0</v>
      </c>
      <c r="E1756" s="121">
        <f>ROUND(C1756*'FR_Mantenimiento tasas'!$D$43/360,5)</f>
        <v>0</v>
      </c>
    </row>
    <row r="1757" spans="1:5">
      <c r="A1757" s="123">
        <f t="shared" si="54"/>
        <v>1755</v>
      </c>
      <c r="B1757" s="122">
        <f>IF(DAY(A1757)=DAY('F-Ahorro Futuro Genérico'!$H$11),'F-Ahorro Futuro Genérico'!$H$9,0)</f>
        <v>0</v>
      </c>
      <c r="C1757" s="122">
        <f t="shared" si="55"/>
        <v>0</v>
      </c>
      <c r="D1757" s="121">
        <f>ROUND(C1757*'FR_Mantenimiento tasas'!$C$43/360,5)</f>
        <v>0</v>
      </c>
      <c r="E1757" s="121">
        <f>ROUND(C1757*'FR_Mantenimiento tasas'!$D$43/360,5)</f>
        <v>0</v>
      </c>
    </row>
    <row r="1758" spans="1:5">
      <c r="A1758" s="123">
        <f t="shared" si="54"/>
        <v>1756</v>
      </c>
      <c r="B1758" s="122">
        <f>IF(DAY(A1758)=DAY('F-Ahorro Futuro Genérico'!$H$11),'F-Ahorro Futuro Genérico'!$H$9,0)</f>
        <v>0</v>
      </c>
      <c r="C1758" s="122">
        <f t="shared" si="55"/>
        <v>0</v>
      </c>
      <c r="D1758" s="121">
        <f>ROUND(C1758*'FR_Mantenimiento tasas'!$C$43/360,5)</f>
        <v>0</v>
      </c>
      <c r="E1758" s="121">
        <f>ROUND(C1758*'FR_Mantenimiento tasas'!$D$43/360,5)</f>
        <v>0</v>
      </c>
    </row>
    <row r="1759" spans="1:5">
      <c r="A1759" s="123">
        <f t="shared" si="54"/>
        <v>1757</v>
      </c>
      <c r="B1759" s="122">
        <f>IF(DAY(A1759)=DAY('F-Ahorro Futuro Genérico'!$H$11),'F-Ahorro Futuro Genérico'!$H$9,0)</f>
        <v>0</v>
      </c>
      <c r="C1759" s="122">
        <f t="shared" si="55"/>
        <v>0</v>
      </c>
      <c r="D1759" s="121">
        <f>ROUND(C1759*'FR_Mantenimiento tasas'!$C$43/360,5)</f>
        <v>0</v>
      </c>
      <c r="E1759" s="121">
        <f>ROUND(C1759*'FR_Mantenimiento tasas'!$D$43/360,5)</f>
        <v>0</v>
      </c>
    </row>
    <row r="1760" spans="1:5">
      <c r="A1760" s="123">
        <f t="shared" si="54"/>
        <v>1758</v>
      </c>
      <c r="B1760" s="122">
        <f>IF(DAY(A1760)=DAY('F-Ahorro Futuro Genérico'!$H$11),'F-Ahorro Futuro Genérico'!$H$9,0)</f>
        <v>0</v>
      </c>
      <c r="C1760" s="122">
        <f t="shared" si="55"/>
        <v>0</v>
      </c>
      <c r="D1760" s="121">
        <f>ROUND(C1760*'FR_Mantenimiento tasas'!$C$43/360,5)</f>
        <v>0</v>
      </c>
      <c r="E1760" s="121">
        <f>ROUND(C1760*'FR_Mantenimiento tasas'!$D$43/360,5)</f>
        <v>0</v>
      </c>
    </row>
    <row r="1761" spans="1:5">
      <c r="A1761" s="123">
        <f t="shared" si="54"/>
        <v>1759</v>
      </c>
      <c r="B1761" s="122">
        <f>IF(DAY(A1761)=DAY('F-Ahorro Futuro Genérico'!$H$11),'F-Ahorro Futuro Genérico'!$H$9,0)</f>
        <v>0</v>
      </c>
      <c r="C1761" s="122">
        <f t="shared" si="55"/>
        <v>0</v>
      </c>
      <c r="D1761" s="121">
        <f>ROUND(C1761*'FR_Mantenimiento tasas'!$C$43/360,5)</f>
        <v>0</v>
      </c>
      <c r="E1761" s="121">
        <f>ROUND(C1761*'FR_Mantenimiento tasas'!$D$43/360,5)</f>
        <v>0</v>
      </c>
    </row>
    <row r="1762" spans="1:5">
      <c r="A1762" s="123">
        <f t="shared" si="54"/>
        <v>1760</v>
      </c>
      <c r="B1762" s="122">
        <f>IF(DAY(A1762)=DAY('F-Ahorro Futuro Genérico'!$H$11),'F-Ahorro Futuro Genérico'!$H$9,0)</f>
        <v>0</v>
      </c>
      <c r="C1762" s="122">
        <f t="shared" si="55"/>
        <v>0</v>
      </c>
      <c r="D1762" s="121">
        <f>ROUND(C1762*'FR_Mantenimiento tasas'!$C$43/360,5)</f>
        <v>0</v>
      </c>
      <c r="E1762" s="121">
        <f>ROUND(C1762*'FR_Mantenimiento tasas'!$D$43/360,5)</f>
        <v>0</v>
      </c>
    </row>
    <row r="1763" spans="1:5">
      <c r="A1763" s="123">
        <f t="shared" si="54"/>
        <v>1761</v>
      </c>
      <c r="B1763" s="122">
        <f>IF(DAY(A1763)=DAY('F-Ahorro Futuro Genérico'!$H$11),'F-Ahorro Futuro Genérico'!$H$9,0)</f>
        <v>0</v>
      </c>
      <c r="C1763" s="122">
        <f t="shared" si="55"/>
        <v>0</v>
      </c>
      <c r="D1763" s="121">
        <f>ROUND(C1763*'FR_Mantenimiento tasas'!$C$43/360,5)</f>
        <v>0</v>
      </c>
      <c r="E1763" s="121">
        <f>ROUND(C1763*'FR_Mantenimiento tasas'!$D$43/360,5)</f>
        <v>0</v>
      </c>
    </row>
    <row r="1764" spans="1:5">
      <c r="A1764" s="123">
        <f t="shared" si="54"/>
        <v>1762</v>
      </c>
      <c r="B1764" s="122">
        <f>IF(DAY(A1764)=DAY('F-Ahorro Futuro Genérico'!$H$11),'F-Ahorro Futuro Genérico'!$H$9,0)</f>
        <v>0</v>
      </c>
      <c r="C1764" s="122">
        <f t="shared" si="55"/>
        <v>0</v>
      </c>
      <c r="D1764" s="121">
        <f>ROUND(C1764*'FR_Mantenimiento tasas'!$C$43/360,5)</f>
        <v>0</v>
      </c>
      <c r="E1764" s="121">
        <f>ROUND(C1764*'FR_Mantenimiento tasas'!$D$43/360,5)</f>
        <v>0</v>
      </c>
    </row>
    <row r="1765" spans="1:5">
      <c r="A1765" s="123">
        <f t="shared" si="54"/>
        <v>1763</v>
      </c>
      <c r="B1765" s="122">
        <f>IF(DAY(A1765)=DAY('F-Ahorro Futuro Genérico'!$H$11),'F-Ahorro Futuro Genérico'!$H$9,0)</f>
        <v>0</v>
      </c>
      <c r="C1765" s="122">
        <f t="shared" si="55"/>
        <v>0</v>
      </c>
      <c r="D1765" s="121">
        <f>ROUND(C1765*'FR_Mantenimiento tasas'!$C$43/360,5)</f>
        <v>0</v>
      </c>
      <c r="E1765" s="121">
        <f>ROUND(C1765*'FR_Mantenimiento tasas'!$D$43/360,5)</f>
        <v>0</v>
      </c>
    </row>
    <row r="1766" spans="1:5">
      <c r="A1766" s="123">
        <f t="shared" si="54"/>
        <v>1764</v>
      </c>
      <c r="B1766" s="122">
        <f>IF(DAY(A1766)=DAY('F-Ahorro Futuro Genérico'!$H$11),'F-Ahorro Futuro Genérico'!$H$9,0)</f>
        <v>0</v>
      </c>
      <c r="C1766" s="122">
        <f t="shared" si="55"/>
        <v>0</v>
      </c>
      <c r="D1766" s="121">
        <f>ROUND(C1766*'FR_Mantenimiento tasas'!$C$43/360,5)</f>
        <v>0</v>
      </c>
      <c r="E1766" s="121">
        <f>ROUND(C1766*'FR_Mantenimiento tasas'!$D$43/360,5)</f>
        <v>0</v>
      </c>
    </row>
    <row r="1767" spans="1:5">
      <c r="A1767" s="123">
        <f t="shared" si="54"/>
        <v>1765</v>
      </c>
      <c r="B1767" s="122">
        <f>IF(DAY(A1767)=DAY('F-Ahorro Futuro Genérico'!$H$11),'F-Ahorro Futuro Genérico'!$H$9,0)</f>
        <v>0</v>
      </c>
      <c r="C1767" s="122">
        <f t="shared" si="55"/>
        <v>0</v>
      </c>
      <c r="D1767" s="121">
        <f>ROUND(C1767*'FR_Mantenimiento tasas'!$C$43/360,5)</f>
        <v>0</v>
      </c>
      <c r="E1767" s="121">
        <f>ROUND(C1767*'FR_Mantenimiento tasas'!$D$43/360,5)</f>
        <v>0</v>
      </c>
    </row>
    <row r="1768" spans="1:5">
      <c r="A1768" s="123">
        <f t="shared" si="54"/>
        <v>1766</v>
      </c>
      <c r="B1768" s="122">
        <f>IF(DAY(A1768)=DAY('F-Ahorro Futuro Genérico'!$H$11),'F-Ahorro Futuro Genérico'!$H$9,0)</f>
        <v>0</v>
      </c>
      <c r="C1768" s="122">
        <f t="shared" si="55"/>
        <v>0</v>
      </c>
      <c r="D1768" s="121">
        <f>ROUND(C1768*'FR_Mantenimiento tasas'!$C$43/360,5)</f>
        <v>0</v>
      </c>
      <c r="E1768" s="121">
        <f>ROUND(C1768*'FR_Mantenimiento tasas'!$D$43/360,5)</f>
        <v>0</v>
      </c>
    </row>
    <row r="1769" spans="1:5">
      <c r="A1769" s="123">
        <f t="shared" si="54"/>
        <v>1767</v>
      </c>
      <c r="B1769" s="122">
        <f>IF(DAY(A1769)=DAY('F-Ahorro Futuro Genérico'!$H$11),'F-Ahorro Futuro Genérico'!$H$9,0)</f>
        <v>0</v>
      </c>
      <c r="C1769" s="122">
        <f t="shared" si="55"/>
        <v>0</v>
      </c>
      <c r="D1769" s="121">
        <f>ROUND(C1769*'FR_Mantenimiento tasas'!$C$43/360,5)</f>
        <v>0</v>
      </c>
      <c r="E1769" s="121">
        <f>ROUND(C1769*'FR_Mantenimiento tasas'!$D$43/360,5)</f>
        <v>0</v>
      </c>
    </row>
    <row r="1770" spans="1:5">
      <c r="A1770" s="123">
        <f t="shared" si="54"/>
        <v>1768</v>
      </c>
      <c r="B1770" s="122">
        <f>IF(DAY(A1770)=DAY('F-Ahorro Futuro Genérico'!$H$11),'F-Ahorro Futuro Genérico'!$H$9,0)</f>
        <v>0</v>
      </c>
      <c r="C1770" s="122">
        <f t="shared" si="55"/>
        <v>0</v>
      </c>
      <c r="D1770" s="121">
        <f>ROUND(C1770*'FR_Mantenimiento tasas'!$C$43/360,5)</f>
        <v>0</v>
      </c>
      <c r="E1770" s="121">
        <f>ROUND(C1770*'FR_Mantenimiento tasas'!$D$43/360,5)</f>
        <v>0</v>
      </c>
    </row>
    <row r="1771" spans="1:5">
      <c r="A1771" s="123">
        <f t="shared" si="54"/>
        <v>1769</v>
      </c>
      <c r="B1771" s="122">
        <f>IF(DAY(A1771)=DAY('F-Ahorro Futuro Genérico'!$H$11),'F-Ahorro Futuro Genérico'!$H$9,0)</f>
        <v>0</v>
      </c>
      <c r="C1771" s="122">
        <f t="shared" si="55"/>
        <v>0</v>
      </c>
      <c r="D1771" s="121">
        <f>ROUND(C1771*'FR_Mantenimiento tasas'!$C$43/360,5)</f>
        <v>0</v>
      </c>
      <c r="E1771" s="121">
        <f>ROUND(C1771*'FR_Mantenimiento tasas'!$D$43/360,5)</f>
        <v>0</v>
      </c>
    </row>
    <row r="1772" spans="1:5">
      <c r="A1772" s="123">
        <f t="shared" si="54"/>
        <v>1770</v>
      </c>
      <c r="B1772" s="122">
        <f>IF(DAY(A1772)=DAY('F-Ahorro Futuro Genérico'!$H$11),'F-Ahorro Futuro Genérico'!$H$9,0)</f>
        <v>0</v>
      </c>
      <c r="C1772" s="122">
        <f t="shared" si="55"/>
        <v>0</v>
      </c>
      <c r="D1772" s="121">
        <f>ROUND(C1772*'FR_Mantenimiento tasas'!$C$43/360,5)</f>
        <v>0</v>
      </c>
      <c r="E1772" s="121">
        <f>ROUND(C1772*'FR_Mantenimiento tasas'!$D$43/360,5)</f>
        <v>0</v>
      </c>
    </row>
    <row r="1773" spans="1:5">
      <c r="A1773" s="123">
        <f t="shared" si="54"/>
        <v>1771</v>
      </c>
      <c r="B1773" s="122">
        <f>IF(DAY(A1773)=DAY('F-Ahorro Futuro Genérico'!$H$11),'F-Ahorro Futuro Genérico'!$H$9,0)</f>
        <v>0</v>
      </c>
      <c r="C1773" s="122">
        <f t="shared" si="55"/>
        <v>0</v>
      </c>
      <c r="D1773" s="121">
        <f>ROUND(C1773*'FR_Mantenimiento tasas'!$C$43/360,5)</f>
        <v>0</v>
      </c>
      <c r="E1773" s="121">
        <f>ROUND(C1773*'FR_Mantenimiento tasas'!$D$43/360,5)</f>
        <v>0</v>
      </c>
    </row>
    <row r="1774" spans="1:5">
      <c r="A1774" s="123">
        <f t="shared" si="54"/>
        <v>1772</v>
      </c>
      <c r="B1774" s="122">
        <f>IF(DAY(A1774)=DAY('F-Ahorro Futuro Genérico'!$H$11),'F-Ahorro Futuro Genérico'!$H$9,0)</f>
        <v>0</v>
      </c>
      <c r="C1774" s="122">
        <f t="shared" si="55"/>
        <v>0</v>
      </c>
      <c r="D1774" s="121">
        <f>ROUND(C1774*'FR_Mantenimiento tasas'!$C$43/360,5)</f>
        <v>0</v>
      </c>
      <c r="E1774" s="121">
        <f>ROUND(C1774*'FR_Mantenimiento tasas'!$D$43/360,5)</f>
        <v>0</v>
      </c>
    </row>
    <row r="1775" spans="1:5">
      <c r="A1775" s="123">
        <f t="shared" si="54"/>
        <v>1773</v>
      </c>
      <c r="B1775" s="122">
        <f>IF(DAY(A1775)=DAY('F-Ahorro Futuro Genérico'!$H$11),'F-Ahorro Futuro Genérico'!$H$9,0)</f>
        <v>0</v>
      </c>
      <c r="C1775" s="122">
        <f t="shared" si="55"/>
        <v>0</v>
      </c>
      <c r="D1775" s="121">
        <f>ROUND(C1775*'FR_Mantenimiento tasas'!$C$43/360,5)</f>
        <v>0</v>
      </c>
      <c r="E1775" s="121">
        <f>ROUND(C1775*'FR_Mantenimiento tasas'!$D$43/360,5)</f>
        <v>0</v>
      </c>
    </row>
    <row r="1776" spans="1:5">
      <c r="A1776" s="123">
        <f t="shared" si="54"/>
        <v>1774</v>
      </c>
      <c r="B1776" s="122">
        <f>IF(DAY(A1776)=DAY('F-Ahorro Futuro Genérico'!$H$11),'F-Ahorro Futuro Genérico'!$H$9,0)</f>
        <v>0</v>
      </c>
      <c r="C1776" s="122">
        <f t="shared" si="55"/>
        <v>0</v>
      </c>
      <c r="D1776" s="121">
        <f>ROUND(C1776*'FR_Mantenimiento tasas'!$C$43/360,5)</f>
        <v>0</v>
      </c>
      <c r="E1776" s="121">
        <f>ROUND(C1776*'FR_Mantenimiento tasas'!$D$43/360,5)</f>
        <v>0</v>
      </c>
    </row>
    <row r="1777" spans="1:5">
      <c r="A1777" s="123">
        <f t="shared" si="54"/>
        <v>1775</v>
      </c>
      <c r="B1777" s="122">
        <f>IF(DAY(A1777)=DAY('F-Ahorro Futuro Genérico'!$H$11),'F-Ahorro Futuro Genérico'!$H$9,0)</f>
        <v>0</v>
      </c>
      <c r="C1777" s="122">
        <f t="shared" si="55"/>
        <v>0</v>
      </c>
      <c r="D1777" s="121">
        <f>ROUND(C1777*'FR_Mantenimiento tasas'!$C$43/360,5)</f>
        <v>0</v>
      </c>
      <c r="E1777" s="121">
        <f>ROUND(C1777*'FR_Mantenimiento tasas'!$D$43/360,5)</f>
        <v>0</v>
      </c>
    </row>
    <row r="1778" spans="1:5">
      <c r="A1778" s="123">
        <f t="shared" si="54"/>
        <v>1776</v>
      </c>
      <c r="B1778" s="122">
        <f>IF(DAY(A1778)=DAY('F-Ahorro Futuro Genérico'!$H$11),'F-Ahorro Futuro Genérico'!$H$9,0)</f>
        <v>0</v>
      </c>
      <c r="C1778" s="122">
        <f t="shared" si="55"/>
        <v>0</v>
      </c>
      <c r="D1778" s="121">
        <f>ROUND(C1778*'FR_Mantenimiento tasas'!$C$43/360,5)</f>
        <v>0</v>
      </c>
      <c r="E1778" s="121">
        <f>ROUND(C1778*'FR_Mantenimiento tasas'!$D$43/360,5)</f>
        <v>0</v>
      </c>
    </row>
    <row r="1779" spans="1:5">
      <c r="A1779" s="123">
        <f t="shared" si="54"/>
        <v>1777</v>
      </c>
      <c r="B1779" s="122">
        <f>IF(DAY(A1779)=DAY('F-Ahorro Futuro Genérico'!$H$11),'F-Ahorro Futuro Genérico'!$H$9,0)</f>
        <v>0</v>
      </c>
      <c r="C1779" s="122">
        <f t="shared" si="55"/>
        <v>0</v>
      </c>
      <c r="D1779" s="121">
        <f>ROUND(C1779*'FR_Mantenimiento tasas'!$C$43/360,5)</f>
        <v>0</v>
      </c>
      <c r="E1779" s="121">
        <f>ROUND(C1779*'FR_Mantenimiento tasas'!$D$43/360,5)</f>
        <v>0</v>
      </c>
    </row>
    <row r="1780" spans="1:5">
      <c r="A1780" s="123">
        <f t="shared" si="54"/>
        <v>1778</v>
      </c>
      <c r="B1780" s="122">
        <f>IF(DAY(A1780)=DAY('F-Ahorro Futuro Genérico'!$H$11),'F-Ahorro Futuro Genérico'!$H$9,0)</f>
        <v>0</v>
      </c>
      <c r="C1780" s="122">
        <f t="shared" si="55"/>
        <v>0</v>
      </c>
      <c r="D1780" s="121">
        <f>ROUND(C1780*'FR_Mantenimiento tasas'!$C$43/360,5)</f>
        <v>0</v>
      </c>
      <c r="E1780" s="121">
        <f>ROUND(C1780*'FR_Mantenimiento tasas'!$D$43/360,5)</f>
        <v>0</v>
      </c>
    </row>
    <row r="1781" spans="1:5">
      <c r="A1781" s="123">
        <f t="shared" si="54"/>
        <v>1779</v>
      </c>
      <c r="B1781" s="122">
        <f>IF(DAY(A1781)=DAY('F-Ahorro Futuro Genérico'!$H$11),'F-Ahorro Futuro Genérico'!$H$9,0)</f>
        <v>0</v>
      </c>
      <c r="C1781" s="122">
        <f t="shared" si="55"/>
        <v>0</v>
      </c>
      <c r="D1781" s="121">
        <f>ROUND(C1781*'FR_Mantenimiento tasas'!$C$43/360,5)</f>
        <v>0</v>
      </c>
      <c r="E1781" s="121">
        <f>ROUND(C1781*'FR_Mantenimiento tasas'!$D$43/360,5)</f>
        <v>0</v>
      </c>
    </row>
    <row r="1782" spans="1:5">
      <c r="A1782" s="123">
        <f t="shared" si="54"/>
        <v>1780</v>
      </c>
      <c r="B1782" s="122">
        <f>IF(DAY(A1782)=DAY('F-Ahorro Futuro Genérico'!$H$11),'F-Ahorro Futuro Genérico'!$H$9,0)</f>
        <v>0</v>
      </c>
      <c r="C1782" s="122">
        <f t="shared" si="55"/>
        <v>0</v>
      </c>
      <c r="D1782" s="121">
        <f>ROUND(C1782*'FR_Mantenimiento tasas'!$C$43/360,5)</f>
        <v>0</v>
      </c>
      <c r="E1782" s="121">
        <f>ROUND(C1782*'FR_Mantenimiento tasas'!$D$43/360,5)</f>
        <v>0</v>
      </c>
    </row>
    <row r="1783" spans="1:5">
      <c r="A1783" s="123">
        <f t="shared" si="54"/>
        <v>1781</v>
      </c>
      <c r="B1783" s="122">
        <f>IF(DAY(A1783)=DAY('F-Ahorro Futuro Genérico'!$H$11),'F-Ahorro Futuro Genérico'!$H$9,0)</f>
        <v>0</v>
      </c>
      <c r="C1783" s="122">
        <f t="shared" si="55"/>
        <v>0</v>
      </c>
      <c r="D1783" s="121">
        <f>ROUND(C1783*'FR_Mantenimiento tasas'!$C$43/360,5)</f>
        <v>0</v>
      </c>
      <c r="E1783" s="121">
        <f>ROUND(C1783*'FR_Mantenimiento tasas'!$D$43/360,5)</f>
        <v>0</v>
      </c>
    </row>
    <row r="1784" spans="1:5">
      <c r="A1784" s="123">
        <f t="shared" si="54"/>
        <v>1782</v>
      </c>
      <c r="B1784" s="122">
        <f>IF(DAY(A1784)=DAY('F-Ahorro Futuro Genérico'!$H$11),'F-Ahorro Futuro Genérico'!$H$9,0)</f>
        <v>0</v>
      </c>
      <c r="C1784" s="122">
        <f t="shared" si="55"/>
        <v>0</v>
      </c>
      <c r="D1784" s="121">
        <f>ROUND(C1784*'FR_Mantenimiento tasas'!$C$43/360,5)</f>
        <v>0</v>
      </c>
      <c r="E1784" s="121">
        <f>ROUND(C1784*'FR_Mantenimiento tasas'!$D$43/360,5)</f>
        <v>0</v>
      </c>
    </row>
    <row r="1785" spans="1:5">
      <c r="A1785" s="123">
        <f t="shared" si="54"/>
        <v>1783</v>
      </c>
      <c r="B1785" s="122">
        <f>IF(DAY(A1785)=DAY('F-Ahorro Futuro Genérico'!$H$11),'F-Ahorro Futuro Genérico'!$H$9,0)</f>
        <v>0</v>
      </c>
      <c r="C1785" s="122">
        <f t="shared" si="55"/>
        <v>0</v>
      </c>
      <c r="D1785" s="121">
        <f>ROUND(C1785*'FR_Mantenimiento tasas'!$C$43/360,5)</f>
        <v>0</v>
      </c>
      <c r="E1785" s="121">
        <f>ROUND(C1785*'FR_Mantenimiento tasas'!$D$43/360,5)</f>
        <v>0</v>
      </c>
    </row>
    <row r="1786" spans="1:5">
      <c r="A1786" s="123">
        <f t="shared" si="54"/>
        <v>1784</v>
      </c>
      <c r="B1786" s="122">
        <f>IF(DAY(A1786)=DAY('F-Ahorro Futuro Genérico'!$H$11),'F-Ahorro Futuro Genérico'!$H$9,0)</f>
        <v>0</v>
      </c>
      <c r="C1786" s="122">
        <f t="shared" si="55"/>
        <v>0</v>
      </c>
      <c r="D1786" s="121">
        <f>ROUND(C1786*'FR_Mantenimiento tasas'!$C$43/360,5)</f>
        <v>0</v>
      </c>
      <c r="E1786" s="121">
        <f>ROUND(C1786*'FR_Mantenimiento tasas'!$D$43/360,5)</f>
        <v>0</v>
      </c>
    </row>
    <row r="1787" spans="1:5">
      <c r="A1787" s="123">
        <f t="shared" si="54"/>
        <v>1785</v>
      </c>
      <c r="B1787" s="122">
        <f>IF(DAY(A1787)=DAY('F-Ahorro Futuro Genérico'!$H$11),'F-Ahorro Futuro Genérico'!$H$9,0)</f>
        <v>0</v>
      </c>
      <c r="C1787" s="122">
        <f t="shared" si="55"/>
        <v>0</v>
      </c>
      <c r="D1787" s="121">
        <f>ROUND(C1787*'FR_Mantenimiento tasas'!$C$43/360,5)</f>
        <v>0</v>
      </c>
      <c r="E1787" s="121">
        <f>ROUND(C1787*'FR_Mantenimiento tasas'!$D$43/360,5)</f>
        <v>0</v>
      </c>
    </row>
    <row r="1788" spans="1:5">
      <c r="A1788" s="123">
        <f t="shared" si="54"/>
        <v>1786</v>
      </c>
      <c r="B1788" s="122">
        <f>IF(DAY(A1788)=DAY('F-Ahorro Futuro Genérico'!$H$11),'F-Ahorro Futuro Genérico'!$H$9,0)</f>
        <v>0</v>
      </c>
      <c r="C1788" s="122">
        <f t="shared" si="55"/>
        <v>0</v>
      </c>
      <c r="D1788" s="121">
        <f>ROUND(C1788*'FR_Mantenimiento tasas'!$C$43/360,5)</f>
        <v>0</v>
      </c>
      <c r="E1788" s="121">
        <f>ROUND(C1788*'FR_Mantenimiento tasas'!$D$43/360,5)</f>
        <v>0</v>
      </c>
    </row>
    <row r="1789" spans="1:5">
      <c r="A1789" s="123">
        <f t="shared" si="54"/>
        <v>1787</v>
      </c>
      <c r="B1789" s="122">
        <f>IF(DAY(A1789)=DAY('F-Ahorro Futuro Genérico'!$H$11),'F-Ahorro Futuro Genérico'!$H$9,0)</f>
        <v>0</v>
      </c>
      <c r="C1789" s="122">
        <f t="shared" si="55"/>
        <v>0</v>
      </c>
      <c r="D1789" s="121">
        <f>ROUND(C1789*'FR_Mantenimiento tasas'!$C$43/360,5)</f>
        <v>0</v>
      </c>
      <c r="E1789" s="121">
        <f>ROUND(C1789*'FR_Mantenimiento tasas'!$D$43/360,5)</f>
        <v>0</v>
      </c>
    </row>
    <row r="1790" spans="1:5">
      <c r="A1790" s="123">
        <f t="shared" si="54"/>
        <v>1788</v>
      </c>
      <c r="B1790" s="122">
        <f>IF(DAY(A1790)=DAY('F-Ahorro Futuro Genérico'!$H$11),'F-Ahorro Futuro Genérico'!$H$9,0)</f>
        <v>0</v>
      </c>
      <c r="C1790" s="122">
        <f t="shared" si="55"/>
        <v>0</v>
      </c>
      <c r="D1790" s="121">
        <f>ROUND(C1790*'FR_Mantenimiento tasas'!$C$43/360,5)</f>
        <v>0</v>
      </c>
      <c r="E1790" s="121">
        <f>ROUND(C1790*'FR_Mantenimiento tasas'!$D$43/360,5)</f>
        <v>0</v>
      </c>
    </row>
    <row r="1791" spans="1:5">
      <c r="A1791" s="123">
        <f t="shared" si="54"/>
        <v>1789</v>
      </c>
      <c r="B1791" s="122">
        <f>IF(DAY(A1791)=DAY('F-Ahorro Futuro Genérico'!$H$11),'F-Ahorro Futuro Genérico'!$H$9,0)</f>
        <v>0</v>
      </c>
      <c r="C1791" s="122">
        <f t="shared" si="55"/>
        <v>0</v>
      </c>
      <c r="D1791" s="121">
        <f>ROUND(C1791*'FR_Mantenimiento tasas'!$C$43/360,5)</f>
        <v>0</v>
      </c>
      <c r="E1791" s="121">
        <f>ROUND(C1791*'FR_Mantenimiento tasas'!$D$43/360,5)</f>
        <v>0</v>
      </c>
    </row>
    <row r="1792" spans="1:5">
      <c r="A1792" s="123">
        <f t="shared" si="54"/>
        <v>1790</v>
      </c>
      <c r="B1792" s="122">
        <f>IF(DAY(A1792)=DAY('F-Ahorro Futuro Genérico'!$H$11),'F-Ahorro Futuro Genérico'!$H$9,0)</f>
        <v>0</v>
      </c>
      <c r="C1792" s="122">
        <f t="shared" si="55"/>
        <v>0</v>
      </c>
      <c r="D1792" s="121">
        <f>ROUND(C1792*'FR_Mantenimiento tasas'!$C$43/360,5)</f>
        <v>0</v>
      </c>
      <c r="E1792" s="121">
        <f>ROUND(C1792*'FR_Mantenimiento tasas'!$D$43/360,5)</f>
        <v>0</v>
      </c>
    </row>
    <row r="1793" spans="1:5">
      <c r="A1793" s="123">
        <f t="shared" si="54"/>
        <v>1791</v>
      </c>
      <c r="B1793" s="122">
        <f>IF(DAY(A1793)=DAY('F-Ahorro Futuro Genérico'!$H$11),'F-Ahorro Futuro Genérico'!$H$9,0)</f>
        <v>0</v>
      </c>
      <c r="C1793" s="122">
        <f t="shared" si="55"/>
        <v>0</v>
      </c>
      <c r="D1793" s="121">
        <f>ROUND(C1793*'FR_Mantenimiento tasas'!$C$43/360,5)</f>
        <v>0</v>
      </c>
      <c r="E1793" s="121">
        <f>ROUND(C1793*'FR_Mantenimiento tasas'!$D$43/360,5)</f>
        <v>0</v>
      </c>
    </row>
    <row r="1794" spans="1:5">
      <c r="A1794" s="123">
        <f t="shared" si="54"/>
        <v>1792</v>
      </c>
      <c r="B1794" s="122">
        <f>IF(DAY(A1794)=DAY('F-Ahorro Futuro Genérico'!$H$11),'F-Ahorro Futuro Genérico'!$H$9,0)</f>
        <v>0</v>
      </c>
      <c r="C1794" s="122">
        <f t="shared" si="55"/>
        <v>0</v>
      </c>
      <c r="D1794" s="121">
        <f>ROUND(C1794*'FR_Mantenimiento tasas'!$C$43/360,5)</f>
        <v>0</v>
      </c>
      <c r="E1794" s="121">
        <f>ROUND(C1794*'FR_Mantenimiento tasas'!$D$43/360,5)</f>
        <v>0</v>
      </c>
    </row>
    <row r="1795" spans="1:5">
      <c r="A1795" s="123">
        <f t="shared" si="54"/>
        <v>1793</v>
      </c>
      <c r="B1795" s="122">
        <f>IF(DAY(A1795)=DAY('F-Ahorro Futuro Genérico'!$H$11),'F-Ahorro Futuro Genérico'!$H$9,0)</f>
        <v>0</v>
      </c>
      <c r="C1795" s="122">
        <f t="shared" si="55"/>
        <v>0</v>
      </c>
      <c r="D1795" s="121">
        <f>ROUND(C1795*'FR_Mantenimiento tasas'!$C$43/360,5)</f>
        <v>0</v>
      </c>
      <c r="E1795" s="121">
        <f>ROUND(C1795*'FR_Mantenimiento tasas'!$D$43/360,5)</f>
        <v>0</v>
      </c>
    </row>
    <row r="1796" spans="1:5">
      <c r="A1796" s="123">
        <f t="shared" ref="A1796:A1830" si="56">+A1795+1</f>
        <v>1794</v>
      </c>
      <c r="B1796" s="122">
        <f>IF(DAY(A1796)=DAY('F-Ahorro Futuro Genérico'!$H$11),'F-Ahorro Futuro Genérico'!$H$9,0)</f>
        <v>0</v>
      </c>
      <c r="C1796" s="122">
        <f t="shared" ref="C1796:C1830" si="57">+B1796+C1795+D1795</f>
        <v>0</v>
      </c>
      <c r="D1796" s="121">
        <f>ROUND(C1796*'FR_Mantenimiento tasas'!$C$43/360,5)</f>
        <v>0</v>
      </c>
      <c r="E1796" s="121">
        <f>ROUND(C1796*'FR_Mantenimiento tasas'!$D$43/360,5)</f>
        <v>0</v>
      </c>
    </row>
    <row r="1797" spans="1:5">
      <c r="A1797" s="123">
        <f t="shared" si="56"/>
        <v>1795</v>
      </c>
      <c r="B1797" s="122">
        <f>IF(DAY(A1797)=DAY('F-Ahorro Futuro Genérico'!$H$11),'F-Ahorro Futuro Genérico'!$H$9,0)</f>
        <v>0</v>
      </c>
      <c r="C1797" s="122">
        <f t="shared" si="57"/>
        <v>0</v>
      </c>
      <c r="D1797" s="121">
        <f>ROUND(C1797*'FR_Mantenimiento tasas'!$C$43/360,5)</f>
        <v>0</v>
      </c>
      <c r="E1797" s="121">
        <f>ROUND(C1797*'FR_Mantenimiento tasas'!$D$43/360,5)</f>
        <v>0</v>
      </c>
    </row>
    <row r="1798" spans="1:5">
      <c r="A1798" s="123">
        <f t="shared" si="56"/>
        <v>1796</v>
      </c>
      <c r="B1798" s="122">
        <f>IF(DAY(A1798)=DAY('F-Ahorro Futuro Genérico'!$H$11),'F-Ahorro Futuro Genérico'!$H$9,0)</f>
        <v>0</v>
      </c>
      <c r="C1798" s="122">
        <f t="shared" si="57"/>
        <v>0</v>
      </c>
      <c r="D1798" s="121">
        <f>ROUND(C1798*'FR_Mantenimiento tasas'!$C$43/360,5)</f>
        <v>0</v>
      </c>
      <c r="E1798" s="121">
        <f>ROUND(C1798*'FR_Mantenimiento tasas'!$D$43/360,5)</f>
        <v>0</v>
      </c>
    </row>
    <row r="1799" spans="1:5">
      <c r="A1799" s="123">
        <f t="shared" si="56"/>
        <v>1797</v>
      </c>
      <c r="B1799" s="122">
        <f>IF(DAY(A1799)=DAY('F-Ahorro Futuro Genérico'!$H$11),'F-Ahorro Futuro Genérico'!$H$9,0)</f>
        <v>0</v>
      </c>
      <c r="C1799" s="122">
        <f t="shared" si="57"/>
        <v>0</v>
      </c>
      <c r="D1799" s="121">
        <f>ROUND(C1799*'FR_Mantenimiento tasas'!$C$43/360,5)</f>
        <v>0</v>
      </c>
      <c r="E1799" s="121">
        <f>ROUND(C1799*'FR_Mantenimiento tasas'!$D$43/360,5)</f>
        <v>0</v>
      </c>
    </row>
    <row r="1800" spans="1:5">
      <c r="A1800" s="123">
        <f t="shared" si="56"/>
        <v>1798</v>
      </c>
      <c r="B1800" s="122">
        <f>IF(DAY(A1800)=DAY('F-Ahorro Futuro Genérico'!$H$11),'F-Ahorro Futuro Genérico'!$H$9,0)</f>
        <v>0</v>
      </c>
      <c r="C1800" s="122">
        <f t="shared" si="57"/>
        <v>0</v>
      </c>
      <c r="D1800" s="121">
        <f>ROUND(C1800*'FR_Mantenimiento tasas'!$C$43/360,5)</f>
        <v>0</v>
      </c>
      <c r="E1800" s="121">
        <f>ROUND(C1800*'FR_Mantenimiento tasas'!$D$43/360,5)</f>
        <v>0</v>
      </c>
    </row>
    <row r="1801" spans="1:5">
      <c r="A1801" s="123">
        <f t="shared" si="56"/>
        <v>1799</v>
      </c>
      <c r="B1801" s="122">
        <f>IF(DAY(A1801)=DAY('F-Ahorro Futuro Genérico'!$H$11),'F-Ahorro Futuro Genérico'!$H$9,0)</f>
        <v>0</v>
      </c>
      <c r="C1801" s="122">
        <f t="shared" si="57"/>
        <v>0</v>
      </c>
      <c r="D1801" s="121">
        <f>ROUND(C1801*'FR_Mantenimiento tasas'!$C$43/360,5)</f>
        <v>0</v>
      </c>
      <c r="E1801" s="121">
        <f>ROUND(C1801*'FR_Mantenimiento tasas'!$D$43/360,5)</f>
        <v>0</v>
      </c>
    </row>
    <row r="1802" spans="1:5">
      <c r="A1802" s="123">
        <f t="shared" si="56"/>
        <v>1800</v>
      </c>
      <c r="B1802" s="122">
        <f>IF(DAY(A1802)=DAY('F-Ahorro Futuro Genérico'!$H$11),'F-Ahorro Futuro Genérico'!$H$9,0)</f>
        <v>0</v>
      </c>
      <c r="C1802" s="122">
        <f t="shared" si="57"/>
        <v>0</v>
      </c>
      <c r="D1802" s="121">
        <f>ROUND(C1802*'FR_Mantenimiento tasas'!$C$43/360,5)</f>
        <v>0</v>
      </c>
      <c r="E1802" s="121">
        <f>ROUND(C1802*'FR_Mantenimiento tasas'!$D$43/360,5)</f>
        <v>0</v>
      </c>
    </row>
    <row r="1803" spans="1:5">
      <c r="A1803" s="123">
        <f t="shared" si="56"/>
        <v>1801</v>
      </c>
      <c r="B1803" s="122">
        <f>IF(DAY(A1803)=DAY('F-Ahorro Futuro Genérico'!$H$11),'F-Ahorro Futuro Genérico'!$H$9,0)</f>
        <v>0</v>
      </c>
      <c r="C1803" s="122">
        <f t="shared" si="57"/>
        <v>0</v>
      </c>
      <c r="D1803" s="121">
        <f>ROUND(C1803*'FR_Mantenimiento tasas'!$C$43/360,5)</f>
        <v>0</v>
      </c>
      <c r="E1803" s="121">
        <f>ROUND(C1803*'FR_Mantenimiento tasas'!$D$43/360,5)</f>
        <v>0</v>
      </c>
    </row>
    <row r="1804" spans="1:5">
      <c r="A1804" s="123">
        <f t="shared" si="56"/>
        <v>1802</v>
      </c>
      <c r="B1804" s="122">
        <f>IF(DAY(A1804)=DAY('F-Ahorro Futuro Genérico'!$H$11),'F-Ahorro Futuro Genérico'!$H$9,0)</f>
        <v>0</v>
      </c>
      <c r="C1804" s="122">
        <f t="shared" si="57"/>
        <v>0</v>
      </c>
      <c r="D1804" s="121">
        <f>ROUND(C1804*'FR_Mantenimiento tasas'!$C$43/360,5)</f>
        <v>0</v>
      </c>
      <c r="E1804" s="121">
        <f>ROUND(C1804*'FR_Mantenimiento tasas'!$D$43/360,5)</f>
        <v>0</v>
      </c>
    </row>
    <row r="1805" spans="1:5">
      <c r="A1805" s="123">
        <f t="shared" si="56"/>
        <v>1803</v>
      </c>
      <c r="B1805" s="122">
        <f>IF(DAY(A1805)=DAY('F-Ahorro Futuro Genérico'!$H$11),'F-Ahorro Futuro Genérico'!$H$9,0)</f>
        <v>0</v>
      </c>
      <c r="C1805" s="122">
        <f t="shared" si="57"/>
        <v>0</v>
      </c>
      <c r="D1805" s="121">
        <f>ROUND(C1805*'FR_Mantenimiento tasas'!$C$43/360,5)</f>
        <v>0</v>
      </c>
      <c r="E1805" s="121">
        <f>ROUND(C1805*'FR_Mantenimiento tasas'!$D$43/360,5)</f>
        <v>0</v>
      </c>
    </row>
    <row r="1806" spans="1:5">
      <c r="A1806" s="123">
        <f t="shared" si="56"/>
        <v>1804</v>
      </c>
      <c r="B1806" s="122">
        <f>IF(DAY(A1806)=DAY('F-Ahorro Futuro Genérico'!$H$11),'F-Ahorro Futuro Genérico'!$H$9,0)</f>
        <v>0</v>
      </c>
      <c r="C1806" s="122">
        <f t="shared" si="57"/>
        <v>0</v>
      </c>
      <c r="D1806" s="121">
        <f>ROUND(C1806*'FR_Mantenimiento tasas'!$C$43/360,5)</f>
        <v>0</v>
      </c>
      <c r="E1806" s="121">
        <f>ROUND(C1806*'FR_Mantenimiento tasas'!$D$43/360,5)</f>
        <v>0</v>
      </c>
    </row>
    <row r="1807" spans="1:5">
      <c r="A1807" s="123">
        <f t="shared" si="56"/>
        <v>1805</v>
      </c>
      <c r="B1807" s="122">
        <f>IF(DAY(A1807)=DAY('F-Ahorro Futuro Genérico'!$H$11),'F-Ahorro Futuro Genérico'!$H$9,0)</f>
        <v>0</v>
      </c>
      <c r="C1807" s="122">
        <f t="shared" si="57"/>
        <v>0</v>
      </c>
      <c r="D1807" s="121">
        <f>ROUND(C1807*'FR_Mantenimiento tasas'!$C$43/360,5)</f>
        <v>0</v>
      </c>
      <c r="E1807" s="121">
        <f>ROUND(C1807*'FR_Mantenimiento tasas'!$D$43/360,5)</f>
        <v>0</v>
      </c>
    </row>
    <row r="1808" spans="1:5">
      <c r="A1808" s="123">
        <f t="shared" si="56"/>
        <v>1806</v>
      </c>
      <c r="B1808" s="122">
        <f>IF(DAY(A1808)=DAY('F-Ahorro Futuro Genérico'!$H$11),'F-Ahorro Futuro Genérico'!$H$9,0)</f>
        <v>0</v>
      </c>
      <c r="C1808" s="122">
        <f t="shared" si="57"/>
        <v>0</v>
      </c>
      <c r="D1808" s="121">
        <f>ROUND(C1808*'FR_Mantenimiento tasas'!$C$43/360,5)</f>
        <v>0</v>
      </c>
      <c r="E1808" s="121">
        <f>ROUND(C1808*'FR_Mantenimiento tasas'!$D$43/360,5)</f>
        <v>0</v>
      </c>
    </row>
    <row r="1809" spans="1:5">
      <c r="A1809" s="123">
        <f t="shared" si="56"/>
        <v>1807</v>
      </c>
      <c r="B1809" s="122">
        <f>IF(DAY(A1809)=DAY('F-Ahorro Futuro Genérico'!$H$11),'F-Ahorro Futuro Genérico'!$H$9,0)</f>
        <v>0</v>
      </c>
      <c r="C1809" s="122">
        <f t="shared" si="57"/>
        <v>0</v>
      </c>
      <c r="D1809" s="121">
        <f>ROUND(C1809*'FR_Mantenimiento tasas'!$C$43/360,5)</f>
        <v>0</v>
      </c>
      <c r="E1809" s="121">
        <f>ROUND(C1809*'FR_Mantenimiento tasas'!$D$43/360,5)</f>
        <v>0</v>
      </c>
    </row>
    <row r="1810" spans="1:5">
      <c r="A1810" s="123">
        <f t="shared" si="56"/>
        <v>1808</v>
      </c>
      <c r="B1810" s="122">
        <f>IF(DAY(A1810)=DAY('F-Ahorro Futuro Genérico'!$H$11),'F-Ahorro Futuro Genérico'!$H$9,0)</f>
        <v>0</v>
      </c>
      <c r="C1810" s="122">
        <f t="shared" si="57"/>
        <v>0</v>
      </c>
      <c r="D1810" s="121">
        <f>ROUND(C1810*'FR_Mantenimiento tasas'!$C$43/360,5)</f>
        <v>0</v>
      </c>
      <c r="E1810" s="121">
        <f>ROUND(C1810*'FR_Mantenimiento tasas'!$D$43/360,5)</f>
        <v>0</v>
      </c>
    </row>
    <row r="1811" spans="1:5">
      <c r="A1811" s="123">
        <f t="shared" si="56"/>
        <v>1809</v>
      </c>
      <c r="B1811" s="122">
        <f>IF(DAY(A1811)=DAY('F-Ahorro Futuro Genérico'!$H$11),'F-Ahorro Futuro Genérico'!$H$9,0)</f>
        <v>0</v>
      </c>
      <c r="C1811" s="122">
        <f t="shared" si="57"/>
        <v>0</v>
      </c>
      <c r="D1811" s="121">
        <f>ROUND(C1811*'FR_Mantenimiento tasas'!$C$43/360,5)</f>
        <v>0</v>
      </c>
      <c r="E1811" s="121">
        <f>ROUND(C1811*'FR_Mantenimiento tasas'!$D$43/360,5)</f>
        <v>0</v>
      </c>
    </row>
    <row r="1812" spans="1:5">
      <c r="A1812" s="123">
        <f t="shared" si="56"/>
        <v>1810</v>
      </c>
      <c r="B1812" s="122">
        <f>IF(DAY(A1812)=DAY('F-Ahorro Futuro Genérico'!$H$11),'F-Ahorro Futuro Genérico'!$H$9,0)</f>
        <v>0</v>
      </c>
      <c r="C1812" s="122">
        <f t="shared" si="57"/>
        <v>0</v>
      </c>
      <c r="D1812" s="121">
        <f>ROUND(C1812*'FR_Mantenimiento tasas'!$C$43/360,5)</f>
        <v>0</v>
      </c>
      <c r="E1812" s="121">
        <f>ROUND(C1812*'FR_Mantenimiento tasas'!$D$43/360,5)</f>
        <v>0</v>
      </c>
    </row>
    <row r="1813" spans="1:5">
      <c r="A1813" s="123">
        <f t="shared" si="56"/>
        <v>1811</v>
      </c>
      <c r="B1813" s="122">
        <f>IF(DAY(A1813)=DAY('F-Ahorro Futuro Genérico'!$H$11),'F-Ahorro Futuro Genérico'!$H$9,0)</f>
        <v>0</v>
      </c>
      <c r="C1813" s="122">
        <f t="shared" si="57"/>
        <v>0</v>
      </c>
      <c r="D1813" s="121">
        <f>ROUND(C1813*'FR_Mantenimiento tasas'!$C$43/360,5)</f>
        <v>0</v>
      </c>
      <c r="E1813" s="121">
        <f>ROUND(C1813*'FR_Mantenimiento tasas'!$D$43/360,5)</f>
        <v>0</v>
      </c>
    </row>
    <row r="1814" spans="1:5">
      <c r="A1814" s="123">
        <f t="shared" si="56"/>
        <v>1812</v>
      </c>
      <c r="B1814" s="122">
        <f>IF(DAY(A1814)=DAY('F-Ahorro Futuro Genérico'!$H$11),'F-Ahorro Futuro Genérico'!$H$9,0)</f>
        <v>0</v>
      </c>
      <c r="C1814" s="122">
        <f t="shared" si="57"/>
        <v>0</v>
      </c>
      <c r="D1814" s="121">
        <f>ROUND(C1814*'FR_Mantenimiento tasas'!$C$43/360,5)</f>
        <v>0</v>
      </c>
      <c r="E1814" s="121">
        <f>ROUND(C1814*'FR_Mantenimiento tasas'!$D$43/360,5)</f>
        <v>0</v>
      </c>
    </row>
    <row r="1815" spans="1:5">
      <c r="A1815" s="123">
        <f t="shared" si="56"/>
        <v>1813</v>
      </c>
      <c r="B1815" s="122">
        <f>IF(DAY(A1815)=DAY('F-Ahorro Futuro Genérico'!$H$11),'F-Ahorro Futuro Genérico'!$H$9,0)</f>
        <v>0</v>
      </c>
      <c r="C1815" s="122">
        <f t="shared" si="57"/>
        <v>0</v>
      </c>
      <c r="D1815" s="121">
        <f>ROUND(C1815*'FR_Mantenimiento tasas'!$C$43/360,5)</f>
        <v>0</v>
      </c>
      <c r="E1815" s="121">
        <f>ROUND(C1815*'FR_Mantenimiento tasas'!$D$43/360,5)</f>
        <v>0</v>
      </c>
    </row>
    <row r="1816" spans="1:5">
      <c r="A1816" s="123">
        <f t="shared" si="56"/>
        <v>1814</v>
      </c>
      <c r="B1816" s="122">
        <f>IF(DAY(A1816)=DAY('F-Ahorro Futuro Genérico'!$H$11),'F-Ahorro Futuro Genérico'!$H$9,0)</f>
        <v>0</v>
      </c>
      <c r="C1816" s="122">
        <f t="shared" si="57"/>
        <v>0</v>
      </c>
      <c r="D1816" s="121">
        <f>ROUND(C1816*'FR_Mantenimiento tasas'!$C$43/360,5)</f>
        <v>0</v>
      </c>
      <c r="E1816" s="121">
        <f>ROUND(C1816*'FR_Mantenimiento tasas'!$D$43/360,5)</f>
        <v>0</v>
      </c>
    </row>
    <row r="1817" spans="1:5">
      <c r="A1817" s="123">
        <f t="shared" si="56"/>
        <v>1815</v>
      </c>
      <c r="B1817" s="122">
        <f>IF(DAY(A1817)=DAY('F-Ahorro Futuro Genérico'!$H$11),'F-Ahorro Futuro Genérico'!$H$9,0)</f>
        <v>0</v>
      </c>
      <c r="C1817" s="122">
        <f t="shared" si="57"/>
        <v>0</v>
      </c>
      <c r="D1817" s="121">
        <f>ROUND(C1817*'FR_Mantenimiento tasas'!$C$43/360,5)</f>
        <v>0</v>
      </c>
      <c r="E1817" s="121">
        <f>ROUND(C1817*'FR_Mantenimiento tasas'!$D$43/360,5)</f>
        <v>0</v>
      </c>
    </row>
    <row r="1818" spans="1:5">
      <c r="A1818" s="123">
        <f t="shared" si="56"/>
        <v>1816</v>
      </c>
      <c r="B1818" s="122">
        <f>IF(DAY(A1818)=DAY('F-Ahorro Futuro Genérico'!$H$11),'F-Ahorro Futuro Genérico'!$H$9,0)</f>
        <v>0</v>
      </c>
      <c r="C1818" s="122">
        <f t="shared" si="57"/>
        <v>0</v>
      </c>
      <c r="D1818" s="121">
        <f>ROUND(C1818*'FR_Mantenimiento tasas'!$C$43/360,5)</f>
        <v>0</v>
      </c>
      <c r="E1818" s="121">
        <f>ROUND(C1818*'FR_Mantenimiento tasas'!$D$43/360,5)</f>
        <v>0</v>
      </c>
    </row>
    <row r="1819" spans="1:5">
      <c r="A1819" s="123">
        <f t="shared" si="56"/>
        <v>1817</v>
      </c>
      <c r="B1819" s="122">
        <f>IF(DAY(A1819)=DAY('F-Ahorro Futuro Genérico'!$H$11),'F-Ahorro Futuro Genérico'!$H$9,0)</f>
        <v>0</v>
      </c>
      <c r="C1819" s="122">
        <f t="shared" si="57"/>
        <v>0</v>
      </c>
      <c r="D1819" s="121">
        <f>ROUND(C1819*'FR_Mantenimiento tasas'!$C$43/360,5)</f>
        <v>0</v>
      </c>
      <c r="E1819" s="121">
        <f>ROUND(C1819*'FR_Mantenimiento tasas'!$D$43/360,5)</f>
        <v>0</v>
      </c>
    </row>
    <row r="1820" spans="1:5">
      <c r="A1820" s="123">
        <f t="shared" si="56"/>
        <v>1818</v>
      </c>
      <c r="B1820" s="122">
        <f>IF(DAY(A1820)=DAY('F-Ahorro Futuro Genérico'!$H$11),'F-Ahorro Futuro Genérico'!$H$9,0)</f>
        <v>0</v>
      </c>
      <c r="C1820" s="122">
        <f t="shared" si="57"/>
        <v>0</v>
      </c>
      <c r="D1820" s="121">
        <f>ROUND(C1820*'FR_Mantenimiento tasas'!$C$43/360,5)</f>
        <v>0</v>
      </c>
      <c r="E1820" s="121">
        <f>ROUND(C1820*'FR_Mantenimiento tasas'!$D$43/360,5)</f>
        <v>0</v>
      </c>
    </row>
    <row r="1821" spans="1:5">
      <c r="A1821" s="123">
        <f t="shared" si="56"/>
        <v>1819</v>
      </c>
      <c r="B1821" s="122">
        <f>IF(DAY(A1821)=DAY('F-Ahorro Futuro Genérico'!$H$11),'F-Ahorro Futuro Genérico'!$H$9,0)</f>
        <v>0</v>
      </c>
      <c r="C1821" s="122">
        <f t="shared" si="57"/>
        <v>0</v>
      </c>
      <c r="D1821" s="121">
        <f>ROUND(C1821*'FR_Mantenimiento tasas'!$C$43/360,5)</f>
        <v>0</v>
      </c>
      <c r="E1821" s="121">
        <f>ROUND(C1821*'FR_Mantenimiento tasas'!$D$43/360,5)</f>
        <v>0</v>
      </c>
    </row>
    <row r="1822" spans="1:5">
      <c r="A1822" s="123">
        <f t="shared" si="56"/>
        <v>1820</v>
      </c>
      <c r="B1822" s="122">
        <f>IF(DAY(A1822)=DAY('F-Ahorro Futuro Genérico'!$H$11),'F-Ahorro Futuro Genérico'!$H$9,0)</f>
        <v>0</v>
      </c>
      <c r="C1822" s="122">
        <f t="shared" si="57"/>
        <v>0</v>
      </c>
      <c r="D1822" s="121">
        <f>ROUND(C1822*'FR_Mantenimiento tasas'!$C$43/360,5)</f>
        <v>0</v>
      </c>
      <c r="E1822" s="121">
        <f>ROUND(C1822*'FR_Mantenimiento tasas'!$D$43/360,5)</f>
        <v>0</v>
      </c>
    </row>
    <row r="1823" spans="1:5">
      <c r="A1823" s="123">
        <f t="shared" si="56"/>
        <v>1821</v>
      </c>
      <c r="B1823" s="122">
        <f>IF(DAY(A1823)=DAY('F-Ahorro Futuro Genérico'!$H$11),'F-Ahorro Futuro Genérico'!$H$9,0)</f>
        <v>0</v>
      </c>
      <c r="C1823" s="122">
        <f t="shared" si="57"/>
        <v>0</v>
      </c>
      <c r="D1823" s="121">
        <f>ROUND(C1823*'FR_Mantenimiento tasas'!$C$43/360,5)</f>
        <v>0</v>
      </c>
      <c r="E1823" s="121">
        <f>ROUND(C1823*'FR_Mantenimiento tasas'!$D$43/360,5)</f>
        <v>0</v>
      </c>
    </row>
    <row r="1824" spans="1:5">
      <c r="A1824" s="123">
        <f t="shared" si="56"/>
        <v>1822</v>
      </c>
      <c r="B1824" s="122">
        <f>IF(DAY(A1824)=DAY('F-Ahorro Futuro Genérico'!$H$11),'F-Ahorro Futuro Genérico'!$H$9,0)</f>
        <v>0</v>
      </c>
      <c r="C1824" s="122">
        <f t="shared" si="57"/>
        <v>0</v>
      </c>
      <c r="D1824" s="121">
        <f>ROUND(C1824*'FR_Mantenimiento tasas'!$C$43/360,5)</f>
        <v>0</v>
      </c>
      <c r="E1824" s="121">
        <f>ROUND(C1824*'FR_Mantenimiento tasas'!$D$43/360,5)</f>
        <v>0</v>
      </c>
    </row>
    <row r="1825" spans="1:5">
      <c r="A1825" s="123">
        <f t="shared" si="56"/>
        <v>1823</v>
      </c>
      <c r="B1825" s="122">
        <f>IF(DAY(A1825)=DAY('F-Ahorro Futuro Genérico'!$H$11),'F-Ahorro Futuro Genérico'!$H$9,0)</f>
        <v>0</v>
      </c>
      <c r="C1825" s="122">
        <f t="shared" si="57"/>
        <v>0</v>
      </c>
      <c r="D1825" s="121">
        <f>ROUND(C1825*'FR_Mantenimiento tasas'!$C$43/360,5)</f>
        <v>0</v>
      </c>
      <c r="E1825" s="121">
        <f>ROUND(C1825*'FR_Mantenimiento tasas'!$D$43/360,5)</f>
        <v>0</v>
      </c>
    </row>
    <row r="1826" spans="1:5">
      <c r="A1826" s="123">
        <f t="shared" si="56"/>
        <v>1824</v>
      </c>
      <c r="B1826" s="122">
        <f>IF(DAY(A1826)=DAY('F-Ahorro Futuro Genérico'!$H$11),'F-Ahorro Futuro Genérico'!$H$9,0)</f>
        <v>0</v>
      </c>
      <c r="C1826" s="122">
        <f t="shared" si="57"/>
        <v>0</v>
      </c>
      <c r="D1826" s="121">
        <f>ROUND(C1826*'FR_Mantenimiento tasas'!$C$43/360,5)</f>
        <v>0</v>
      </c>
      <c r="E1826" s="121">
        <f>ROUND(C1826*'FR_Mantenimiento tasas'!$D$43/360,5)</f>
        <v>0</v>
      </c>
    </row>
    <row r="1827" spans="1:5">
      <c r="A1827" s="123">
        <f t="shared" si="56"/>
        <v>1825</v>
      </c>
      <c r="B1827" s="122">
        <f>IF(DAY(A1827)=DAY('F-Ahorro Futuro Genérico'!$H$11),'F-Ahorro Futuro Genérico'!$H$9,0)</f>
        <v>0</v>
      </c>
      <c r="C1827" s="122">
        <f t="shared" si="57"/>
        <v>0</v>
      </c>
      <c r="D1827" s="121">
        <f>ROUND(C1827*'FR_Mantenimiento tasas'!$C$43/360,5)</f>
        <v>0</v>
      </c>
      <c r="E1827" s="121">
        <f>ROUND(C1827*'FR_Mantenimiento tasas'!$D$43/360,5)</f>
        <v>0</v>
      </c>
    </row>
    <row r="1828" spans="1:5">
      <c r="A1828" s="123">
        <f t="shared" si="56"/>
        <v>1826</v>
      </c>
      <c r="B1828" s="122">
        <f>IF(DAY(A1828)=DAY('F-Ahorro Futuro Genérico'!$H$11),'F-Ahorro Futuro Genérico'!$H$9,0)</f>
        <v>0</v>
      </c>
      <c r="C1828" s="122">
        <f t="shared" si="57"/>
        <v>0</v>
      </c>
      <c r="D1828" s="121">
        <f>ROUND(C1828*'FR_Mantenimiento tasas'!$C$43/360,5)</f>
        <v>0</v>
      </c>
      <c r="E1828" s="121">
        <f>ROUND(C1828*'FR_Mantenimiento tasas'!$D$43/360,5)</f>
        <v>0</v>
      </c>
    </row>
    <row r="1829" spans="1:5">
      <c r="A1829" s="123">
        <f t="shared" si="56"/>
        <v>1827</v>
      </c>
      <c r="B1829" s="122">
        <f>IF(DAY(A1829)=DAY('F-Ahorro Futuro Genérico'!$H$11),'F-Ahorro Futuro Genérico'!$H$9,0)</f>
        <v>0</v>
      </c>
      <c r="C1829" s="122">
        <f t="shared" si="57"/>
        <v>0</v>
      </c>
      <c r="D1829" s="121">
        <f>ROUND(C1829*'FR_Mantenimiento tasas'!$C$43/360,5)</f>
        <v>0</v>
      </c>
      <c r="E1829" s="121">
        <f>ROUND(C1829*'FR_Mantenimiento tasas'!$D$43/360,5)</f>
        <v>0</v>
      </c>
    </row>
    <row r="1830" spans="1:5">
      <c r="A1830" s="123">
        <f t="shared" si="56"/>
        <v>1828</v>
      </c>
      <c r="B1830" s="122">
        <f>IF(DAY(A1830)=DAY('F-Ahorro Futuro Genérico'!$H$11),'F-Ahorro Futuro Genérico'!$H$9,0)</f>
        <v>0</v>
      </c>
      <c r="C1830" s="122">
        <f t="shared" si="57"/>
        <v>0</v>
      </c>
      <c r="D1830" s="121">
        <f>ROUND(C1830*'FR_Mantenimiento tasas'!$C$43/360,5)</f>
        <v>0</v>
      </c>
      <c r="E1830" s="121">
        <f>ROUND(C1830*'FR_Mantenimiento tasas'!$D$43/360,5)</f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1"/>
  </sheetPr>
  <dimension ref="A1:I1830"/>
  <sheetViews>
    <sheetView workbookViewId="0">
      <selection activeCell="D10" sqref="D10"/>
    </sheetView>
  </sheetViews>
  <sheetFormatPr baseColWidth="10" defaultRowHeight="13.5"/>
  <cols>
    <col min="1" max="1" width="11.7109375" style="123"/>
    <col min="2" max="2" width="21" bestFit="1" customWidth="1"/>
    <col min="3" max="3" width="14" customWidth="1"/>
    <col min="8" max="8" width="29.85546875" bestFit="1" customWidth="1"/>
  </cols>
  <sheetData>
    <row r="1" spans="1:9">
      <c r="A1" s="123" t="s">
        <v>54</v>
      </c>
      <c r="B1" s="120" t="s">
        <v>55</v>
      </c>
      <c r="C1" s="120" t="s">
        <v>65</v>
      </c>
      <c r="D1" s="120" t="s">
        <v>27</v>
      </c>
      <c r="E1" s="120" t="s">
        <v>28</v>
      </c>
      <c r="F1" s="120" t="s">
        <v>18</v>
      </c>
    </row>
    <row r="2" spans="1:9" ht="15">
      <c r="A2" s="123">
        <f>+'F-Ahorro Futuro Decimos'!$H$15</f>
        <v>0</v>
      </c>
      <c r="B2" s="122">
        <f>IFERROR(IF(DAY($A2)=DAY('F-Ahorro Futuro Decimos'!$H$15),'F-Ahorro Futuro Decimos'!$H$14,0),0)</f>
        <v>0</v>
      </c>
      <c r="C2" s="122">
        <f>IF(A2='F-Ahorro Futuro Decimos'!$H$18,'F-Ahorro Futuro Decimos'!$H$20,0)</f>
        <v>0</v>
      </c>
      <c r="D2" s="122">
        <f>+B2</f>
        <v>0</v>
      </c>
      <c r="E2" s="121">
        <f>ROUND(D2*'FR_Mantenimiento tasas'!$C$48/360,5)</f>
        <v>0</v>
      </c>
      <c r="F2" s="121">
        <f>ROUND(D2*'FR_Mantenimiento tasas'!$D$48/360,5)</f>
        <v>0</v>
      </c>
      <c r="H2" s="124" t="s">
        <v>66</v>
      </c>
      <c r="I2" s="124">
        <f>SUMIF(A:A,'F-Ahorro Futuro Decimos'!$H$18-1,'Tabla Ahorro Futuro Decimos'!D:D)</f>
        <v>0</v>
      </c>
    </row>
    <row r="3" spans="1:9">
      <c r="A3" s="123">
        <f>IF(OR(A2='F-Ahorro Futuro Decimos'!$H$16,A2=""),"",IF(A2+1&gt;'F-Ahorro Futuro Decimos'!$H$16,'F-Ahorro Futuro Decimos'!$H$16,A2+1))</f>
        <v>1</v>
      </c>
      <c r="B3" s="122">
        <f>IFERROR(IF(DAY($A3)=DAY('F-Ahorro Futuro Decimos'!$H$15),'F-Ahorro Futuro Decimos'!$H$14,0),0)</f>
        <v>0</v>
      </c>
      <c r="C3" s="122">
        <f>IF(A3='F-Ahorro Futuro Decimos'!$H$18,'F-Ahorro Futuro Decimos'!$H$20,0)</f>
        <v>0</v>
      </c>
      <c r="D3" s="122">
        <f>+B3+D2+E2-C3</f>
        <v>0</v>
      </c>
      <c r="E3" s="121">
        <f>ROUND(D3*'FR_Mantenimiento tasas'!$C$48/360,5)</f>
        <v>0</v>
      </c>
      <c r="F3" s="121">
        <f>ROUND(D3*'FR_Mantenimiento tasas'!$D$48/360,5)</f>
        <v>0</v>
      </c>
    </row>
    <row r="4" spans="1:9">
      <c r="A4" s="123">
        <f>IF(OR(A3='F-Ahorro Futuro Decimos'!$H$16,A3=""),"",IF(A3+1&gt;'F-Ahorro Futuro Decimos'!$H$16,'F-Ahorro Futuro Decimos'!$H$16,A3+1))</f>
        <v>2</v>
      </c>
      <c r="B4" s="122">
        <f>IFERROR(IF(DAY($A4)=DAY('F-Ahorro Futuro Decimos'!$H$15),'F-Ahorro Futuro Decimos'!$H$14,0),0)</f>
        <v>0</v>
      </c>
      <c r="C4" s="122">
        <f>IF(A4='F-Ahorro Futuro Decimos'!$H$18,'F-Ahorro Futuro Decimos'!$H$20,0)</f>
        <v>0</v>
      </c>
      <c r="D4" s="122">
        <f t="shared" ref="D4:D67" si="0">+B4+D3+E3-C4</f>
        <v>0</v>
      </c>
      <c r="E4" s="121">
        <f>ROUND(D4*'FR_Mantenimiento tasas'!$C$48/360,5)</f>
        <v>0</v>
      </c>
      <c r="F4" s="121">
        <f>ROUND(D4*'FR_Mantenimiento tasas'!$D$48/360,5)</f>
        <v>0</v>
      </c>
      <c r="H4" t="s">
        <v>103</v>
      </c>
      <c r="I4" t="e">
        <f ca="1">HLOOKUP(YEAR('F-Ahorro Futuro Decimos'!$H$18),'FR_Mantenimiento tasas'!C115:D117,3,FALSE)</f>
        <v>#N/A</v>
      </c>
    </row>
    <row r="5" spans="1:9">
      <c r="A5" s="123">
        <f>IF(OR(A4='F-Ahorro Futuro Decimos'!$H$16,A4=""),"",IF(A4+1&gt;'F-Ahorro Futuro Decimos'!$H$16,'F-Ahorro Futuro Decimos'!$H$16,A4+1))</f>
        <v>3</v>
      </c>
      <c r="B5" s="122">
        <f>IFERROR(IF(DAY($A5)=DAY('F-Ahorro Futuro Decimos'!$H$15),'F-Ahorro Futuro Decimos'!$H$14,0),0)</f>
        <v>0</v>
      </c>
      <c r="C5" s="122">
        <f>IF(A5='F-Ahorro Futuro Decimos'!$H$18,'F-Ahorro Futuro Decimos'!$H$20,0)</f>
        <v>0</v>
      </c>
      <c r="D5" s="122">
        <f t="shared" si="0"/>
        <v>0</v>
      </c>
      <c r="E5" s="121">
        <f>ROUND(D5*'FR_Mantenimiento tasas'!$C$48/360,5)</f>
        <v>0</v>
      </c>
      <c r="F5" s="121">
        <f>ROUND(D5*'FR_Mantenimiento tasas'!$D$48/360,5)</f>
        <v>0</v>
      </c>
    </row>
    <row r="6" spans="1:9">
      <c r="A6" s="123">
        <f>IF(OR(A5='F-Ahorro Futuro Decimos'!$H$16,A5=""),"",IF(A5+1&gt;'F-Ahorro Futuro Decimos'!$H$16,'F-Ahorro Futuro Decimos'!$H$16,A5+1))</f>
        <v>4</v>
      </c>
      <c r="B6" s="122">
        <f>IFERROR(IF(DAY($A6)=DAY('F-Ahorro Futuro Decimos'!$H$15),'F-Ahorro Futuro Decimos'!$H$14,0),0)</f>
        <v>0</v>
      </c>
      <c r="C6" s="122">
        <f>IF(A6='F-Ahorro Futuro Decimos'!$H$18,'F-Ahorro Futuro Decimos'!$H$20,0)</f>
        <v>0</v>
      </c>
      <c r="D6" s="122">
        <f t="shared" si="0"/>
        <v>0</v>
      </c>
      <c r="E6" s="121">
        <f>ROUND(D6*'FR_Mantenimiento tasas'!$C$48/360,5)</f>
        <v>0</v>
      </c>
      <c r="F6" s="121">
        <f>ROUND(D6*'FR_Mantenimiento tasas'!$D$48/360,5)</f>
        <v>0</v>
      </c>
    </row>
    <row r="7" spans="1:9">
      <c r="A7" s="123">
        <f>IF(OR(A6='F-Ahorro Futuro Decimos'!$H$16,A6=""),"",IF(A6+1&gt;'F-Ahorro Futuro Decimos'!$H$16,'F-Ahorro Futuro Decimos'!$H$16,A6+1))</f>
        <v>5</v>
      </c>
      <c r="B7" s="122">
        <f>IFERROR(IF(DAY($A7)=DAY('F-Ahorro Futuro Decimos'!$H$15),'F-Ahorro Futuro Decimos'!$H$14,0),0)</f>
        <v>0</v>
      </c>
      <c r="C7" s="122">
        <f>IF(A7='F-Ahorro Futuro Decimos'!$H$18,'F-Ahorro Futuro Decimos'!$H$20,0)</f>
        <v>0</v>
      </c>
      <c r="D7" s="122">
        <f t="shared" si="0"/>
        <v>0</v>
      </c>
      <c r="E7" s="121">
        <f>ROUND(D7*'FR_Mantenimiento tasas'!$C$48/360,5)</f>
        <v>0</v>
      </c>
      <c r="F7" s="121">
        <f>ROUND(D7*'FR_Mantenimiento tasas'!$D$48/360,5)</f>
        <v>0</v>
      </c>
    </row>
    <row r="8" spans="1:9">
      <c r="A8" s="123">
        <f>IF(OR(A7='F-Ahorro Futuro Decimos'!$H$16,A7=""),"",IF(A7+1&gt;'F-Ahorro Futuro Decimos'!$H$16,'F-Ahorro Futuro Decimos'!$H$16,A7+1))</f>
        <v>6</v>
      </c>
      <c r="B8" s="122">
        <f>IFERROR(IF(DAY($A8)=DAY('F-Ahorro Futuro Decimos'!$H$15),'F-Ahorro Futuro Decimos'!$H$14,0),0)</f>
        <v>0</v>
      </c>
      <c r="C8" s="122">
        <f>IF(A8='F-Ahorro Futuro Decimos'!$H$18,'F-Ahorro Futuro Decimos'!$H$20,0)</f>
        <v>0</v>
      </c>
      <c r="D8" s="122">
        <f t="shared" si="0"/>
        <v>0</v>
      </c>
      <c r="E8" s="121">
        <f>ROUND(D8*'FR_Mantenimiento tasas'!$C$48/360,5)</f>
        <v>0</v>
      </c>
      <c r="F8" s="121">
        <f>ROUND(D8*'FR_Mantenimiento tasas'!$D$48/360,5)</f>
        <v>0</v>
      </c>
    </row>
    <row r="9" spans="1:9">
      <c r="A9" s="123">
        <f>IF(OR(A8='F-Ahorro Futuro Decimos'!$H$16,A8=""),"",IF(A8+1&gt;'F-Ahorro Futuro Decimos'!$H$16,'F-Ahorro Futuro Decimos'!$H$16,A8+1))</f>
        <v>7</v>
      </c>
      <c r="B9" s="122">
        <f>IFERROR(IF(DAY($A9)=DAY('F-Ahorro Futuro Decimos'!$H$15),'F-Ahorro Futuro Decimos'!$H$14,0),0)</f>
        <v>0</v>
      </c>
      <c r="C9" s="122">
        <f>IF(A9='F-Ahorro Futuro Decimos'!$H$18,'F-Ahorro Futuro Decimos'!$H$20,0)</f>
        <v>0</v>
      </c>
      <c r="D9" s="122">
        <f t="shared" si="0"/>
        <v>0</v>
      </c>
      <c r="E9" s="121">
        <f>ROUND(D9*'FR_Mantenimiento tasas'!$C$48/360,5)</f>
        <v>0</v>
      </c>
      <c r="F9" s="121">
        <f>ROUND(D9*'FR_Mantenimiento tasas'!$D$48/360,5)</f>
        <v>0</v>
      </c>
    </row>
    <row r="10" spans="1:9">
      <c r="A10" s="123">
        <f>IF(OR(A9='F-Ahorro Futuro Decimos'!$H$16,A9=""),"",IF(A9+1&gt;'F-Ahorro Futuro Decimos'!$H$16,'F-Ahorro Futuro Decimos'!$H$16,A9+1))</f>
        <v>8</v>
      </c>
      <c r="B10" s="122">
        <f>IFERROR(IF(DAY($A10)=DAY('F-Ahorro Futuro Decimos'!$H$15),'F-Ahorro Futuro Decimos'!$H$14,0),0)</f>
        <v>0</v>
      </c>
      <c r="C10" s="122">
        <f>IF(A10='F-Ahorro Futuro Decimos'!$H$18,'F-Ahorro Futuro Decimos'!$H$20,0)</f>
        <v>0</v>
      </c>
      <c r="D10" s="122">
        <f t="shared" si="0"/>
        <v>0</v>
      </c>
      <c r="E10" s="121">
        <f>ROUND(D10*'FR_Mantenimiento tasas'!$C$48/360,5)</f>
        <v>0</v>
      </c>
      <c r="F10" s="121">
        <f>ROUND(D10*'FR_Mantenimiento tasas'!$D$48/360,5)</f>
        <v>0</v>
      </c>
    </row>
    <row r="11" spans="1:9">
      <c r="A11" s="123">
        <f>IF(OR(A10='F-Ahorro Futuro Decimos'!$H$16,A10=""),"",IF(A10+1&gt;'F-Ahorro Futuro Decimos'!$H$16,'F-Ahorro Futuro Decimos'!$H$16,A10+1))</f>
        <v>9</v>
      </c>
      <c r="B11" s="122">
        <f>IFERROR(IF(DAY($A11)=DAY('F-Ahorro Futuro Decimos'!$H$15),'F-Ahorro Futuro Decimos'!$H$14,0),0)</f>
        <v>0</v>
      </c>
      <c r="C11" s="122">
        <f>IF(A11='F-Ahorro Futuro Decimos'!$H$18,'F-Ahorro Futuro Decimos'!$H$20,0)</f>
        <v>0</v>
      </c>
      <c r="D11" s="122">
        <f>+B11+D10+E10-C11</f>
        <v>0</v>
      </c>
      <c r="E11" s="121">
        <f>ROUND(D11*'FR_Mantenimiento tasas'!$C$48/360,5)</f>
        <v>0</v>
      </c>
      <c r="F11" s="121">
        <f>ROUND(D11*'FR_Mantenimiento tasas'!$D$48/360,5)</f>
        <v>0</v>
      </c>
    </row>
    <row r="12" spans="1:9">
      <c r="A12" s="123">
        <f>IF(OR(A11='F-Ahorro Futuro Decimos'!$H$16,A11=""),"",IF(A11+1&gt;'F-Ahorro Futuro Decimos'!$H$16,'F-Ahorro Futuro Decimos'!$H$16,A11+1))</f>
        <v>10</v>
      </c>
      <c r="B12" s="122">
        <f>IFERROR(IF(DAY($A12)=DAY('F-Ahorro Futuro Decimos'!$H$15),'F-Ahorro Futuro Decimos'!$H$14,0),0)</f>
        <v>0</v>
      </c>
      <c r="C12" s="122">
        <f>IF(A12='F-Ahorro Futuro Decimos'!$H$18,'F-Ahorro Futuro Decimos'!$H$20,0)</f>
        <v>0</v>
      </c>
      <c r="D12" s="122">
        <f t="shared" si="0"/>
        <v>0</v>
      </c>
      <c r="E12" s="121">
        <f>ROUND(D12*'FR_Mantenimiento tasas'!$C$48/360,5)</f>
        <v>0</v>
      </c>
      <c r="F12" s="121">
        <f>ROUND(D12*'FR_Mantenimiento tasas'!$D$48/360,5)</f>
        <v>0</v>
      </c>
    </row>
    <row r="13" spans="1:9">
      <c r="A13" s="123">
        <f>IF(OR(A12='F-Ahorro Futuro Decimos'!$H$16,A12=""),"",IF(A12+1&gt;'F-Ahorro Futuro Decimos'!$H$16,'F-Ahorro Futuro Decimos'!$H$16,A12+1))</f>
        <v>11</v>
      </c>
      <c r="B13" s="122">
        <f>IFERROR(IF(DAY($A13)=DAY('F-Ahorro Futuro Decimos'!$H$15),'F-Ahorro Futuro Decimos'!$H$14,0),0)</f>
        <v>0</v>
      </c>
      <c r="C13" s="122">
        <f>IF(A13='F-Ahorro Futuro Decimos'!$H$18,'F-Ahorro Futuro Decimos'!$H$20,0)</f>
        <v>0</v>
      </c>
      <c r="D13" s="122">
        <f t="shared" si="0"/>
        <v>0</v>
      </c>
      <c r="E13" s="121">
        <f>ROUND(D13*'FR_Mantenimiento tasas'!$C$48/360,5)</f>
        <v>0</v>
      </c>
      <c r="F13" s="121">
        <f>ROUND(D13*'FR_Mantenimiento tasas'!$D$48/360,5)</f>
        <v>0</v>
      </c>
    </row>
    <row r="14" spans="1:9">
      <c r="A14" s="123">
        <f>IF(OR(A13='F-Ahorro Futuro Decimos'!$H$16,A13=""),"",IF(A13+1&gt;'F-Ahorro Futuro Decimos'!$H$16,'F-Ahorro Futuro Decimos'!$H$16,A13+1))</f>
        <v>12</v>
      </c>
      <c r="B14" s="122">
        <f>IFERROR(IF(DAY($A14)=DAY('F-Ahorro Futuro Decimos'!$H$15),'F-Ahorro Futuro Decimos'!$H$14,0),0)</f>
        <v>0</v>
      </c>
      <c r="C14" s="122">
        <f>IF(A14='F-Ahorro Futuro Decimos'!$H$18,'F-Ahorro Futuro Decimos'!$H$20,0)</f>
        <v>0</v>
      </c>
      <c r="D14" s="122">
        <f t="shared" si="0"/>
        <v>0</v>
      </c>
      <c r="E14" s="121">
        <f>ROUND(D14*'FR_Mantenimiento tasas'!$C$48/360,5)</f>
        <v>0</v>
      </c>
      <c r="F14" s="121">
        <f>ROUND(D14*'FR_Mantenimiento tasas'!$D$48/360,5)</f>
        <v>0</v>
      </c>
    </row>
    <row r="15" spans="1:9">
      <c r="A15" s="123">
        <f>IF(OR(A14='F-Ahorro Futuro Decimos'!$H$16,A14=""),"",IF(A14+1&gt;'F-Ahorro Futuro Decimos'!$H$16,'F-Ahorro Futuro Decimos'!$H$16,A14+1))</f>
        <v>13</v>
      </c>
      <c r="B15" s="122">
        <f>IFERROR(IF(DAY($A15)=DAY('F-Ahorro Futuro Decimos'!$H$15),'F-Ahorro Futuro Decimos'!$H$14,0),0)</f>
        <v>0</v>
      </c>
      <c r="C15" s="122">
        <f>IF(A15='F-Ahorro Futuro Decimos'!$H$18,'F-Ahorro Futuro Decimos'!$H$20,0)</f>
        <v>0</v>
      </c>
      <c r="D15" s="122">
        <f t="shared" si="0"/>
        <v>0</v>
      </c>
      <c r="E15" s="121">
        <f>ROUND(D15*'FR_Mantenimiento tasas'!$C$48/360,5)</f>
        <v>0</v>
      </c>
      <c r="F15" s="121">
        <f>ROUND(D15*'FR_Mantenimiento tasas'!$D$48/360,5)</f>
        <v>0</v>
      </c>
    </row>
    <row r="16" spans="1:9">
      <c r="A16" s="123">
        <f>IF(OR(A15='F-Ahorro Futuro Decimos'!$H$16,A15=""),"",IF(A15+1&gt;'F-Ahorro Futuro Decimos'!$H$16,'F-Ahorro Futuro Decimos'!$H$16,A15+1))</f>
        <v>14</v>
      </c>
      <c r="B16" s="122">
        <f>IFERROR(IF(DAY($A16)=DAY('F-Ahorro Futuro Decimos'!$H$15),'F-Ahorro Futuro Decimos'!$H$14,0),0)</f>
        <v>0</v>
      </c>
      <c r="C16" s="122">
        <f>IF(A16='F-Ahorro Futuro Decimos'!$H$18,'F-Ahorro Futuro Decimos'!$H$20,0)</f>
        <v>0</v>
      </c>
      <c r="D16" s="122">
        <f t="shared" si="0"/>
        <v>0</v>
      </c>
      <c r="E16" s="121">
        <f>ROUND(D16*'FR_Mantenimiento tasas'!$C$48/360,5)</f>
        <v>0</v>
      </c>
      <c r="F16" s="121">
        <f>ROUND(D16*'FR_Mantenimiento tasas'!$D$48/360,5)</f>
        <v>0</v>
      </c>
    </row>
    <row r="17" spans="1:6">
      <c r="A17" s="123">
        <f>IF(OR(A16='F-Ahorro Futuro Decimos'!$H$16,A16=""),"",IF(A16+1&gt;'F-Ahorro Futuro Decimos'!$H$16,'F-Ahorro Futuro Decimos'!$H$16,A16+1))</f>
        <v>15</v>
      </c>
      <c r="B17" s="122">
        <f>IFERROR(IF(DAY($A17)=DAY('F-Ahorro Futuro Decimos'!$H$15),'F-Ahorro Futuro Decimos'!$H$14,0),0)</f>
        <v>0</v>
      </c>
      <c r="C17" s="122">
        <f>IF(A17='F-Ahorro Futuro Decimos'!$H$18,'F-Ahorro Futuro Decimos'!$H$20,0)</f>
        <v>0</v>
      </c>
      <c r="D17" s="122">
        <f t="shared" si="0"/>
        <v>0</v>
      </c>
      <c r="E17" s="121">
        <f>ROUND(D17*'FR_Mantenimiento tasas'!$C$48/360,5)</f>
        <v>0</v>
      </c>
      <c r="F17" s="121">
        <f>ROUND(D17*'FR_Mantenimiento tasas'!$D$48/360,5)</f>
        <v>0</v>
      </c>
    </row>
    <row r="18" spans="1:6">
      <c r="A18" s="123">
        <f>IF(OR(A17='F-Ahorro Futuro Decimos'!$H$16,A17=""),"",IF(A17+1&gt;'F-Ahorro Futuro Decimos'!$H$16,'F-Ahorro Futuro Decimos'!$H$16,A17+1))</f>
        <v>16</v>
      </c>
      <c r="B18" s="122">
        <f>IFERROR(IF(DAY($A18)=DAY('F-Ahorro Futuro Decimos'!$H$15),'F-Ahorro Futuro Decimos'!$H$14,0),0)</f>
        <v>0</v>
      </c>
      <c r="C18" s="122">
        <f>IF(A18='F-Ahorro Futuro Decimos'!$H$18,'F-Ahorro Futuro Decimos'!$H$20,0)</f>
        <v>0</v>
      </c>
      <c r="D18" s="122">
        <f t="shared" si="0"/>
        <v>0</v>
      </c>
      <c r="E18" s="121">
        <f>ROUND(D18*'FR_Mantenimiento tasas'!$C$48/360,5)</f>
        <v>0</v>
      </c>
      <c r="F18" s="121">
        <f>ROUND(D18*'FR_Mantenimiento tasas'!$D$48/360,5)</f>
        <v>0</v>
      </c>
    </row>
    <row r="19" spans="1:6">
      <c r="A19" s="123">
        <f>IF(OR(A18='F-Ahorro Futuro Decimos'!$H$16,A18=""),"",IF(A18+1&gt;'F-Ahorro Futuro Decimos'!$H$16,'F-Ahorro Futuro Decimos'!$H$16,A18+1))</f>
        <v>17</v>
      </c>
      <c r="B19" s="122">
        <f>IFERROR(IF(DAY($A19)=DAY('F-Ahorro Futuro Decimos'!$H$15),'F-Ahorro Futuro Decimos'!$H$14,0),0)</f>
        <v>0</v>
      </c>
      <c r="C19" s="122">
        <f>IF(A19='F-Ahorro Futuro Decimos'!$H$18,'F-Ahorro Futuro Decimos'!$H$20,0)</f>
        <v>0</v>
      </c>
      <c r="D19" s="122">
        <f t="shared" si="0"/>
        <v>0</v>
      </c>
      <c r="E19" s="121">
        <f>ROUND(D19*'FR_Mantenimiento tasas'!$C$48/360,5)</f>
        <v>0</v>
      </c>
      <c r="F19" s="121">
        <f>ROUND(D19*'FR_Mantenimiento tasas'!$D$48/360,5)</f>
        <v>0</v>
      </c>
    </row>
    <row r="20" spans="1:6">
      <c r="A20" s="123">
        <f>IF(OR(A19='F-Ahorro Futuro Decimos'!$H$16,A19=""),"",IF(A19+1&gt;'F-Ahorro Futuro Decimos'!$H$16,'F-Ahorro Futuro Decimos'!$H$16,A19+1))</f>
        <v>18</v>
      </c>
      <c r="B20" s="122">
        <f>IFERROR(IF(DAY($A20)=DAY('F-Ahorro Futuro Decimos'!$H$15),'F-Ahorro Futuro Decimos'!$H$14,0),0)</f>
        <v>0</v>
      </c>
      <c r="C20" s="122">
        <f>IF(A20='F-Ahorro Futuro Decimos'!$H$18,'F-Ahorro Futuro Decimos'!$H$20,0)</f>
        <v>0</v>
      </c>
      <c r="D20" s="122">
        <f t="shared" si="0"/>
        <v>0</v>
      </c>
      <c r="E20" s="121">
        <f>ROUND(D20*'FR_Mantenimiento tasas'!$C$48/360,5)</f>
        <v>0</v>
      </c>
      <c r="F20" s="121">
        <f>ROUND(D20*'FR_Mantenimiento tasas'!$D$48/360,5)</f>
        <v>0</v>
      </c>
    </row>
    <row r="21" spans="1:6">
      <c r="A21" s="123">
        <f>IF(OR(A20='F-Ahorro Futuro Decimos'!$H$16,A20=""),"",IF(A20+1&gt;'F-Ahorro Futuro Decimos'!$H$16,'F-Ahorro Futuro Decimos'!$H$16,A20+1))</f>
        <v>19</v>
      </c>
      <c r="B21" s="122">
        <f>IFERROR(IF(DAY($A21)=DAY('F-Ahorro Futuro Decimos'!$H$15),'F-Ahorro Futuro Decimos'!$H$14,0),0)</f>
        <v>0</v>
      </c>
      <c r="C21" s="122">
        <f>IF(A21='F-Ahorro Futuro Decimos'!$H$18,'F-Ahorro Futuro Decimos'!$H$20,0)</f>
        <v>0</v>
      </c>
      <c r="D21" s="122">
        <f t="shared" si="0"/>
        <v>0</v>
      </c>
      <c r="E21" s="121">
        <f>ROUND(D21*'FR_Mantenimiento tasas'!$C$48/360,5)</f>
        <v>0</v>
      </c>
      <c r="F21" s="121">
        <f>ROUND(D21*'FR_Mantenimiento tasas'!$D$48/360,5)</f>
        <v>0</v>
      </c>
    </row>
    <row r="22" spans="1:6">
      <c r="A22" s="123">
        <f>IF(OR(A21='F-Ahorro Futuro Decimos'!$H$16,A21=""),"",IF(A21+1&gt;'F-Ahorro Futuro Decimos'!$H$16,'F-Ahorro Futuro Decimos'!$H$16,A21+1))</f>
        <v>20</v>
      </c>
      <c r="B22" s="122">
        <f>IFERROR(IF(DAY($A22)=DAY('F-Ahorro Futuro Decimos'!$H$15),'F-Ahorro Futuro Decimos'!$H$14,0),0)</f>
        <v>0</v>
      </c>
      <c r="C22" s="122">
        <f>IF(A22='F-Ahorro Futuro Decimos'!$H$18,'F-Ahorro Futuro Decimos'!$H$20,0)</f>
        <v>0</v>
      </c>
      <c r="D22" s="122">
        <f t="shared" si="0"/>
        <v>0</v>
      </c>
      <c r="E22" s="121">
        <f>ROUND(D22*'FR_Mantenimiento tasas'!$C$48/360,5)</f>
        <v>0</v>
      </c>
      <c r="F22" s="121">
        <f>ROUND(D22*'FR_Mantenimiento tasas'!$D$48/360,5)</f>
        <v>0</v>
      </c>
    </row>
    <row r="23" spans="1:6">
      <c r="A23" s="123">
        <f>IF(OR(A22='F-Ahorro Futuro Decimos'!$H$16,A22=""),"",IF(A22+1&gt;'F-Ahorro Futuro Decimos'!$H$16,'F-Ahorro Futuro Decimos'!$H$16,A22+1))</f>
        <v>21</v>
      </c>
      <c r="B23" s="122">
        <f>IFERROR(IF(DAY($A23)=DAY('F-Ahorro Futuro Decimos'!$H$15),'F-Ahorro Futuro Decimos'!$H$14,0),0)</f>
        <v>0</v>
      </c>
      <c r="C23" s="122">
        <f>IF(A23='F-Ahorro Futuro Decimos'!$H$18,'F-Ahorro Futuro Decimos'!$H$20,0)</f>
        <v>0</v>
      </c>
      <c r="D23" s="122">
        <f t="shared" si="0"/>
        <v>0</v>
      </c>
      <c r="E23" s="121">
        <f>ROUND(D23*'FR_Mantenimiento tasas'!$C$48/360,5)</f>
        <v>0</v>
      </c>
      <c r="F23" s="121">
        <f>ROUND(D23*'FR_Mantenimiento tasas'!$D$48/360,5)</f>
        <v>0</v>
      </c>
    </row>
    <row r="24" spans="1:6">
      <c r="A24" s="123">
        <f>IF(OR(A23='F-Ahorro Futuro Decimos'!$H$16,A23=""),"",IF(A23+1&gt;'F-Ahorro Futuro Decimos'!$H$16,'F-Ahorro Futuro Decimos'!$H$16,A23+1))</f>
        <v>22</v>
      </c>
      <c r="B24" s="122">
        <f>IFERROR(IF(DAY($A24)=DAY('F-Ahorro Futuro Decimos'!$H$15),'F-Ahorro Futuro Decimos'!$H$14,0),0)</f>
        <v>0</v>
      </c>
      <c r="C24" s="122">
        <f>IF(A24='F-Ahorro Futuro Decimos'!$H$18,'F-Ahorro Futuro Decimos'!$H$20,0)</f>
        <v>0</v>
      </c>
      <c r="D24" s="122">
        <f t="shared" si="0"/>
        <v>0</v>
      </c>
      <c r="E24" s="121">
        <f>ROUND(D24*'FR_Mantenimiento tasas'!$C$48/360,5)</f>
        <v>0</v>
      </c>
      <c r="F24" s="121">
        <f>ROUND(D24*'FR_Mantenimiento tasas'!$D$48/360,5)</f>
        <v>0</v>
      </c>
    </row>
    <row r="25" spans="1:6">
      <c r="A25" s="123">
        <f>IF(OR(A24='F-Ahorro Futuro Decimos'!$H$16,A24=""),"",IF(A24+1&gt;'F-Ahorro Futuro Decimos'!$H$16,'F-Ahorro Futuro Decimos'!$H$16,A24+1))</f>
        <v>23</v>
      </c>
      <c r="B25" s="122">
        <f>IFERROR(IF(DAY($A25)=DAY('F-Ahorro Futuro Decimos'!$H$15),'F-Ahorro Futuro Decimos'!$H$14,0),0)</f>
        <v>0</v>
      </c>
      <c r="C25" s="122">
        <f>IF(A25='F-Ahorro Futuro Decimos'!$H$18,'F-Ahorro Futuro Decimos'!$H$20,0)</f>
        <v>0</v>
      </c>
      <c r="D25" s="122">
        <f t="shared" si="0"/>
        <v>0</v>
      </c>
      <c r="E25" s="121">
        <f>ROUND(D25*'FR_Mantenimiento tasas'!$C$48/360,5)</f>
        <v>0</v>
      </c>
      <c r="F25" s="121">
        <f>ROUND(D25*'FR_Mantenimiento tasas'!$D$48/360,5)</f>
        <v>0</v>
      </c>
    </row>
    <row r="26" spans="1:6">
      <c r="A26" s="123">
        <f>IF(OR(A25='F-Ahorro Futuro Decimos'!$H$16,A25=""),"",IF(A25+1&gt;'F-Ahorro Futuro Decimos'!$H$16,'F-Ahorro Futuro Decimos'!$H$16,A25+1))</f>
        <v>24</v>
      </c>
      <c r="B26" s="122">
        <f>IFERROR(IF(DAY($A26)=DAY('F-Ahorro Futuro Decimos'!$H$15),'F-Ahorro Futuro Decimos'!$H$14,0),0)</f>
        <v>0</v>
      </c>
      <c r="C26" s="122">
        <f>IF(A26='F-Ahorro Futuro Decimos'!$H$18,'F-Ahorro Futuro Decimos'!$H$20,0)</f>
        <v>0</v>
      </c>
      <c r="D26" s="122">
        <f t="shared" si="0"/>
        <v>0</v>
      </c>
      <c r="E26" s="121">
        <f>ROUND(D26*'FR_Mantenimiento tasas'!$C$48/360,5)</f>
        <v>0</v>
      </c>
      <c r="F26" s="121">
        <f>ROUND(D26*'FR_Mantenimiento tasas'!$D$48/360,5)</f>
        <v>0</v>
      </c>
    </row>
    <row r="27" spans="1:6">
      <c r="A27" s="123">
        <f>IF(OR(A26='F-Ahorro Futuro Decimos'!$H$16,A26=""),"",IF(A26+1&gt;'F-Ahorro Futuro Decimos'!$H$16,'F-Ahorro Futuro Decimos'!$H$16,A26+1))</f>
        <v>25</v>
      </c>
      <c r="B27" s="122">
        <f>IFERROR(IF(DAY($A27)=DAY('F-Ahorro Futuro Decimos'!$H$15),'F-Ahorro Futuro Decimos'!$H$14,0),0)</f>
        <v>0</v>
      </c>
      <c r="C27" s="122">
        <f>IF(A27='F-Ahorro Futuro Decimos'!$H$18,'F-Ahorro Futuro Decimos'!$H$20,0)</f>
        <v>0</v>
      </c>
      <c r="D27" s="122">
        <f t="shared" si="0"/>
        <v>0</v>
      </c>
      <c r="E27" s="121">
        <f>ROUND(D27*'FR_Mantenimiento tasas'!$C$48/360,5)</f>
        <v>0</v>
      </c>
      <c r="F27" s="121">
        <f>ROUND(D27*'FR_Mantenimiento tasas'!$D$48/360,5)</f>
        <v>0</v>
      </c>
    </row>
    <row r="28" spans="1:6">
      <c r="A28" s="123">
        <f>IF(OR(A27='F-Ahorro Futuro Decimos'!$H$16,A27=""),"",IF(A27+1&gt;'F-Ahorro Futuro Decimos'!$H$16,'F-Ahorro Futuro Decimos'!$H$16,A27+1))</f>
        <v>26</v>
      </c>
      <c r="B28" s="122">
        <f>IFERROR(IF(DAY($A28)=DAY('F-Ahorro Futuro Decimos'!$H$15),'F-Ahorro Futuro Decimos'!$H$14,0),0)</f>
        <v>0</v>
      </c>
      <c r="C28" s="122">
        <f>IF(A28='F-Ahorro Futuro Decimos'!$H$18,'F-Ahorro Futuro Decimos'!$H$20,0)</f>
        <v>0</v>
      </c>
      <c r="D28" s="122">
        <f t="shared" si="0"/>
        <v>0</v>
      </c>
      <c r="E28" s="121">
        <f>ROUND(D28*'FR_Mantenimiento tasas'!$C$48/360,5)</f>
        <v>0</v>
      </c>
      <c r="F28" s="121">
        <f>ROUND(D28*'FR_Mantenimiento tasas'!$D$48/360,5)</f>
        <v>0</v>
      </c>
    </row>
    <row r="29" spans="1:6">
      <c r="A29" s="123">
        <f>IF(OR(A28='F-Ahorro Futuro Decimos'!$H$16,A28=""),"",IF(A28+1&gt;'F-Ahorro Futuro Decimos'!$H$16,'F-Ahorro Futuro Decimos'!$H$16,A28+1))</f>
        <v>27</v>
      </c>
      <c r="B29" s="122">
        <f>IFERROR(IF(DAY($A29)=DAY('F-Ahorro Futuro Decimos'!$H$15),'F-Ahorro Futuro Decimos'!$H$14,0),0)</f>
        <v>0</v>
      </c>
      <c r="C29" s="122">
        <f>IF(A29='F-Ahorro Futuro Decimos'!$H$18,'F-Ahorro Futuro Decimos'!$H$20,0)</f>
        <v>0</v>
      </c>
      <c r="D29" s="122">
        <f t="shared" si="0"/>
        <v>0</v>
      </c>
      <c r="E29" s="121">
        <f>ROUND(D29*'FR_Mantenimiento tasas'!$C$48/360,5)</f>
        <v>0</v>
      </c>
      <c r="F29" s="121">
        <f>ROUND(D29*'FR_Mantenimiento tasas'!$D$48/360,5)</f>
        <v>0</v>
      </c>
    </row>
    <row r="30" spans="1:6">
      <c r="A30" s="123">
        <f>IF(OR(A29='F-Ahorro Futuro Decimos'!$H$16,A29=""),"",IF(A29+1&gt;'F-Ahorro Futuro Decimos'!$H$16,'F-Ahorro Futuro Decimos'!$H$16,A29+1))</f>
        <v>28</v>
      </c>
      <c r="B30" s="122">
        <f>IFERROR(IF(DAY($A30)=DAY('F-Ahorro Futuro Decimos'!$H$15),'F-Ahorro Futuro Decimos'!$H$14,0),0)</f>
        <v>0</v>
      </c>
      <c r="C30" s="122">
        <f>IF(A30='F-Ahorro Futuro Decimos'!$H$18,'F-Ahorro Futuro Decimos'!$H$20,0)</f>
        <v>0</v>
      </c>
      <c r="D30" s="122">
        <f t="shared" si="0"/>
        <v>0</v>
      </c>
      <c r="E30" s="121">
        <f>ROUND(D30*'FR_Mantenimiento tasas'!$C$48/360,5)</f>
        <v>0</v>
      </c>
      <c r="F30" s="121">
        <f>ROUND(D30*'FR_Mantenimiento tasas'!$D$48/360,5)</f>
        <v>0</v>
      </c>
    </row>
    <row r="31" spans="1:6">
      <c r="A31" s="123">
        <f>IF(OR(A30='F-Ahorro Futuro Decimos'!$H$16,A30=""),"",IF(A30+1&gt;'F-Ahorro Futuro Decimos'!$H$16,'F-Ahorro Futuro Decimos'!$H$16,A30+1))</f>
        <v>29</v>
      </c>
      <c r="B31" s="122">
        <f>IFERROR(IF(DAY($A31)=DAY('F-Ahorro Futuro Decimos'!$H$15),'F-Ahorro Futuro Decimos'!$H$14,0),0)</f>
        <v>0</v>
      </c>
      <c r="C31" s="122">
        <f>IF(A31='F-Ahorro Futuro Decimos'!$H$18,'F-Ahorro Futuro Decimos'!$H$20,0)</f>
        <v>0</v>
      </c>
      <c r="D31" s="122">
        <f t="shared" si="0"/>
        <v>0</v>
      </c>
      <c r="E31" s="121">
        <f>ROUND(D31*'FR_Mantenimiento tasas'!$C$48/360,5)</f>
        <v>0</v>
      </c>
      <c r="F31" s="121">
        <f>ROUND(D31*'FR_Mantenimiento tasas'!$D$48/360,5)</f>
        <v>0</v>
      </c>
    </row>
    <row r="32" spans="1:6">
      <c r="A32" s="123">
        <f>IF(OR(A31='F-Ahorro Futuro Decimos'!$H$16,A31=""),"",IF(A31+1&gt;'F-Ahorro Futuro Decimos'!$H$16,'F-Ahorro Futuro Decimos'!$H$16,A31+1))</f>
        <v>30</v>
      </c>
      <c r="B32" s="122">
        <f>IFERROR(IF(DAY($A32)=DAY('F-Ahorro Futuro Decimos'!$H$15),'F-Ahorro Futuro Decimos'!$H$14,0),0)</f>
        <v>0</v>
      </c>
      <c r="C32" s="122">
        <f>IF(A32='F-Ahorro Futuro Decimos'!$H$18,'F-Ahorro Futuro Decimos'!$H$20,0)</f>
        <v>0</v>
      </c>
      <c r="D32" s="122">
        <f t="shared" si="0"/>
        <v>0</v>
      </c>
      <c r="E32" s="121">
        <f>ROUND(D32*'FR_Mantenimiento tasas'!$C$48/360,5)</f>
        <v>0</v>
      </c>
      <c r="F32" s="121">
        <f>ROUND(D32*'FR_Mantenimiento tasas'!$D$48/360,5)</f>
        <v>0</v>
      </c>
    </row>
    <row r="33" spans="1:6">
      <c r="A33" s="123">
        <f>IF(OR(A32='F-Ahorro Futuro Decimos'!$H$16,A32=""),"",IF(A32+1&gt;'F-Ahorro Futuro Decimos'!$H$16,'F-Ahorro Futuro Decimos'!$H$16,A32+1))</f>
        <v>31</v>
      </c>
      <c r="B33" s="122">
        <f>IFERROR(IF(DAY($A33)=DAY('F-Ahorro Futuro Decimos'!$H$15),'F-Ahorro Futuro Decimos'!$H$14,0),0)</f>
        <v>0</v>
      </c>
      <c r="C33" s="122">
        <f>IF(A33='F-Ahorro Futuro Decimos'!$H$18,'F-Ahorro Futuro Decimos'!$H$20,0)</f>
        <v>0</v>
      </c>
      <c r="D33" s="122">
        <f t="shared" si="0"/>
        <v>0</v>
      </c>
      <c r="E33" s="121">
        <f>ROUND(D33*'FR_Mantenimiento tasas'!$C$48/360,5)</f>
        <v>0</v>
      </c>
      <c r="F33" s="121">
        <f>ROUND(D33*'FR_Mantenimiento tasas'!$D$48/360,5)</f>
        <v>0</v>
      </c>
    </row>
    <row r="34" spans="1:6">
      <c r="A34" s="123">
        <f>IF(OR(A33='F-Ahorro Futuro Decimos'!$H$16,A33=""),"",IF(A33+1&gt;'F-Ahorro Futuro Decimos'!$H$16,'F-Ahorro Futuro Decimos'!$H$16,A33+1))</f>
        <v>32</v>
      </c>
      <c r="B34" s="122">
        <f>IFERROR(IF(DAY($A34)=DAY('F-Ahorro Futuro Decimos'!$H$15),'F-Ahorro Futuro Decimos'!$H$14,0),0)</f>
        <v>0</v>
      </c>
      <c r="C34" s="122">
        <f>IF(A34='F-Ahorro Futuro Decimos'!$H$18,'F-Ahorro Futuro Decimos'!$H$20,0)</f>
        <v>0</v>
      </c>
      <c r="D34" s="122">
        <f t="shared" si="0"/>
        <v>0</v>
      </c>
      <c r="E34" s="121">
        <f>ROUND(D34*'FR_Mantenimiento tasas'!$C$48/360,5)</f>
        <v>0</v>
      </c>
      <c r="F34" s="121">
        <f>ROUND(D34*'FR_Mantenimiento tasas'!$D$48/360,5)</f>
        <v>0</v>
      </c>
    </row>
    <row r="35" spans="1:6">
      <c r="A35" s="123">
        <f>IF(OR(A34='F-Ahorro Futuro Decimos'!$H$16,A34=""),"",IF(A34+1&gt;'F-Ahorro Futuro Decimos'!$H$16,'F-Ahorro Futuro Decimos'!$H$16,A34+1))</f>
        <v>33</v>
      </c>
      <c r="B35" s="122">
        <f>IFERROR(IF(DAY($A35)=DAY('F-Ahorro Futuro Decimos'!$H$15),'F-Ahorro Futuro Decimos'!$H$14,0),0)</f>
        <v>0</v>
      </c>
      <c r="C35" s="122">
        <f>IF(A35='F-Ahorro Futuro Decimos'!$H$18,'F-Ahorro Futuro Decimos'!$H$20,0)</f>
        <v>0</v>
      </c>
      <c r="D35" s="122">
        <f t="shared" si="0"/>
        <v>0</v>
      </c>
      <c r="E35" s="121">
        <f>ROUND(D35*'FR_Mantenimiento tasas'!$C$48/360,5)</f>
        <v>0</v>
      </c>
      <c r="F35" s="121">
        <f>ROUND(D35*'FR_Mantenimiento tasas'!$D$48/360,5)</f>
        <v>0</v>
      </c>
    </row>
    <row r="36" spans="1:6">
      <c r="A36" s="123">
        <f>IF(OR(A35='F-Ahorro Futuro Decimos'!$H$16,A35=""),"",IF(A35+1&gt;'F-Ahorro Futuro Decimos'!$H$16,'F-Ahorro Futuro Decimos'!$H$16,A35+1))</f>
        <v>34</v>
      </c>
      <c r="B36" s="122">
        <f>IFERROR(IF(DAY($A36)=DAY('F-Ahorro Futuro Decimos'!$H$15),'F-Ahorro Futuro Decimos'!$H$14,0),0)</f>
        <v>0</v>
      </c>
      <c r="C36" s="122">
        <f>IF(A36='F-Ahorro Futuro Decimos'!$H$18,'F-Ahorro Futuro Decimos'!$H$20,0)</f>
        <v>0</v>
      </c>
      <c r="D36" s="122">
        <f t="shared" si="0"/>
        <v>0</v>
      </c>
      <c r="E36" s="121">
        <f>ROUND(D36*'FR_Mantenimiento tasas'!$C$48/360,5)</f>
        <v>0</v>
      </c>
      <c r="F36" s="121">
        <f>ROUND(D36*'FR_Mantenimiento tasas'!$D$48/360,5)</f>
        <v>0</v>
      </c>
    </row>
    <row r="37" spans="1:6">
      <c r="A37" s="123">
        <f>IF(OR(A36='F-Ahorro Futuro Decimos'!$H$16,A36=""),"",IF(A36+1&gt;'F-Ahorro Futuro Decimos'!$H$16,'F-Ahorro Futuro Decimos'!$H$16,A36+1))</f>
        <v>35</v>
      </c>
      <c r="B37" s="122">
        <f>IFERROR(IF(DAY($A37)=DAY('F-Ahorro Futuro Decimos'!$H$15),'F-Ahorro Futuro Decimos'!$H$14,0),0)</f>
        <v>0</v>
      </c>
      <c r="C37" s="122">
        <f>IF(A37='F-Ahorro Futuro Decimos'!$H$18,'F-Ahorro Futuro Decimos'!$H$20,0)</f>
        <v>0</v>
      </c>
      <c r="D37" s="122">
        <f t="shared" si="0"/>
        <v>0</v>
      </c>
      <c r="E37" s="121">
        <f>ROUND(D37*'FR_Mantenimiento tasas'!$C$48/360,5)</f>
        <v>0</v>
      </c>
      <c r="F37" s="121">
        <f>ROUND(D37*'FR_Mantenimiento tasas'!$D$48/360,5)</f>
        <v>0</v>
      </c>
    </row>
    <row r="38" spans="1:6">
      <c r="A38" s="123">
        <f>IF(OR(A37='F-Ahorro Futuro Decimos'!$H$16,A37=""),"",IF(A37+1&gt;'F-Ahorro Futuro Decimos'!$H$16,'F-Ahorro Futuro Decimos'!$H$16,A37+1))</f>
        <v>36</v>
      </c>
      <c r="B38" s="122">
        <f>IFERROR(IF(DAY($A38)=DAY('F-Ahorro Futuro Decimos'!$H$15),'F-Ahorro Futuro Decimos'!$H$14,0),0)</f>
        <v>0</v>
      </c>
      <c r="C38" s="122">
        <f>IF(A38='F-Ahorro Futuro Decimos'!$H$18,'F-Ahorro Futuro Decimos'!$H$20,0)</f>
        <v>0</v>
      </c>
      <c r="D38" s="122">
        <f t="shared" si="0"/>
        <v>0</v>
      </c>
      <c r="E38" s="121">
        <f>ROUND(D38*'FR_Mantenimiento tasas'!$C$48/360,5)</f>
        <v>0</v>
      </c>
      <c r="F38" s="121">
        <f>ROUND(D38*'FR_Mantenimiento tasas'!$D$48/360,5)</f>
        <v>0</v>
      </c>
    </row>
    <row r="39" spans="1:6">
      <c r="A39" s="123">
        <f>IF(OR(A38='F-Ahorro Futuro Decimos'!$H$16,A38=""),"",IF(A38+1&gt;'F-Ahorro Futuro Decimos'!$H$16,'F-Ahorro Futuro Decimos'!$H$16,A38+1))</f>
        <v>37</v>
      </c>
      <c r="B39" s="122">
        <f>IFERROR(IF(DAY($A39)=DAY('F-Ahorro Futuro Decimos'!$H$15),'F-Ahorro Futuro Decimos'!$H$14,0),0)</f>
        <v>0</v>
      </c>
      <c r="C39" s="122">
        <f>IF(A39='F-Ahorro Futuro Decimos'!$H$18,'F-Ahorro Futuro Decimos'!$H$20,0)</f>
        <v>0</v>
      </c>
      <c r="D39" s="122">
        <f t="shared" si="0"/>
        <v>0</v>
      </c>
      <c r="E39" s="121">
        <f>ROUND(D39*'FR_Mantenimiento tasas'!$C$48/360,5)</f>
        <v>0</v>
      </c>
      <c r="F39" s="121">
        <f>ROUND(D39*'FR_Mantenimiento tasas'!$D$48/360,5)</f>
        <v>0</v>
      </c>
    </row>
    <row r="40" spans="1:6">
      <c r="A40" s="123">
        <f>IF(OR(A39='F-Ahorro Futuro Decimos'!$H$16,A39=""),"",IF(A39+1&gt;'F-Ahorro Futuro Decimos'!$H$16,'F-Ahorro Futuro Decimos'!$H$16,A39+1))</f>
        <v>38</v>
      </c>
      <c r="B40" s="122">
        <f>IFERROR(IF(DAY($A40)=DAY('F-Ahorro Futuro Decimos'!$H$15),'F-Ahorro Futuro Decimos'!$H$14,0),0)</f>
        <v>0</v>
      </c>
      <c r="C40" s="122">
        <f>IF(A40='F-Ahorro Futuro Decimos'!$H$18,'F-Ahorro Futuro Decimos'!$H$20,0)</f>
        <v>0</v>
      </c>
      <c r="D40" s="122">
        <f t="shared" si="0"/>
        <v>0</v>
      </c>
      <c r="E40" s="121">
        <f>ROUND(D40*'FR_Mantenimiento tasas'!$C$48/360,5)</f>
        <v>0</v>
      </c>
      <c r="F40" s="121">
        <f>ROUND(D40*'FR_Mantenimiento tasas'!$D$48/360,5)</f>
        <v>0</v>
      </c>
    </row>
    <row r="41" spans="1:6">
      <c r="A41" s="123">
        <f>IF(OR(A40='F-Ahorro Futuro Decimos'!$H$16,A40=""),"",IF(A40+1&gt;'F-Ahorro Futuro Decimos'!$H$16,'F-Ahorro Futuro Decimos'!$H$16,A40+1))</f>
        <v>39</v>
      </c>
      <c r="B41" s="122">
        <f>IFERROR(IF(DAY($A41)=DAY('F-Ahorro Futuro Decimos'!$H$15),'F-Ahorro Futuro Decimos'!$H$14,0),0)</f>
        <v>0</v>
      </c>
      <c r="C41" s="122">
        <f>IF(A41='F-Ahorro Futuro Decimos'!$H$18,'F-Ahorro Futuro Decimos'!$H$20,0)</f>
        <v>0</v>
      </c>
      <c r="D41" s="122">
        <f t="shared" si="0"/>
        <v>0</v>
      </c>
      <c r="E41" s="121">
        <f>ROUND(D41*'FR_Mantenimiento tasas'!$C$48/360,5)</f>
        <v>0</v>
      </c>
      <c r="F41" s="121">
        <f>ROUND(D41*'FR_Mantenimiento tasas'!$D$48/360,5)</f>
        <v>0</v>
      </c>
    </row>
    <row r="42" spans="1:6">
      <c r="A42" s="123">
        <f>IF(OR(A41='F-Ahorro Futuro Decimos'!$H$16,A41=""),"",IF(A41+1&gt;'F-Ahorro Futuro Decimos'!$H$16,'F-Ahorro Futuro Decimos'!$H$16,A41+1))</f>
        <v>40</v>
      </c>
      <c r="B42" s="122">
        <f>IFERROR(IF(DAY($A42)=DAY('F-Ahorro Futuro Decimos'!$H$15),'F-Ahorro Futuro Decimos'!$H$14,0),0)</f>
        <v>0</v>
      </c>
      <c r="C42" s="122">
        <f>IF(A42='F-Ahorro Futuro Decimos'!$H$18,'F-Ahorro Futuro Decimos'!$H$20,0)</f>
        <v>0</v>
      </c>
      <c r="D42" s="122">
        <f t="shared" si="0"/>
        <v>0</v>
      </c>
      <c r="E42" s="121">
        <f>ROUND(D42*'FR_Mantenimiento tasas'!$C$48/360,5)</f>
        <v>0</v>
      </c>
      <c r="F42" s="121">
        <f>ROUND(D42*'FR_Mantenimiento tasas'!$D$48/360,5)</f>
        <v>0</v>
      </c>
    </row>
    <row r="43" spans="1:6">
      <c r="A43" s="123">
        <f>IF(OR(A42='F-Ahorro Futuro Decimos'!$H$16,A42=""),"",IF(A42+1&gt;'F-Ahorro Futuro Decimos'!$H$16,'F-Ahorro Futuro Decimos'!$H$16,A42+1))</f>
        <v>41</v>
      </c>
      <c r="B43" s="122">
        <f>IFERROR(IF(DAY($A43)=DAY('F-Ahorro Futuro Decimos'!$H$15),'F-Ahorro Futuro Decimos'!$H$14,0),0)</f>
        <v>0</v>
      </c>
      <c r="C43" s="122">
        <f>IF(A43='F-Ahorro Futuro Decimos'!$H$18,'F-Ahorro Futuro Decimos'!$H$20,0)</f>
        <v>0</v>
      </c>
      <c r="D43" s="122">
        <f t="shared" si="0"/>
        <v>0</v>
      </c>
      <c r="E43" s="121">
        <f>ROUND(D43*'FR_Mantenimiento tasas'!$C$48/360,5)</f>
        <v>0</v>
      </c>
      <c r="F43" s="121">
        <f>ROUND(D43*'FR_Mantenimiento tasas'!$D$48/360,5)</f>
        <v>0</v>
      </c>
    </row>
    <row r="44" spans="1:6">
      <c r="A44" s="123">
        <f>IF(OR(A43='F-Ahorro Futuro Decimos'!$H$16,A43=""),"",IF(A43+1&gt;'F-Ahorro Futuro Decimos'!$H$16,'F-Ahorro Futuro Decimos'!$H$16,A43+1))</f>
        <v>42</v>
      </c>
      <c r="B44" s="122">
        <f>IFERROR(IF(DAY($A44)=DAY('F-Ahorro Futuro Decimos'!$H$15),'F-Ahorro Futuro Decimos'!$H$14,0),0)</f>
        <v>0</v>
      </c>
      <c r="C44" s="122">
        <f>IF(A44='F-Ahorro Futuro Decimos'!$H$18,'F-Ahorro Futuro Decimos'!$H$20,0)</f>
        <v>0</v>
      </c>
      <c r="D44" s="122">
        <f t="shared" si="0"/>
        <v>0</v>
      </c>
      <c r="E44" s="121">
        <f>ROUND(D44*'FR_Mantenimiento tasas'!$C$48/360,5)</f>
        <v>0</v>
      </c>
      <c r="F44" s="121">
        <f>ROUND(D44*'FR_Mantenimiento tasas'!$D$48/360,5)</f>
        <v>0</v>
      </c>
    </row>
    <row r="45" spans="1:6">
      <c r="A45" s="123">
        <f>IF(OR(A44='F-Ahorro Futuro Decimos'!$H$16,A44=""),"",IF(A44+1&gt;'F-Ahorro Futuro Decimos'!$H$16,'F-Ahorro Futuro Decimos'!$H$16,A44+1))</f>
        <v>43</v>
      </c>
      <c r="B45" s="122">
        <f>IFERROR(IF(DAY($A45)=DAY('F-Ahorro Futuro Decimos'!$H$15),'F-Ahorro Futuro Decimos'!$H$14,0),0)</f>
        <v>0</v>
      </c>
      <c r="C45" s="122">
        <f>IF(A45='F-Ahorro Futuro Decimos'!$H$18,'F-Ahorro Futuro Decimos'!$H$20,0)</f>
        <v>0</v>
      </c>
      <c r="D45" s="122">
        <f t="shared" si="0"/>
        <v>0</v>
      </c>
      <c r="E45" s="121">
        <f>ROUND(D45*'FR_Mantenimiento tasas'!$C$48/360,5)</f>
        <v>0</v>
      </c>
      <c r="F45" s="121">
        <f>ROUND(D45*'FR_Mantenimiento tasas'!$D$48/360,5)</f>
        <v>0</v>
      </c>
    </row>
    <row r="46" spans="1:6">
      <c r="A46" s="123">
        <f>IF(OR(A45='F-Ahorro Futuro Decimos'!$H$16,A45=""),"",IF(A45+1&gt;'F-Ahorro Futuro Decimos'!$H$16,'F-Ahorro Futuro Decimos'!$H$16,A45+1))</f>
        <v>44</v>
      </c>
      <c r="B46" s="122">
        <f>IFERROR(IF(DAY($A46)=DAY('F-Ahorro Futuro Decimos'!$H$15),'F-Ahorro Futuro Decimos'!$H$14,0),0)</f>
        <v>0</v>
      </c>
      <c r="C46" s="122">
        <f>IF(A46='F-Ahorro Futuro Decimos'!$H$18,'F-Ahorro Futuro Decimos'!$H$20,0)</f>
        <v>0</v>
      </c>
      <c r="D46" s="122">
        <f t="shared" si="0"/>
        <v>0</v>
      </c>
      <c r="E46" s="121">
        <f>ROUND(D46*'FR_Mantenimiento tasas'!$C$48/360,5)</f>
        <v>0</v>
      </c>
      <c r="F46" s="121">
        <f>ROUND(D46*'FR_Mantenimiento tasas'!$D$48/360,5)</f>
        <v>0</v>
      </c>
    </row>
    <row r="47" spans="1:6">
      <c r="A47" s="123">
        <f>IF(OR(A46='F-Ahorro Futuro Decimos'!$H$16,A46=""),"",IF(A46+1&gt;'F-Ahorro Futuro Decimos'!$H$16,'F-Ahorro Futuro Decimos'!$H$16,A46+1))</f>
        <v>45</v>
      </c>
      <c r="B47" s="122">
        <f>IFERROR(IF(DAY($A47)=DAY('F-Ahorro Futuro Decimos'!$H$15),'F-Ahorro Futuro Decimos'!$H$14,0),0)</f>
        <v>0</v>
      </c>
      <c r="C47" s="122">
        <f>IF(A47='F-Ahorro Futuro Decimos'!$H$18,'F-Ahorro Futuro Decimos'!$H$20,0)</f>
        <v>0</v>
      </c>
      <c r="D47" s="122">
        <f t="shared" si="0"/>
        <v>0</v>
      </c>
      <c r="E47" s="121">
        <f>ROUND(D47*'FR_Mantenimiento tasas'!$C$48/360,5)</f>
        <v>0</v>
      </c>
      <c r="F47" s="121">
        <f>ROUND(D47*'FR_Mantenimiento tasas'!$D$48/360,5)</f>
        <v>0</v>
      </c>
    </row>
    <row r="48" spans="1:6">
      <c r="A48" s="123">
        <f>IF(OR(A47='F-Ahorro Futuro Decimos'!$H$16,A47=""),"",IF(A47+1&gt;'F-Ahorro Futuro Decimos'!$H$16,'F-Ahorro Futuro Decimos'!$H$16,A47+1))</f>
        <v>46</v>
      </c>
      <c r="B48" s="122">
        <f>IFERROR(IF(DAY($A48)=DAY('F-Ahorro Futuro Decimos'!$H$15),'F-Ahorro Futuro Decimos'!$H$14,0),0)</f>
        <v>0</v>
      </c>
      <c r="C48" s="122">
        <f>IF(A48='F-Ahorro Futuro Decimos'!$H$18,'F-Ahorro Futuro Decimos'!$H$20,0)</f>
        <v>0</v>
      </c>
      <c r="D48" s="122">
        <f t="shared" si="0"/>
        <v>0</v>
      </c>
      <c r="E48" s="121">
        <f>ROUND(D48*'FR_Mantenimiento tasas'!$C$48/360,5)</f>
        <v>0</v>
      </c>
      <c r="F48" s="121">
        <f>ROUND(D48*'FR_Mantenimiento tasas'!$D$48/360,5)</f>
        <v>0</v>
      </c>
    </row>
    <row r="49" spans="1:6">
      <c r="A49" s="123">
        <f>IF(OR(A48='F-Ahorro Futuro Decimos'!$H$16,A48=""),"",IF(A48+1&gt;'F-Ahorro Futuro Decimos'!$H$16,'F-Ahorro Futuro Decimos'!$H$16,A48+1))</f>
        <v>47</v>
      </c>
      <c r="B49" s="122">
        <f>IFERROR(IF(DAY($A49)=DAY('F-Ahorro Futuro Decimos'!$H$15),'F-Ahorro Futuro Decimos'!$H$14,0),0)</f>
        <v>0</v>
      </c>
      <c r="C49" s="122">
        <f>IF(A49='F-Ahorro Futuro Decimos'!$H$18,'F-Ahorro Futuro Decimos'!$H$20,0)</f>
        <v>0</v>
      </c>
      <c r="D49" s="122">
        <f t="shared" si="0"/>
        <v>0</v>
      </c>
      <c r="E49" s="121">
        <f>ROUND(D49*'FR_Mantenimiento tasas'!$C$48/360,5)</f>
        <v>0</v>
      </c>
      <c r="F49" s="121">
        <f>ROUND(D49*'FR_Mantenimiento tasas'!$D$48/360,5)</f>
        <v>0</v>
      </c>
    </row>
    <row r="50" spans="1:6">
      <c r="A50" s="123">
        <f>IF(OR(A49='F-Ahorro Futuro Decimos'!$H$16,A49=""),"",IF(A49+1&gt;'F-Ahorro Futuro Decimos'!$H$16,'F-Ahorro Futuro Decimos'!$H$16,A49+1))</f>
        <v>48</v>
      </c>
      <c r="B50" s="122">
        <f>IFERROR(IF(DAY($A50)=DAY('F-Ahorro Futuro Decimos'!$H$15),'F-Ahorro Futuro Decimos'!$H$14,0),0)</f>
        <v>0</v>
      </c>
      <c r="C50" s="122">
        <f>IF(A50='F-Ahorro Futuro Decimos'!$H$18,'F-Ahorro Futuro Decimos'!$H$20,0)</f>
        <v>0</v>
      </c>
      <c r="D50" s="122">
        <f t="shared" si="0"/>
        <v>0</v>
      </c>
      <c r="E50" s="121">
        <f>ROUND(D50*'FR_Mantenimiento tasas'!$C$48/360,5)</f>
        <v>0</v>
      </c>
      <c r="F50" s="121">
        <f>ROUND(D50*'FR_Mantenimiento tasas'!$D$48/360,5)</f>
        <v>0</v>
      </c>
    </row>
    <row r="51" spans="1:6">
      <c r="A51" s="123">
        <f>IF(OR(A50='F-Ahorro Futuro Decimos'!$H$16,A50=""),"",IF(A50+1&gt;'F-Ahorro Futuro Decimos'!$H$16,'F-Ahorro Futuro Decimos'!$H$16,A50+1))</f>
        <v>49</v>
      </c>
      <c r="B51" s="122">
        <f>IFERROR(IF(DAY($A51)=DAY('F-Ahorro Futuro Decimos'!$H$15),'F-Ahorro Futuro Decimos'!$H$14,0),0)</f>
        <v>0</v>
      </c>
      <c r="C51" s="122">
        <f>IF(A51='F-Ahorro Futuro Decimos'!$H$18,'F-Ahorro Futuro Decimos'!$H$20,0)</f>
        <v>0</v>
      </c>
      <c r="D51" s="122">
        <f t="shared" si="0"/>
        <v>0</v>
      </c>
      <c r="E51" s="121">
        <f>ROUND(D51*'FR_Mantenimiento tasas'!$C$48/360,5)</f>
        <v>0</v>
      </c>
      <c r="F51" s="121">
        <f>ROUND(D51*'FR_Mantenimiento tasas'!$D$48/360,5)</f>
        <v>0</v>
      </c>
    </row>
    <row r="52" spans="1:6">
      <c r="A52" s="123">
        <f>IF(OR(A51='F-Ahorro Futuro Decimos'!$H$16,A51=""),"",IF(A51+1&gt;'F-Ahorro Futuro Decimos'!$H$16,'F-Ahorro Futuro Decimos'!$H$16,A51+1))</f>
        <v>50</v>
      </c>
      <c r="B52" s="122">
        <f>IFERROR(IF(DAY($A52)=DAY('F-Ahorro Futuro Decimos'!$H$15),'F-Ahorro Futuro Decimos'!$H$14,0),0)</f>
        <v>0</v>
      </c>
      <c r="C52" s="122">
        <f>IF(A52='F-Ahorro Futuro Decimos'!$H$18,'F-Ahorro Futuro Decimos'!$H$20,0)</f>
        <v>0</v>
      </c>
      <c r="D52" s="122">
        <f t="shared" si="0"/>
        <v>0</v>
      </c>
      <c r="E52" s="121">
        <f>ROUND(D52*'FR_Mantenimiento tasas'!$C$48/360,5)</f>
        <v>0</v>
      </c>
      <c r="F52" s="121">
        <f>ROUND(D52*'FR_Mantenimiento tasas'!$D$48/360,5)</f>
        <v>0</v>
      </c>
    </row>
    <row r="53" spans="1:6">
      <c r="A53" s="123">
        <f>IF(OR(A52='F-Ahorro Futuro Decimos'!$H$16,A52=""),"",IF(A52+1&gt;'F-Ahorro Futuro Decimos'!$H$16,'F-Ahorro Futuro Decimos'!$H$16,A52+1))</f>
        <v>51</v>
      </c>
      <c r="B53" s="122">
        <f>IFERROR(IF(DAY($A53)=DAY('F-Ahorro Futuro Decimos'!$H$15),'F-Ahorro Futuro Decimos'!$H$14,0),0)</f>
        <v>0</v>
      </c>
      <c r="C53" s="122">
        <f>IF(A53='F-Ahorro Futuro Decimos'!$H$18,'F-Ahorro Futuro Decimos'!$H$20,0)</f>
        <v>0</v>
      </c>
      <c r="D53" s="122">
        <f t="shared" si="0"/>
        <v>0</v>
      </c>
      <c r="E53" s="121">
        <f>ROUND(D53*'FR_Mantenimiento tasas'!$C$48/360,5)</f>
        <v>0</v>
      </c>
      <c r="F53" s="121">
        <f>ROUND(D53*'FR_Mantenimiento tasas'!$D$48/360,5)</f>
        <v>0</v>
      </c>
    </row>
    <row r="54" spans="1:6">
      <c r="A54" s="123">
        <f>IF(OR(A53='F-Ahorro Futuro Decimos'!$H$16,A53=""),"",IF(A53+1&gt;'F-Ahorro Futuro Decimos'!$H$16,'F-Ahorro Futuro Decimos'!$H$16,A53+1))</f>
        <v>52</v>
      </c>
      <c r="B54" s="122">
        <f>IFERROR(IF(DAY($A54)=DAY('F-Ahorro Futuro Decimos'!$H$15),'F-Ahorro Futuro Decimos'!$H$14,0),0)</f>
        <v>0</v>
      </c>
      <c r="C54" s="122">
        <f>IF(A54='F-Ahorro Futuro Decimos'!$H$18,'F-Ahorro Futuro Decimos'!$H$20,0)</f>
        <v>0</v>
      </c>
      <c r="D54" s="122">
        <f t="shared" si="0"/>
        <v>0</v>
      </c>
      <c r="E54" s="121">
        <f>ROUND(D54*'FR_Mantenimiento tasas'!$C$48/360,5)</f>
        <v>0</v>
      </c>
      <c r="F54" s="121">
        <f>ROUND(D54*'FR_Mantenimiento tasas'!$D$48/360,5)</f>
        <v>0</v>
      </c>
    </row>
    <row r="55" spans="1:6">
      <c r="A55" s="123">
        <f>IF(OR(A54='F-Ahorro Futuro Decimos'!$H$16,A54=""),"",IF(A54+1&gt;'F-Ahorro Futuro Decimos'!$H$16,'F-Ahorro Futuro Decimos'!$H$16,A54+1))</f>
        <v>53</v>
      </c>
      <c r="B55" s="122">
        <f>IFERROR(IF(DAY($A55)=DAY('F-Ahorro Futuro Decimos'!$H$15),'F-Ahorro Futuro Decimos'!$H$14,0),0)</f>
        <v>0</v>
      </c>
      <c r="C55" s="122">
        <f>IF(A55='F-Ahorro Futuro Decimos'!$H$18,'F-Ahorro Futuro Decimos'!$H$20,0)</f>
        <v>0</v>
      </c>
      <c r="D55" s="122">
        <f t="shared" si="0"/>
        <v>0</v>
      </c>
      <c r="E55" s="121">
        <f>ROUND(D55*'FR_Mantenimiento tasas'!$C$48/360,5)</f>
        <v>0</v>
      </c>
      <c r="F55" s="121">
        <f>ROUND(D55*'FR_Mantenimiento tasas'!$D$48/360,5)</f>
        <v>0</v>
      </c>
    </row>
    <row r="56" spans="1:6">
      <c r="A56" s="123">
        <f>IF(OR(A55='F-Ahorro Futuro Decimos'!$H$16,A55=""),"",IF(A55+1&gt;'F-Ahorro Futuro Decimos'!$H$16,'F-Ahorro Futuro Decimos'!$H$16,A55+1))</f>
        <v>54</v>
      </c>
      <c r="B56" s="122">
        <f>IFERROR(IF(DAY($A56)=DAY('F-Ahorro Futuro Decimos'!$H$15),'F-Ahorro Futuro Decimos'!$H$14,0),0)</f>
        <v>0</v>
      </c>
      <c r="C56" s="122">
        <f>IF(A56='F-Ahorro Futuro Decimos'!$H$18,'F-Ahorro Futuro Decimos'!$H$20,0)</f>
        <v>0</v>
      </c>
      <c r="D56" s="122">
        <f t="shared" si="0"/>
        <v>0</v>
      </c>
      <c r="E56" s="121">
        <f>ROUND(D56*'FR_Mantenimiento tasas'!$C$48/360,5)</f>
        <v>0</v>
      </c>
      <c r="F56" s="121">
        <f>ROUND(D56*'FR_Mantenimiento tasas'!$D$48/360,5)</f>
        <v>0</v>
      </c>
    </row>
    <row r="57" spans="1:6">
      <c r="A57" s="123">
        <f>IF(OR(A56='F-Ahorro Futuro Decimos'!$H$16,A56=""),"",IF(A56+1&gt;'F-Ahorro Futuro Decimos'!$H$16,'F-Ahorro Futuro Decimos'!$H$16,A56+1))</f>
        <v>55</v>
      </c>
      <c r="B57" s="122">
        <f>IFERROR(IF(DAY($A57)=DAY('F-Ahorro Futuro Decimos'!$H$15),'F-Ahorro Futuro Decimos'!$H$14,0),0)</f>
        <v>0</v>
      </c>
      <c r="C57" s="122">
        <f>IF(A57='F-Ahorro Futuro Decimos'!$H$18,'F-Ahorro Futuro Decimos'!$H$20,0)</f>
        <v>0</v>
      </c>
      <c r="D57" s="122">
        <f t="shared" si="0"/>
        <v>0</v>
      </c>
      <c r="E57" s="121">
        <f>ROUND(D57*'FR_Mantenimiento tasas'!$C$48/360,5)</f>
        <v>0</v>
      </c>
      <c r="F57" s="121">
        <f>ROUND(D57*'FR_Mantenimiento tasas'!$D$48/360,5)</f>
        <v>0</v>
      </c>
    </row>
    <row r="58" spans="1:6">
      <c r="A58" s="123">
        <f>IF(OR(A57='F-Ahorro Futuro Decimos'!$H$16,A57=""),"",IF(A57+1&gt;'F-Ahorro Futuro Decimos'!$H$16,'F-Ahorro Futuro Decimos'!$H$16,A57+1))</f>
        <v>56</v>
      </c>
      <c r="B58" s="122">
        <f>IFERROR(IF(DAY($A58)=DAY('F-Ahorro Futuro Decimos'!$H$15),'F-Ahorro Futuro Decimos'!$H$14,0),0)</f>
        <v>0</v>
      </c>
      <c r="C58" s="122">
        <f>IF(A58='F-Ahorro Futuro Decimos'!$H$18,'F-Ahorro Futuro Decimos'!$H$20,0)</f>
        <v>0</v>
      </c>
      <c r="D58" s="122">
        <f t="shared" si="0"/>
        <v>0</v>
      </c>
      <c r="E58" s="121">
        <f>ROUND(D58*'FR_Mantenimiento tasas'!$C$48/360,5)</f>
        <v>0</v>
      </c>
      <c r="F58" s="121">
        <f>ROUND(D58*'FR_Mantenimiento tasas'!$D$48/360,5)</f>
        <v>0</v>
      </c>
    </row>
    <row r="59" spans="1:6">
      <c r="A59" s="123">
        <f>IF(OR(A58='F-Ahorro Futuro Decimos'!$H$16,A58=""),"",IF(A58+1&gt;'F-Ahorro Futuro Decimos'!$H$16,'F-Ahorro Futuro Decimos'!$H$16,A58+1))</f>
        <v>57</v>
      </c>
      <c r="B59" s="122">
        <f>IFERROR(IF(DAY($A59)=DAY('F-Ahorro Futuro Decimos'!$H$15),'F-Ahorro Futuro Decimos'!$H$14,0),0)</f>
        <v>0</v>
      </c>
      <c r="C59" s="122">
        <f>IF(A59='F-Ahorro Futuro Decimos'!$H$18,'F-Ahorro Futuro Decimos'!$H$20,0)</f>
        <v>0</v>
      </c>
      <c r="D59" s="122">
        <f t="shared" si="0"/>
        <v>0</v>
      </c>
      <c r="E59" s="121">
        <f>ROUND(D59*'FR_Mantenimiento tasas'!$C$48/360,5)</f>
        <v>0</v>
      </c>
      <c r="F59" s="121">
        <f>ROUND(D59*'FR_Mantenimiento tasas'!$D$48/360,5)</f>
        <v>0</v>
      </c>
    </row>
    <row r="60" spans="1:6">
      <c r="A60" s="123">
        <f>IF(OR(A59='F-Ahorro Futuro Decimos'!$H$16,A59=""),"",IF(A59+1&gt;'F-Ahorro Futuro Decimos'!$H$16,'F-Ahorro Futuro Decimos'!$H$16,A59+1))</f>
        <v>58</v>
      </c>
      <c r="B60" s="122">
        <f>IFERROR(IF(DAY($A60)=DAY('F-Ahorro Futuro Decimos'!$H$15),'F-Ahorro Futuro Decimos'!$H$14,0),0)</f>
        <v>0</v>
      </c>
      <c r="C60" s="122">
        <f>IF(A60='F-Ahorro Futuro Decimos'!$H$18,'F-Ahorro Futuro Decimos'!$H$20,0)</f>
        <v>0</v>
      </c>
      <c r="D60" s="122">
        <f t="shared" si="0"/>
        <v>0</v>
      </c>
      <c r="E60" s="121">
        <f>ROUND(D60*'FR_Mantenimiento tasas'!$C$48/360,5)</f>
        <v>0</v>
      </c>
      <c r="F60" s="121">
        <f>ROUND(D60*'FR_Mantenimiento tasas'!$D$48/360,5)</f>
        <v>0</v>
      </c>
    </row>
    <row r="61" spans="1:6">
      <c r="A61" s="123">
        <f>IF(OR(A60='F-Ahorro Futuro Decimos'!$H$16,A60=""),"",IF(A60+1&gt;'F-Ahorro Futuro Decimos'!$H$16,'F-Ahorro Futuro Decimos'!$H$16,A60+1))</f>
        <v>59</v>
      </c>
      <c r="B61" s="122">
        <f>IFERROR(IF(DAY($A61)=DAY('F-Ahorro Futuro Decimos'!$H$15),'F-Ahorro Futuro Decimos'!$H$14,0),0)</f>
        <v>0</v>
      </c>
      <c r="C61" s="122">
        <f>IF(A61='F-Ahorro Futuro Decimos'!$H$18,'F-Ahorro Futuro Decimos'!$H$20,0)</f>
        <v>0</v>
      </c>
      <c r="D61" s="122">
        <f t="shared" si="0"/>
        <v>0</v>
      </c>
      <c r="E61" s="121">
        <f>ROUND(D61*'FR_Mantenimiento tasas'!$C$48/360,5)</f>
        <v>0</v>
      </c>
      <c r="F61" s="121">
        <f>ROUND(D61*'FR_Mantenimiento tasas'!$D$48/360,5)</f>
        <v>0</v>
      </c>
    </row>
    <row r="62" spans="1:6">
      <c r="A62" s="123">
        <f>IF(OR(A61='F-Ahorro Futuro Decimos'!$H$16,A61=""),"",IF(A61+1&gt;'F-Ahorro Futuro Decimos'!$H$16,'F-Ahorro Futuro Decimos'!$H$16,A61+1))</f>
        <v>60</v>
      </c>
      <c r="B62" s="122">
        <f>IFERROR(IF(DAY($A62)=DAY('F-Ahorro Futuro Decimos'!$H$15),'F-Ahorro Futuro Decimos'!$H$14,0),0)</f>
        <v>0</v>
      </c>
      <c r="C62" s="122">
        <f>IF(A62='F-Ahorro Futuro Decimos'!$H$18,'F-Ahorro Futuro Decimos'!$H$20,0)</f>
        <v>0</v>
      </c>
      <c r="D62" s="122">
        <f t="shared" si="0"/>
        <v>0</v>
      </c>
      <c r="E62" s="121">
        <f>ROUND(D62*'FR_Mantenimiento tasas'!$C$48/360,5)</f>
        <v>0</v>
      </c>
      <c r="F62" s="121">
        <f>ROUND(D62*'FR_Mantenimiento tasas'!$D$48/360,5)</f>
        <v>0</v>
      </c>
    </row>
    <row r="63" spans="1:6">
      <c r="A63" s="123">
        <f>IF(OR(A62='F-Ahorro Futuro Decimos'!$H$16,A62=""),"",IF(A62+1&gt;'F-Ahorro Futuro Decimos'!$H$16,'F-Ahorro Futuro Decimos'!$H$16,A62+1))</f>
        <v>61</v>
      </c>
      <c r="B63" s="122">
        <f>IFERROR(IF(DAY($A63)=DAY('F-Ahorro Futuro Decimos'!$H$15),'F-Ahorro Futuro Decimos'!$H$14,0),0)</f>
        <v>0</v>
      </c>
      <c r="C63" s="122">
        <f>IF(A63='F-Ahorro Futuro Decimos'!$H$18,'F-Ahorro Futuro Decimos'!$H$20,0)</f>
        <v>0</v>
      </c>
      <c r="D63" s="122">
        <f t="shared" si="0"/>
        <v>0</v>
      </c>
      <c r="E63" s="121">
        <f>ROUND(D63*'FR_Mantenimiento tasas'!$C$48/360,5)</f>
        <v>0</v>
      </c>
      <c r="F63" s="121">
        <f>ROUND(D63*'FR_Mantenimiento tasas'!$D$48/360,5)</f>
        <v>0</v>
      </c>
    </row>
    <row r="64" spans="1:6">
      <c r="A64" s="123">
        <f>IF(OR(A63='F-Ahorro Futuro Decimos'!$H$16,A63=""),"",IF(A63+1&gt;'F-Ahorro Futuro Decimos'!$H$16,'F-Ahorro Futuro Decimos'!$H$16,A63+1))</f>
        <v>62</v>
      </c>
      <c r="B64" s="122">
        <f>IFERROR(IF(DAY($A64)=DAY('F-Ahorro Futuro Decimos'!$H$15),'F-Ahorro Futuro Decimos'!$H$14,0),0)</f>
        <v>0</v>
      </c>
      <c r="C64" s="122">
        <f>IF(A64='F-Ahorro Futuro Decimos'!$H$18,'F-Ahorro Futuro Decimos'!$H$20,0)</f>
        <v>0</v>
      </c>
      <c r="D64" s="122">
        <f t="shared" si="0"/>
        <v>0</v>
      </c>
      <c r="E64" s="121">
        <f>ROUND(D64*'FR_Mantenimiento tasas'!$C$48/360,5)</f>
        <v>0</v>
      </c>
      <c r="F64" s="121">
        <f>ROUND(D64*'FR_Mantenimiento tasas'!$D$48/360,5)</f>
        <v>0</v>
      </c>
    </row>
    <row r="65" spans="1:6">
      <c r="A65" s="123">
        <f>IF(OR(A64='F-Ahorro Futuro Decimos'!$H$16,A64=""),"",IF(A64+1&gt;'F-Ahorro Futuro Decimos'!$H$16,'F-Ahorro Futuro Decimos'!$H$16,A64+1))</f>
        <v>63</v>
      </c>
      <c r="B65" s="122">
        <f>IFERROR(IF(DAY($A65)=DAY('F-Ahorro Futuro Decimos'!$H$15),'F-Ahorro Futuro Decimos'!$H$14,0),0)</f>
        <v>0</v>
      </c>
      <c r="C65" s="122">
        <f>IF(A65='F-Ahorro Futuro Decimos'!$H$18,'F-Ahorro Futuro Decimos'!$H$20,0)</f>
        <v>0</v>
      </c>
      <c r="D65" s="122">
        <f t="shared" si="0"/>
        <v>0</v>
      </c>
      <c r="E65" s="121">
        <f>ROUND(D65*'FR_Mantenimiento tasas'!$C$48/360,5)</f>
        <v>0</v>
      </c>
      <c r="F65" s="121">
        <f>ROUND(D65*'FR_Mantenimiento tasas'!$D$48/360,5)</f>
        <v>0</v>
      </c>
    </row>
    <row r="66" spans="1:6">
      <c r="A66" s="123">
        <f>IF(OR(A65='F-Ahorro Futuro Decimos'!$H$16,A65=""),"",IF(A65+1&gt;'F-Ahorro Futuro Decimos'!$H$16,'F-Ahorro Futuro Decimos'!$H$16,A65+1))</f>
        <v>64</v>
      </c>
      <c r="B66" s="122">
        <f>IFERROR(IF(DAY($A66)=DAY('F-Ahorro Futuro Decimos'!$H$15),'F-Ahorro Futuro Decimos'!$H$14,0),0)</f>
        <v>0</v>
      </c>
      <c r="C66" s="122">
        <f>IF(A66='F-Ahorro Futuro Decimos'!$H$18,'F-Ahorro Futuro Decimos'!$H$20,0)</f>
        <v>0</v>
      </c>
      <c r="D66" s="122">
        <f t="shared" si="0"/>
        <v>0</v>
      </c>
      <c r="E66" s="121">
        <f>ROUND(D66*'FR_Mantenimiento tasas'!$C$48/360,5)</f>
        <v>0</v>
      </c>
      <c r="F66" s="121">
        <f>ROUND(D66*'FR_Mantenimiento tasas'!$D$48/360,5)</f>
        <v>0</v>
      </c>
    </row>
    <row r="67" spans="1:6">
      <c r="A67" s="123">
        <f>IF(OR(A66='F-Ahorro Futuro Decimos'!$H$16,A66=""),"",IF(A66+1&gt;'F-Ahorro Futuro Decimos'!$H$16,'F-Ahorro Futuro Decimos'!$H$16,A66+1))</f>
        <v>65</v>
      </c>
      <c r="B67" s="122">
        <f>IFERROR(IF(DAY($A67)=DAY('F-Ahorro Futuro Decimos'!$H$15),'F-Ahorro Futuro Decimos'!$H$14,0),0)</f>
        <v>0</v>
      </c>
      <c r="C67" s="122">
        <f>IF(A67='F-Ahorro Futuro Decimos'!$H$18,'F-Ahorro Futuro Decimos'!$H$20,0)</f>
        <v>0</v>
      </c>
      <c r="D67" s="122">
        <f t="shared" si="0"/>
        <v>0</v>
      </c>
      <c r="E67" s="121">
        <f>ROUND(D67*'FR_Mantenimiento tasas'!$C$48/360,5)</f>
        <v>0</v>
      </c>
      <c r="F67" s="121">
        <f>ROUND(D67*'FR_Mantenimiento tasas'!$D$48/360,5)</f>
        <v>0</v>
      </c>
    </row>
    <row r="68" spans="1:6">
      <c r="A68" s="123">
        <f>IF(OR(A67='F-Ahorro Futuro Decimos'!$H$16,A67=""),"",IF(A67+1&gt;'F-Ahorro Futuro Decimos'!$H$16,'F-Ahorro Futuro Decimos'!$H$16,A67+1))</f>
        <v>66</v>
      </c>
      <c r="B68" s="122">
        <f>IFERROR(IF(DAY($A68)=DAY('F-Ahorro Futuro Decimos'!$H$15),'F-Ahorro Futuro Decimos'!$H$14,0),0)</f>
        <v>0</v>
      </c>
      <c r="C68" s="122">
        <f>IF(A68='F-Ahorro Futuro Decimos'!$H$18,'F-Ahorro Futuro Decimos'!$H$20,0)</f>
        <v>0</v>
      </c>
      <c r="D68" s="122">
        <f t="shared" ref="D68:D131" si="1">+B68+D67+E67-C68</f>
        <v>0</v>
      </c>
      <c r="E68" s="121">
        <f>ROUND(D68*'FR_Mantenimiento tasas'!$C$48/360,5)</f>
        <v>0</v>
      </c>
      <c r="F68" s="121">
        <f>ROUND(D68*'FR_Mantenimiento tasas'!$D$48/360,5)</f>
        <v>0</v>
      </c>
    </row>
    <row r="69" spans="1:6">
      <c r="A69" s="123">
        <f>IF(OR(A68='F-Ahorro Futuro Decimos'!$H$16,A68=""),"",IF(A68+1&gt;'F-Ahorro Futuro Decimos'!$H$16,'F-Ahorro Futuro Decimos'!$H$16,A68+1))</f>
        <v>67</v>
      </c>
      <c r="B69" s="122">
        <f>IFERROR(IF(DAY($A69)=DAY('F-Ahorro Futuro Decimos'!$H$15),'F-Ahorro Futuro Decimos'!$H$14,0),0)</f>
        <v>0</v>
      </c>
      <c r="C69" s="122">
        <f>IF(A69='F-Ahorro Futuro Decimos'!$H$18,'F-Ahorro Futuro Decimos'!$H$20,0)</f>
        <v>0</v>
      </c>
      <c r="D69" s="122">
        <f t="shared" si="1"/>
        <v>0</v>
      </c>
      <c r="E69" s="121">
        <f>ROUND(D69*'FR_Mantenimiento tasas'!$C$48/360,5)</f>
        <v>0</v>
      </c>
      <c r="F69" s="121">
        <f>ROUND(D69*'FR_Mantenimiento tasas'!$D$48/360,5)</f>
        <v>0</v>
      </c>
    </row>
    <row r="70" spans="1:6">
      <c r="A70" s="123">
        <f>IF(OR(A69='F-Ahorro Futuro Decimos'!$H$16,A69=""),"",IF(A69+1&gt;'F-Ahorro Futuro Decimos'!$H$16,'F-Ahorro Futuro Decimos'!$H$16,A69+1))</f>
        <v>68</v>
      </c>
      <c r="B70" s="122">
        <f>IFERROR(IF(DAY($A70)=DAY('F-Ahorro Futuro Decimos'!$H$15),'F-Ahorro Futuro Decimos'!$H$14,0),0)</f>
        <v>0</v>
      </c>
      <c r="C70" s="122">
        <f>IF(A70='F-Ahorro Futuro Decimos'!$H$18,'F-Ahorro Futuro Decimos'!$H$20,0)</f>
        <v>0</v>
      </c>
      <c r="D70" s="122">
        <f t="shared" si="1"/>
        <v>0</v>
      </c>
      <c r="E70" s="121">
        <f>ROUND(D70*'FR_Mantenimiento tasas'!$C$48/360,5)</f>
        <v>0</v>
      </c>
      <c r="F70" s="121">
        <f>ROUND(D70*'FR_Mantenimiento tasas'!$D$48/360,5)</f>
        <v>0</v>
      </c>
    </row>
    <row r="71" spans="1:6">
      <c r="A71" s="123">
        <f>IF(OR(A70='F-Ahorro Futuro Decimos'!$H$16,A70=""),"",IF(A70+1&gt;'F-Ahorro Futuro Decimos'!$H$16,'F-Ahorro Futuro Decimos'!$H$16,A70+1))</f>
        <v>69</v>
      </c>
      <c r="B71" s="122">
        <f>IFERROR(IF(DAY($A71)=DAY('F-Ahorro Futuro Decimos'!$H$15),'F-Ahorro Futuro Decimos'!$H$14,0),0)</f>
        <v>0</v>
      </c>
      <c r="C71" s="122">
        <f>IF(A71='F-Ahorro Futuro Decimos'!$H$18,'F-Ahorro Futuro Decimos'!$H$20,0)</f>
        <v>0</v>
      </c>
      <c r="D71" s="122">
        <f t="shared" si="1"/>
        <v>0</v>
      </c>
      <c r="E71" s="121">
        <f>ROUND(D71*'FR_Mantenimiento tasas'!$C$48/360,5)</f>
        <v>0</v>
      </c>
      <c r="F71" s="121">
        <f>ROUND(D71*'FR_Mantenimiento tasas'!$D$48/360,5)</f>
        <v>0</v>
      </c>
    </row>
    <row r="72" spans="1:6">
      <c r="A72" s="123">
        <f>IF(OR(A71='F-Ahorro Futuro Decimos'!$H$16,A71=""),"",IF(A71+1&gt;'F-Ahorro Futuro Decimos'!$H$16,'F-Ahorro Futuro Decimos'!$H$16,A71+1))</f>
        <v>70</v>
      </c>
      <c r="B72" s="122">
        <f>IFERROR(IF(DAY($A72)=DAY('F-Ahorro Futuro Decimos'!$H$15),'F-Ahorro Futuro Decimos'!$H$14,0),0)</f>
        <v>0</v>
      </c>
      <c r="C72" s="122">
        <f>IF(A72='F-Ahorro Futuro Decimos'!$H$18,'F-Ahorro Futuro Decimos'!$H$20,0)</f>
        <v>0</v>
      </c>
      <c r="D72" s="122">
        <f t="shared" si="1"/>
        <v>0</v>
      </c>
      <c r="E72" s="121">
        <f>ROUND(D72*'FR_Mantenimiento tasas'!$C$48/360,5)</f>
        <v>0</v>
      </c>
      <c r="F72" s="121">
        <f>ROUND(D72*'FR_Mantenimiento tasas'!$D$48/360,5)</f>
        <v>0</v>
      </c>
    </row>
    <row r="73" spans="1:6">
      <c r="A73" s="123">
        <f>IF(OR(A72='F-Ahorro Futuro Decimos'!$H$16,A72=""),"",IF(A72+1&gt;'F-Ahorro Futuro Decimos'!$H$16,'F-Ahorro Futuro Decimos'!$H$16,A72+1))</f>
        <v>71</v>
      </c>
      <c r="B73" s="122">
        <f>IFERROR(IF(DAY($A73)=DAY('F-Ahorro Futuro Decimos'!$H$15),'F-Ahorro Futuro Decimos'!$H$14,0),0)</f>
        <v>0</v>
      </c>
      <c r="C73" s="122">
        <f>IF(A73='F-Ahorro Futuro Decimos'!$H$18,'F-Ahorro Futuro Decimos'!$H$20,0)</f>
        <v>0</v>
      </c>
      <c r="D73" s="122">
        <f t="shared" si="1"/>
        <v>0</v>
      </c>
      <c r="E73" s="121">
        <f>ROUND(D73*'FR_Mantenimiento tasas'!$C$48/360,5)</f>
        <v>0</v>
      </c>
      <c r="F73" s="121">
        <f>ROUND(D73*'FR_Mantenimiento tasas'!$D$48/360,5)</f>
        <v>0</v>
      </c>
    </row>
    <row r="74" spans="1:6">
      <c r="A74" s="123">
        <f>IF(OR(A73='F-Ahorro Futuro Decimos'!$H$16,A73=""),"",IF(A73+1&gt;'F-Ahorro Futuro Decimos'!$H$16,'F-Ahorro Futuro Decimos'!$H$16,A73+1))</f>
        <v>72</v>
      </c>
      <c r="B74" s="122">
        <f>IFERROR(IF(DAY($A74)=DAY('F-Ahorro Futuro Decimos'!$H$15),'F-Ahorro Futuro Decimos'!$H$14,0),0)</f>
        <v>0</v>
      </c>
      <c r="C74" s="122">
        <f>IF(A74='F-Ahorro Futuro Decimos'!$H$18,'F-Ahorro Futuro Decimos'!$H$20,0)</f>
        <v>0</v>
      </c>
      <c r="D74" s="122">
        <f t="shared" si="1"/>
        <v>0</v>
      </c>
      <c r="E74" s="121">
        <f>ROUND(D74*'FR_Mantenimiento tasas'!$C$48/360,5)</f>
        <v>0</v>
      </c>
      <c r="F74" s="121">
        <f>ROUND(D74*'FR_Mantenimiento tasas'!$D$48/360,5)</f>
        <v>0</v>
      </c>
    </row>
    <row r="75" spans="1:6">
      <c r="A75" s="123">
        <f>IF(OR(A74='F-Ahorro Futuro Decimos'!$H$16,A74=""),"",IF(A74+1&gt;'F-Ahorro Futuro Decimos'!$H$16,'F-Ahorro Futuro Decimos'!$H$16,A74+1))</f>
        <v>73</v>
      </c>
      <c r="B75" s="122">
        <f>IFERROR(IF(DAY($A75)=DAY('F-Ahorro Futuro Decimos'!$H$15),'F-Ahorro Futuro Decimos'!$H$14,0),0)</f>
        <v>0</v>
      </c>
      <c r="C75" s="122">
        <f>IF(A75='F-Ahorro Futuro Decimos'!$H$18,'F-Ahorro Futuro Decimos'!$H$20,0)</f>
        <v>0</v>
      </c>
      <c r="D75" s="122">
        <f t="shared" si="1"/>
        <v>0</v>
      </c>
      <c r="E75" s="121">
        <f>ROUND(D75*'FR_Mantenimiento tasas'!$C$48/360,5)</f>
        <v>0</v>
      </c>
      <c r="F75" s="121">
        <f>ROUND(D75*'FR_Mantenimiento tasas'!$D$48/360,5)</f>
        <v>0</v>
      </c>
    </row>
    <row r="76" spans="1:6">
      <c r="A76" s="123">
        <f>IF(OR(A75='F-Ahorro Futuro Decimos'!$H$16,A75=""),"",IF(A75+1&gt;'F-Ahorro Futuro Decimos'!$H$16,'F-Ahorro Futuro Decimos'!$H$16,A75+1))</f>
        <v>74</v>
      </c>
      <c r="B76" s="122">
        <f>IFERROR(IF(DAY($A76)=DAY('F-Ahorro Futuro Decimos'!$H$15),'F-Ahorro Futuro Decimos'!$H$14,0),0)</f>
        <v>0</v>
      </c>
      <c r="C76" s="122">
        <f>IF(A76='F-Ahorro Futuro Decimos'!$H$18,'F-Ahorro Futuro Decimos'!$H$20,0)</f>
        <v>0</v>
      </c>
      <c r="D76" s="122">
        <f t="shared" si="1"/>
        <v>0</v>
      </c>
      <c r="E76" s="121">
        <f>ROUND(D76*'FR_Mantenimiento tasas'!$C$48/360,5)</f>
        <v>0</v>
      </c>
      <c r="F76" s="121">
        <f>ROUND(D76*'FR_Mantenimiento tasas'!$D$48/360,5)</f>
        <v>0</v>
      </c>
    </row>
    <row r="77" spans="1:6">
      <c r="A77" s="123">
        <f>IF(OR(A76='F-Ahorro Futuro Decimos'!$H$16,A76=""),"",IF(A76+1&gt;'F-Ahorro Futuro Decimos'!$H$16,'F-Ahorro Futuro Decimos'!$H$16,A76+1))</f>
        <v>75</v>
      </c>
      <c r="B77" s="122">
        <f>IFERROR(IF(DAY($A77)=DAY('F-Ahorro Futuro Decimos'!$H$15),'F-Ahorro Futuro Decimos'!$H$14,0),0)</f>
        <v>0</v>
      </c>
      <c r="C77" s="122">
        <f>IF(A77='F-Ahorro Futuro Decimos'!$H$18,'F-Ahorro Futuro Decimos'!$H$20,0)</f>
        <v>0</v>
      </c>
      <c r="D77" s="122">
        <f t="shared" si="1"/>
        <v>0</v>
      </c>
      <c r="E77" s="121">
        <f>ROUND(D77*'FR_Mantenimiento tasas'!$C$48/360,5)</f>
        <v>0</v>
      </c>
      <c r="F77" s="121">
        <f>ROUND(D77*'FR_Mantenimiento tasas'!$D$48/360,5)</f>
        <v>0</v>
      </c>
    </row>
    <row r="78" spans="1:6">
      <c r="A78" s="123">
        <f>IF(OR(A77='F-Ahorro Futuro Decimos'!$H$16,A77=""),"",IF(A77+1&gt;'F-Ahorro Futuro Decimos'!$H$16,'F-Ahorro Futuro Decimos'!$H$16,A77+1))</f>
        <v>76</v>
      </c>
      <c r="B78" s="122">
        <f>IFERROR(IF(DAY($A78)=DAY('F-Ahorro Futuro Decimos'!$H$15),'F-Ahorro Futuro Decimos'!$H$14,0),0)</f>
        <v>0</v>
      </c>
      <c r="C78" s="122">
        <f>IF(A78='F-Ahorro Futuro Decimos'!$H$18,'F-Ahorro Futuro Decimos'!$H$20,0)</f>
        <v>0</v>
      </c>
      <c r="D78" s="122">
        <f t="shared" si="1"/>
        <v>0</v>
      </c>
      <c r="E78" s="121">
        <f>ROUND(D78*'FR_Mantenimiento tasas'!$C$48/360,5)</f>
        <v>0</v>
      </c>
      <c r="F78" s="121">
        <f>ROUND(D78*'FR_Mantenimiento tasas'!$D$48/360,5)</f>
        <v>0</v>
      </c>
    </row>
    <row r="79" spans="1:6">
      <c r="A79" s="123">
        <f>IF(OR(A78='F-Ahorro Futuro Decimos'!$H$16,A78=""),"",IF(A78+1&gt;'F-Ahorro Futuro Decimos'!$H$16,'F-Ahorro Futuro Decimos'!$H$16,A78+1))</f>
        <v>77</v>
      </c>
      <c r="B79" s="122">
        <f>IFERROR(IF(DAY($A79)=DAY('F-Ahorro Futuro Decimos'!$H$15),'F-Ahorro Futuro Decimos'!$H$14,0),0)</f>
        <v>0</v>
      </c>
      <c r="C79" s="122">
        <f>IF(A79='F-Ahorro Futuro Decimos'!$H$18,'F-Ahorro Futuro Decimos'!$H$20,0)</f>
        <v>0</v>
      </c>
      <c r="D79" s="122">
        <f t="shared" si="1"/>
        <v>0</v>
      </c>
      <c r="E79" s="121">
        <f>ROUND(D79*'FR_Mantenimiento tasas'!$C$48/360,5)</f>
        <v>0</v>
      </c>
      <c r="F79" s="121">
        <f>ROUND(D79*'FR_Mantenimiento tasas'!$D$48/360,5)</f>
        <v>0</v>
      </c>
    </row>
    <row r="80" spans="1:6">
      <c r="A80" s="123">
        <f>IF(OR(A79='F-Ahorro Futuro Decimos'!$H$16,A79=""),"",IF(A79+1&gt;'F-Ahorro Futuro Decimos'!$H$16,'F-Ahorro Futuro Decimos'!$H$16,A79+1))</f>
        <v>78</v>
      </c>
      <c r="B80" s="122">
        <f>IFERROR(IF(DAY($A80)=DAY('F-Ahorro Futuro Decimos'!$H$15),'F-Ahorro Futuro Decimos'!$H$14,0),0)</f>
        <v>0</v>
      </c>
      <c r="C80" s="122">
        <f>IF(A80='F-Ahorro Futuro Decimos'!$H$18,'F-Ahorro Futuro Decimos'!$H$20,0)</f>
        <v>0</v>
      </c>
      <c r="D80" s="122">
        <f t="shared" si="1"/>
        <v>0</v>
      </c>
      <c r="E80" s="121">
        <f>ROUND(D80*'FR_Mantenimiento tasas'!$C$48/360,5)</f>
        <v>0</v>
      </c>
      <c r="F80" s="121">
        <f>ROUND(D80*'FR_Mantenimiento tasas'!$D$48/360,5)</f>
        <v>0</v>
      </c>
    </row>
    <row r="81" spans="1:6">
      <c r="A81" s="123">
        <f>IF(OR(A80='F-Ahorro Futuro Decimos'!$H$16,A80=""),"",IF(A80+1&gt;'F-Ahorro Futuro Decimos'!$H$16,'F-Ahorro Futuro Decimos'!$H$16,A80+1))</f>
        <v>79</v>
      </c>
      <c r="B81" s="122">
        <f>IFERROR(IF(DAY($A81)=DAY('F-Ahorro Futuro Decimos'!$H$15),'F-Ahorro Futuro Decimos'!$H$14,0),0)</f>
        <v>0</v>
      </c>
      <c r="C81" s="122">
        <f>IF(A81='F-Ahorro Futuro Decimos'!$H$18,'F-Ahorro Futuro Decimos'!$H$20,0)</f>
        <v>0</v>
      </c>
      <c r="D81" s="122">
        <f t="shared" si="1"/>
        <v>0</v>
      </c>
      <c r="E81" s="121">
        <f>ROUND(D81*'FR_Mantenimiento tasas'!$C$48/360,5)</f>
        <v>0</v>
      </c>
      <c r="F81" s="121">
        <f>ROUND(D81*'FR_Mantenimiento tasas'!$D$48/360,5)</f>
        <v>0</v>
      </c>
    </row>
    <row r="82" spans="1:6">
      <c r="A82" s="123">
        <f>IF(OR(A81='F-Ahorro Futuro Decimos'!$H$16,A81=""),"",IF(A81+1&gt;'F-Ahorro Futuro Decimos'!$H$16,'F-Ahorro Futuro Decimos'!$H$16,A81+1))</f>
        <v>80</v>
      </c>
      <c r="B82" s="122">
        <f>IFERROR(IF(DAY($A82)=DAY('F-Ahorro Futuro Decimos'!$H$15),'F-Ahorro Futuro Decimos'!$H$14,0),0)</f>
        <v>0</v>
      </c>
      <c r="C82" s="122">
        <f>IF(A82='F-Ahorro Futuro Decimos'!$H$18,'F-Ahorro Futuro Decimos'!$H$20,0)</f>
        <v>0</v>
      </c>
      <c r="D82" s="122">
        <f t="shared" si="1"/>
        <v>0</v>
      </c>
      <c r="E82" s="121">
        <f>ROUND(D82*'FR_Mantenimiento tasas'!$C$48/360,5)</f>
        <v>0</v>
      </c>
      <c r="F82" s="121">
        <f>ROUND(D82*'FR_Mantenimiento tasas'!$D$48/360,5)</f>
        <v>0</v>
      </c>
    </row>
    <row r="83" spans="1:6">
      <c r="A83" s="123">
        <f>IF(OR(A82='F-Ahorro Futuro Decimos'!$H$16,A82=""),"",IF(A82+1&gt;'F-Ahorro Futuro Decimos'!$H$16,'F-Ahorro Futuro Decimos'!$H$16,A82+1))</f>
        <v>81</v>
      </c>
      <c r="B83" s="122">
        <f>IFERROR(IF(DAY($A83)=DAY('F-Ahorro Futuro Decimos'!$H$15),'F-Ahorro Futuro Decimos'!$H$14,0),0)</f>
        <v>0</v>
      </c>
      <c r="C83" s="122">
        <f>IF(A83='F-Ahorro Futuro Decimos'!$H$18,'F-Ahorro Futuro Decimos'!$H$20,0)</f>
        <v>0</v>
      </c>
      <c r="D83" s="122">
        <f t="shared" si="1"/>
        <v>0</v>
      </c>
      <c r="E83" s="121">
        <f>ROUND(D83*'FR_Mantenimiento tasas'!$C$48/360,5)</f>
        <v>0</v>
      </c>
      <c r="F83" s="121">
        <f>ROUND(D83*'FR_Mantenimiento tasas'!$D$48/360,5)</f>
        <v>0</v>
      </c>
    </row>
    <row r="84" spans="1:6">
      <c r="A84" s="123">
        <f>IF(OR(A83='F-Ahorro Futuro Decimos'!$H$16,A83=""),"",IF(A83+1&gt;'F-Ahorro Futuro Decimos'!$H$16,'F-Ahorro Futuro Decimos'!$H$16,A83+1))</f>
        <v>82</v>
      </c>
      <c r="B84" s="122">
        <f>IFERROR(IF(DAY($A84)=DAY('F-Ahorro Futuro Decimos'!$H$15),'F-Ahorro Futuro Decimos'!$H$14,0),0)</f>
        <v>0</v>
      </c>
      <c r="C84" s="122">
        <f>IF(A84='F-Ahorro Futuro Decimos'!$H$18,'F-Ahorro Futuro Decimos'!$H$20,0)</f>
        <v>0</v>
      </c>
      <c r="D84" s="122">
        <f t="shared" si="1"/>
        <v>0</v>
      </c>
      <c r="E84" s="121">
        <f>ROUND(D84*'FR_Mantenimiento tasas'!$C$48/360,5)</f>
        <v>0</v>
      </c>
      <c r="F84" s="121">
        <f>ROUND(D84*'FR_Mantenimiento tasas'!$D$48/360,5)</f>
        <v>0</v>
      </c>
    </row>
    <row r="85" spans="1:6">
      <c r="A85" s="123">
        <f>IF(OR(A84='F-Ahorro Futuro Decimos'!$H$16,A84=""),"",IF(A84+1&gt;'F-Ahorro Futuro Decimos'!$H$16,'F-Ahorro Futuro Decimos'!$H$16,A84+1))</f>
        <v>83</v>
      </c>
      <c r="B85" s="122">
        <f>IFERROR(IF(DAY($A85)=DAY('F-Ahorro Futuro Decimos'!$H$15),'F-Ahorro Futuro Decimos'!$H$14,0),0)</f>
        <v>0</v>
      </c>
      <c r="C85" s="122">
        <f>IF(A85='F-Ahorro Futuro Decimos'!$H$18,'F-Ahorro Futuro Decimos'!$H$20,0)</f>
        <v>0</v>
      </c>
      <c r="D85" s="122">
        <f t="shared" si="1"/>
        <v>0</v>
      </c>
      <c r="E85" s="121">
        <f>ROUND(D85*'FR_Mantenimiento tasas'!$C$48/360,5)</f>
        <v>0</v>
      </c>
      <c r="F85" s="121">
        <f>ROUND(D85*'FR_Mantenimiento tasas'!$D$48/360,5)</f>
        <v>0</v>
      </c>
    </row>
    <row r="86" spans="1:6">
      <c r="A86" s="123">
        <f>IF(OR(A85='F-Ahorro Futuro Decimos'!$H$16,A85=""),"",IF(A85+1&gt;'F-Ahorro Futuro Decimos'!$H$16,'F-Ahorro Futuro Decimos'!$H$16,A85+1))</f>
        <v>84</v>
      </c>
      <c r="B86" s="122">
        <f>IFERROR(IF(DAY($A86)=DAY('F-Ahorro Futuro Decimos'!$H$15),'F-Ahorro Futuro Decimos'!$H$14,0),0)</f>
        <v>0</v>
      </c>
      <c r="C86" s="122">
        <f>IF(A86='F-Ahorro Futuro Decimos'!$H$18,'F-Ahorro Futuro Decimos'!$H$20,0)</f>
        <v>0</v>
      </c>
      <c r="D86" s="122">
        <f t="shared" si="1"/>
        <v>0</v>
      </c>
      <c r="E86" s="121">
        <f>ROUND(D86*'FR_Mantenimiento tasas'!$C$48/360,5)</f>
        <v>0</v>
      </c>
      <c r="F86" s="121">
        <f>ROUND(D86*'FR_Mantenimiento tasas'!$D$48/360,5)</f>
        <v>0</v>
      </c>
    </row>
    <row r="87" spans="1:6">
      <c r="A87" s="123">
        <f>IF(OR(A86='F-Ahorro Futuro Decimos'!$H$16,A86=""),"",IF(A86+1&gt;'F-Ahorro Futuro Decimos'!$H$16,'F-Ahorro Futuro Decimos'!$H$16,A86+1))</f>
        <v>85</v>
      </c>
      <c r="B87" s="122">
        <f>IFERROR(IF(DAY($A87)=DAY('F-Ahorro Futuro Decimos'!$H$15),'F-Ahorro Futuro Decimos'!$H$14,0),0)</f>
        <v>0</v>
      </c>
      <c r="C87" s="122">
        <f>IF(A87='F-Ahorro Futuro Decimos'!$H$18,'F-Ahorro Futuro Decimos'!$H$20,0)</f>
        <v>0</v>
      </c>
      <c r="D87" s="122">
        <f t="shared" si="1"/>
        <v>0</v>
      </c>
      <c r="E87" s="121">
        <f>ROUND(D87*'FR_Mantenimiento tasas'!$C$48/360,5)</f>
        <v>0</v>
      </c>
      <c r="F87" s="121">
        <f>ROUND(D87*'FR_Mantenimiento tasas'!$D$48/360,5)</f>
        <v>0</v>
      </c>
    </row>
    <row r="88" spans="1:6">
      <c r="A88" s="123">
        <f>IF(OR(A87='F-Ahorro Futuro Decimos'!$H$16,A87=""),"",IF(A87+1&gt;'F-Ahorro Futuro Decimos'!$H$16,'F-Ahorro Futuro Decimos'!$H$16,A87+1))</f>
        <v>86</v>
      </c>
      <c r="B88" s="122">
        <f>IFERROR(IF(DAY($A88)=DAY('F-Ahorro Futuro Decimos'!$H$15),'F-Ahorro Futuro Decimos'!$H$14,0),0)</f>
        <v>0</v>
      </c>
      <c r="C88" s="122">
        <f>IF(A88='F-Ahorro Futuro Decimos'!$H$18,'F-Ahorro Futuro Decimos'!$H$20,0)</f>
        <v>0</v>
      </c>
      <c r="D88" s="122">
        <f t="shared" si="1"/>
        <v>0</v>
      </c>
      <c r="E88" s="121">
        <f>ROUND(D88*'FR_Mantenimiento tasas'!$C$48/360,5)</f>
        <v>0</v>
      </c>
      <c r="F88" s="121">
        <f>ROUND(D88*'FR_Mantenimiento tasas'!$D$48/360,5)</f>
        <v>0</v>
      </c>
    </row>
    <row r="89" spans="1:6">
      <c r="A89" s="123">
        <f>IF(OR(A88='F-Ahorro Futuro Decimos'!$H$16,A88=""),"",IF(A88+1&gt;'F-Ahorro Futuro Decimos'!$H$16,'F-Ahorro Futuro Decimos'!$H$16,A88+1))</f>
        <v>87</v>
      </c>
      <c r="B89" s="122">
        <f>IFERROR(IF(DAY($A89)=DAY('F-Ahorro Futuro Decimos'!$H$15),'F-Ahorro Futuro Decimos'!$H$14,0),0)</f>
        <v>0</v>
      </c>
      <c r="C89" s="122">
        <f>IF(A89='F-Ahorro Futuro Decimos'!$H$18,'F-Ahorro Futuro Decimos'!$H$20,0)</f>
        <v>0</v>
      </c>
      <c r="D89" s="122">
        <f t="shared" si="1"/>
        <v>0</v>
      </c>
      <c r="E89" s="121">
        <f>ROUND(D89*'FR_Mantenimiento tasas'!$C$48/360,5)</f>
        <v>0</v>
      </c>
      <c r="F89" s="121">
        <f>ROUND(D89*'FR_Mantenimiento tasas'!$D$48/360,5)</f>
        <v>0</v>
      </c>
    </row>
    <row r="90" spans="1:6">
      <c r="A90" s="123">
        <f>IF(OR(A89='F-Ahorro Futuro Decimos'!$H$16,A89=""),"",IF(A89+1&gt;'F-Ahorro Futuro Decimos'!$H$16,'F-Ahorro Futuro Decimos'!$H$16,A89+1))</f>
        <v>88</v>
      </c>
      <c r="B90" s="122">
        <f>IFERROR(IF(DAY($A90)=DAY('F-Ahorro Futuro Decimos'!$H$15),'F-Ahorro Futuro Decimos'!$H$14,0),0)</f>
        <v>0</v>
      </c>
      <c r="C90" s="122">
        <f>IF(A90='F-Ahorro Futuro Decimos'!$H$18,'F-Ahorro Futuro Decimos'!$H$20,0)</f>
        <v>0</v>
      </c>
      <c r="D90" s="122">
        <f t="shared" si="1"/>
        <v>0</v>
      </c>
      <c r="E90" s="121">
        <f>ROUND(D90*'FR_Mantenimiento tasas'!$C$48/360,5)</f>
        <v>0</v>
      </c>
      <c r="F90" s="121">
        <f>ROUND(D90*'FR_Mantenimiento tasas'!$D$48/360,5)</f>
        <v>0</v>
      </c>
    </row>
    <row r="91" spans="1:6">
      <c r="A91" s="123">
        <f>IF(OR(A90='F-Ahorro Futuro Decimos'!$H$16,A90=""),"",IF(A90+1&gt;'F-Ahorro Futuro Decimos'!$H$16,'F-Ahorro Futuro Decimos'!$H$16,A90+1))</f>
        <v>89</v>
      </c>
      <c r="B91" s="122">
        <f>IFERROR(IF(DAY($A91)=DAY('F-Ahorro Futuro Decimos'!$H$15),'F-Ahorro Futuro Decimos'!$H$14,0),0)</f>
        <v>0</v>
      </c>
      <c r="C91" s="122">
        <f>IF(A91='F-Ahorro Futuro Decimos'!$H$18,'F-Ahorro Futuro Decimos'!$H$20,0)</f>
        <v>0</v>
      </c>
      <c r="D91" s="122">
        <f t="shared" si="1"/>
        <v>0</v>
      </c>
      <c r="E91" s="121">
        <f>ROUND(D91*'FR_Mantenimiento tasas'!$C$48/360,5)</f>
        <v>0</v>
      </c>
      <c r="F91" s="121">
        <f>ROUND(D91*'FR_Mantenimiento tasas'!$D$48/360,5)</f>
        <v>0</v>
      </c>
    </row>
    <row r="92" spans="1:6">
      <c r="A92" s="123">
        <f>IF(OR(A91='F-Ahorro Futuro Decimos'!$H$16,A91=""),"",IF(A91+1&gt;'F-Ahorro Futuro Decimos'!$H$16,'F-Ahorro Futuro Decimos'!$H$16,A91+1))</f>
        <v>90</v>
      </c>
      <c r="B92" s="122">
        <f>IFERROR(IF(DAY($A92)=DAY('F-Ahorro Futuro Decimos'!$H$15),'F-Ahorro Futuro Decimos'!$H$14,0),0)</f>
        <v>0</v>
      </c>
      <c r="C92" s="122">
        <f>IF(A92='F-Ahorro Futuro Decimos'!$H$18,'F-Ahorro Futuro Decimos'!$H$20,0)</f>
        <v>0</v>
      </c>
      <c r="D92" s="122">
        <f t="shared" si="1"/>
        <v>0</v>
      </c>
      <c r="E92" s="121">
        <f>ROUND(D92*'FR_Mantenimiento tasas'!$C$48/360,5)</f>
        <v>0</v>
      </c>
      <c r="F92" s="121">
        <f>ROUND(D92*'FR_Mantenimiento tasas'!$D$48/360,5)</f>
        <v>0</v>
      </c>
    </row>
    <row r="93" spans="1:6">
      <c r="A93" s="123">
        <f>IF(OR(A92='F-Ahorro Futuro Decimos'!$H$16,A92=""),"",IF(A92+1&gt;'F-Ahorro Futuro Decimos'!$H$16,'F-Ahorro Futuro Decimos'!$H$16,A92+1))</f>
        <v>91</v>
      </c>
      <c r="B93" s="122">
        <f>IFERROR(IF(DAY($A93)=DAY('F-Ahorro Futuro Decimos'!$H$15),'F-Ahorro Futuro Decimos'!$H$14,0),0)</f>
        <v>0</v>
      </c>
      <c r="C93" s="122">
        <f>IF(A93='F-Ahorro Futuro Decimos'!$H$18,'F-Ahorro Futuro Decimos'!$H$20,0)</f>
        <v>0</v>
      </c>
      <c r="D93" s="122">
        <f t="shared" si="1"/>
        <v>0</v>
      </c>
      <c r="E93" s="121">
        <f>ROUND(D93*'FR_Mantenimiento tasas'!$C$48/360,5)</f>
        <v>0</v>
      </c>
      <c r="F93" s="121">
        <f>ROUND(D93*'FR_Mantenimiento tasas'!$D$48/360,5)</f>
        <v>0</v>
      </c>
    </row>
    <row r="94" spans="1:6">
      <c r="A94" s="123">
        <f>IF(OR(A93='F-Ahorro Futuro Decimos'!$H$16,A93=""),"",IF(A93+1&gt;'F-Ahorro Futuro Decimos'!$H$16,'F-Ahorro Futuro Decimos'!$H$16,A93+1))</f>
        <v>92</v>
      </c>
      <c r="B94" s="122">
        <f>IFERROR(IF(DAY($A94)=DAY('F-Ahorro Futuro Decimos'!$H$15),'F-Ahorro Futuro Decimos'!$H$14,0),0)</f>
        <v>0</v>
      </c>
      <c r="C94" s="122">
        <f>IF(A94='F-Ahorro Futuro Decimos'!$H$18,'F-Ahorro Futuro Decimos'!$H$20,0)</f>
        <v>0</v>
      </c>
      <c r="D94" s="122">
        <f t="shared" si="1"/>
        <v>0</v>
      </c>
      <c r="E94" s="121">
        <f>ROUND(D94*'FR_Mantenimiento tasas'!$C$48/360,5)</f>
        <v>0</v>
      </c>
      <c r="F94" s="121">
        <f>ROUND(D94*'FR_Mantenimiento tasas'!$D$48/360,5)</f>
        <v>0</v>
      </c>
    </row>
    <row r="95" spans="1:6">
      <c r="A95" s="123">
        <f>IF(OR(A94='F-Ahorro Futuro Decimos'!$H$16,A94=""),"",IF(A94+1&gt;'F-Ahorro Futuro Decimos'!$H$16,'F-Ahorro Futuro Decimos'!$H$16,A94+1))</f>
        <v>93</v>
      </c>
      <c r="B95" s="122">
        <f>IFERROR(IF(DAY($A95)=DAY('F-Ahorro Futuro Decimos'!$H$15),'F-Ahorro Futuro Decimos'!$H$14,0),0)</f>
        <v>0</v>
      </c>
      <c r="C95" s="122">
        <f>IF(A95='F-Ahorro Futuro Decimos'!$H$18,'F-Ahorro Futuro Decimos'!$H$20,0)</f>
        <v>0</v>
      </c>
      <c r="D95" s="122">
        <f t="shared" si="1"/>
        <v>0</v>
      </c>
      <c r="E95" s="121">
        <f>ROUND(D95*'FR_Mantenimiento tasas'!$C$48/360,5)</f>
        <v>0</v>
      </c>
      <c r="F95" s="121">
        <f>ROUND(D95*'FR_Mantenimiento tasas'!$D$48/360,5)</f>
        <v>0</v>
      </c>
    </row>
    <row r="96" spans="1:6">
      <c r="A96" s="123">
        <f>IF(OR(A95='F-Ahorro Futuro Decimos'!$H$16,A95=""),"",IF(A95+1&gt;'F-Ahorro Futuro Decimos'!$H$16,'F-Ahorro Futuro Decimos'!$H$16,A95+1))</f>
        <v>94</v>
      </c>
      <c r="B96" s="122">
        <f>IFERROR(IF(DAY($A96)=DAY('F-Ahorro Futuro Decimos'!$H$15),'F-Ahorro Futuro Decimos'!$H$14,0),0)</f>
        <v>0</v>
      </c>
      <c r="C96" s="122">
        <f>IF(A96='F-Ahorro Futuro Decimos'!$H$18,'F-Ahorro Futuro Decimos'!$H$20,0)</f>
        <v>0</v>
      </c>
      <c r="D96" s="122">
        <f t="shared" si="1"/>
        <v>0</v>
      </c>
      <c r="E96" s="121">
        <f>ROUND(D96*'FR_Mantenimiento tasas'!$C$48/360,5)</f>
        <v>0</v>
      </c>
      <c r="F96" s="121">
        <f>ROUND(D96*'FR_Mantenimiento tasas'!$D$48/360,5)</f>
        <v>0</v>
      </c>
    </row>
    <row r="97" spans="1:6">
      <c r="A97" s="123">
        <f>IF(OR(A96='F-Ahorro Futuro Decimos'!$H$16,A96=""),"",IF(A96+1&gt;'F-Ahorro Futuro Decimos'!$H$16,'F-Ahorro Futuro Decimos'!$H$16,A96+1))</f>
        <v>95</v>
      </c>
      <c r="B97" s="122">
        <f>IFERROR(IF(DAY($A97)=DAY('F-Ahorro Futuro Decimos'!$H$15),'F-Ahorro Futuro Decimos'!$H$14,0),0)</f>
        <v>0</v>
      </c>
      <c r="C97" s="122">
        <f>IF(A97='F-Ahorro Futuro Decimos'!$H$18,'F-Ahorro Futuro Decimos'!$H$20,0)</f>
        <v>0</v>
      </c>
      <c r="D97" s="122">
        <f t="shared" si="1"/>
        <v>0</v>
      </c>
      <c r="E97" s="121">
        <f>ROUND(D97*'FR_Mantenimiento tasas'!$C$48/360,5)</f>
        <v>0</v>
      </c>
      <c r="F97" s="121">
        <f>ROUND(D97*'FR_Mantenimiento tasas'!$D$48/360,5)</f>
        <v>0</v>
      </c>
    </row>
    <row r="98" spans="1:6">
      <c r="A98" s="123">
        <f>IF(OR(A97='F-Ahorro Futuro Decimos'!$H$16,A97=""),"",IF(A97+1&gt;'F-Ahorro Futuro Decimos'!$H$16,'F-Ahorro Futuro Decimos'!$H$16,A97+1))</f>
        <v>96</v>
      </c>
      <c r="B98" s="122">
        <f>IFERROR(IF(DAY($A98)=DAY('F-Ahorro Futuro Decimos'!$H$15),'F-Ahorro Futuro Decimos'!$H$14,0),0)</f>
        <v>0</v>
      </c>
      <c r="C98" s="122">
        <f>IF(A98='F-Ahorro Futuro Decimos'!$H$18,'F-Ahorro Futuro Decimos'!$H$20,0)</f>
        <v>0</v>
      </c>
      <c r="D98" s="122">
        <f t="shared" si="1"/>
        <v>0</v>
      </c>
      <c r="E98" s="121">
        <f>ROUND(D98*'FR_Mantenimiento tasas'!$C$48/360,5)</f>
        <v>0</v>
      </c>
      <c r="F98" s="121">
        <f>ROUND(D98*'FR_Mantenimiento tasas'!$D$48/360,5)</f>
        <v>0</v>
      </c>
    </row>
    <row r="99" spans="1:6">
      <c r="A99" s="123">
        <f>IF(OR(A98='F-Ahorro Futuro Decimos'!$H$16,A98=""),"",IF(A98+1&gt;'F-Ahorro Futuro Decimos'!$H$16,'F-Ahorro Futuro Decimos'!$H$16,A98+1))</f>
        <v>97</v>
      </c>
      <c r="B99" s="122">
        <f>IFERROR(IF(DAY($A99)=DAY('F-Ahorro Futuro Decimos'!$H$15),'F-Ahorro Futuro Decimos'!$H$14,0),0)</f>
        <v>0</v>
      </c>
      <c r="C99" s="122">
        <f>IF(A99='F-Ahorro Futuro Decimos'!$H$18,'F-Ahorro Futuro Decimos'!$H$20,0)</f>
        <v>0</v>
      </c>
      <c r="D99" s="122">
        <f t="shared" si="1"/>
        <v>0</v>
      </c>
      <c r="E99" s="121">
        <f>ROUND(D99*'FR_Mantenimiento tasas'!$C$48/360,5)</f>
        <v>0</v>
      </c>
      <c r="F99" s="121">
        <f>ROUND(D99*'FR_Mantenimiento tasas'!$D$48/360,5)</f>
        <v>0</v>
      </c>
    </row>
    <row r="100" spans="1:6">
      <c r="A100" s="123">
        <f>IF(OR(A99='F-Ahorro Futuro Decimos'!$H$16,A99=""),"",IF(A99+1&gt;'F-Ahorro Futuro Decimos'!$H$16,'F-Ahorro Futuro Decimos'!$H$16,A99+1))</f>
        <v>98</v>
      </c>
      <c r="B100" s="122">
        <f>IFERROR(IF(DAY($A100)=DAY('F-Ahorro Futuro Decimos'!$H$15),'F-Ahorro Futuro Decimos'!$H$14,0),0)</f>
        <v>0</v>
      </c>
      <c r="C100" s="122">
        <f>IF(A100='F-Ahorro Futuro Decimos'!$H$18,'F-Ahorro Futuro Decimos'!$H$20,0)</f>
        <v>0</v>
      </c>
      <c r="D100" s="122">
        <f t="shared" si="1"/>
        <v>0</v>
      </c>
      <c r="E100" s="121">
        <f>ROUND(D100*'FR_Mantenimiento tasas'!$C$48/360,5)</f>
        <v>0</v>
      </c>
      <c r="F100" s="121">
        <f>ROUND(D100*'FR_Mantenimiento tasas'!$D$48/360,5)</f>
        <v>0</v>
      </c>
    </row>
    <row r="101" spans="1:6">
      <c r="A101" s="123">
        <f>IF(OR(A100='F-Ahorro Futuro Decimos'!$H$16,A100=""),"",IF(A100+1&gt;'F-Ahorro Futuro Decimos'!$H$16,'F-Ahorro Futuro Decimos'!$H$16,A100+1))</f>
        <v>99</v>
      </c>
      <c r="B101" s="122">
        <f>IFERROR(IF(DAY($A101)=DAY('F-Ahorro Futuro Decimos'!$H$15),'F-Ahorro Futuro Decimos'!$H$14,0),0)</f>
        <v>0</v>
      </c>
      <c r="C101" s="122">
        <f>IF(A101='F-Ahorro Futuro Decimos'!$H$18,'F-Ahorro Futuro Decimos'!$H$20,0)</f>
        <v>0</v>
      </c>
      <c r="D101" s="122">
        <f t="shared" si="1"/>
        <v>0</v>
      </c>
      <c r="E101" s="121">
        <f>ROUND(D101*'FR_Mantenimiento tasas'!$C$48/360,5)</f>
        <v>0</v>
      </c>
      <c r="F101" s="121">
        <f>ROUND(D101*'FR_Mantenimiento tasas'!$D$48/360,5)</f>
        <v>0</v>
      </c>
    </row>
    <row r="102" spans="1:6">
      <c r="A102" s="123">
        <f>IF(OR(A101='F-Ahorro Futuro Decimos'!$H$16,A101=""),"",IF(A101+1&gt;'F-Ahorro Futuro Decimos'!$H$16,'F-Ahorro Futuro Decimos'!$H$16,A101+1))</f>
        <v>100</v>
      </c>
      <c r="B102" s="122">
        <f>IFERROR(IF(DAY($A102)=DAY('F-Ahorro Futuro Decimos'!$H$15),'F-Ahorro Futuro Decimos'!$H$14,0),0)</f>
        <v>0</v>
      </c>
      <c r="C102" s="122">
        <f>IF(A102='F-Ahorro Futuro Decimos'!$H$18,'F-Ahorro Futuro Decimos'!$H$20,0)</f>
        <v>0</v>
      </c>
      <c r="D102" s="122">
        <f t="shared" si="1"/>
        <v>0</v>
      </c>
      <c r="E102" s="121">
        <f>ROUND(D102*'FR_Mantenimiento tasas'!$C$48/360,5)</f>
        <v>0</v>
      </c>
      <c r="F102" s="121">
        <f>ROUND(D102*'FR_Mantenimiento tasas'!$D$48/360,5)</f>
        <v>0</v>
      </c>
    </row>
    <row r="103" spans="1:6">
      <c r="A103" s="123">
        <f>IF(OR(A102='F-Ahorro Futuro Decimos'!$H$16,A102=""),"",IF(A102+1&gt;'F-Ahorro Futuro Decimos'!$H$16,'F-Ahorro Futuro Decimos'!$H$16,A102+1))</f>
        <v>101</v>
      </c>
      <c r="B103" s="122">
        <f>IFERROR(IF(DAY($A103)=DAY('F-Ahorro Futuro Decimos'!$H$15),'F-Ahorro Futuro Decimos'!$H$14,0),0)</f>
        <v>0</v>
      </c>
      <c r="C103" s="122">
        <f>IF(A103='F-Ahorro Futuro Decimos'!$H$18,'F-Ahorro Futuro Decimos'!$H$20,0)</f>
        <v>0</v>
      </c>
      <c r="D103" s="122">
        <f t="shared" si="1"/>
        <v>0</v>
      </c>
      <c r="E103" s="121">
        <f>ROUND(D103*'FR_Mantenimiento tasas'!$C$48/360,5)</f>
        <v>0</v>
      </c>
      <c r="F103" s="121">
        <f>ROUND(D103*'FR_Mantenimiento tasas'!$D$48/360,5)</f>
        <v>0</v>
      </c>
    </row>
    <row r="104" spans="1:6">
      <c r="A104" s="123">
        <f>IF(OR(A103='F-Ahorro Futuro Decimos'!$H$16,A103=""),"",IF(A103+1&gt;'F-Ahorro Futuro Decimos'!$H$16,'F-Ahorro Futuro Decimos'!$H$16,A103+1))</f>
        <v>102</v>
      </c>
      <c r="B104" s="122">
        <f>IFERROR(IF(DAY($A104)=DAY('F-Ahorro Futuro Decimos'!$H$15),'F-Ahorro Futuro Decimos'!$H$14,0),0)</f>
        <v>0</v>
      </c>
      <c r="C104" s="122">
        <f>IF(A104='F-Ahorro Futuro Decimos'!$H$18,'F-Ahorro Futuro Decimos'!$H$20,0)</f>
        <v>0</v>
      </c>
      <c r="D104" s="122">
        <f t="shared" si="1"/>
        <v>0</v>
      </c>
      <c r="E104" s="121">
        <f>ROUND(D104*'FR_Mantenimiento tasas'!$C$48/360,5)</f>
        <v>0</v>
      </c>
      <c r="F104" s="121">
        <f>ROUND(D104*'FR_Mantenimiento tasas'!$D$48/360,5)</f>
        <v>0</v>
      </c>
    </row>
    <row r="105" spans="1:6">
      <c r="A105" s="123">
        <f>IF(OR(A104='F-Ahorro Futuro Decimos'!$H$16,A104=""),"",IF(A104+1&gt;'F-Ahorro Futuro Decimos'!$H$16,'F-Ahorro Futuro Decimos'!$H$16,A104+1))</f>
        <v>103</v>
      </c>
      <c r="B105" s="122">
        <f>IFERROR(IF(DAY($A105)=DAY('F-Ahorro Futuro Decimos'!$H$15),'F-Ahorro Futuro Decimos'!$H$14,0),0)</f>
        <v>0</v>
      </c>
      <c r="C105" s="122">
        <f>IF(A105='F-Ahorro Futuro Decimos'!$H$18,'F-Ahorro Futuro Decimos'!$H$20,0)</f>
        <v>0</v>
      </c>
      <c r="D105" s="122">
        <f t="shared" si="1"/>
        <v>0</v>
      </c>
      <c r="E105" s="121">
        <f>ROUND(D105*'FR_Mantenimiento tasas'!$C$48/360,5)</f>
        <v>0</v>
      </c>
      <c r="F105" s="121">
        <f>ROUND(D105*'FR_Mantenimiento tasas'!$D$48/360,5)</f>
        <v>0</v>
      </c>
    </row>
    <row r="106" spans="1:6">
      <c r="A106" s="123">
        <f>IF(OR(A105='F-Ahorro Futuro Decimos'!$H$16,A105=""),"",IF(A105+1&gt;'F-Ahorro Futuro Decimos'!$H$16,'F-Ahorro Futuro Decimos'!$H$16,A105+1))</f>
        <v>104</v>
      </c>
      <c r="B106" s="122">
        <f>IFERROR(IF(DAY($A106)=DAY('F-Ahorro Futuro Decimos'!$H$15),'F-Ahorro Futuro Decimos'!$H$14,0),0)</f>
        <v>0</v>
      </c>
      <c r="C106" s="122">
        <f>IF(A106='F-Ahorro Futuro Decimos'!$H$18,'F-Ahorro Futuro Decimos'!$H$20,0)</f>
        <v>0</v>
      </c>
      <c r="D106" s="122">
        <f t="shared" si="1"/>
        <v>0</v>
      </c>
      <c r="E106" s="121">
        <f>ROUND(D106*'FR_Mantenimiento tasas'!$C$48/360,5)</f>
        <v>0</v>
      </c>
      <c r="F106" s="121">
        <f>ROUND(D106*'FR_Mantenimiento tasas'!$D$48/360,5)</f>
        <v>0</v>
      </c>
    </row>
    <row r="107" spans="1:6">
      <c r="A107" s="123">
        <f>IF(OR(A106='F-Ahorro Futuro Decimos'!$H$16,A106=""),"",IF(A106+1&gt;'F-Ahorro Futuro Decimos'!$H$16,'F-Ahorro Futuro Decimos'!$H$16,A106+1))</f>
        <v>105</v>
      </c>
      <c r="B107" s="122">
        <f>IFERROR(IF(DAY($A107)=DAY('F-Ahorro Futuro Decimos'!$H$15),'F-Ahorro Futuro Decimos'!$H$14,0),0)</f>
        <v>0</v>
      </c>
      <c r="C107" s="122">
        <f>IF(A107='F-Ahorro Futuro Decimos'!$H$18,'F-Ahorro Futuro Decimos'!$H$20,0)</f>
        <v>0</v>
      </c>
      <c r="D107" s="122">
        <f t="shared" si="1"/>
        <v>0</v>
      </c>
      <c r="E107" s="121">
        <f>ROUND(D107*'FR_Mantenimiento tasas'!$C$48/360,5)</f>
        <v>0</v>
      </c>
      <c r="F107" s="121">
        <f>ROUND(D107*'FR_Mantenimiento tasas'!$D$48/360,5)</f>
        <v>0</v>
      </c>
    </row>
    <row r="108" spans="1:6">
      <c r="A108" s="123">
        <f>IF(OR(A107='F-Ahorro Futuro Decimos'!$H$16,A107=""),"",IF(A107+1&gt;'F-Ahorro Futuro Decimos'!$H$16,'F-Ahorro Futuro Decimos'!$H$16,A107+1))</f>
        <v>106</v>
      </c>
      <c r="B108" s="122">
        <f>IFERROR(IF(DAY($A108)=DAY('F-Ahorro Futuro Decimos'!$H$15),'F-Ahorro Futuro Decimos'!$H$14,0),0)</f>
        <v>0</v>
      </c>
      <c r="C108" s="122">
        <f>IF(A108='F-Ahorro Futuro Decimos'!$H$18,'F-Ahorro Futuro Decimos'!$H$20,0)</f>
        <v>0</v>
      </c>
      <c r="D108" s="122">
        <f t="shared" si="1"/>
        <v>0</v>
      </c>
      <c r="E108" s="121">
        <f>ROUND(D108*'FR_Mantenimiento tasas'!$C$48/360,5)</f>
        <v>0</v>
      </c>
      <c r="F108" s="121">
        <f>ROUND(D108*'FR_Mantenimiento tasas'!$D$48/360,5)</f>
        <v>0</v>
      </c>
    </row>
    <row r="109" spans="1:6">
      <c r="A109" s="123">
        <f>IF(OR(A108='F-Ahorro Futuro Decimos'!$H$16,A108=""),"",IF(A108+1&gt;'F-Ahorro Futuro Decimos'!$H$16,'F-Ahorro Futuro Decimos'!$H$16,A108+1))</f>
        <v>107</v>
      </c>
      <c r="B109" s="122">
        <f>IFERROR(IF(DAY($A109)=DAY('F-Ahorro Futuro Decimos'!$H$15),'F-Ahorro Futuro Decimos'!$H$14,0),0)</f>
        <v>0</v>
      </c>
      <c r="C109" s="122">
        <f>IF(A109='F-Ahorro Futuro Decimos'!$H$18,'F-Ahorro Futuro Decimos'!$H$20,0)</f>
        <v>0</v>
      </c>
      <c r="D109" s="122">
        <f t="shared" si="1"/>
        <v>0</v>
      </c>
      <c r="E109" s="121">
        <f>ROUND(D109*'FR_Mantenimiento tasas'!$C$48/360,5)</f>
        <v>0</v>
      </c>
      <c r="F109" s="121">
        <f>ROUND(D109*'FR_Mantenimiento tasas'!$D$48/360,5)</f>
        <v>0</v>
      </c>
    </row>
    <row r="110" spans="1:6">
      <c r="A110" s="123">
        <f>IF(OR(A109='F-Ahorro Futuro Decimos'!$H$16,A109=""),"",IF(A109+1&gt;'F-Ahorro Futuro Decimos'!$H$16,'F-Ahorro Futuro Decimos'!$H$16,A109+1))</f>
        <v>108</v>
      </c>
      <c r="B110" s="122">
        <f>IFERROR(IF(DAY($A110)=DAY('F-Ahorro Futuro Decimos'!$H$15),'F-Ahorro Futuro Decimos'!$H$14,0),0)</f>
        <v>0</v>
      </c>
      <c r="C110" s="122">
        <f>IF(A110='F-Ahorro Futuro Decimos'!$H$18,'F-Ahorro Futuro Decimos'!$H$20,0)</f>
        <v>0</v>
      </c>
      <c r="D110" s="122">
        <f t="shared" si="1"/>
        <v>0</v>
      </c>
      <c r="E110" s="121">
        <f>ROUND(D110*'FR_Mantenimiento tasas'!$C$48/360,5)</f>
        <v>0</v>
      </c>
      <c r="F110" s="121">
        <f>ROUND(D110*'FR_Mantenimiento tasas'!$D$48/360,5)</f>
        <v>0</v>
      </c>
    </row>
    <row r="111" spans="1:6">
      <c r="A111" s="123">
        <f>IF(OR(A110='F-Ahorro Futuro Decimos'!$H$16,A110=""),"",IF(A110+1&gt;'F-Ahorro Futuro Decimos'!$H$16,'F-Ahorro Futuro Decimos'!$H$16,A110+1))</f>
        <v>109</v>
      </c>
      <c r="B111" s="122">
        <f>IFERROR(IF(DAY($A111)=DAY('F-Ahorro Futuro Decimos'!$H$15),'F-Ahorro Futuro Decimos'!$H$14,0),0)</f>
        <v>0</v>
      </c>
      <c r="C111" s="122">
        <f>IF(A111='F-Ahorro Futuro Decimos'!$H$18,'F-Ahorro Futuro Decimos'!$H$20,0)</f>
        <v>0</v>
      </c>
      <c r="D111" s="122">
        <f t="shared" si="1"/>
        <v>0</v>
      </c>
      <c r="E111" s="121">
        <f>ROUND(D111*'FR_Mantenimiento tasas'!$C$48/360,5)</f>
        <v>0</v>
      </c>
      <c r="F111" s="121">
        <f>ROUND(D111*'FR_Mantenimiento tasas'!$D$48/360,5)</f>
        <v>0</v>
      </c>
    </row>
    <row r="112" spans="1:6">
      <c r="A112" s="123">
        <f>IF(OR(A111='F-Ahorro Futuro Decimos'!$H$16,A111=""),"",IF(A111+1&gt;'F-Ahorro Futuro Decimos'!$H$16,'F-Ahorro Futuro Decimos'!$H$16,A111+1))</f>
        <v>110</v>
      </c>
      <c r="B112" s="122">
        <f>IFERROR(IF(DAY($A112)=DAY('F-Ahorro Futuro Decimos'!$H$15),'F-Ahorro Futuro Decimos'!$H$14,0),0)</f>
        <v>0</v>
      </c>
      <c r="C112" s="122">
        <f>IF(A112='F-Ahorro Futuro Decimos'!$H$18,'F-Ahorro Futuro Decimos'!$H$20,0)</f>
        <v>0</v>
      </c>
      <c r="D112" s="122">
        <f t="shared" si="1"/>
        <v>0</v>
      </c>
      <c r="E112" s="121">
        <f>ROUND(D112*'FR_Mantenimiento tasas'!$C$48/360,5)</f>
        <v>0</v>
      </c>
      <c r="F112" s="121">
        <f>ROUND(D112*'FR_Mantenimiento tasas'!$D$48/360,5)</f>
        <v>0</v>
      </c>
    </row>
    <row r="113" spans="1:6">
      <c r="A113" s="123">
        <f>IF(OR(A112='F-Ahorro Futuro Decimos'!$H$16,A112=""),"",IF(A112+1&gt;'F-Ahorro Futuro Decimos'!$H$16,'F-Ahorro Futuro Decimos'!$H$16,A112+1))</f>
        <v>111</v>
      </c>
      <c r="B113" s="122">
        <f>IFERROR(IF(DAY($A113)=DAY('F-Ahorro Futuro Decimos'!$H$15),'F-Ahorro Futuro Decimos'!$H$14,0),0)</f>
        <v>0</v>
      </c>
      <c r="C113" s="122">
        <f>IF(A113='F-Ahorro Futuro Decimos'!$H$18,'F-Ahorro Futuro Decimos'!$H$20,0)</f>
        <v>0</v>
      </c>
      <c r="D113" s="122">
        <f t="shared" si="1"/>
        <v>0</v>
      </c>
      <c r="E113" s="121">
        <f>ROUND(D113*'FR_Mantenimiento tasas'!$C$48/360,5)</f>
        <v>0</v>
      </c>
      <c r="F113" s="121">
        <f>ROUND(D113*'FR_Mantenimiento tasas'!$D$48/360,5)</f>
        <v>0</v>
      </c>
    </row>
    <row r="114" spans="1:6">
      <c r="A114" s="123">
        <f>IF(OR(A113='F-Ahorro Futuro Decimos'!$H$16,A113=""),"",IF(A113+1&gt;'F-Ahorro Futuro Decimos'!$H$16,'F-Ahorro Futuro Decimos'!$H$16,A113+1))</f>
        <v>112</v>
      </c>
      <c r="B114" s="122">
        <f>IFERROR(IF(DAY($A114)=DAY('F-Ahorro Futuro Decimos'!$H$15),'F-Ahorro Futuro Decimos'!$H$14,0),0)</f>
        <v>0</v>
      </c>
      <c r="C114" s="122">
        <f>IF(A114='F-Ahorro Futuro Decimos'!$H$18,'F-Ahorro Futuro Decimos'!$H$20,0)</f>
        <v>0</v>
      </c>
      <c r="D114" s="122">
        <f t="shared" si="1"/>
        <v>0</v>
      </c>
      <c r="E114" s="121">
        <f>ROUND(D114*'FR_Mantenimiento tasas'!$C$48/360,5)</f>
        <v>0</v>
      </c>
      <c r="F114" s="121">
        <f>ROUND(D114*'FR_Mantenimiento tasas'!$D$48/360,5)</f>
        <v>0</v>
      </c>
    </row>
    <row r="115" spans="1:6">
      <c r="A115" s="123">
        <f>IF(OR(A114='F-Ahorro Futuro Decimos'!$H$16,A114=""),"",IF(A114+1&gt;'F-Ahorro Futuro Decimos'!$H$16,'F-Ahorro Futuro Decimos'!$H$16,A114+1))</f>
        <v>113</v>
      </c>
      <c r="B115" s="122">
        <f>IFERROR(IF(DAY($A115)=DAY('F-Ahorro Futuro Decimos'!$H$15),'F-Ahorro Futuro Decimos'!$H$14,0),0)</f>
        <v>0</v>
      </c>
      <c r="C115" s="122">
        <f>IF(A115='F-Ahorro Futuro Decimos'!$H$18,'F-Ahorro Futuro Decimos'!$H$20,0)</f>
        <v>0</v>
      </c>
      <c r="D115" s="122">
        <f t="shared" si="1"/>
        <v>0</v>
      </c>
      <c r="E115" s="121">
        <f>ROUND(D115*'FR_Mantenimiento tasas'!$C$48/360,5)</f>
        <v>0</v>
      </c>
      <c r="F115" s="121">
        <f>ROUND(D115*'FR_Mantenimiento tasas'!$D$48/360,5)</f>
        <v>0</v>
      </c>
    </row>
    <row r="116" spans="1:6">
      <c r="A116" s="123">
        <f>IF(OR(A115='F-Ahorro Futuro Decimos'!$H$16,A115=""),"",IF(A115+1&gt;'F-Ahorro Futuro Decimos'!$H$16,'F-Ahorro Futuro Decimos'!$H$16,A115+1))</f>
        <v>114</v>
      </c>
      <c r="B116" s="122">
        <f>IFERROR(IF(DAY($A116)=DAY('F-Ahorro Futuro Decimos'!$H$15),'F-Ahorro Futuro Decimos'!$H$14,0),0)</f>
        <v>0</v>
      </c>
      <c r="C116" s="122">
        <f>IF(A116='F-Ahorro Futuro Decimos'!$H$18,'F-Ahorro Futuro Decimos'!$H$20,0)</f>
        <v>0</v>
      </c>
      <c r="D116" s="122">
        <f t="shared" si="1"/>
        <v>0</v>
      </c>
      <c r="E116" s="121">
        <f>ROUND(D116*'FR_Mantenimiento tasas'!$C$48/360,5)</f>
        <v>0</v>
      </c>
      <c r="F116" s="121">
        <f>ROUND(D116*'FR_Mantenimiento tasas'!$D$48/360,5)</f>
        <v>0</v>
      </c>
    </row>
    <row r="117" spans="1:6">
      <c r="A117" s="123">
        <f>IF(OR(A116='F-Ahorro Futuro Decimos'!$H$16,A116=""),"",IF(A116+1&gt;'F-Ahorro Futuro Decimos'!$H$16,'F-Ahorro Futuro Decimos'!$H$16,A116+1))</f>
        <v>115</v>
      </c>
      <c r="B117" s="122">
        <f>IFERROR(IF(DAY($A117)=DAY('F-Ahorro Futuro Decimos'!$H$15),'F-Ahorro Futuro Decimos'!$H$14,0),0)</f>
        <v>0</v>
      </c>
      <c r="C117" s="122">
        <f>IF(A117='F-Ahorro Futuro Decimos'!$H$18,'F-Ahorro Futuro Decimos'!$H$20,0)</f>
        <v>0</v>
      </c>
      <c r="D117" s="122">
        <f t="shared" si="1"/>
        <v>0</v>
      </c>
      <c r="E117" s="121">
        <f>ROUND(D117*'FR_Mantenimiento tasas'!$C$48/360,5)</f>
        <v>0</v>
      </c>
      <c r="F117" s="121">
        <f>ROUND(D117*'FR_Mantenimiento tasas'!$D$48/360,5)</f>
        <v>0</v>
      </c>
    </row>
    <row r="118" spans="1:6">
      <c r="A118" s="123">
        <f>IF(OR(A117='F-Ahorro Futuro Decimos'!$H$16,A117=""),"",IF(A117+1&gt;'F-Ahorro Futuro Decimos'!$H$16,'F-Ahorro Futuro Decimos'!$H$16,A117+1))</f>
        <v>116</v>
      </c>
      <c r="B118" s="122">
        <f>IFERROR(IF(DAY($A118)=DAY('F-Ahorro Futuro Decimos'!$H$15),'F-Ahorro Futuro Decimos'!$H$14,0),0)</f>
        <v>0</v>
      </c>
      <c r="C118" s="122">
        <f>IF(A118='F-Ahorro Futuro Decimos'!$H$18,'F-Ahorro Futuro Decimos'!$H$20,0)</f>
        <v>0</v>
      </c>
      <c r="D118" s="122">
        <f t="shared" si="1"/>
        <v>0</v>
      </c>
      <c r="E118" s="121">
        <f>ROUND(D118*'FR_Mantenimiento tasas'!$C$48/360,5)</f>
        <v>0</v>
      </c>
      <c r="F118" s="121">
        <f>ROUND(D118*'FR_Mantenimiento tasas'!$D$48/360,5)</f>
        <v>0</v>
      </c>
    </row>
    <row r="119" spans="1:6">
      <c r="A119" s="123">
        <f>IF(OR(A118='F-Ahorro Futuro Decimos'!$H$16,A118=""),"",IF(A118+1&gt;'F-Ahorro Futuro Decimos'!$H$16,'F-Ahorro Futuro Decimos'!$H$16,A118+1))</f>
        <v>117</v>
      </c>
      <c r="B119" s="122">
        <f>IFERROR(IF(DAY($A119)=DAY('F-Ahorro Futuro Decimos'!$H$15),'F-Ahorro Futuro Decimos'!$H$14,0),0)</f>
        <v>0</v>
      </c>
      <c r="C119" s="122">
        <f>IF(A119='F-Ahorro Futuro Decimos'!$H$18,'F-Ahorro Futuro Decimos'!$H$20,0)</f>
        <v>0</v>
      </c>
      <c r="D119" s="122">
        <f t="shared" si="1"/>
        <v>0</v>
      </c>
      <c r="E119" s="121">
        <f>ROUND(D119*'FR_Mantenimiento tasas'!$C$48/360,5)</f>
        <v>0</v>
      </c>
      <c r="F119" s="121">
        <f>ROUND(D119*'FR_Mantenimiento tasas'!$D$48/360,5)</f>
        <v>0</v>
      </c>
    </row>
    <row r="120" spans="1:6">
      <c r="A120" s="123">
        <f>IF(OR(A119='F-Ahorro Futuro Decimos'!$H$16,A119=""),"",IF(A119+1&gt;'F-Ahorro Futuro Decimos'!$H$16,'F-Ahorro Futuro Decimos'!$H$16,A119+1))</f>
        <v>118</v>
      </c>
      <c r="B120" s="122">
        <f>IFERROR(IF(DAY($A120)=DAY('F-Ahorro Futuro Decimos'!$H$15),'F-Ahorro Futuro Decimos'!$H$14,0),0)</f>
        <v>0</v>
      </c>
      <c r="C120" s="122">
        <f>IF(A120='F-Ahorro Futuro Decimos'!$H$18,'F-Ahorro Futuro Decimos'!$H$20,0)</f>
        <v>0</v>
      </c>
      <c r="D120" s="122">
        <f t="shared" si="1"/>
        <v>0</v>
      </c>
      <c r="E120" s="121">
        <f>ROUND(D120*'FR_Mantenimiento tasas'!$C$48/360,5)</f>
        <v>0</v>
      </c>
      <c r="F120" s="121">
        <f>ROUND(D120*'FR_Mantenimiento tasas'!$D$48/360,5)</f>
        <v>0</v>
      </c>
    </row>
    <row r="121" spans="1:6">
      <c r="A121" s="123">
        <f>IF(OR(A120='F-Ahorro Futuro Decimos'!$H$16,A120=""),"",IF(A120+1&gt;'F-Ahorro Futuro Decimos'!$H$16,'F-Ahorro Futuro Decimos'!$H$16,A120+1))</f>
        <v>119</v>
      </c>
      <c r="B121" s="122">
        <f>IFERROR(IF(DAY($A121)=DAY('F-Ahorro Futuro Decimos'!$H$15),'F-Ahorro Futuro Decimos'!$H$14,0),0)</f>
        <v>0</v>
      </c>
      <c r="C121" s="122">
        <f>IF(A121='F-Ahorro Futuro Decimos'!$H$18,'F-Ahorro Futuro Decimos'!$H$20,0)</f>
        <v>0</v>
      </c>
      <c r="D121" s="122">
        <f t="shared" si="1"/>
        <v>0</v>
      </c>
      <c r="E121" s="121">
        <f>ROUND(D121*'FR_Mantenimiento tasas'!$C$48/360,5)</f>
        <v>0</v>
      </c>
      <c r="F121" s="121">
        <f>ROUND(D121*'FR_Mantenimiento tasas'!$D$48/360,5)</f>
        <v>0</v>
      </c>
    </row>
    <row r="122" spans="1:6">
      <c r="A122" s="123">
        <f>IF(OR(A121='F-Ahorro Futuro Decimos'!$H$16,A121=""),"",IF(A121+1&gt;'F-Ahorro Futuro Decimos'!$H$16,'F-Ahorro Futuro Decimos'!$H$16,A121+1))</f>
        <v>120</v>
      </c>
      <c r="B122" s="122">
        <f>IFERROR(IF(DAY($A122)=DAY('F-Ahorro Futuro Decimos'!$H$15),'F-Ahorro Futuro Decimos'!$H$14,0),0)</f>
        <v>0</v>
      </c>
      <c r="C122" s="122">
        <f>IF(A122='F-Ahorro Futuro Decimos'!$H$18,'F-Ahorro Futuro Decimos'!$H$20,0)</f>
        <v>0</v>
      </c>
      <c r="D122" s="122">
        <f t="shared" si="1"/>
        <v>0</v>
      </c>
      <c r="E122" s="121">
        <f>ROUND(D122*'FR_Mantenimiento tasas'!$C$48/360,5)</f>
        <v>0</v>
      </c>
      <c r="F122" s="121">
        <f>ROUND(D122*'FR_Mantenimiento tasas'!$D$48/360,5)</f>
        <v>0</v>
      </c>
    </row>
    <row r="123" spans="1:6">
      <c r="A123" s="123">
        <f>IF(OR(A122='F-Ahorro Futuro Decimos'!$H$16,A122=""),"",IF(A122+1&gt;'F-Ahorro Futuro Decimos'!$H$16,'F-Ahorro Futuro Decimos'!$H$16,A122+1))</f>
        <v>121</v>
      </c>
      <c r="B123" s="122">
        <f>IFERROR(IF(DAY($A123)=DAY('F-Ahorro Futuro Decimos'!$H$15),'F-Ahorro Futuro Decimos'!$H$14,0),0)</f>
        <v>0</v>
      </c>
      <c r="C123" s="122">
        <f>IF(A123='F-Ahorro Futuro Decimos'!$H$18,'F-Ahorro Futuro Decimos'!$H$20,0)</f>
        <v>0</v>
      </c>
      <c r="D123" s="122">
        <f t="shared" si="1"/>
        <v>0</v>
      </c>
      <c r="E123" s="121">
        <f>ROUND(D123*'FR_Mantenimiento tasas'!$C$48/360,5)</f>
        <v>0</v>
      </c>
      <c r="F123" s="121">
        <f>ROUND(D123*'FR_Mantenimiento tasas'!$D$48/360,5)</f>
        <v>0</v>
      </c>
    </row>
    <row r="124" spans="1:6">
      <c r="A124" s="123">
        <f>IF(OR(A123='F-Ahorro Futuro Decimos'!$H$16,A123=""),"",IF(A123+1&gt;'F-Ahorro Futuro Decimos'!$H$16,'F-Ahorro Futuro Decimos'!$H$16,A123+1))</f>
        <v>122</v>
      </c>
      <c r="B124" s="122">
        <f>IFERROR(IF(DAY($A124)=DAY('F-Ahorro Futuro Decimos'!$H$15),'F-Ahorro Futuro Decimos'!$H$14,0),0)</f>
        <v>0</v>
      </c>
      <c r="C124" s="122">
        <f>IF(A124='F-Ahorro Futuro Decimos'!$H$18,'F-Ahorro Futuro Decimos'!$H$20,0)</f>
        <v>0</v>
      </c>
      <c r="D124" s="122">
        <f t="shared" si="1"/>
        <v>0</v>
      </c>
      <c r="E124" s="121">
        <f>ROUND(D124*'FR_Mantenimiento tasas'!$C$48/360,5)</f>
        <v>0</v>
      </c>
      <c r="F124" s="121">
        <f>ROUND(D124*'FR_Mantenimiento tasas'!$D$48/360,5)</f>
        <v>0</v>
      </c>
    </row>
    <row r="125" spans="1:6">
      <c r="A125" s="123">
        <f>IF(OR(A124='F-Ahorro Futuro Decimos'!$H$16,A124=""),"",IF(A124+1&gt;'F-Ahorro Futuro Decimos'!$H$16,'F-Ahorro Futuro Decimos'!$H$16,A124+1))</f>
        <v>123</v>
      </c>
      <c r="B125" s="122">
        <f>IFERROR(IF(DAY($A125)=DAY('F-Ahorro Futuro Decimos'!$H$15),'F-Ahorro Futuro Decimos'!$H$14,0),0)</f>
        <v>0</v>
      </c>
      <c r="C125" s="122">
        <f>IF(A125='F-Ahorro Futuro Decimos'!$H$18,'F-Ahorro Futuro Decimos'!$H$20,0)</f>
        <v>0</v>
      </c>
      <c r="D125" s="122">
        <f t="shared" si="1"/>
        <v>0</v>
      </c>
      <c r="E125" s="121">
        <f>ROUND(D125*'FR_Mantenimiento tasas'!$C$48/360,5)</f>
        <v>0</v>
      </c>
      <c r="F125" s="121">
        <f>ROUND(D125*'FR_Mantenimiento tasas'!$D$48/360,5)</f>
        <v>0</v>
      </c>
    </row>
    <row r="126" spans="1:6">
      <c r="A126" s="123">
        <f>IF(OR(A125='F-Ahorro Futuro Decimos'!$H$16,A125=""),"",IF(A125+1&gt;'F-Ahorro Futuro Decimos'!$H$16,'F-Ahorro Futuro Decimos'!$H$16,A125+1))</f>
        <v>124</v>
      </c>
      <c r="B126" s="122">
        <f>IFERROR(IF(DAY($A126)=DAY('F-Ahorro Futuro Decimos'!$H$15),'F-Ahorro Futuro Decimos'!$H$14,0),0)</f>
        <v>0</v>
      </c>
      <c r="C126" s="122">
        <f>IF(A126='F-Ahorro Futuro Decimos'!$H$18,'F-Ahorro Futuro Decimos'!$H$20,0)</f>
        <v>0</v>
      </c>
      <c r="D126" s="122">
        <f t="shared" si="1"/>
        <v>0</v>
      </c>
      <c r="E126" s="121">
        <f>ROUND(D126*'FR_Mantenimiento tasas'!$C$48/360,5)</f>
        <v>0</v>
      </c>
      <c r="F126" s="121">
        <f>ROUND(D126*'FR_Mantenimiento tasas'!$D$48/360,5)</f>
        <v>0</v>
      </c>
    </row>
    <row r="127" spans="1:6">
      <c r="A127" s="123">
        <f>IF(OR(A126='F-Ahorro Futuro Decimos'!$H$16,A126=""),"",IF(A126+1&gt;'F-Ahorro Futuro Decimos'!$H$16,'F-Ahorro Futuro Decimos'!$H$16,A126+1))</f>
        <v>125</v>
      </c>
      <c r="B127" s="122">
        <f>IFERROR(IF(DAY($A127)=DAY('F-Ahorro Futuro Decimos'!$H$15),'F-Ahorro Futuro Decimos'!$H$14,0),0)</f>
        <v>0</v>
      </c>
      <c r="C127" s="122">
        <f>IF(A127='F-Ahorro Futuro Decimos'!$H$18,'F-Ahorro Futuro Decimos'!$H$20,0)</f>
        <v>0</v>
      </c>
      <c r="D127" s="122">
        <f t="shared" si="1"/>
        <v>0</v>
      </c>
      <c r="E127" s="121">
        <f>ROUND(D127*'FR_Mantenimiento tasas'!$C$48/360,5)</f>
        <v>0</v>
      </c>
      <c r="F127" s="121">
        <f>ROUND(D127*'FR_Mantenimiento tasas'!$D$48/360,5)</f>
        <v>0</v>
      </c>
    </row>
    <row r="128" spans="1:6">
      <c r="A128" s="123">
        <f>IF(OR(A127='F-Ahorro Futuro Decimos'!$H$16,A127=""),"",IF(A127+1&gt;'F-Ahorro Futuro Decimos'!$H$16,'F-Ahorro Futuro Decimos'!$H$16,A127+1))</f>
        <v>126</v>
      </c>
      <c r="B128" s="122">
        <f>IFERROR(IF(DAY($A128)=DAY('F-Ahorro Futuro Decimos'!$H$15),'F-Ahorro Futuro Decimos'!$H$14,0),0)</f>
        <v>0</v>
      </c>
      <c r="C128" s="122">
        <f>IF(A128='F-Ahorro Futuro Decimos'!$H$18,'F-Ahorro Futuro Decimos'!$H$20,0)</f>
        <v>0</v>
      </c>
      <c r="D128" s="122">
        <f t="shared" si="1"/>
        <v>0</v>
      </c>
      <c r="E128" s="121">
        <f>ROUND(D128*'FR_Mantenimiento tasas'!$C$48/360,5)</f>
        <v>0</v>
      </c>
      <c r="F128" s="121">
        <f>ROUND(D128*'FR_Mantenimiento tasas'!$D$48/360,5)</f>
        <v>0</v>
      </c>
    </row>
    <row r="129" spans="1:6">
      <c r="A129" s="123">
        <f>IF(OR(A128='F-Ahorro Futuro Decimos'!$H$16,A128=""),"",IF(A128+1&gt;'F-Ahorro Futuro Decimos'!$H$16,'F-Ahorro Futuro Decimos'!$H$16,A128+1))</f>
        <v>127</v>
      </c>
      <c r="B129" s="122">
        <f>IFERROR(IF(DAY($A129)=DAY('F-Ahorro Futuro Decimos'!$H$15),'F-Ahorro Futuro Decimos'!$H$14,0),0)</f>
        <v>0</v>
      </c>
      <c r="C129" s="122">
        <f>IF(A129='F-Ahorro Futuro Decimos'!$H$18,'F-Ahorro Futuro Decimos'!$H$20,0)</f>
        <v>0</v>
      </c>
      <c r="D129" s="122">
        <f t="shared" si="1"/>
        <v>0</v>
      </c>
      <c r="E129" s="121">
        <f>ROUND(D129*'FR_Mantenimiento tasas'!$C$48/360,5)</f>
        <v>0</v>
      </c>
      <c r="F129" s="121">
        <f>ROUND(D129*'FR_Mantenimiento tasas'!$D$48/360,5)</f>
        <v>0</v>
      </c>
    </row>
    <row r="130" spans="1:6">
      <c r="A130" s="123">
        <f>IF(OR(A129='F-Ahorro Futuro Decimos'!$H$16,A129=""),"",IF(A129+1&gt;'F-Ahorro Futuro Decimos'!$H$16,'F-Ahorro Futuro Decimos'!$H$16,A129+1))</f>
        <v>128</v>
      </c>
      <c r="B130" s="122">
        <f>IFERROR(IF(DAY($A130)=DAY('F-Ahorro Futuro Decimos'!$H$15),'F-Ahorro Futuro Decimos'!$H$14,0),0)</f>
        <v>0</v>
      </c>
      <c r="C130" s="122">
        <f>IF(A130='F-Ahorro Futuro Decimos'!$H$18,'F-Ahorro Futuro Decimos'!$H$20,0)</f>
        <v>0</v>
      </c>
      <c r="D130" s="122">
        <f t="shared" si="1"/>
        <v>0</v>
      </c>
      <c r="E130" s="121">
        <f>ROUND(D130*'FR_Mantenimiento tasas'!$C$48/360,5)</f>
        <v>0</v>
      </c>
      <c r="F130" s="121">
        <f>ROUND(D130*'FR_Mantenimiento tasas'!$D$48/360,5)</f>
        <v>0</v>
      </c>
    </row>
    <row r="131" spans="1:6">
      <c r="A131" s="123">
        <f>IF(OR(A130='F-Ahorro Futuro Decimos'!$H$16,A130=""),"",IF(A130+1&gt;'F-Ahorro Futuro Decimos'!$H$16,'F-Ahorro Futuro Decimos'!$H$16,A130+1))</f>
        <v>129</v>
      </c>
      <c r="B131" s="122">
        <f>IFERROR(IF(DAY($A131)=DAY('F-Ahorro Futuro Decimos'!$H$15),'F-Ahorro Futuro Decimos'!$H$14,0),0)</f>
        <v>0</v>
      </c>
      <c r="C131" s="122">
        <f>IF(A131='F-Ahorro Futuro Decimos'!$H$18,'F-Ahorro Futuro Decimos'!$H$20,0)</f>
        <v>0</v>
      </c>
      <c r="D131" s="122">
        <f t="shared" si="1"/>
        <v>0</v>
      </c>
      <c r="E131" s="121">
        <f>ROUND(D131*'FR_Mantenimiento tasas'!$C$48/360,5)</f>
        <v>0</v>
      </c>
      <c r="F131" s="121">
        <f>ROUND(D131*'FR_Mantenimiento tasas'!$D$48/360,5)</f>
        <v>0</v>
      </c>
    </row>
    <row r="132" spans="1:6">
      <c r="A132" s="123">
        <f>IF(OR(A131='F-Ahorro Futuro Decimos'!$H$16,A131=""),"",IF(A131+1&gt;'F-Ahorro Futuro Decimos'!$H$16,'F-Ahorro Futuro Decimos'!$H$16,A131+1))</f>
        <v>130</v>
      </c>
      <c r="B132" s="122">
        <f>IFERROR(IF(DAY($A132)=DAY('F-Ahorro Futuro Decimos'!$H$15),'F-Ahorro Futuro Decimos'!$H$14,0),0)</f>
        <v>0</v>
      </c>
      <c r="C132" s="122">
        <f>IF(A132='F-Ahorro Futuro Decimos'!$H$18,'F-Ahorro Futuro Decimos'!$H$20,0)</f>
        <v>0</v>
      </c>
      <c r="D132" s="122">
        <f t="shared" ref="D132:D195" si="2">+B132+D131+E131-C132</f>
        <v>0</v>
      </c>
      <c r="E132" s="121">
        <f>ROUND(D132*'FR_Mantenimiento tasas'!$C$48/360,5)</f>
        <v>0</v>
      </c>
      <c r="F132" s="121">
        <f>ROUND(D132*'FR_Mantenimiento tasas'!$D$48/360,5)</f>
        <v>0</v>
      </c>
    </row>
    <row r="133" spans="1:6">
      <c r="A133" s="123">
        <f>IF(OR(A132='F-Ahorro Futuro Decimos'!$H$16,A132=""),"",IF(A132+1&gt;'F-Ahorro Futuro Decimos'!$H$16,'F-Ahorro Futuro Decimos'!$H$16,A132+1))</f>
        <v>131</v>
      </c>
      <c r="B133" s="122">
        <f>IFERROR(IF(DAY($A133)=DAY('F-Ahorro Futuro Decimos'!$H$15),'F-Ahorro Futuro Decimos'!$H$14,0),0)</f>
        <v>0</v>
      </c>
      <c r="C133" s="122">
        <f>IF(A133='F-Ahorro Futuro Decimos'!$H$18,'F-Ahorro Futuro Decimos'!$H$20,0)</f>
        <v>0</v>
      </c>
      <c r="D133" s="122">
        <f t="shared" si="2"/>
        <v>0</v>
      </c>
      <c r="E133" s="121">
        <f>ROUND(D133*'FR_Mantenimiento tasas'!$C$48/360,5)</f>
        <v>0</v>
      </c>
      <c r="F133" s="121">
        <f>ROUND(D133*'FR_Mantenimiento tasas'!$D$48/360,5)</f>
        <v>0</v>
      </c>
    </row>
    <row r="134" spans="1:6">
      <c r="A134" s="123">
        <f>IF(OR(A133='F-Ahorro Futuro Decimos'!$H$16,A133=""),"",IF(A133+1&gt;'F-Ahorro Futuro Decimos'!$H$16,'F-Ahorro Futuro Decimos'!$H$16,A133+1))</f>
        <v>132</v>
      </c>
      <c r="B134" s="122">
        <f>IFERROR(IF(DAY($A134)=DAY('F-Ahorro Futuro Decimos'!$H$15),'F-Ahorro Futuro Decimos'!$H$14,0),0)</f>
        <v>0</v>
      </c>
      <c r="C134" s="122">
        <f>IF(A134='F-Ahorro Futuro Decimos'!$H$18,'F-Ahorro Futuro Decimos'!$H$20,0)</f>
        <v>0</v>
      </c>
      <c r="D134" s="122">
        <f t="shared" si="2"/>
        <v>0</v>
      </c>
      <c r="E134" s="121">
        <f>ROUND(D134*'FR_Mantenimiento tasas'!$C$48/360,5)</f>
        <v>0</v>
      </c>
      <c r="F134" s="121">
        <f>ROUND(D134*'FR_Mantenimiento tasas'!$D$48/360,5)</f>
        <v>0</v>
      </c>
    </row>
    <row r="135" spans="1:6">
      <c r="A135" s="123">
        <f>IF(OR(A134='F-Ahorro Futuro Decimos'!$H$16,A134=""),"",IF(A134+1&gt;'F-Ahorro Futuro Decimos'!$H$16,'F-Ahorro Futuro Decimos'!$H$16,A134+1))</f>
        <v>133</v>
      </c>
      <c r="B135" s="122">
        <f>IFERROR(IF(DAY($A135)=DAY('F-Ahorro Futuro Decimos'!$H$15),'F-Ahorro Futuro Decimos'!$H$14,0),0)</f>
        <v>0</v>
      </c>
      <c r="C135" s="122">
        <f>IF(A135='F-Ahorro Futuro Decimos'!$H$18,'F-Ahorro Futuro Decimos'!$H$20,0)</f>
        <v>0</v>
      </c>
      <c r="D135" s="122">
        <f t="shared" si="2"/>
        <v>0</v>
      </c>
      <c r="E135" s="121">
        <f>ROUND(D135*'FR_Mantenimiento tasas'!$C$48/360,5)</f>
        <v>0</v>
      </c>
      <c r="F135" s="121">
        <f>ROUND(D135*'FR_Mantenimiento tasas'!$D$48/360,5)</f>
        <v>0</v>
      </c>
    </row>
    <row r="136" spans="1:6">
      <c r="A136" s="123">
        <f>IF(OR(A135='F-Ahorro Futuro Decimos'!$H$16,A135=""),"",IF(A135+1&gt;'F-Ahorro Futuro Decimos'!$H$16,'F-Ahorro Futuro Decimos'!$H$16,A135+1))</f>
        <v>134</v>
      </c>
      <c r="B136" s="122">
        <f>IFERROR(IF(DAY($A136)=DAY('F-Ahorro Futuro Decimos'!$H$15),'F-Ahorro Futuro Decimos'!$H$14,0),0)</f>
        <v>0</v>
      </c>
      <c r="C136" s="122">
        <f>IF(A136='F-Ahorro Futuro Decimos'!$H$18,'F-Ahorro Futuro Decimos'!$H$20,0)</f>
        <v>0</v>
      </c>
      <c r="D136" s="122">
        <f t="shared" si="2"/>
        <v>0</v>
      </c>
      <c r="E136" s="121">
        <f>ROUND(D136*'FR_Mantenimiento tasas'!$C$48/360,5)</f>
        <v>0</v>
      </c>
      <c r="F136" s="121">
        <f>ROUND(D136*'FR_Mantenimiento tasas'!$D$48/360,5)</f>
        <v>0</v>
      </c>
    </row>
    <row r="137" spans="1:6">
      <c r="A137" s="123">
        <f>IF(OR(A136='F-Ahorro Futuro Decimos'!$H$16,A136=""),"",IF(A136+1&gt;'F-Ahorro Futuro Decimos'!$H$16,'F-Ahorro Futuro Decimos'!$H$16,A136+1))</f>
        <v>135</v>
      </c>
      <c r="B137" s="122">
        <f>IFERROR(IF(DAY($A137)=DAY('F-Ahorro Futuro Decimos'!$H$15),'F-Ahorro Futuro Decimos'!$H$14,0),0)</f>
        <v>0</v>
      </c>
      <c r="C137" s="122">
        <f>IF(A137='F-Ahorro Futuro Decimos'!$H$18,'F-Ahorro Futuro Decimos'!$H$20,0)</f>
        <v>0</v>
      </c>
      <c r="D137" s="122">
        <f t="shared" si="2"/>
        <v>0</v>
      </c>
      <c r="E137" s="121">
        <f>ROUND(D137*'FR_Mantenimiento tasas'!$C$48/360,5)</f>
        <v>0</v>
      </c>
      <c r="F137" s="121">
        <f>ROUND(D137*'FR_Mantenimiento tasas'!$D$48/360,5)</f>
        <v>0</v>
      </c>
    </row>
    <row r="138" spans="1:6">
      <c r="A138" s="123">
        <f>IF(OR(A137='F-Ahorro Futuro Decimos'!$H$16,A137=""),"",IF(A137+1&gt;'F-Ahorro Futuro Decimos'!$H$16,'F-Ahorro Futuro Decimos'!$H$16,A137+1))</f>
        <v>136</v>
      </c>
      <c r="B138" s="122">
        <f>IFERROR(IF(DAY($A138)=DAY('F-Ahorro Futuro Decimos'!$H$15),'F-Ahorro Futuro Decimos'!$H$14,0),0)</f>
        <v>0</v>
      </c>
      <c r="C138" s="122">
        <f>IF(A138='F-Ahorro Futuro Decimos'!$H$18,'F-Ahorro Futuro Decimos'!$H$20,0)</f>
        <v>0</v>
      </c>
      <c r="D138" s="122">
        <f t="shared" si="2"/>
        <v>0</v>
      </c>
      <c r="E138" s="121">
        <f>ROUND(D138*'FR_Mantenimiento tasas'!$C$48/360,5)</f>
        <v>0</v>
      </c>
      <c r="F138" s="121">
        <f>ROUND(D138*'FR_Mantenimiento tasas'!$D$48/360,5)</f>
        <v>0</v>
      </c>
    </row>
    <row r="139" spans="1:6">
      <c r="A139" s="123">
        <f>IF(OR(A138='F-Ahorro Futuro Decimos'!$H$16,A138=""),"",IF(A138+1&gt;'F-Ahorro Futuro Decimos'!$H$16,'F-Ahorro Futuro Decimos'!$H$16,A138+1))</f>
        <v>137</v>
      </c>
      <c r="B139" s="122">
        <f>IFERROR(IF(DAY($A139)=DAY('F-Ahorro Futuro Decimos'!$H$15),'F-Ahorro Futuro Decimos'!$H$14,0),0)</f>
        <v>0</v>
      </c>
      <c r="C139" s="122">
        <f>IF(A139='F-Ahorro Futuro Decimos'!$H$18,'F-Ahorro Futuro Decimos'!$H$20,0)</f>
        <v>0</v>
      </c>
      <c r="D139" s="122">
        <f t="shared" si="2"/>
        <v>0</v>
      </c>
      <c r="E139" s="121">
        <f>ROUND(D139*'FR_Mantenimiento tasas'!$C$48/360,5)</f>
        <v>0</v>
      </c>
      <c r="F139" s="121">
        <f>ROUND(D139*'FR_Mantenimiento tasas'!$D$48/360,5)</f>
        <v>0</v>
      </c>
    </row>
    <row r="140" spans="1:6">
      <c r="A140" s="123">
        <f>IF(OR(A139='F-Ahorro Futuro Decimos'!$H$16,A139=""),"",IF(A139+1&gt;'F-Ahorro Futuro Decimos'!$H$16,'F-Ahorro Futuro Decimos'!$H$16,A139+1))</f>
        <v>138</v>
      </c>
      <c r="B140" s="122">
        <f>IFERROR(IF(DAY($A140)=DAY('F-Ahorro Futuro Decimos'!$H$15),'F-Ahorro Futuro Decimos'!$H$14,0),0)</f>
        <v>0</v>
      </c>
      <c r="C140" s="122">
        <f>IF(A140='F-Ahorro Futuro Decimos'!$H$18,'F-Ahorro Futuro Decimos'!$H$20,0)</f>
        <v>0</v>
      </c>
      <c r="D140" s="122">
        <f t="shared" si="2"/>
        <v>0</v>
      </c>
      <c r="E140" s="121">
        <f>ROUND(D140*'FR_Mantenimiento tasas'!$C$48/360,5)</f>
        <v>0</v>
      </c>
      <c r="F140" s="121">
        <f>ROUND(D140*'FR_Mantenimiento tasas'!$D$48/360,5)</f>
        <v>0</v>
      </c>
    </row>
    <row r="141" spans="1:6">
      <c r="A141" s="123">
        <f>IF(OR(A140='F-Ahorro Futuro Decimos'!$H$16,A140=""),"",IF(A140+1&gt;'F-Ahorro Futuro Decimos'!$H$16,'F-Ahorro Futuro Decimos'!$H$16,A140+1))</f>
        <v>139</v>
      </c>
      <c r="B141" s="122">
        <f>IFERROR(IF(DAY($A141)=DAY('F-Ahorro Futuro Decimos'!$H$15),'F-Ahorro Futuro Decimos'!$H$14,0),0)</f>
        <v>0</v>
      </c>
      <c r="C141" s="122">
        <f>IF(A141='F-Ahorro Futuro Decimos'!$H$18,'F-Ahorro Futuro Decimos'!$H$20,0)</f>
        <v>0</v>
      </c>
      <c r="D141" s="122">
        <f t="shared" si="2"/>
        <v>0</v>
      </c>
      <c r="E141" s="121">
        <f>ROUND(D141*'FR_Mantenimiento tasas'!$C$48/360,5)</f>
        <v>0</v>
      </c>
      <c r="F141" s="121">
        <f>ROUND(D141*'FR_Mantenimiento tasas'!$D$48/360,5)</f>
        <v>0</v>
      </c>
    </row>
    <row r="142" spans="1:6">
      <c r="A142" s="123">
        <f>IF(OR(A141='F-Ahorro Futuro Decimos'!$H$16,A141=""),"",IF(A141+1&gt;'F-Ahorro Futuro Decimos'!$H$16,'F-Ahorro Futuro Decimos'!$H$16,A141+1))</f>
        <v>140</v>
      </c>
      <c r="B142" s="122">
        <f>IFERROR(IF(DAY($A142)=DAY('F-Ahorro Futuro Decimos'!$H$15),'F-Ahorro Futuro Decimos'!$H$14,0),0)</f>
        <v>0</v>
      </c>
      <c r="C142" s="122">
        <f>IF(A142='F-Ahorro Futuro Decimos'!$H$18,'F-Ahorro Futuro Decimos'!$H$20,0)</f>
        <v>0</v>
      </c>
      <c r="D142" s="122">
        <f t="shared" si="2"/>
        <v>0</v>
      </c>
      <c r="E142" s="121">
        <f>ROUND(D142*'FR_Mantenimiento tasas'!$C$48/360,5)</f>
        <v>0</v>
      </c>
      <c r="F142" s="121">
        <f>ROUND(D142*'FR_Mantenimiento tasas'!$D$48/360,5)</f>
        <v>0</v>
      </c>
    </row>
    <row r="143" spans="1:6">
      <c r="A143" s="123">
        <f>IF(OR(A142='F-Ahorro Futuro Decimos'!$H$16,A142=""),"",IF(A142+1&gt;'F-Ahorro Futuro Decimos'!$H$16,'F-Ahorro Futuro Decimos'!$H$16,A142+1))</f>
        <v>141</v>
      </c>
      <c r="B143" s="122">
        <f>IFERROR(IF(DAY($A143)=DAY('F-Ahorro Futuro Decimos'!$H$15),'F-Ahorro Futuro Decimos'!$H$14,0),0)</f>
        <v>0</v>
      </c>
      <c r="C143" s="122">
        <f>IF(A143='F-Ahorro Futuro Decimos'!$H$18,'F-Ahorro Futuro Decimos'!$H$20,0)</f>
        <v>0</v>
      </c>
      <c r="D143" s="122">
        <f t="shared" si="2"/>
        <v>0</v>
      </c>
      <c r="E143" s="121">
        <f>ROUND(D143*'FR_Mantenimiento tasas'!$C$48/360,5)</f>
        <v>0</v>
      </c>
      <c r="F143" s="121">
        <f>ROUND(D143*'FR_Mantenimiento tasas'!$D$48/360,5)</f>
        <v>0</v>
      </c>
    </row>
    <row r="144" spans="1:6">
      <c r="A144" s="123">
        <f>IF(OR(A143='F-Ahorro Futuro Decimos'!$H$16,A143=""),"",IF(A143+1&gt;'F-Ahorro Futuro Decimos'!$H$16,'F-Ahorro Futuro Decimos'!$H$16,A143+1))</f>
        <v>142</v>
      </c>
      <c r="B144" s="122">
        <f>IFERROR(IF(DAY($A144)=DAY('F-Ahorro Futuro Decimos'!$H$15),'F-Ahorro Futuro Decimos'!$H$14,0),0)</f>
        <v>0</v>
      </c>
      <c r="C144" s="122">
        <f>IF(A144='F-Ahorro Futuro Decimos'!$H$18,'F-Ahorro Futuro Decimos'!$H$20,0)</f>
        <v>0</v>
      </c>
      <c r="D144" s="122">
        <f t="shared" si="2"/>
        <v>0</v>
      </c>
      <c r="E144" s="121">
        <f>ROUND(D144*'FR_Mantenimiento tasas'!$C$48/360,5)</f>
        <v>0</v>
      </c>
      <c r="F144" s="121">
        <f>ROUND(D144*'FR_Mantenimiento tasas'!$D$48/360,5)</f>
        <v>0</v>
      </c>
    </row>
    <row r="145" spans="1:6">
      <c r="A145" s="123">
        <f>IF(OR(A144='F-Ahorro Futuro Decimos'!$H$16,A144=""),"",IF(A144+1&gt;'F-Ahorro Futuro Decimos'!$H$16,'F-Ahorro Futuro Decimos'!$H$16,A144+1))</f>
        <v>143</v>
      </c>
      <c r="B145" s="122">
        <f>IFERROR(IF(DAY($A145)=DAY('F-Ahorro Futuro Decimos'!$H$15),'F-Ahorro Futuro Decimos'!$H$14,0),0)</f>
        <v>0</v>
      </c>
      <c r="C145" s="122">
        <f>IF(A145='F-Ahorro Futuro Decimos'!$H$18,'F-Ahorro Futuro Decimos'!$H$20,0)</f>
        <v>0</v>
      </c>
      <c r="D145" s="122">
        <f t="shared" si="2"/>
        <v>0</v>
      </c>
      <c r="E145" s="121">
        <f>ROUND(D145*'FR_Mantenimiento tasas'!$C$48/360,5)</f>
        <v>0</v>
      </c>
      <c r="F145" s="121">
        <f>ROUND(D145*'FR_Mantenimiento tasas'!$D$48/360,5)</f>
        <v>0</v>
      </c>
    </row>
    <row r="146" spans="1:6">
      <c r="A146" s="123">
        <f>IF(OR(A145='F-Ahorro Futuro Decimos'!$H$16,A145=""),"",IF(A145+1&gt;'F-Ahorro Futuro Decimos'!$H$16,'F-Ahorro Futuro Decimos'!$H$16,A145+1))</f>
        <v>144</v>
      </c>
      <c r="B146" s="122">
        <f>IFERROR(IF(DAY($A146)=DAY('F-Ahorro Futuro Decimos'!$H$15),'F-Ahorro Futuro Decimos'!$H$14,0),0)</f>
        <v>0</v>
      </c>
      <c r="C146" s="122">
        <f>IF(A146='F-Ahorro Futuro Decimos'!$H$18,'F-Ahorro Futuro Decimos'!$H$20,0)</f>
        <v>0</v>
      </c>
      <c r="D146" s="122">
        <f t="shared" si="2"/>
        <v>0</v>
      </c>
      <c r="E146" s="121">
        <f>ROUND(D146*'FR_Mantenimiento tasas'!$C$48/360,5)</f>
        <v>0</v>
      </c>
      <c r="F146" s="121">
        <f>ROUND(D146*'FR_Mantenimiento tasas'!$D$48/360,5)</f>
        <v>0</v>
      </c>
    </row>
    <row r="147" spans="1:6">
      <c r="A147" s="123">
        <f>IF(OR(A146='F-Ahorro Futuro Decimos'!$H$16,A146=""),"",IF(A146+1&gt;'F-Ahorro Futuro Decimos'!$H$16,'F-Ahorro Futuro Decimos'!$H$16,A146+1))</f>
        <v>145</v>
      </c>
      <c r="B147" s="122">
        <f>IFERROR(IF(DAY($A147)=DAY('F-Ahorro Futuro Decimos'!$H$15),'F-Ahorro Futuro Decimos'!$H$14,0),0)</f>
        <v>0</v>
      </c>
      <c r="C147" s="122">
        <f>IF(A147='F-Ahorro Futuro Decimos'!$H$18,'F-Ahorro Futuro Decimos'!$H$20,0)</f>
        <v>0</v>
      </c>
      <c r="D147" s="122">
        <f t="shared" si="2"/>
        <v>0</v>
      </c>
      <c r="E147" s="121">
        <f>ROUND(D147*'FR_Mantenimiento tasas'!$C$48/360,5)</f>
        <v>0</v>
      </c>
      <c r="F147" s="121">
        <f>ROUND(D147*'FR_Mantenimiento tasas'!$D$48/360,5)</f>
        <v>0</v>
      </c>
    </row>
    <row r="148" spans="1:6">
      <c r="A148" s="123">
        <f>IF(OR(A147='F-Ahorro Futuro Decimos'!$H$16,A147=""),"",IF(A147+1&gt;'F-Ahorro Futuro Decimos'!$H$16,'F-Ahorro Futuro Decimos'!$H$16,A147+1))</f>
        <v>146</v>
      </c>
      <c r="B148" s="122">
        <f>IFERROR(IF(DAY($A148)=DAY('F-Ahorro Futuro Decimos'!$H$15),'F-Ahorro Futuro Decimos'!$H$14,0),0)</f>
        <v>0</v>
      </c>
      <c r="C148" s="122">
        <f>IF(A148='F-Ahorro Futuro Decimos'!$H$18,'F-Ahorro Futuro Decimos'!$H$20,0)</f>
        <v>0</v>
      </c>
      <c r="D148" s="122">
        <f t="shared" si="2"/>
        <v>0</v>
      </c>
      <c r="E148" s="121">
        <f>ROUND(D148*'FR_Mantenimiento tasas'!$C$48/360,5)</f>
        <v>0</v>
      </c>
      <c r="F148" s="121">
        <f>ROUND(D148*'FR_Mantenimiento tasas'!$D$48/360,5)</f>
        <v>0</v>
      </c>
    </row>
    <row r="149" spans="1:6">
      <c r="A149" s="123">
        <f>IF(OR(A148='F-Ahorro Futuro Decimos'!$H$16,A148=""),"",IF(A148+1&gt;'F-Ahorro Futuro Decimos'!$H$16,'F-Ahorro Futuro Decimos'!$H$16,A148+1))</f>
        <v>147</v>
      </c>
      <c r="B149" s="122">
        <f>IFERROR(IF(DAY($A149)=DAY('F-Ahorro Futuro Decimos'!$H$15),'F-Ahorro Futuro Decimos'!$H$14,0),0)</f>
        <v>0</v>
      </c>
      <c r="C149" s="122">
        <f>IF(A149='F-Ahorro Futuro Decimos'!$H$18,'F-Ahorro Futuro Decimos'!$H$20,0)</f>
        <v>0</v>
      </c>
      <c r="D149" s="122">
        <f t="shared" si="2"/>
        <v>0</v>
      </c>
      <c r="E149" s="121">
        <f>ROUND(D149*'FR_Mantenimiento tasas'!$C$48/360,5)</f>
        <v>0</v>
      </c>
      <c r="F149" s="121">
        <f>ROUND(D149*'FR_Mantenimiento tasas'!$D$48/360,5)</f>
        <v>0</v>
      </c>
    </row>
    <row r="150" spans="1:6">
      <c r="A150" s="123">
        <f>IF(OR(A149='F-Ahorro Futuro Decimos'!$H$16,A149=""),"",IF(A149+1&gt;'F-Ahorro Futuro Decimos'!$H$16,'F-Ahorro Futuro Decimos'!$H$16,A149+1))</f>
        <v>148</v>
      </c>
      <c r="B150" s="122">
        <f>IFERROR(IF(DAY($A150)=DAY('F-Ahorro Futuro Decimos'!$H$15),'F-Ahorro Futuro Decimos'!$H$14,0),0)</f>
        <v>0</v>
      </c>
      <c r="C150" s="122">
        <f>IF(A150='F-Ahorro Futuro Decimos'!$H$18,'F-Ahorro Futuro Decimos'!$H$20,0)</f>
        <v>0</v>
      </c>
      <c r="D150" s="122">
        <f t="shared" si="2"/>
        <v>0</v>
      </c>
      <c r="E150" s="121">
        <f>ROUND(D150*'FR_Mantenimiento tasas'!$C$48/360,5)</f>
        <v>0</v>
      </c>
      <c r="F150" s="121">
        <f>ROUND(D150*'FR_Mantenimiento tasas'!$D$48/360,5)</f>
        <v>0</v>
      </c>
    </row>
    <row r="151" spans="1:6">
      <c r="A151" s="123">
        <f>IF(OR(A150='F-Ahorro Futuro Decimos'!$H$16,A150=""),"",IF(A150+1&gt;'F-Ahorro Futuro Decimos'!$H$16,'F-Ahorro Futuro Decimos'!$H$16,A150+1))</f>
        <v>149</v>
      </c>
      <c r="B151" s="122">
        <f>IFERROR(IF(DAY($A151)=DAY('F-Ahorro Futuro Decimos'!$H$15),'F-Ahorro Futuro Decimos'!$H$14,0),0)</f>
        <v>0</v>
      </c>
      <c r="C151" s="122">
        <f>IF(A151='F-Ahorro Futuro Decimos'!$H$18,'F-Ahorro Futuro Decimos'!$H$20,0)</f>
        <v>0</v>
      </c>
      <c r="D151" s="122">
        <f t="shared" si="2"/>
        <v>0</v>
      </c>
      <c r="E151" s="121">
        <f>ROUND(D151*'FR_Mantenimiento tasas'!$C$48/360,5)</f>
        <v>0</v>
      </c>
      <c r="F151" s="121">
        <f>ROUND(D151*'FR_Mantenimiento tasas'!$D$48/360,5)</f>
        <v>0</v>
      </c>
    </row>
    <row r="152" spans="1:6">
      <c r="A152" s="123">
        <f>IF(OR(A151='F-Ahorro Futuro Decimos'!$H$16,A151=""),"",IF(A151+1&gt;'F-Ahorro Futuro Decimos'!$H$16,'F-Ahorro Futuro Decimos'!$H$16,A151+1))</f>
        <v>150</v>
      </c>
      <c r="B152" s="122">
        <f>IFERROR(IF(DAY($A152)=DAY('F-Ahorro Futuro Decimos'!$H$15),'F-Ahorro Futuro Decimos'!$H$14,0),0)</f>
        <v>0</v>
      </c>
      <c r="C152" s="122">
        <f>IF(A152='F-Ahorro Futuro Decimos'!$H$18,'F-Ahorro Futuro Decimos'!$H$20,0)</f>
        <v>0</v>
      </c>
      <c r="D152" s="122">
        <f t="shared" si="2"/>
        <v>0</v>
      </c>
      <c r="E152" s="121">
        <f>ROUND(D152*'FR_Mantenimiento tasas'!$C$48/360,5)</f>
        <v>0</v>
      </c>
      <c r="F152" s="121">
        <f>ROUND(D152*'FR_Mantenimiento tasas'!$D$48/360,5)</f>
        <v>0</v>
      </c>
    </row>
    <row r="153" spans="1:6">
      <c r="A153" s="123">
        <f>IF(OR(A152='F-Ahorro Futuro Decimos'!$H$16,A152=""),"",IF(A152+1&gt;'F-Ahorro Futuro Decimos'!$H$16,'F-Ahorro Futuro Decimos'!$H$16,A152+1))</f>
        <v>151</v>
      </c>
      <c r="B153" s="122">
        <f>IFERROR(IF(DAY($A153)=DAY('F-Ahorro Futuro Decimos'!$H$15),'F-Ahorro Futuro Decimos'!$H$14,0),0)</f>
        <v>0</v>
      </c>
      <c r="C153" s="122">
        <f>IF(A153='F-Ahorro Futuro Decimos'!$H$18,'F-Ahorro Futuro Decimos'!$H$20,0)</f>
        <v>0</v>
      </c>
      <c r="D153" s="122">
        <f t="shared" si="2"/>
        <v>0</v>
      </c>
      <c r="E153" s="121">
        <f>ROUND(D153*'FR_Mantenimiento tasas'!$C$48/360,5)</f>
        <v>0</v>
      </c>
      <c r="F153" s="121">
        <f>ROUND(D153*'FR_Mantenimiento tasas'!$D$48/360,5)</f>
        <v>0</v>
      </c>
    </row>
    <row r="154" spans="1:6">
      <c r="A154" s="123">
        <f>IF(OR(A153='F-Ahorro Futuro Decimos'!$H$16,A153=""),"",IF(A153+1&gt;'F-Ahorro Futuro Decimos'!$H$16,'F-Ahorro Futuro Decimos'!$H$16,A153+1))</f>
        <v>152</v>
      </c>
      <c r="B154" s="122">
        <f>IFERROR(IF(DAY($A154)=DAY('F-Ahorro Futuro Decimos'!$H$15),'F-Ahorro Futuro Decimos'!$H$14,0),0)</f>
        <v>0</v>
      </c>
      <c r="C154" s="122">
        <f>IF(A154='F-Ahorro Futuro Decimos'!$H$18,'F-Ahorro Futuro Decimos'!$H$20,0)</f>
        <v>0</v>
      </c>
      <c r="D154" s="122">
        <f t="shared" si="2"/>
        <v>0</v>
      </c>
      <c r="E154" s="121">
        <f>ROUND(D154*'FR_Mantenimiento tasas'!$C$48/360,5)</f>
        <v>0</v>
      </c>
      <c r="F154" s="121">
        <f>ROUND(D154*'FR_Mantenimiento tasas'!$D$48/360,5)</f>
        <v>0</v>
      </c>
    </row>
    <row r="155" spans="1:6">
      <c r="A155" s="123">
        <f>IF(OR(A154='F-Ahorro Futuro Decimos'!$H$16,A154=""),"",IF(A154+1&gt;'F-Ahorro Futuro Decimos'!$H$16,'F-Ahorro Futuro Decimos'!$H$16,A154+1))</f>
        <v>153</v>
      </c>
      <c r="B155" s="122">
        <f>IFERROR(IF(DAY($A155)=DAY('F-Ahorro Futuro Decimos'!$H$15),'F-Ahorro Futuro Decimos'!$H$14,0),0)</f>
        <v>0</v>
      </c>
      <c r="C155" s="122">
        <f>IF(A155='F-Ahorro Futuro Decimos'!$H$18,'F-Ahorro Futuro Decimos'!$H$20,0)</f>
        <v>0</v>
      </c>
      <c r="D155" s="122">
        <f t="shared" si="2"/>
        <v>0</v>
      </c>
      <c r="E155" s="121">
        <f>ROUND(D155*'FR_Mantenimiento tasas'!$C$48/360,5)</f>
        <v>0</v>
      </c>
      <c r="F155" s="121">
        <f>ROUND(D155*'FR_Mantenimiento tasas'!$D$48/360,5)</f>
        <v>0</v>
      </c>
    </row>
    <row r="156" spans="1:6">
      <c r="A156" s="123">
        <f>IF(OR(A155='F-Ahorro Futuro Decimos'!$H$16,A155=""),"",IF(A155+1&gt;'F-Ahorro Futuro Decimos'!$H$16,'F-Ahorro Futuro Decimos'!$H$16,A155+1))</f>
        <v>154</v>
      </c>
      <c r="B156" s="122">
        <f>IFERROR(IF(DAY($A156)=DAY('F-Ahorro Futuro Decimos'!$H$15),'F-Ahorro Futuro Decimos'!$H$14,0),0)</f>
        <v>0</v>
      </c>
      <c r="C156" s="122">
        <f>IF(A156='F-Ahorro Futuro Decimos'!$H$18,'F-Ahorro Futuro Decimos'!$H$20,0)</f>
        <v>0</v>
      </c>
      <c r="D156" s="122">
        <f t="shared" si="2"/>
        <v>0</v>
      </c>
      <c r="E156" s="121">
        <f>ROUND(D156*'FR_Mantenimiento tasas'!$C$48/360,5)</f>
        <v>0</v>
      </c>
      <c r="F156" s="121">
        <f>ROUND(D156*'FR_Mantenimiento tasas'!$D$48/360,5)</f>
        <v>0</v>
      </c>
    </row>
    <row r="157" spans="1:6">
      <c r="A157" s="123">
        <f>IF(OR(A156='F-Ahorro Futuro Decimos'!$H$16,A156=""),"",IF(A156+1&gt;'F-Ahorro Futuro Decimos'!$H$16,'F-Ahorro Futuro Decimos'!$H$16,A156+1))</f>
        <v>155</v>
      </c>
      <c r="B157" s="122">
        <f>IFERROR(IF(DAY($A157)=DAY('F-Ahorro Futuro Decimos'!$H$15),'F-Ahorro Futuro Decimos'!$H$14,0),0)</f>
        <v>0</v>
      </c>
      <c r="C157" s="122">
        <f>IF(A157='F-Ahorro Futuro Decimos'!$H$18,'F-Ahorro Futuro Decimos'!$H$20,0)</f>
        <v>0</v>
      </c>
      <c r="D157" s="122">
        <f t="shared" si="2"/>
        <v>0</v>
      </c>
      <c r="E157" s="121">
        <f>ROUND(D157*'FR_Mantenimiento tasas'!$C$48/360,5)</f>
        <v>0</v>
      </c>
      <c r="F157" s="121">
        <f>ROUND(D157*'FR_Mantenimiento tasas'!$D$48/360,5)</f>
        <v>0</v>
      </c>
    </row>
    <row r="158" spans="1:6">
      <c r="A158" s="123">
        <f>IF(OR(A157='F-Ahorro Futuro Decimos'!$H$16,A157=""),"",IF(A157+1&gt;'F-Ahorro Futuro Decimos'!$H$16,'F-Ahorro Futuro Decimos'!$H$16,A157+1))</f>
        <v>156</v>
      </c>
      <c r="B158" s="122">
        <f>IFERROR(IF(DAY($A158)=DAY('F-Ahorro Futuro Decimos'!$H$15),'F-Ahorro Futuro Decimos'!$H$14,0),0)</f>
        <v>0</v>
      </c>
      <c r="C158" s="122">
        <f>IF(A158='F-Ahorro Futuro Decimos'!$H$18,'F-Ahorro Futuro Decimos'!$H$20,0)</f>
        <v>0</v>
      </c>
      <c r="D158" s="122">
        <f t="shared" si="2"/>
        <v>0</v>
      </c>
      <c r="E158" s="121">
        <f>ROUND(D158*'FR_Mantenimiento tasas'!$C$48/360,5)</f>
        <v>0</v>
      </c>
      <c r="F158" s="121">
        <f>ROUND(D158*'FR_Mantenimiento tasas'!$D$48/360,5)</f>
        <v>0</v>
      </c>
    </row>
    <row r="159" spans="1:6">
      <c r="A159" s="123">
        <f>IF(OR(A158='F-Ahorro Futuro Decimos'!$H$16,A158=""),"",IF(A158+1&gt;'F-Ahorro Futuro Decimos'!$H$16,'F-Ahorro Futuro Decimos'!$H$16,A158+1))</f>
        <v>157</v>
      </c>
      <c r="B159" s="122">
        <f>IFERROR(IF(DAY($A159)=DAY('F-Ahorro Futuro Decimos'!$H$15),'F-Ahorro Futuro Decimos'!$H$14,0),0)</f>
        <v>0</v>
      </c>
      <c r="C159" s="122">
        <f>IF(A159='F-Ahorro Futuro Decimos'!$H$18,'F-Ahorro Futuro Decimos'!$H$20,0)</f>
        <v>0</v>
      </c>
      <c r="D159" s="122">
        <f t="shared" si="2"/>
        <v>0</v>
      </c>
      <c r="E159" s="121">
        <f>ROUND(D159*'FR_Mantenimiento tasas'!$C$48/360,5)</f>
        <v>0</v>
      </c>
      <c r="F159" s="121">
        <f>ROUND(D159*'FR_Mantenimiento tasas'!$D$48/360,5)</f>
        <v>0</v>
      </c>
    </row>
    <row r="160" spans="1:6">
      <c r="A160" s="123">
        <f>IF(OR(A159='F-Ahorro Futuro Decimos'!$H$16,A159=""),"",IF(A159+1&gt;'F-Ahorro Futuro Decimos'!$H$16,'F-Ahorro Futuro Decimos'!$H$16,A159+1))</f>
        <v>158</v>
      </c>
      <c r="B160" s="122">
        <f>IFERROR(IF(DAY($A160)=DAY('F-Ahorro Futuro Decimos'!$H$15),'F-Ahorro Futuro Decimos'!$H$14,0),0)</f>
        <v>0</v>
      </c>
      <c r="C160" s="122">
        <f>IF(A160='F-Ahorro Futuro Decimos'!$H$18,'F-Ahorro Futuro Decimos'!$H$20,0)</f>
        <v>0</v>
      </c>
      <c r="D160" s="122">
        <f t="shared" si="2"/>
        <v>0</v>
      </c>
      <c r="E160" s="121">
        <f>ROUND(D160*'FR_Mantenimiento tasas'!$C$48/360,5)</f>
        <v>0</v>
      </c>
      <c r="F160" s="121">
        <f>ROUND(D160*'FR_Mantenimiento tasas'!$D$48/360,5)</f>
        <v>0</v>
      </c>
    </row>
    <row r="161" spans="1:6">
      <c r="A161" s="123">
        <f>IF(OR(A160='F-Ahorro Futuro Decimos'!$H$16,A160=""),"",IF(A160+1&gt;'F-Ahorro Futuro Decimos'!$H$16,'F-Ahorro Futuro Decimos'!$H$16,A160+1))</f>
        <v>159</v>
      </c>
      <c r="B161" s="122">
        <f>IFERROR(IF(DAY($A161)=DAY('F-Ahorro Futuro Decimos'!$H$15),'F-Ahorro Futuro Decimos'!$H$14,0),0)</f>
        <v>0</v>
      </c>
      <c r="C161" s="122">
        <f>IF(A161='F-Ahorro Futuro Decimos'!$H$18,'F-Ahorro Futuro Decimos'!$H$20,0)</f>
        <v>0</v>
      </c>
      <c r="D161" s="122">
        <f t="shared" si="2"/>
        <v>0</v>
      </c>
      <c r="E161" s="121">
        <f>ROUND(D161*'FR_Mantenimiento tasas'!$C$48/360,5)</f>
        <v>0</v>
      </c>
      <c r="F161" s="121">
        <f>ROUND(D161*'FR_Mantenimiento tasas'!$D$48/360,5)</f>
        <v>0</v>
      </c>
    </row>
    <row r="162" spans="1:6">
      <c r="A162" s="123">
        <f>IF(OR(A161='F-Ahorro Futuro Decimos'!$H$16,A161=""),"",IF(A161+1&gt;'F-Ahorro Futuro Decimos'!$H$16,'F-Ahorro Futuro Decimos'!$H$16,A161+1))</f>
        <v>160</v>
      </c>
      <c r="B162" s="122">
        <f>IFERROR(IF(DAY($A162)=DAY('F-Ahorro Futuro Decimos'!$H$15),'F-Ahorro Futuro Decimos'!$H$14,0),0)</f>
        <v>0</v>
      </c>
      <c r="C162" s="122">
        <f>IF(A162='F-Ahorro Futuro Decimos'!$H$18,'F-Ahorro Futuro Decimos'!$H$20,0)</f>
        <v>0</v>
      </c>
      <c r="D162" s="122">
        <f t="shared" si="2"/>
        <v>0</v>
      </c>
      <c r="E162" s="121">
        <f>ROUND(D162*'FR_Mantenimiento tasas'!$C$48/360,5)</f>
        <v>0</v>
      </c>
      <c r="F162" s="121">
        <f>ROUND(D162*'FR_Mantenimiento tasas'!$D$48/360,5)</f>
        <v>0</v>
      </c>
    </row>
    <row r="163" spans="1:6">
      <c r="A163" s="123">
        <f>IF(OR(A162='F-Ahorro Futuro Decimos'!$H$16,A162=""),"",IF(A162+1&gt;'F-Ahorro Futuro Decimos'!$H$16,'F-Ahorro Futuro Decimos'!$H$16,A162+1))</f>
        <v>161</v>
      </c>
      <c r="B163" s="122">
        <f>IFERROR(IF(DAY($A163)=DAY('F-Ahorro Futuro Decimos'!$H$15),'F-Ahorro Futuro Decimos'!$H$14,0),0)</f>
        <v>0</v>
      </c>
      <c r="C163" s="122">
        <f>IF(A163='F-Ahorro Futuro Decimos'!$H$18,'F-Ahorro Futuro Decimos'!$H$20,0)</f>
        <v>0</v>
      </c>
      <c r="D163" s="122">
        <f t="shared" si="2"/>
        <v>0</v>
      </c>
      <c r="E163" s="121">
        <f>ROUND(D163*'FR_Mantenimiento tasas'!$C$48/360,5)</f>
        <v>0</v>
      </c>
      <c r="F163" s="121">
        <f>ROUND(D163*'FR_Mantenimiento tasas'!$D$48/360,5)</f>
        <v>0</v>
      </c>
    </row>
    <row r="164" spans="1:6">
      <c r="A164" s="123">
        <f>IF(OR(A163='F-Ahorro Futuro Decimos'!$H$16,A163=""),"",IF(A163+1&gt;'F-Ahorro Futuro Decimos'!$H$16,'F-Ahorro Futuro Decimos'!$H$16,A163+1))</f>
        <v>162</v>
      </c>
      <c r="B164" s="122">
        <f>IFERROR(IF(DAY($A164)=DAY('F-Ahorro Futuro Decimos'!$H$15),'F-Ahorro Futuro Decimos'!$H$14,0),0)</f>
        <v>0</v>
      </c>
      <c r="C164" s="122">
        <f>IF(A164='F-Ahorro Futuro Decimos'!$H$18,'F-Ahorro Futuro Decimos'!$H$20,0)</f>
        <v>0</v>
      </c>
      <c r="D164" s="122">
        <f t="shared" si="2"/>
        <v>0</v>
      </c>
      <c r="E164" s="121">
        <f>ROUND(D164*'FR_Mantenimiento tasas'!$C$48/360,5)</f>
        <v>0</v>
      </c>
      <c r="F164" s="121">
        <f>ROUND(D164*'FR_Mantenimiento tasas'!$D$48/360,5)</f>
        <v>0</v>
      </c>
    </row>
    <row r="165" spans="1:6">
      <c r="A165" s="123">
        <f>IF(OR(A164='F-Ahorro Futuro Decimos'!$H$16,A164=""),"",IF(A164+1&gt;'F-Ahorro Futuro Decimos'!$H$16,'F-Ahorro Futuro Decimos'!$H$16,A164+1))</f>
        <v>163</v>
      </c>
      <c r="B165" s="122">
        <f>IFERROR(IF(DAY($A165)=DAY('F-Ahorro Futuro Decimos'!$H$15),'F-Ahorro Futuro Decimos'!$H$14,0),0)</f>
        <v>0</v>
      </c>
      <c r="C165" s="122">
        <f>IF(A165='F-Ahorro Futuro Decimos'!$H$18,'F-Ahorro Futuro Decimos'!$H$20,0)</f>
        <v>0</v>
      </c>
      <c r="D165" s="122">
        <f t="shared" si="2"/>
        <v>0</v>
      </c>
      <c r="E165" s="121">
        <f>ROUND(D165*'FR_Mantenimiento tasas'!$C$48/360,5)</f>
        <v>0</v>
      </c>
      <c r="F165" s="121">
        <f>ROUND(D165*'FR_Mantenimiento tasas'!$D$48/360,5)</f>
        <v>0</v>
      </c>
    </row>
    <row r="166" spans="1:6">
      <c r="A166" s="123">
        <f>IF(OR(A165='F-Ahorro Futuro Decimos'!$H$16,A165=""),"",IF(A165+1&gt;'F-Ahorro Futuro Decimos'!$H$16,'F-Ahorro Futuro Decimos'!$H$16,A165+1))</f>
        <v>164</v>
      </c>
      <c r="B166" s="122">
        <f>IFERROR(IF(DAY($A166)=DAY('F-Ahorro Futuro Decimos'!$H$15),'F-Ahorro Futuro Decimos'!$H$14,0),0)</f>
        <v>0</v>
      </c>
      <c r="C166" s="122">
        <f>IF(A166='F-Ahorro Futuro Decimos'!$H$18,'F-Ahorro Futuro Decimos'!$H$20,0)</f>
        <v>0</v>
      </c>
      <c r="D166" s="122">
        <f t="shared" si="2"/>
        <v>0</v>
      </c>
      <c r="E166" s="121">
        <f>ROUND(D166*'FR_Mantenimiento tasas'!$C$48/360,5)</f>
        <v>0</v>
      </c>
      <c r="F166" s="121">
        <f>ROUND(D166*'FR_Mantenimiento tasas'!$D$48/360,5)</f>
        <v>0</v>
      </c>
    </row>
    <row r="167" spans="1:6">
      <c r="A167" s="123">
        <f>IF(OR(A166='F-Ahorro Futuro Decimos'!$H$16,A166=""),"",IF(A166+1&gt;'F-Ahorro Futuro Decimos'!$H$16,'F-Ahorro Futuro Decimos'!$H$16,A166+1))</f>
        <v>165</v>
      </c>
      <c r="B167" s="122">
        <f>IFERROR(IF(DAY($A167)=DAY('F-Ahorro Futuro Decimos'!$H$15),'F-Ahorro Futuro Decimos'!$H$14,0),0)</f>
        <v>0</v>
      </c>
      <c r="C167" s="122">
        <f>IF(A167='F-Ahorro Futuro Decimos'!$H$18,'F-Ahorro Futuro Decimos'!$H$20,0)</f>
        <v>0</v>
      </c>
      <c r="D167" s="122">
        <f t="shared" si="2"/>
        <v>0</v>
      </c>
      <c r="E167" s="121">
        <f>ROUND(D167*'FR_Mantenimiento tasas'!$C$48/360,5)</f>
        <v>0</v>
      </c>
      <c r="F167" s="121">
        <f>ROUND(D167*'FR_Mantenimiento tasas'!$D$48/360,5)</f>
        <v>0</v>
      </c>
    </row>
    <row r="168" spans="1:6">
      <c r="A168" s="123">
        <f>IF(OR(A167='F-Ahorro Futuro Decimos'!$H$16,A167=""),"",IF(A167+1&gt;'F-Ahorro Futuro Decimos'!$H$16,'F-Ahorro Futuro Decimos'!$H$16,A167+1))</f>
        <v>166</v>
      </c>
      <c r="B168" s="122">
        <f>IFERROR(IF(DAY($A168)=DAY('F-Ahorro Futuro Decimos'!$H$15),'F-Ahorro Futuro Decimos'!$H$14,0),0)</f>
        <v>0</v>
      </c>
      <c r="C168" s="122">
        <f>IF(A168='F-Ahorro Futuro Decimos'!$H$18,'F-Ahorro Futuro Decimos'!$H$20,0)</f>
        <v>0</v>
      </c>
      <c r="D168" s="122">
        <f t="shared" si="2"/>
        <v>0</v>
      </c>
      <c r="E168" s="121">
        <f>ROUND(D168*'FR_Mantenimiento tasas'!$C$48/360,5)</f>
        <v>0</v>
      </c>
      <c r="F168" s="121">
        <f>ROUND(D168*'FR_Mantenimiento tasas'!$D$48/360,5)</f>
        <v>0</v>
      </c>
    </row>
    <row r="169" spans="1:6">
      <c r="A169" s="123">
        <f>IF(OR(A168='F-Ahorro Futuro Decimos'!$H$16,A168=""),"",IF(A168+1&gt;'F-Ahorro Futuro Decimos'!$H$16,'F-Ahorro Futuro Decimos'!$H$16,A168+1))</f>
        <v>167</v>
      </c>
      <c r="B169" s="122">
        <f>IFERROR(IF(DAY($A169)=DAY('F-Ahorro Futuro Decimos'!$H$15),'F-Ahorro Futuro Decimos'!$H$14,0),0)</f>
        <v>0</v>
      </c>
      <c r="C169" s="122">
        <f>IF(A169='F-Ahorro Futuro Decimos'!$H$18,'F-Ahorro Futuro Decimos'!$H$20,0)</f>
        <v>0</v>
      </c>
      <c r="D169" s="122">
        <f t="shared" si="2"/>
        <v>0</v>
      </c>
      <c r="E169" s="121">
        <f>ROUND(D169*'FR_Mantenimiento tasas'!$C$48/360,5)</f>
        <v>0</v>
      </c>
      <c r="F169" s="121">
        <f>ROUND(D169*'FR_Mantenimiento tasas'!$D$48/360,5)</f>
        <v>0</v>
      </c>
    </row>
    <row r="170" spans="1:6">
      <c r="A170" s="123">
        <f>IF(OR(A169='F-Ahorro Futuro Decimos'!$H$16,A169=""),"",IF(A169+1&gt;'F-Ahorro Futuro Decimos'!$H$16,'F-Ahorro Futuro Decimos'!$H$16,A169+1))</f>
        <v>168</v>
      </c>
      <c r="B170" s="122">
        <f>IFERROR(IF(DAY($A170)=DAY('F-Ahorro Futuro Decimos'!$H$15),'F-Ahorro Futuro Decimos'!$H$14,0),0)</f>
        <v>0</v>
      </c>
      <c r="C170" s="122">
        <f>IF(A170='F-Ahorro Futuro Decimos'!$H$18,'F-Ahorro Futuro Decimos'!$H$20,0)</f>
        <v>0</v>
      </c>
      <c r="D170" s="122">
        <f t="shared" si="2"/>
        <v>0</v>
      </c>
      <c r="E170" s="121">
        <f>ROUND(D170*'FR_Mantenimiento tasas'!$C$48/360,5)</f>
        <v>0</v>
      </c>
      <c r="F170" s="121">
        <f>ROUND(D170*'FR_Mantenimiento tasas'!$D$48/360,5)</f>
        <v>0</v>
      </c>
    </row>
    <row r="171" spans="1:6">
      <c r="A171" s="123">
        <f>IF(OR(A170='F-Ahorro Futuro Decimos'!$H$16,A170=""),"",IF(A170+1&gt;'F-Ahorro Futuro Decimos'!$H$16,'F-Ahorro Futuro Decimos'!$H$16,A170+1))</f>
        <v>169</v>
      </c>
      <c r="B171" s="122">
        <f>IFERROR(IF(DAY($A171)=DAY('F-Ahorro Futuro Decimos'!$H$15),'F-Ahorro Futuro Decimos'!$H$14,0),0)</f>
        <v>0</v>
      </c>
      <c r="C171" s="122">
        <f>IF(A171='F-Ahorro Futuro Decimos'!$H$18,'F-Ahorro Futuro Decimos'!$H$20,0)</f>
        <v>0</v>
      </c>
      <c r="D171" s="122">
        <f t="shared" si="2"/>
        <v>0</v>
      </c>
      <c r="E171" s="121">
        <f>ROUND(D171*'FR_Mantenimiento tasas'!$C$48/360,5)</f>
        <v>0</v>
      </c>
      <c r="F171" s="121">
        <f>ROUND(D171*'FR_Mantenimiento tasas'!$D$48/360,5)</f>
        <v>0</v>
      </c>
    </row>
    <row r="172" spans="1:6">
      <c r="A172" s="123">
        <f>IF(OR(A171='F-Ahorro Futuro Decimos'!$H$16,A171=""),"",IF(A171+1&gt;'F-Ahorro Futuro Decimos'!$H$16,'F-Ahorro Futuro Decimos'!$H$16,A171+1))</f>
        <v>170</v>
      </c>
      <c r="B172" s="122">
        <f>IFERROR(IF(DAY($A172)=DAY('F-Ahorro Futuro Decimos'!$H$15),'F-Ahorro Futuro Decimos'!$H$14,0),0)</f>
        <v>0</v>
      </c>
      <c r="C172" s="122">
        <f>IF(A172='F-Ahorro Futuro Decimos'!$H$18,'F-Ahorro Futuro Decimos'!$H$20,0)</f>
        <v>0</v>
      </c>
      <c r="D172" s="122">
        <f t="shared" si="2"/>
        <v>0</v>
      </c>
      <c r="E172" s="121">
        <f>ROUND(D172*'FR_Mantenimiento tasas'!$C$48/360,5)</f>
        <v>0</v>
      </c>
      <c r="F172" s="121">
        <f>ROUND(D172*'FR_Mantenimiento tasas'!$D$48/360,5)</f>
        <v>0</v>
      </c>
    </row>
    <row r="173" spans="1:6">
      <c r="A173" s="123">
        <f>IF(OR(A172='F-Ahorro Futuro Decimos'!$H$16,A172=""),"",IF(A172+1&gt;'F-Ahorro Futuro Decimos'!$H$16,'F-Ahorro Futuro Decimos'!$H$16,A172+1))</f>
        <v>171</v>
      </c>
      <c r="B173" s="122">
        <f>IFERROR(IF(DAY($A173)=DAY('F-Ahorro Futuro Decimos'!$H$15),'F-Ahorro Futuro Decimos'!$H$14,0),0)</f>
        <v>0</v>
      </c>
      <c r="C173" s="122">
        <f>IF(A173='F-Ahorro Futuro Decimos'!$H$18,'F-Ahorro Futuro Decimos'!$H$20,0)</f>
        <v>0</v>
      </c>
      <c r="D173" s="122">
        <f t="shared" si="2"/>
        <v>0</v>
      </c>
      <c r="E173" s="121">
        <f>ROUND(D173*'FR_Mantenimiento tasas'!$C$48/360,5)</f>
        <v>0</v>
      </c>
      <c r="F173" s="121">
        <f>ROUND(D173*'FR_Mantenimiento tasas'!$D$48/360,5)</f>
        <v>0</v>
      </c>
    </row>
    <row r="174" spans="1:6">
      <c r="A174" s="123">
        <f>IF(OR(A173='F-Ahorro Futuro Decimos'!$H$16,A173=""),"",IF(A173+1&gt;'F-Ahorro Futuro Decimos'!$H$16,'F-Ahorro Futuro Decimos'!$H$16,A173+1))</f>
        <v>172</v>
      </c>
      <c r="B174" s="122">
        <f>IFERROR(IF(DAY($A174)=DAY('F-Ahorro Futuro Decimos'!$H$15),'F-Ahorro Futuro Decimos'!$H$14,0),0)</f>
        <v>0</v>
      </c>
      <c r="C174" s="122">
        <f>IF(A174='F-Ahorro Futuro Decimos'!$H$18,'F-Ahorro Futuro Decimos'!$H$20,0)</f>
        <v>0</v>
      </c>
      <c r="D174" s="122">
        <f t="shared" si="2"/>
        <v>0</v>
      </c>
      <c r="E174" s="121">
        <f>ROUND(D174*'FR_Mantenimiento tasas'!$C$48/360,5)</f>
        <v>0</v>
      </c>
      <c r="F174" s="121">
        <f>ROUND(D174*'FR_Mantenimiento tasas'!$D$48/360,5)</f>
        <v>0</v>
      </c>
    </row>
    <row r="175" spans="1:6">
      <c r="A175" s="123">
        <f>IF(OR(A174='F-Ahorro Futuro Decimos'!$H$16,A174=""),"",IF(A174+1&gt;'F-Ahorro Futuro Decimos'!$H$16,'F-Ahorro Futuro Decimos'!$H$16,A174+1))</f>
        <v>173</v>
      </c>
      <c r="B175" s="122">
        <f>IFERROR(IF(DAY($A175)=DAY('F-Ahorro Futuro Decimos'!$H$15),'F-Ahorro Futuro Decimos'!$H$14,0),0)</f>
        <v>0</v>
      </c>
      <c r="C175" s="122">
        <f>IF(A175='F-Ahorro Futuro Decimos'!$H$18,'F-Ahorro Futuro Decimos'!$H$20,0)</f>
        <v>0</v>
      </c>
      <c r="D175" s="122">
        <f t="shared" si="2"/>
        <v>0</v>
      </c>
      <c r="E175" s="121">
        <f>ROUND(D175*'FR_Mantenimiento tasas'!$C$48/360,5)</f>
        <v>0</v>
      </c>
      <c r="F175" s="121">
        <f>ROUND(D175*'FR_Mantenimiento tasas'!$D$48/360,5)</f>
        <v>0</v>
      </c>
    </row>
    <row r="176" spans="1:6">
      <c r="A176" s="123">
        <f>IF(OR(A175='F-Ahorro Futuro Decimos'!$H$16,A175=""),"",IF(A175+1&gt;'F-Ahorro Futuro Decimos'!$H$16,'F-Ahorro Futuro Decimos'!$H$16,A175+1))</f>
        <v>174</v>
      </c>
      <c r="B176" s="122">
        <f>IFERROR(IF(DAY($A176)=DAY('F-Ahorro Futuro Decimos'!$H$15),'F-Ahorro Futuro Decimos'!$H$14,0),0)</f>
        <v>0</v>
      </c>
      <c r="C176" s="122">
        <f>IF(A176='F-Ahorro Futuro Decimos'!$H$18,'F-Ahorro Futuro Decimos'!$H$20,0)</f>
        <v>0</v>
      </c>
      <c r="D176" s="122">
        <f t="shared" si="2"/>
        <v>0</v>
      </c>
      <c r="E176" s="121">
        <f>ROUND(D176*'FR_Mantenimiento tasas'!$C$48/360,5)</f>
        <v>0</v>
      </c>
      <c r="F176" s="121">
        <f>ROUND(D176*'FR_Mantenimiento tasas'!$D$48/360,5)</f>
        <v>0</v>
      </c>
    </row>
    <row r="177" spans="1:6">
      <c r="A177" s="123">
        <f>IF(OR(A176='F-Ahorro Futuro Decimos'!$H$16,A176=""),"",IF(A176+1&gt;'F-Ahorro Futuro Decimos'!$H$16,'F-Ahorro Futuro Decimos'!$H$16,A176+1))</f>
        <v>175</v>
      </c>
      <c r="B177" s="122">
        <f>IFERROR(IF(DAY($A177)=DAY('F-Ahorro Futuro Decimos'!$H$15),'F-Ahorro Futuro Decimos'!$H$14,0),0)</f>
        <v>0</v>
      </c>
      <c r="C177" s="122">
        <f>IF(A177='F-Ahorro Futuro Decimos'!$H$18,'F-Ahorro Futuro Decimos'!$H$20,0)</f>
        <v>0</v>
      </c>
      <c r="D177" s="122">
        <f t="shared" si="2"/>
        <v>0</v>
      </c>
      <c r="E177" s="121">
        <f>ROUND(D177*'FR_Mantenimiento tasas'!$C$48/360,5)</f>
        <v>0</v>
      </c>
      <c r="F177" s="121">
        <f>ROUND(D177*'FR_Mantenimiento tasas'!$D$48/360,5)</f>
        <v>0</v>
      </c>
    </row>
    <row r="178" spans="1:6">
      <c r="A178" s="123">
        <f>IF(OR(A177='F-Ahorro Futuro Decimos'!$H$16,A177=""),"",IF(A177+1&gt;'F-Ahorro Futuro Decimos'!$H$16,'F-Ahorro Futuro Decimos'!$H$16,A177+1))</f>
        <v>176</v>
      </c>
      <c r="B178" s="122">
        <f>IFERROR(IF(DAY($A178)=DAY('F-Ahorro Futuro Decimos'!$H$15),'F-Ahorro Futuro Decimos'!$H$14,0),0)</f>
        <v>0</v>
      </c>
      <c r="C178" s="122">
        <f>IF(A178='F-Ahorro Futuro Decimos'!$H$18,'F-Ahorro Futuro Decimos'!$H$20,0)</f>
        <v>0</v>
      </c>
      <c r="D178" s="122">
        <f t="shared" si="2"/>
        <v>0</v>
      </c>
      <c r="E178" s="121">
        <f>ROUND(D178*'FR_Mantenimiento tasas'!$C$48/360,5)</f>
        <v>0</v>
      </c>
      <c r="F178" s="121">
        <f>ROUND(D178*'FR_Mantenimiento tasas'!$D$48/360,5)</f>
        <v>0</v>
      </c>
    </row>
    <row r="179" spans="1:6">
      <c r="A179" s="123">
        <f>IF(OR(A178='F-Ahorro Futuro Decimos'!$H$16,A178=""),"",IF(A178+1&gt;'F-Ahorro Futuro Decimos'!$H$16,'F-Ahorro Futuro Decimos'!$H$16,A178+1))</f>
        <v>177</v>
      </c>
      <c r="B179" s="122">
        <f>IFERROR(IF(DAY($A179)=DAY('F-Ahorro Futuro Decimos'!$H$15),'F-Ahorro Futuro Decimos'!$H$14,0),0)</f>
        <v>0</v>
      </c>
      <c r="C179" s="122">
        <f>IF(A179='F-Ahorro Futuro Decimos'!$H$18,'F-Ahorro Futuro Decimos'!$H$20,0)</f>
        <v>0</v>
      </c>
      <c r="D179" s="122">
        <f t="shared" si="2"/>
        <v>0</v>
      </c>
      <c r="E179" s="121">
        <f>ROUND(D179*'FR_Mantenimiento tasas'!$C$48/360,5)</f>
        <v>0</v>
      </c>
      <c r="F179" s="121">
        <f>ROUND(D179*'FR_Mantenimiento tasas'!$D$48/360,5)</f>
        <v>0</v>
      </c>
    </row>
    <row r="180" spans="1:6">
      <c r="A180" s="123">
        <f>IF(OR(A179='F-Ahorro Futuro Decimos'!$H$16,A179=""),"",IF(A179+1&gt;'F-Ahorro Futuro Decimos'!$H$16,'F-Ahorro Futuro Decimos'!$H$16,A179+1))</f>
        <v>178</v>
      </c>
      <c r="B180" s="122">
        <f>IFERROR(IF(DAY($A180)=DAY('F-Ahorro Futuro Decimos'!$H$15),'F-Ahorro Futuro Decimos'!$H$14,0),0)</f>
        <v>0</v>
      </c>
      <c r="C180" s="122">
        <f>IF(A180='F-Ahorro Futuro Decimos'!$H$18,'F-Ahorro Futuro Decimos'!$H$20,0)</f>
        <v>0</v>
      </c>
      <c r="D180" s="122">
        <f t="shared" si="2"/>
        <v>0</v>
      </c>
      <c r="E180" s="121">
        <f>ROUND(D180*'FR_Mantenimiento tasas'!$C$48/360,5)</f>
        <v>0</v>
      </c>
      <c r="F180" s="121">
        <f>ROUND(D180*'FR_Mantenimiento tasas'!$D$48/360,5)</f>
        <v>0</v>
      </c>
    </row>
    <row r="181" spans="1:6">
      <c r="A181" s="123">
        <f>IF(OR(A180='F-Ahorro Futuro Decimos'!$H$16,A180=""),"",IF(A180+1&gt;'F-Ahorro Futuro Decimos'!$H$16,'F-Ahorro Futuro Decimos'!$H$16,A180+1))</f>
        <v>179</v>
      </c>
      <c r="B181" s="122">
        <f>IFERROR(IF(DAY($A181)=DAY('F-Ahorro Futuro Decimos'!$H$15),'F-Ahorro Futuro Decimos'!$H$14,0),0)</f>
        <v>0</v>
      </c>
      <c r="C181" s="122">
        <f>IF(A181='F-Ahorro Futuro Decimos'!$H$18,'F-Ahorro Futuro Decimos'!$H$20,0)</f>
        <v>0</v>
      </c>
      <c r="D181" s="122">
        <f t="shared" si="2"/>
        <v>0</v>
      </c>
      <c r="E181" s="121">
        <f>ROUND(D181*'FR_Mantenimiento tasas'!$C$48/360,5)</f>
        <v>0</v>
      </c>
      <c r="F181" s="121">
        <f>ROUND(D181*'FR_Mantenimiento tasas'!$D$48/360,5)</f>
        <v>0</v>
      </c>
    </row>
    <row r="182" spans="1:6">
      <c r="A182" s="123">
        <f>IF(OR(A181='F-Ahorro Futuro Decimos'!$H$16,A181=""),"",IF(A181+1&gt;'F-Ahorro Futuro Decimos'!$H$16,'F-Ahorro Futuro Decimos'!$H$16,A181+1))</f>
        <v>180</v>
      </c>
      <c r="B182" s="122">
        <f>IFERROR(IF(DAY($A182)=DAY('F-Ahorro Futuro Decimos'!$H$15),'F-Ahorro Futuro Decimos'!$H$14,0),0)</f>
        <v>0</v>
      </c>
      <c r="C182" s="122">
        <f>IF(A182='F-Ahorro Futuro Decimos'!$H$18,'F-Ahorro Futuro Decimos'!$H$20,0)</f>
        <v>0</v>
      </c>
      <c r="D182" s="122">
        <f t="shared" si="2"/>
        <v>0</v>
      </c>
      <c r="E182" s="121">
        <f>ROUND(D182*'FR_Mantenimiento tasas'!$C$48/360,5)</f>
        <v>0</v>
      </c>
      <c r="F182" s="121">
        <f>ROUND(D182*'FR_Mantenimiento tasas'!$D$48/360,5)</f>
        <v>0</v>
      </c>
    </row>
    <row r="183" spans="1:6">
      <c r="A183" s="123">
        <f>IF(OR(A182='F-Ahorro Futuro Decimos'!$H$16,A182=""),"",IF(A182+1&gt;'F-Ahorro Futuro Decimos'!$H$16,'F-Ahorro Futuro Decimos'!$H$16,A182+1))</f>
        <v>181</v>
      </c>
      <c r="B183" s="122">
        <f>IFERROR(IF(DAY($A183)=DAY('F-Ahorro Futuro Decimos'!$H$15),'F-Ahorro Futuro Decimos'!$H$14,0),0)</f>
        <v>0</v>
      </c>
      <c r="C183" s="122">
        <f>IF(A183='F-Ahorro Futuro Decimos'!$H$18,'F-Ahorro Futuro Decimos'!$H$20,0)</f>
        <v>0</v>
      </c>
      <c r="D183" s="122">
        <f t="shared" si="2"/>
        <v>0</v>
      </c>
      <c r="E183" s="121">
        <f>ROUND(D183*'FR_Mantenimiento tasas'!$C$48/360,5)</f>
        <v>0</v>
      </c>
      <c r="F183" s="121">
        <f>ROUND(D183*'FR_Mantenimiento tasas'!$D$48/360,5)</f>
        <v>0</v>
      </c>
    </row>
    <row r="184" spans="1:6">
      <c r="A184" s="123">
        <f>IF(OR(A183='F-Ahorro Futuro Decimos'!$H$16,A183=""),"",IF(A183+1&gt;'F-Ahorro Futuro Decimos'!$H$16,'F-Ahorro Futuro Decimos'!$H$16,A183+1))</f>
        <v>182</v>
      </c>
      <c r="B184" s="122">
        <f>IFERROR(IF(DAY($A184)=DAY('F-Ahorro Futuro Decimos'!$H$15),'F-Ahorro Futuro Decimos'!$H$14,0),0)</f>
        <v>0</v>
      </c>
      <c r="C184" s="122">
        <f>IF(A184='F-Ahorro Futuro Decimos'!$H$18,'F-Ahorro Futuro Decimos'!$H$20,0)</f>
        <v>0</v>
      </c>
      <c r="D184" s="122">
        <f t="shared" si="2"/>
        <v>0</v>
      </c>
      <c r="E184" s="121">
        <f>ROUND(D184*'FR_Mantenimiento tasas'!$C$48/360,5)</f>
        <v>0</v>
      </c>
      <c r="F184" s="121">
        <f>ROUND(D184*'FR_Mantenimiento tasas'!$D$48/360,5)</f>
        <v>0</v>
      </c>
    </row>
    <row r="185" spans="1:6">
      <c r="A185" s="123">
        <f>IF(OR(A184='F-Ahorro Futuro Decimos'!$H$16,A184=""),"",IF(A184+1&gt;'F-Ahorro Futuro Decimos'!$H$16,'F-Ahorro Futuro Decimos'!$H$16,A184+1))</f>
        <v>183</v>
      </c>
      <c r="B185" s="122">
        <f>IFERROR(IF(DAY($A185)=DAY('F-Ahorro Futuro Decimos'!$H$15),'F-Ahorro Futuro Decimos'!$H$14,0),0)</f>
        <v>0</v>
      </c>
      <c r="C185" s="122">
        <f>IF(A185='F-Ahorro Futuro Decimos'!$H$18,'F-Ahorro Futuro Decimos'!$H$20,0)</f>
        <v>0</v>
      </c>
      <c r="D185" s="122">
        <f t="shared" si="2"/>
        <v>0</v>
      </c>
      <c r="E185" s="121">
        <f>ROUND(D185*'FR_Mantenimiento tasas'!$C$48/360,5)</f>
        <v>0</v>
      </c>
      <c r="F185" s="121">
        <f>ROUND(D185*'FR_Mantenimiento tasas'!$D$48/360,5)</f>
        <v>0</v>
      </c>
    </row>
    <row r="186" spans="1:6">
      <c r="A186" s="123">
        <f>IF(OR(A185='F-Ahorro Futuro Decimos'!$H$16,A185=""),"",IF(A185+1&gt;'F-Ahorro Futuro Decimos'!$H$16,'F-Ahorro Futuro Decimos'!$H$16,A185+1))</f>
        <v>184</v>
      </c>
      <c r="B186" s="122">
        <f>IFERROR(IF(DAY($A186)=DAY('F-Ahorro Futuro Decimos'!$H$15),'F-Ahorro Futuro Decimos'!$H$14,0),0)</f>
        <v>0</v>
      </c>
      <c r="C186" s="122">
        <f>IF(A186='F-Ahorro Futuro Decimos'!$H$18,'F-Ahorro Futuro Decimos'!$H$20,0)</f>
        <v>0</v>
      </c>
      <c r="D186" s="122">
        <f t="shared" si="2"/>
        <v>0</v>
      </c>
      <c r="E186" s="121">
        <f>ROUND(D186*'FR_Mantenimiento tasas'!$C$48/360,5)</f>
        <v>0</v>
      </c>
      <c r="F186" s="121">
        <f>ROUND(D186*'FR_Mantenimiento tasas'!$D$48/360,5)</f>
        <v>0</v>
      </c>
    </row>
    <row r="187" spans="1:6">
      <c r="A187" s="123">
        <f>IF(OR(A186='F-Ahorro Futuro Decimos'!$H$16,A186=""),"",IF(A186+1&gt;'F-Ahorro Futuro Decimos'!$H$16,'F-Ahorro Futuro Decimos'!$H$16,A186+1))</f>
        <v>185</v>
      </c>
      <c r="B187" s="122">
        <f>IFERROR(IF(DAY($A187)=DAY('F-Ahorro Futuro Decimos'!$H$15),'F-Ahorro Futuro Decimos'!$H$14,0),0)</f>
        <v>0</v>
      </c>
      <c r="C187" s="122">
        <f>IF(A187='F-Ahorro Futuro Decimos'!$H$18,'F-Ahorro Futuro Decimos'!$H$20,0)</f>
        <v>0</v>
      </c>
      <c r="D187" s="122">
        <f t="shared" si="2"/>
        <v>0</v>
      </c>
      <c r="E187" s="121">
        <f>ROUND(D187*'FR_Mantenimiento tasas'!$C$48/360,5)</f>
        <v>0</v>
      </c>
      <c r="F187" s="121">
        <f>ROUND(D187*'FR_Mantenimiento tasas'!$D$48/360,5)</f>
        <v>0</v>
      </c>
    </row>
    <row r="188" spans="1:6">
      <c r="A188" s="123">
        <f>IF(OR(A187='F-Ahorro Futuro Decimos'!$H$16,A187=""),"",IF(A187+1&gt;'F-Ahorro Futuro Decimos'!$H$16,'F-Ahorro Futuro Decimos'!$H$16,A187+1))</f>
        <v>186</v>
      </c>
      <c r="B188" s="122">
        <f>IFERROR(IF(DAY($A188)=DAY('F-Ahorro Futuro Decimos'!$H$15),'F-Ahorro Futuro Decimos'!$H$14,0),0)</f>
        <v>0</v>
      </c>
      <c r="C188" s="122">
        <f>IF(A188='F-Ahorro Futuro Decimos'!$H$18,'F-Ahorro Futuro Decimos'!$H$20,0)</f>
        <v>0</v>
      </c>
      <c r="D188" s="122">
        <f t="shared" si="2"/>
        <v>0</v>
      </c>
      <c r="E188" s="121">
        <f>ROUND(D188*'FR_Mantenimiento tasas'!$C$48/360,5)</f>
        <v>0</v>
      </c>
      <c r="F188" s="121">
        <f>ROUND(D188*'FR_Mantenimiento tasas'!$D$48/360,5)</f>
        <v>0</v>
      </c>
    </row>
    <row r="189" spans="1:6">
      <c r="A189" s="123">
        <f>IF(OR(A188='F-Ahorro Futuro Decimos'!$H$16,A188=""),"",IF(A188+1&gt;'F-Ahorro Futuro Decimos'!$H$16,'F-Ahorro Futuro Decimos'!$H$16,A188+1))</f>
        <v>187</v>
      </c>
      <c r="B189" s="122">
        <f>IFERROR(IF(DAY($A189)=DAY('F-Ahorro Futuro Decimos'!$H$15),'F-Ahorro Futuro Decimos'!$H$14,0),0)</f>
        <v>0</v>
      </c>
      <c r="C189" s="122">
        <f>IF(A189='F-Ahorro Futuro Decimos'!$H$18,'F-Ahorro Futuro Decimos'!$H$20,0)</f>
        <v>0</v>
      </c>
      <c r="D189" s="122">
        <f t="shared" si="2"/>
        <v>0</v>
      </c>
      <c r="E189" s="121">
        <f>ROUND(D189*'FR_Mantenimiento tasas'!$C$48/360,5)</f>
        <v>0</v>
      </c>
      <c r="F189" s="121">
        <f>ROUND(D189*'FR_Mantenimiento tasas'!$D$48/360,5)</f>
        <v>0</v>
      </c>
    </row>
    <row r="190" spans="1:6">
      <c r="A190" s="123">
        <f>IF(OR(A189='F-Ahorro Futuro Decimos'!$H$16,A189=""),"",IF(A189+1&gt;'F-Ahorro Futuro Decimos'!$H$16,'F-Ahorro Futuro Decimos'!$H$16,A189+1))</f>
        <v>188</v>
      </c>
      <c r="B190" s="122">
        <f>IFERROR(IF(DAY($A190)=DAY('F-Ahorro Futuro Decimos'!$H$15),'F-Ahorro Futuro Decimos'!$H$14,0),0)</f>
        <v>0</v>
      </c>
      <c r="C190" s="122">
        <f>IF(A190='F-Ahorro Futuro Decimos'!$H$18,'F-Ahorro Futuro Decimos'!$H$20,0)</f>
        <v>0</v>
      </c>
      <c r="D190" s="122">
        <f t="shared" si="2"/>
        <v>0</v>
      </c>
      <c r="E190" s="121">
        <f>ROUND(D190*'FR_Mantenimiento tasas'!$C$48/360,5)</f>
        <v>0</v>
      </c>
      <c r="F190" s="121">
        <f>ROUND(D190*'FR_Mantenimiento tasas'!$D$48/360,5)</f>
        <v>0</v>
      </c>
    </row>
    <row r="191" spans="1:6">
      <c r="A191" s="123">
        <f>IF(OR(A190='F-Ahorro Futuro Decimos'!$H$16,A190=""),"",IF(A190+1&gt;'F-Ahorro Futuro Decimos'!$H$16,'F-Ahorro Futuro Decimos'!$H$16,A190+1))</f>
        <v>189</v>
      </c>
      <c r="B191" s="122">
        <f>IFERROR(IF(DAY($A191)=DAY('F-Ahorro Futuro Decimos'!$H$15),'F-Ahorro Futuro Decimos'!$H$14,0),0)</f>
        <v>0</v>
      </c>
      <c r="C191" s="122">
        <f>IF(A191='F-Ahorro Futuro Decimos'!$H$18,'F-Ahorro Futuro Decimos'!$H$20,0)</f>
        <v>0</v>
      </c>
      <c r="D191" s="122">
        <f t="shared" si="2"/>
        <v>0</v>
      </c>
      <c r="E191" s="121">
        <f>ROUND(D191*'FR_Mantenimiento tasas'!$C$48/360,5)</f>
        <v>0</v>
      </c>
      <c r="F191" s="121">
        <f>ROUND(D191*'FR_Mantenimiento tasas'!$D$48/360,5)</f>
        <v>0</v>
      </c>
    </row>
    <row r="192" spans="1:6">
      <c r="A192" s="123">
        <f>IF(OR(A191='F-Ahorro Futuro Decimos'!$H$16,A191=""),"",IF(A191+1&gt;'F-Ahorro Futuro Decimos'!$H$16,'F-Ahorro Futuro Decimos'!$H$16,A191+1))</f>
        <v>190</v>
      </c>
      <c r="B192" s="122">
        <f>IFERROR(IF(DAY($A192)=DAY('F-Ahorro Futuro Decimos'!$H$15),'F-Ahorro Futuro Decimos'!$H$14,0),0)</f>
        <v>0</v>
      </c>
      <c r="C192" s="122">
        <f>IF(A192='F-Ahorro Futuro Decimos'!$H$18,'F-Ahorro Futuro Decimos'!$H$20,0)</f>
        <v>0</v>
      </c>
      <c r="D192" s="122">
        <f t="shared" si="2"/>
        <v>0</v>
      </c>
      <c r="E192" s="121">
        <f>ROUND(D192*'FR_Mantenimiento tasas'!$C$48/360,5)</f>
        <v>0</v>
      </c>
      <c r="F192" s="121">
        <f>ROUND(D192*'FR_Mantenimiento tasas'!$D$48/360,5)</f>
        <v>0</v>
      </c>
    </row>
    <row r="193" spans="1:6">
      <c r="A193" s="123">
        <f>IF(OR(A192='F-Ahorro Futuro Decimos'!$H$16,A192=""),"",IF(A192+1&gt;'F-Ahorro Futuro Decimos'!$H$16,'F-Ahorro Futuro Decimos'!$H$16,A192+1))</f>
        <v>191</v>
      </c>
      <c r="B193" s="122">
        <f>IFERROR(IF(DAY($A193)=DAY('F-Ahorro Futuro Decimos'!$H$15),'F-Ahorro Futuro Decimos'!$H$14,0),0)</f>
        <v>0</v>
      </c>
      <c r="C193" s="122">
        <f>IF(A193='F-Ahorro Futuro Decimos'!$H$18,'F-Ahorro Futuro Decimos'!$H$20,0)</f>
        <v>0</v>
      </c>
      <c r="D193" s="122">
        <f t="shared" si="2"/>
        <v>0</v>
      </c>
      <c r="E193" s="121">
        <f>ROUND(D193*'FR_Mantenimiento tasas'!$C$48/360,5)</f>
        <v>0</v>
      </c>
      <c r="F193" s="121">
        <f>ROUND(D193*'FR_Mantenimiento tasas'!$D$48/360,5)</f>
        <v>0</v>
      </c>
    </row>
    <row r="194" spans="1:6">
      <c r="A194" s="123">
        <f>IF(OR(A193='F-Ahorro Futuro Decimos'!$H$16,A193=""),"",IF(A193+1&gt;'F-Ahorro Futuro Decimos'!$H$16,'F-Ahorro Futuro Decimos'!$H$16,A193+1))</f>
        <v>192</v>
      </c>
      <c r="B194" s="122">
        <f>IFERROR(IF(DAY($A194)=DAY('F-Ahorro Futuro Decimos'!$H$15),'F-Ahorro Futuro Decimos'!$H$14,0),0)</f>
        <v>0</v>
      </c>
      <c r="C194" s="122">
        <f>IF(A194='F-Ahorro Futuro Decimos'!$H$18,'F-Ahorro Futuro Decimos'!$H$20,0)</f>
        <v>0</v>
      </c>
      <c r="D194" s="122">
        <f t="shared" si="2"/>
        <v>0</v>
      </c>
      <c r="E194" s="121">
        <f>ROUND(D194*'FR_Mantenimiento tasas'!$C$48/360,5)</f>
        <v>0</v>
      </c>
      <c r="F194" s="121">
        <f>ROUND(D194*'FR_Mantenimiento tasas'!$D$48/360,5)</f>
        <v>0</v>
      </c>
    </row>
    <row r="195" spans="1:6">
      <c r="A195" s="123">
        <f>IF(OR(A194='F-Ahorro Futuro Decimos'!$H$16,A194=""),"",IF(A194+1&gt;'F-Ahorro Futuro Decimos'!$H$16,'F-Ahorro Futuro Decimos'!$H$16,A194+1))</f>
        <v>193</v>
      </c>
      <c r="B195" s="122">
        <f>IFERROR(IF(DAY($A195)=DAY('F-Ahorro Futuro Decimos'!$H$15),'F-Ahorro Futuro Decimos'!$H$14,0),0)</f>
        <v>0</v>
      </c>
      <c r="C195" s="122">
        <f>IF(A195='F-Ahorro Futuro Decimos'!$H$18,'F-Ahorro Futuro Decimos'!$H$20,0)</f>
        <v>0</v>
      </c>
      <c r="D195" s="122">
        <f t="shared" si="2"/>
        <v>0</v>
      </c>
      <c r="E195" s="121">
        <f>ROUND(D195*'FR_Mantenimiento tasas'!$C$48/360,5)</f>
        <v>0</v>
      </c>
      <c r="F195" s="121">
        <f>ROUND(D195*'FR_Mantenimiento tasas'!$D$48/360,5)</f>
        <v>0</v>
      </c>
    </row>
    <row r="196" spans="1:6">
      <c r="A196" s="123">
        <f>IF(OR(A195='F-Ahorro Futuro Decimos'!$H$16,A195=""),"",IF(A195+1&gt;'F-Ahorro Futuro Decimos'!$H$16,'F-Ahorro Futuro Decimos'!$H$16,A195+1))</f>
        <v>194</v>
      </c>
      <c r="B196" s="122">
        <f>IFERROR(IF(DAY($A196)=DAY('F-Ahorro Futuro Decimos'!$H$15),'F-Ahorro Futuro Decimos'!$H$14,0),0)</f>
        <v>0</v>
      </c>
      <c r="C196" s="122">
        <f>IF(A196='F-Ahorro Futuro Decimos'!$H$18,'F-Ahorro Futuro Decimos'!$H$20,0)</f>
        <v>0</v>
      </c>
      <c r="D196" s="122">
        <f t="shared" ref="D196:D259" si="3">+B196+D195+E195-C196</f>
        <v>0</v>
      </c>
      <c r="E196" s="121">
        <f>ROUND(D196*'FR_Mantenimiento tasas'!$C$48/360,5)</f>
        <v>0</v>
      </c>
      <c r="F196" s="121">
        <f>ROUND(D196*'FR_Mantenimiento tasas'!$D$48/360,5)</f>
        <v>0</v>
      </c>
    </row>
    <row r="197" spans="1:6">
      <c r="A197" s="123">
        <f>IF(OR(A196='F-Ahorro Futuro Decimos'!$H$16,A196=""),"",IF(A196+1&gt;'F-Ahorro Futuro Decimos'!$H$16,'F-Ahorro Futuro Decimos'!$H$16,A196+1))</f>
        <v>195</v>
      </c>
      <c r="B197" s="122">
        <f>IFERROR(IF(DAY($A197)=DAY('F-Ahorro Futuro Decimos'!$H$15),'F-Ahorro Futuro Decimos'!$H$14,0),0)</f>
        <v>0</v>
      </c>
      <c r="C197" s="122">
        <f>IF(A197='F-Ahorro Futuro Decimos'!$H$18,'F-Ahorro Futuro Decimos'!$H$20,0)</f>
        <v>0</v>
      </c>
      <c r="D197" s="122">
        <f t="shared" si="3"/>
        <v>0</v>
      </c>
      <c r="E197" s="121">
        <f>ROUND(D197*'FR_Mantenimiento tasas'!$C$48/360,5)</f>
        <v>0</v>
      </c>
      <c r="F197" s="121">
        <f>ROUND(D197*'FR_Mantenimiento tasas'!$D$48/360,5)</f>
        <v>0</v>
      </c>
    </row>
    <row r="198" spans="1:6">
      <c r="A198" s="123">
        <f>IF(OR(A197='F-Ahorro Futuro Decimos'!$H$16,A197=""),"",IF(A197+1&gt;'F-Ahorro Futuro Decimos'!$H$16,'F-Ahorro Futuro Decimos'!$H$16,A197+1))</f>
        <v>196</v>
      </c>
      <c r="B198" s="122">
        <f>IFERROR(IF(DAY($A198)=DAY('F-Ahorro Futuro Decimos'!$H$15),'F-Ahorro Futuro Decimos'!$H$14,0),0)</f>
        <v>0</v>
      </c>
      <c r="C198" s="122">
        <f>IF(A198='F-Ahorro Futuro Decimos'!$H$18,'F-Ahorro Futuro Decimos'!$H$20,0)</f>
        <v>0</v>
      </c>
      <c r="D198" s="122">
        <f t="shared" si="3"/>
        <v>0</v>
      </c>
      <c r="E198" s="121">
        <f>ROUND(D198*'FR_Mantenimiento tasas'!$C$48/360,5)</f>
        <v>0</v>
      </c>
      <c r="F198" s="121">
        <f>ROUND(D198*'FR_Mantenimiento tasas'!$D$48/360,5)</f>
        <v>0</v>
      </c>
    </row>
    <row r="199" spans="1:6">
      <c r="A199" s="123">
        <f>IF(OR(A198='F-Ahorro Futuro Decimos'!$H$16,A198=""),"",IF(A198+1&gt;'F-Ahorro Futuro Decimos'!$H$16,'F-Ahorro Futuro Decimos'!$H$16,A198+1))</f>
        <v>197</v>
      </c>
      <c r="B199" s="122">
        <f>IFERROR(IF(DAY($A199)=DAY('F-Ahorro Futuro Decimos'!$H$15),'F-Ahorro Futuro Decimos'!$H$14,0),0)</f>
        <v>0</v>
      </c>
      <c r="C199" s="122">
        <f>IF(A199='F-Ahorro Futuro Decimos'!$H$18,'F-Ahorro Futuro Decimos'!$H$20,0)</f>
        <v>0</v>
      </c>
      <c r="D199" s="122">
        <f t="shared" si="3"/>
        <v>0</v>
      </c>
      <c r="E199" s="121">
        <f>ROUND(D199*'FR_Mantenimiento tasas'!$C$48/360,5)</f>
        <v>0</v>
      </c>
      <c r="F199" s="121">
        <f>ROUND(D199*'FR_Mantenimiento tasas'!$D$48/360,5)</f>
        <v>0</v>
      </c>
    </row>
    <row r="200" spans="1:6">
      <c r="A200" s="123">
        <f>IF(OR(A199='F-Ahorro Futuro Decimos'!$H$16,A199=""),"",IF(A199+1&gt;'F-Ahorro Futuro Decimos'!$H$16,'F-Ahorro Futuro Decimos'!$H$16,A199+1))</f>
        <v>198</v>
      </c>
      <c r="B200" s="122">
        <f>IFERROR(IF(DAY($A200)=DAY('F-Ahorro Futuro Decimos'!$H$15),'F-Ahorro Futuro Decimos'!$H$14,0),0)</f>
        <v>0</v>
      </c>
      <c r="C200" s="122">
        <f>IF(A200='F-Ahorro Futuro Decimos'!$H$18,'F-Ahorro Futuro Decimos'!$H$20,0)</f>
        <v>0</v>
      </c>
      <c r="D200" s="122">
        <f t="shared" si="3"/>
        <v>0</v>
      </c>
      <c r="E200" s="121">
        <f>ROUND(D200*'FR_Mantenimiento tasas'!$C$48/360,5)</f>
        <v>0</v>
      </c>
      <c r="F200" s="121">
        <f>ROUND(D200*'FR_Mantenimiento tasas'!$D$48/360,5)</f>
        <v>0</v>
      </c>
    </row>
    <row r="201" spans="1:6">
      <c r="A201" s="123">
        <f>IF(OR(A200='F-Ahorro Futuro Decimos'!$H$16,A200=""),"",IF(A200+1&gt;'F-Ahorro Futuro Decimos'!$H$16,'F-Ahorro Futuro Decimos'!$H$16,A200+1))</f>
        <v>199</v>
      </c>
      <c r="B201" s="122">
        <f>IFERROR(IF(DAY($A201)=DAY('F-Ahorro Futuro Decimos'!$H$15),'F-Ahorro Futuro Decimos'!$H$14,0),0)</f>
        <v>0</v>
      </c>
      <c r="C201" s="122">
        <f>IF(A201='F-Ahorro Futuro Decimos'!$H$18,'F-Ahorro Futuro Decimos'!$H$20,0)</f>
        <v>0</v>
      </c>
      <c r="D201" s="122">
        <f t="shared" si="3"/>
        <v>0</v>
      </c>
      <c r="E201" s="121">
        <f>ROUND(D201*'FR_Mantenimiento tasas'!$C$48/360,5)</f>
        <v>0</v>
      </c>
      <c r="F201" s="121">
        <f>ROUND(D201*'FR_Mantenimiento tasas'!$D$48/360,5)</f>
        <v>0</v>
      </c>
    </row>
    <row r="202" spans="1:6">
      <c r="A202" s="123">
        <f>IF(OR(A201='F-Ahorro Futuro Decimos'!$H$16,A201=""),"",IF(A201+1&gt;'F-Ahorro Futuro Decimos'!$H$16,'F-Ahorro Futuro Decimos'!$H$16,A201+1))</f>
        <v>200</v>
      </c>
      <c r="B202" s="122">
        <f>IFERROR(IF(DAY($A202)=DAY('F-Ahorro Futuro Decimos'!$H$15),'F-Ahorro Futuro Decimos'!$H$14,0),0)</f>
        <v>0</v>
      </c>
      <c r="C202" s="122">
        <f>IF(A202='F-Ahorro Futuro Decimos'!$H$18,'F-Ahorro Futuro Decimos'!$H$20,0)</f>
        <v>0</v>
      </c>
      <c r="D202" s="122">
        <f t="shared" si="3"/>
        <v>0</v>
      </c>
      <c r="E202" s="121">
        <f>ROUND(D202*'FR_Mantenimiento tasas'!$C$48/360,5)</f>
        <v>0</v>
      </c>
      <c r="F202" s="121">
        <f>ROUND(D202*'FR_Mantenimiento tasas'!$D$48/360,5)</f>
        <v>0</v>
      </c>
    </row>
    <row r="203" spans="1:6">
      <c r="A203" s="123">
        <f>IF(OR(A202='F-Ahorro Futuro Decimos'!$H$16,A202=""),"",IF(A202+1&gt;'F-Ahorro Futuro Decimos'!$H$16,'F-Ahorro Futuro Decimos'!$H$16,A202+1))</f>
        <v>201</v>
      </c>
      <c r="B203" s="122">
        <f>IFERROR(IF(DAY($A203)=DAY('F-Ahorro Futuro Decimos'!$H$15),'F-Ahorro Futuro Decimos'!$H$14,0),0)</f>
        <v>0</v>
      </c>
      <c r="C203" s="122">
        <f>IF(A203='F-Ahorro Futuro Decimos'!$H$18,'F-Ahorro Futuro Decimos'!$H$20,0)</f>
        <v>0</v>
      </c>
      <c r="D203" s="122">
        <f t="shared" si="3"/>
        <v>0</v>
      </c>
      <c r="E203" s="121">
        <f>ROUND(D203*'FR_Mantenimiento tasas'!$C$48/360,5)</f>
        <v>0</v>
      </c>
      <c r="F203" s="121">
        <f>ROUND(D203*'FR_Mantenimiento tasas'!$D$48/360,5)</f>
        <v>0</v>
      </c>
    </row>
    <row r="204" spans="1:6">
      <c r="A204" s="123">
        <f>IF(OR(A203='F-Ahorro Futuro Decimos'!$H$16,A203=""),"",IF(A203+1&gt;'F-Ahorro Futuro Decimos'!$H$16,'F-Ahorro Futuro Decimos'!$H$16,A203+1))</f>
        <v>202</v>
      </c>
      <c r="B204" s="122">
        <f>IFERROR(IF(DAY($A204)=DAY('F-Ahorro Futuro Decimos'!$H$15),'F-Ahorro Futuro Decimos'!$H$14,0),0)</f>
        <v>0</v>
      </c>
      <c r="C204" s="122">
        <f>IF(A204='F-Ahorro Futuro Decimos'!$H$18,'F-Ahorro Futuro Decimos'!$H$20,0)</f>
        <v>0</v>
      </c>
      <c r="D204" s="122">
        <f t="shared" si="3"/>
        <v>0</v>
      </c>
      <c r="E204" s="121">
        <f>ROUND(D204*'FR_Mantenimiento tasas'!$C$48/360,5)</f>
        <v>0</v>
      </c>
      <c r="F204" s="121">
        <f>ROUND(D204*'FR_Mantenimiento tasas'!$D$48/360,5)</f>
        <v>0</v>
      </c>
    </row>
    <row r="205" spans="1:6">
      <c r="A205" s="123">
        <f>IF(OR(A204='F-Ahorro Futuro Decimos'!$H$16,A204=""),"",IF(A204+1&gt;'F-Ahorro Futuro Decimos'!$H$16,'F-Ahorro Futuro Decimos'!$H$16,A204+1))</f>
        <v>203</v>
      </c>
      <c r="B205" s="122">
        <f>IFERROR(IF(DAY($A205)=DAY('F-Ahorro Futuro Decimos'!$H$15),'F-Ahorro Futuro Decimos'!$H$14,0),0)</f>
        <v>0</v>
      </c>
      <c r="C205" s="122">
        <f>IF(A205='F-Ahorro Futuro Decimos'!$H$18,'F-Ahorro Futuro Decimos'!$H$20,0)</f>
        <v>0</v>
      </c>
      <c r="D205" s="122">
        <f t="shared" si="3"/>
        <v>0</v>
      </c>
      <c r="E205" s="121">
        <f>ROUND(D205*'FR_Mantenimiento tasas'!$C$48/360,5)</f>
        <v>0</v>
      </c>
      <c r="F205" s="121">
        <f>ROUND(D205*'FR_Mantenimiento tasas'!$D$48/360,5)</f>
        <v>0</v>
      </c>
    </row>
    <row r="206" spans="1:6">
      <c r="A206" s="123">
        <f>IF(OR(A205='F-Ahorro Futuro Decimos'!$H$16,A205=""),"",IF(A205+1&gt;'F-Ahorro Futuro Decimos'!$H$16,'F-Ahorro Futuro Decimos'!$H$16,A205+1))</f>
        <v>204</v>
      </c>
      <c r="B206" s="122">
        <f>IFERROR(IF(DAY($A206)=DAY('F-Ahorro Futuro Decimos'!$H$15),'F-Ahorro Futuro Decimos'!$H$14,0),0)</f>
        <v>0</v>
      </c>
      <c r="C206" s="122">
        <f>IF(A206='F-Ahorro Futuro Decimos'!$H$18,'F-Ahorro Futuro Decimos'!$H$20,0)</f>
        <v>0</v>
      </c>
      <c r="D206" s="122">
        <f t="shared" si="3"/>
        <v>0</v>
      </c>
      <c r="E206" s="121">
        <f>ROUND(D206*'FR_Mantenimiento tasas'!$C$48/360,5)</f>
        <v>0</v>
      </c>
      <c r="F206" s="121">
        <f>ROUND(D206*'FR_Mantenimiento tasas'!$D$48/360,5)</f>
        <v>0</v>
      </c>
    </row>
    <row r="207" spans="1:6">
      <c r="A207" s="123">
        <f>IF(OR(A206='F-Ahorro Futuro Decimos'!$H$16,A206=""),"",IF(A206+1&gt;'F-Ahorro Futuro Decimos'!$H$16,'F-Ahorro Futuro Decimos'!$H$16,A206+1))</f>
        <v>205</v>
      </c>
      <c r="B207" s="122">
        <f>IFERROR(IF(DAY($A207)=DAY('F-Ahorro Futuro Decimos'!$H$15),'F-Ahorro Futuro Decimos'!$H$14,0),0)</f>
        <v>0</v>
      </c>
      <c r="C207" s="122">
        <f>IF(A207='F-Ahorro Futuro Decimos'!$H$18,'F-Ahorro Futuro Decimos'!$H$20,0)</f>
        <v>0</v>
      </c>
      <c r="D207" s="122">
        <f t="shared" si="3"/>
        <v>0</v>
      </c>
      <c r="E207" s="121">
        <f>ROUND(D207*'FR_Mantenimiento tasas'!$C$48/360,5)</f>
        <v>0</v>
      </c>
      <c r="F207" s="121">
        <f>ROUND(D207*'FR_Mantenimiento tasas'!$D$48/360,5)</f>
        <v>0</v>
      </c>
    </row>
    <row r="208" spans="1:6">
      <c r="A208" s="123">
        <f>IF(OR(A207='F-Ahorro Futuro Decimos'!$H$16,A207=""),"",IF(A207+1&gt;'F-Ahorro Futuro Decimos'!$H$16,'F-Ahorro Futuro Decimos'!$H$16,A207+1))</f>
        <v>206</v>
      </c>
      <c r="B208" s="122">
        <f>IFERROR(IF(DAY($A208)=DAY('F-Ahorro Futuro Decimos'!$H$15),'F-Ahorro Futuro Decimos'!$H$14,0),0)</f>
        <v>0</v>
      </c>
      <c r="C208" s="122">
        <f>IF(A208='F-Ahorro Futuro Decimos'!$H$18,'F-Ahorro Futuro Decimos'!$H$20,0)</f>
        <v>0</v>
      </c>
      <c r="D208" s="122">
        <f t="shared" si="3"/>
        <v>0</v>
      </c>
      <c r="E208" s="121">
        <f>ROUND(D208*'FR_Mantenimiento tasas'!$C$48/360,5)</f>
        <v>0</v>
      </c>
      <c r="F208" s="121">
        <f>ROUND(D208*'FR_Mantenimiento tasas'!$D$48/360,5)</f>
        <v>0</v>
      </c>
    </row>
    <row r="209" spans="1:6">
      <c r="A209" s="123">
        <f>IF(OR(A208='F-Ahorro Futuro Decimos'!$H$16,A208=""),"",IF(A208+1&gt;'F-Ahorro Futuro Decimos'!$H$16,'F-Ahorro Futuro Decimos'!$H$16,A208+1))</f>
        <v>207</v>
      </c>
      <c r="B209" s="122">
        <f>IFERROR(IF(DAY($A209)=DAY('F-Ahorro Futuro Decimos'!$H$15),'F-Ahorro Futuro Decimos'!$H$14,0),0)</f>
        <v>0</v>
      </c>
      <c r="C209" s="122">
        <f>IF(A209='F-Ahorro Futuro Decimos'!$H$18,'F-Ahorro Futuro Decimos'!$H$20,0)</f>
        <v>0</v>
      </c>
      <c r="D209" s="122">
        <f t="shared" si="3"/>
        <v>0</v>
      </c>
      <c r="E209" s="121">
        <f>ROUND(D209*'FR_Mantenimiento tasas'!$C$48/360,5)</f>
        <v>0</v>
      </c>
      <c r="F209" s="121">
        <f>ROUND(D209*'FR_Mantenimiento tasas'!$D$48/360,5)</f>
        <v>0</v>
      </c>
    </row>
    <row r="210" spans="1:6">
      <c r="A210" s="123">
        <f>IF(OR(A209='F-Ahorro Futuro Decimos'!$H$16,A209=""),"",IF(A209+1&gt;'F-Ahorro Futuro Decimos'!$H$16,'F-Ahorro Futuro Decimos'!$H$16,A209+1))</f>
        <v>208</v>
      </c>
      <c r="B210" s="122">
        <f>IFERROR(IF(DAY($A210)=DAY('F-Ahorro Futuro Decimos'!$H$15),'F-Ahorro Futuro Decimos'!$H$14,0),0)</f>
        <v>0</v>
      </c>
      <c r="C210" s="122">
        <f>IF(A210='F-Ahorro Futuro Decimos'!$H$18,'F-Ahorro Futuro Decimos'!$H$20,0)</f>
        <v>0</v>
      </c>
      <c r="D210" s="122">
        <f t="shared" si="3"/>
        <v>0</v>
      </c>
      <c r="E210" s="121">
        <f>ROUND(D210*'FR_Mantenimiento tasas'!$C$48/360,5)</f>
        <v>0</v>
      </c>
      <c r="F210" s="121">
        <f>ROUND(D210*'FR_Mantenimiento tasas'!$D$48/360,5)</f>
        <v>0</v>
      </c>
    </row>
    <row r="211" spans="1:6">
      <c r="A211" s="123">
        <f>IF(OR(A210='F-Ahorro Futuro Decimos'!$H$16,A210=""),"",IF(A210+1&gt;'F-Ahorro Futuro Decimos'!$H$16,'F-Ahorro Futuro Decimos'!$H$16,A210+1))</f>
        <v>209</v>
      </c>
      <c r="B211" s="122">
        <f>IFERROR(IF(DAY($A211)=DAY('F-Ahorro Futuro Decimos'!$H$15),'F-Ahorro Futuro Decimos'!$H$14,0),0)</f>
        <v>0</v>
      </c>
      <c r="C211" s="122">
        <f>IF(A211='F-Ahorro Futuro Decimos'!$H$18,'F-Ahorro Futuro Decimos'!$H$20,0)</f>
        <v>0</v>
      </c>
      <c r="D211" s="122">
        <f t="shared" si="3"/>
        <v>0</v>
      </c>
      <c r="E211" s="121">
        <f>ROUND(D211*'FR_Mantenimiento tasas'!$C$48/360,5)</f>
        <v>0</v>
      </c>
      <c r="F211" s="121">
        <f>ROUND(D211*'FR_Mantenimiento tasas'!$D$48/360,5)</f>
        <v>0</v>
      </c>
    </row>
    <row r="212" spans="1:6">
      <c r="A212" s="123">
        <f>IF(OR(A211='F-Ahorro Futuro Decimos'!$H$16,A211=""),"",IF(A211+1&gt;'F-Ahorro Futuro Decimos'!$H$16,'F-Ahorro Futuro Decimos'!$H$16,A211+1))</f>
        <v>210</v>
      </c>
      <c r="B212" s="122">
        <f>IFERROR(IF(DAY($A212)=DAY('F-Ahorro Futuro Decimos'!$H$15),'F-Ahorro Futuro Decimos'!$H$14,0),0)</f>
        <v>0</v>
      </c>
      <c r="C212" s="122">
        <f>IF(A212='F-Ahorro Futuro Decimos'!$H$18,'F-Ahorro Futuro Decimos'!$H$20,0)</f>
        <v>0</v>
      </c>
      <c r="D212" s="122">
        <f t="shared" si="3"/>
        <v>0</v>
      </c>
      <c r="E212" s="121">
        <f>ROUND(D212*'FR_Mantenimiento tasas'!$C$48/360,5)</f>
        <v>0</v>
      </c>
      <c r="F212" s="121">
        <f>ROUND(D212*'FR_Mantenimiento tasas'!$D$48/360,5)</f>
        <v>0</v>
      </c>
    </row>
    <row r="213" spans="1:6">
      <c r="A213" s="123">
        <f>IF(OR(A212='F-Ahorro Futuro Decimos'!$H$16,A212=""),"",IF(A212+1&gt;'F-Ahorro Futuro Decimos'!$H$16,'F-Ahorro Futuro Decimos'!$H$16,A212+1))</f>
        <v>211</v>
      </c>
      <c r="B213" s="122">
        <f>IFERROR(IF(DAY($A213)=DAY('F-Ahorro Futuro Decimos'!$H$15),'F-Ahorro Futuro Decimos'!$H$14,0),0)</f>
        <v>0</v>
      </c>
      <c r="C213" s="122">
        <f>IF(A213='F-Ahorro Futuro Decimos'!$H$18,'F-Ahorro Futuro Decimos'!$H$20,0)</f>
        <v>0</v>
      </c>
      <c r="D213" s="122">
        <f t="shared" si="3"/>
        <v>0</v>
      </c>
      <c r="E213" s="121">
        <f>ROUND(D213*'FR_Mantenimiento tasas'!$C$48/360,5)</f>
        <v>0</v>
      </c>
      <c r="F213" s="121">
        <f>ROUND(D213*'FR_Mantenimiento tasas'!$D$48/360,5)</f>
        <v>0</v>
      </c>
    </row>
    <row r="214" spans="1:6">
      <c r="A214" s="123">
        <f>IF(OR(A213='F-Ahorro Futuro Decimos'!$H$16,A213=""),"",IF(A213+1&gt;'F-Ahorro Futuro Decimos'!$H$16,'F-Ahorro Futuro Decimos'!$H$16,A213+1))</f>
        <v>212</v>
      </c>
      <c r="B214" s="122">
        <f>IFERROR(IF(DAY($A214)=DAY('F-Ahorro Futuro Decimos'!$H$15),'F-Ahorro Futuro Decimos'!$H$14,0),0)</f>
        <v>0</v>
      </c>
      <c r="C214" s="122">
        <f>IF(A214='F-Ahorro Futuro Decimos'!$H$18,'F-Ahorro Futuro Decimos'!$H$20,0)</f>
        <v>0</v>
      </c>
      <c r="D214" s="122">
        <f t="shared" si="3"/>
        <v>0</v>
      </c>
      <c r="E214" s="121">
        <f>ROUND(D214*'FR_Mantenimiento tasas'!$C$48/360,5)</f>
        <v>0</v>
      </c>
      <c r="F214" s="121">
        <f>ROUND(D214*'FR_Mantenimiento tasas'!$D$48/360,5)</f>
        <v>0</v>
      </c>
    </row>
    <row r="215" spans="1:6">
      <c r="A215" s="123">
        <f>IF(OR(A214='F-Ahorro Futuro Decimos'!$H$16,A214=""),"",IF(A214+1&gt;'F-Ahorro Futuro Decimos'!$H$16,'F-Ahorro Futuro Decimos'!$H$16,A214+1))</f>
        <v>213</v>
      </c>
      <c r="B215" s="122">
        <f>IFERROR(IF(DAY($A215)=DAY('F-Ahorro Futuro Decimos'!$H$15),'F-Ahorro Futuro Decimos'!$H$14,0),0)</f>
        <v>0</v>
      </c>
      <c r="C215" s="122">
        <f>IF(A215='F-Ahorro Futuro Decimos'!$H$18,'F-Ahorro Futuro Decimos'!$H$20,0)</f>
        <v>0</v>
      </c>
      <c r="D215" s="122">
        <f t="shared" si="3"/>
        <v>0</v>
      </c>
      <c r="E215" s="121">
        <f>ROUND(D215*'FR_Mantenimiento tasas'!$C$48/360,5)</f>
        <v>0</v>
      </c>
      <c r="F215" s="121">
        <f>ROUND(D215*'FR_Mantenimiento tasas'!$D$48/360,5)</f>
        <v>0</v>
      </c>
    </row>
    <row r="216" spans="1:6">
      <c r="A216" s="123">
        <f>IF(OR(A215='F-Ahorro Futuro Decimos'!$H$16,A215=""),"",IF(A215+1&gt;'F-Ahorro Futuro Decimos'!$H$16,'F-Ahorro Futuro Decimos'!$H$16,A215+1))</f>
        <v>214</v>
      </c>
      <c r="B216" s="122">
        <f>IFERROR(IF(DAY($A216)=DAY('F-Ahorro Futuro Decimos'!$H$15),'F-Ahorro Futuro Decimos'!$H$14,0),0)</f>
        <v>0</v>
      </c>
      <c r="C216" s="122">
        <f>IF(A216='F-Ahorro Futuro Decimos'!$H$18,'F-Ahorro Futuro Decimos'!$H$20,0)</f>
        <v>0</v>
      </c>
      <c r="D216" s="122">
        <f t="shared" si="3"/>
        <v>0</v>
      </c>
      <c r="E216" s="121">
        <f>ROUND(D216*'FR_Mantenimiento tasas'!$C$48/360,5)</f>
        <v>0</v>
      </c>
      <c r="F216" s="121">
        <f>ROUND(D216*'FR_Mantenimiento tasas'!$D$48/360,5)</f>
        <v>0</v>
      </c>
    </row>
    <row r="217" spans="1:6">
      <c r="A217" s="123">
        <f>IF(OR(A216='F-Ahorro Futuro Decimos'!$H$16,A216=""),"",IF(A216+1&gt;'F-Ahorro Futuro Decimos'!$H$16,'F-Ahorro Futuro Decimos'!$H$16,A216+1))</f>
        <v>215</v>
      </c>
      <c r="B217" s="122">
        <f>IFERROR(IF(DAY($A217)=DAY('F-Ahorro Futuro Decimos'!$H$15),'F-Ahorro Futuro Decimos'!$H$14,0),0)</f>
        <v>0</v>
      </c>
      <c r="C217" s="122">
        <f>IF(A217='F-Ahorro Futuro Decimos'!$H$18,'F-Ahorro Futuro Decimos'!$H$20,0)</f>
        <v>0</v>
      </c>
      <c r="D217" s="122">
        <f t="shared" si="3"/>
        <v>0</v>
      </c>
      <c r="E217" s="121">
        <f>ROUND(D217*'FR_Mantenimiento tasas'!$C$48/360,5)</f>
        <v>0</v>
      </c>
      <c r="F217" s="121">
        <f>ROUND(D217*'FR_Mantenimiento tasas'!$D$48/360,5)</f>
        <v>0</v>
      </c>
    </row>
    <row r="218" spans="1:6">
      <c r="A218" s="123">
        <f>IF(OR(A217='F-Ahorro Futuro Decimos'!$H$16,A217=""),"",IF(A217+1&gt;'F-Ahorro Futuro Decimos'!$H$16,'F-Ahorro Futuro Decimos'!$H$16,A217+1))</f>
        <v>216</v>
      </c>
      <c r="B218" s="122">
        <f>IFERROR(IF(DAY($A218)=DAY('F-Ahorro Futuro Decimos'!$H$15),'F-Ahorro Futuro Decimos'!$H$14,0),0)</f>
        <v>0</v>
      </c>
      <c r="C218" s="122">
        <f>IF(A218='F-Ahorro Futuro Decimos'!$H$18,'F-Ahorro Futuro Decimos'!$H$20,0)</f>
        <v>0</v>
      </c>
      <c r="D218" s="122">
        <f t="shared" si="3"/>
        <v>0</v>
      </c>
      <c r="E218" s="121">
        <f>ROUND(D218*'FR_Mantenimiento tasas'!$C$48/360,5)</f>
        <v>0</v>
      </c>
      <c r="F218" s="121">
        <f>ROUND(D218*'FR_Mantenimiento tasas'!$D$48/360,5)</f>
        <v>0</v>
      </c>
    </row>
    <row r="219" spans="1:6">
      <c r="A219" s="123">
        <f>IF(OR(A218='F-Ahorro Futuro Decimos'!$H$16,A218=""),"",IF(A218+1&gt;'F-Ahorro Futuro Decimos'!$H$16,'F-Ahorro Futuro Decimos'!$H$16,A218+1))</f>
        <v>217</v>
      </c>
      <c r="B219" s="122">
        <f>IFERROR(IF(DAY($A219)=DAY('F-Ahorro Futuro Decimos'!$H$15),'F-Ahorro Futuro Decimos'!$H$14,0),0)</f>
        <v>0</v>
      </c>
      <c r="C219" s="122">
        <f>IF(A219='F-Ahorro Futuro Decimos'!$H$18,'F-Ahorro Futuro Decimos'!$H$20,0)</f>
        <v>0</v>
      </c>
      <c r="D219" s="122">
        <f t="shared" si="3"/>
        <v>0</v>
      </c>
      <c r="E219" s="121">
        <f>ROUND(D219*'FR_Mantenimiento tasas'!$C$48/360,5)</f>
        <v>0</v>
      </c>
      <c r="F219" s="121">
        <f>ROUND(D219*'FR_Mantenimiento tasas'!$D$48/360,5)</f>
        <v>0</v>
      </c>
    </row>
    <row r="220" spans="1:6">
      <c r="A220" s="123">
        <f>IF(OR(A219='F-Ahorro Futuro Decimos'!$H$16,A219=""),"",IF(A219+1&gt;'F-Ahorro Futuro Decimos'!$H$16,'F-Ahorro Futuro Decimos'!$H$16,A219+1))</f>
        <v>218</v>
      </c>
      <c r="B220" s="122">
        <f>IFERROR(IF(DAY($A220)=DAY('F-Ahorro Futuro Decimos'!$H$15),'F-Ahorro Futuro Decimos'!$H$14,0),0)</f>
        <v>0</v>
      </c>
      <c r="C220" s="122">
        <f>IF(A220='F-Ahorro Futuro Decimos'!$H$18,'F-Ahorro Futuro Decimos'!$H$20,0)</f>
        <v>0</v>
      </c>
      <c r="D220" s="122">
        <f t="shared" si="3"/>
        <v>0</v>
      </c>
      <c r="E220" s="121">
        <f>ROUND(D220*'FR_Mantenimiento tasas'!$C$48/360,5)</f>
        <v>0</v>
      </c>
      <c r="F220" s="121">
        <f>ROUND(D220*'FR_Mantenimiento tasas'!$D$48/360,5)</f>
        <v>0</v>
      </c>
    </row>
    <row r="221" spans="1:6">
      <c r="A221" s="123">
        <f>IF(OR(A220='F-Ahorro Futuro Decimos'!$H$16,A220=""),"",IF(A220+1&gt;'F-Ahorro Futuro Decimos'!$H$16,'F-Ahorro Futuro Decimos'!$H$16,A220+1))</f>
        <v>219</v>
      </c>
      <c r="B221" s="122">
        <f>IFERROR(IF(DAY($A221)=DAY('F-Ahorro Futuro Decimos'!$H$15),'F-Ahorro Futuro Decimos'!$H$14,0),0)</f>
        <v>0</v>
      </c>
      <c r="C221" s="122">
        <f>IF(A221='F-Ahorro Futuro Decimos'!$H$18,'F-Ahorro Futuro Decimos'!$H$20,0)</f>
        <v>0</v>
      </c>
      <c r="D221" s="122">
        <f t="shared" si="3"/>
        <v>0</v>
      </c>
      <c r="E221" s="121">
        <f>ROUND(D221*'FR_Mantenimiento tasas'!$C$48/360,5)</f>
        <v>0</v>
      </c>
      <c r="F221" s="121">
        <f>ROUND(D221*'FR_Mantenimiento tasas'!$D$48/360,5)</f>
        <v>0</v>
      </c>
    </row>
    <row r="222" spans="1:6">
      <c r="A222" s="123">
        <f>IF(OR(A221='F-Ahorro Futuro Decimos'!$H$16,A221=""),"",IF(A221+1&gt;'F-Ahorro Futuro Decimos'!$H$16,'F-Ahorro Futuro Decimos'!$H$16,A221+1))</f>
        <v>220</v>
      </c>
      <c r="B222" s="122">
        <f>IFERROR(IF(DAY($A222)=DAY('F-Ahorro Futuro Decimos'!$H$15),'F-Ahorro Futuro Decimos'!$H$14,0),0)</f>
        <v>0</v>
      </c>
      <c r="C222" s="122">
        <f>IF(A222='F-Ahorro Futuro Decimos'!$H$18,'F-Ahorro Futuro Decimos'!$H$20,0)</f>
        <v>0</v>
      </c>
      <c r="D222" s="122">
        <f t="shared" si="3"/>
        <v>0</v>
      </c>
      <c r="E222" s="121">
        <f>ROUND(D222*'FR_Mantenimiento tasas'!$C$48/360,5)</f>
        <v>0</v>
      </c>
      <c r="F222" s="121">
        <f>ROUND(D222*'FR_Mantenimiento tasas'!$D$48/360,5)</f>
        <v>0</v>
      </c>
    </row>
    <row r="223" spans="1:6">
      <c r="A223" s="123">
        <f>IF(OR(A222='F-Ahorro Futuro Decimos'!$H$16,A222=""),"",IF(A222+1&gt;'F-Ahorro Futuro Decimos'!$H$16,'F-Ahorro Futuro Decimos'!$H$16,A222+1))</f>
        <v>221</v>
      </c>
      <c r="B223" s="122">
        <f>IFERROR(IF(DAY($A223)=DAY('F-Ahorro Futuro Decimos'!$H$15),'F-Ahorro Futuro Decimos'!$H$14,0),0)</f>
        <v>0</v>
      </c>
      <c r="C223" s="122">
        <f>IF(A223='F-Ahorro Futuro Decimos'!$H$18,'F-Ahorro Futuro Decimos'!$H$20,0)</f>
        <v>0</v>
      </c>
      <c r="D223" s="122">
        <f t="shared" si="3"/>
        <v>0</v>
      </c>
      <c r="E223" s="121">
        <f>ROUND(D223*'FR_Mantenimiento tasas'!$C$48/360,5)</f>
        <v>0</v>
      </c>
      <c r="F223" s="121">
        <f>ROUND(D223*'FR_Mantenimiento tasas'!$D$48/360,5)</f>
        <v>0</v>
      </c>
    </row>
    <row r="224" spans="1:6">
      <c r="A224" s="123">
        <f>IF(OR(A223='F-Ahorro Futuro Decimos'!$H$16,A223=""),"",IF(A223+1&gt;'F-Ahorro Futuro Decimos'!$H$16,'F-Ahorro Futuro Decimos'!$H$16,A223+1))</f>
        <v>222</v>
      </c>
      <c r="B224" s="122">
        <f>IFERROR(IF(DAY($A224)=DAY('F-Ahorro Futuro Decimos'!$H$15),'F-Ahorro Futuro Decimos'!$H$14,0),0)</f>
        <v>0</v>
      </c>
      <c r="C224" s="122">
        <f>IF(A224='F-Ahorro Futuro Decimos'!$H$18,'F-Ahorro Futuro Decimos'!$H$20,0)</f>
        <v>0</v>
      </c>
      <c r="D224" s="122">
        <f t="shared" si="3"/>
        <v>0</v>
      </c>
      <c r="E224" s="121">
        <f>ROUND(D224*'FR_Mantenimiento tasas'!$C$48/360,5)</f>
        <v>0</v>
      </c>
      <c r="F224" s="121">
        <f>ROUND(D224*'FR_Mantenimiento tasas'!$D$48/360,5)</f>
        <v>0</v>
      </c>
    </row>
    <row r="225" spans="1:6">
      <c r="A225" s="123">
        <f>IF(OR(A224='F-Ahorro Futuro Decimos'!$H$16,A224=""),"",IF(A224+1&gt;'F-Ahorro Futuro Decimos'!$H$16,'F-Ahorro Futuro Decimos'!$H$16,A224+1))</f>
        <v>223</v>
      </c>
      <c r="B225" s="122">
        <f>IFERROR(IF(DAY($A225)=DAY('F-Ahorro Futuro Decimos'!$H$15),'F-Ahorro Futuro Decimos'!$H$14,0),0)</f>
        <v>0</v>
      </c>
      <c r="C225" s="122">
        <f>IF(A225='F-Ahorro Futuro Decimos'!$H$18,'F-Ahorro Futuro Decimos'!$H$20,0)</f>
        <v>0</v>
      </c>
      <c r="D225" s="122">
        <f t="shared" si="3"/>
        <v>0</v>
      </c>
      <c r="E225" s="121">
        <f>ROUND(D225*'FR_Mantenimiento tasas'!$C$48/360,5)</f>
        <v>0</v>
      </c>
      <c r="F225" s="121">
        <f>ROUND(D225*'FR_Mantenimiento tasas'!$D$48/360,5)</f>
        <v>0</v>
      </c>
    </row>
    <row r="226" spans="1:6">
      <c r="A226" s="123">
        <f>IF(OR(A225='F-Ahorro Futuro Decimos'!$H$16,A225=""),"",IF(A225+1&gt;'F-Ahorro Futuro Decimos'!$H$16,'F-Ahorro Futuro Decimos'!$H$16,A225+1))</f>
        <v>224</v>
      </c>
      <c r="B226" s="122">
        <f>IFERROR(IF(DAY($A226)=DAY('F-Ahorro Futuro Decimos'!$H$15),'F-Ahorro Futuro Decimos'!$H$14,0),0)</f>
        <v>0</v>
      </c>
      <c r="C226" s="122">
        <f>IF(A226='F-Ahorro Futuro Decimos'!$H$18,'F-Ahorro Futuro Decimos'!$H$20,0)</f>
        <v>0</v>
      </c>
      <c r="D226" s="122">
        <f t="shared" si="3"/>
        <v>0</v>
      </c>
      <c r="E226" s="121">
        <f>ROUND(D226*'FR_Mantenimiento tasas'!$C$48/360,5)</f>
        <v>0</v>
      </c>
      <c r="F226" s="121">
        <f>ROUND(D226*'FR_Mantenimiento tasas'!$D$48/360,5)</f>
        <v>0</v>
      </c>
    </row>
    <row r="227" spans="1:6">
      <c r="A227" s="123">
        <f>IF(OR(A226='F-Ahorro Futuro Decimos'!$H$16,A226=""),"",IF(A226+1&gt;'F-Ahorro Futuro Decimos'!$H$16,'F-Ahorro Futuro Decimos'!$H$16,A226+1))</f>
        <v>225</v>
      </c>
      <c r="B227" s="122">
        <f>IFERROR(IF(DAY($A227)=DAY('F-Ahorro Futuro Decimos'!$H$15),'F-Ahorro Futuro Decimos'!$H$14,0),0)</f>
        <v>0</v>
      </c>
      <c r="C227" s="122">
        <f>IF(A227='F-Ahorro Futuro Decimos'!$H$18,'F-Ahorro Futuro Decimos'!$H$20,0)</f>
        <v>0</v>
      </c>
      <c r="D227" s="122">
        <f t="shared" si="3"/>
        <v>0</v>
      </c>
      <c r="E227" s="121">
        <f>ROUND(D227*'FR_Mantenimiento tasas'!$C$48/360,5)</f>
        <v>0</v>
      </c>
      <c r="F227" s="121">
        <f>ROUND(D227*'FR_Mantenimiento tasas'!$D$48/360,5)</f>
        <v>0</v>
      </c>
    </row>
    <row r="228" spans="1:6">
      <c r="A228" s="123">
        <f>IF(OR(A227='F-Ahorro Futuro Decimos'!$H$16,A227=""),"",IF(A227+1&gt;'F-Ahorro Futuro Decimos'!$H$16,'F-Ahorro Futuro Decimos'!$H$16,A227+1))</f>
        <v>226</v>
      </c>
      <c r="B228" s="122">
        <f>IFERROR(IF(DAY($A228)=DAY('F-Ahorro Futuro Decimos'!$H$15),'F-Ahorro Futuro Decimos'!$H$14,0),0)</f>
        <v>0</v>
      </c>
      <c r="C228" s="122">
        <f>IF(A228='F-Ahorro Futuro Decimos'!$H$18,'F-Ahorro Futuro Decimos'!$H$20,0)</f>
        <v>0</v>
      </c>
      <c r="D228" s="122">
        <f t="shared" si="3"/>
        <v>0</v>
      </c>
      <c r="E228" s="121">
        <f>ROUND(D228*'FR_Mantenimiento tasas'!$C$48/360,5)</f>
        <v>0</v>
      </c>
      <c r="F228" s="121">
        <f>ROUND(D228*'FR_Mantenimiento tasas'!$D$48/360,5)</f>
        <v>0</v>
      </c>
    </row>
    <row r="229" spans="1:6">
      <c r="A229" s="123">
        <f>IF(OR(A228='F-Ahorro Futuro Decimos'!$H$16,A228=""),"",IF(A228+1&gt;'F-Ahorro Futuro Decimos'!$H$16,'F-Ahorro Futuro Decimos'!$H$16,A228+1))</f>
        <v>227</v>
      </c>
      <c r="B229" s="122">
        <f>IFERROR(IF(DAY($A229)=DAY('F-Ahorro Futuro Decimos'!$H$15),'F-Ahorro Futuro Decimos'!$H$14,0),0)</f>
        <v>0</v>
      </c>
      <c r="C229" s="122">
        <f>IF(A229='F-Ahorro Futuro Decimos'!$H$18,'F-Ahorro Futuro Decimos'!$H$20,0)</f>
        <v>0</v>
      </c>
      <c r="D229" s="122">
        <f t="shared" si="3"/>
        <v>0</v>
      </c>
      <c r="E229" s="121">
        <f>ROUND(D229*'FR_Mantenimiento tasas'!$C$48/360,5)</f>
        <v>0</v>
      </c>
      <c r="F229" s="121">
        <f>ROUND(D229*'FR_Mantenimiento tasas'!$D$48/360,5)</f>
        <v>0</v>
      </c>
    </row>
    <row r="230" spans="1:6">
      <c r="A230" s="123">
        <f>IF(OR(A229='F-Ahorro Futuro Decimos'!$H$16,A229=""),"",IF(A229+1&gt;'F-Ahorro Futuro Decimos'!$H$16,'F-Ahorro Futuro Decimos'!$H$16,A229+1))</f>
        <v>228</v>
      </c>
      <c r="B230" s="122">
        <f>IFERROR(IF(DAY($A230)=DAY('F-Ahorro Futuro Decimos'!$H$15),'F-Ahorro Futuro Decimos'!$H$14,0),0)</f>
        <v>0</v>
      </c>
      <c r="C230" s="122">
        <f>IF(A230='F-Ahorro Futuro Decimos'!$H$18,'F-Ahorro Futuro Decimos'!$H$20,0)</f>
        <v>0</v>
      </c>
      <c r="D230" s="122">
        <f t="shared" si="3"/>
        <v>0</v>
      </c>
      <c r="E230" s="121">
        <f>ROUND(D230*'FR_Mantenimiento tasas'!$C$48/360,5)</f>
        <v>0</v>
      </c>
      <c r="F230" s="121">
        <f>ROUND(D230*'FR_Mantenimiento tasas'!$D$48/360,5)</f>
        <v>0</v>
      </c>
    </row>
    <row r="231" spans="1:6">
      <c r="A231" s="123">
        <f>IF(OR(A230='F-Ahorro Futuro Decimos'!$H$16,A230=""),"",IF(A230+1&gt;'F-Ahorro Futuro Decimos'!$H$16,'F-Ahorro Futuro Decimos'!$H$16,A230+1))</f>
        <v>229</v>
      </c>
      <c r="B231" s="122">
        <f>IFERROR(IF(DAY($A231)=DAY('F-Ahorro Futuro Decimos'!$H$15),'F-Ahorro Futuro Decimos'!$H$14,0),0)</f>
        <v>0</v>
      </c>
      <c r="C231" s="122">
        <f>IF(A231='F-Ahorro Futuro Decimos'!$H$18,'F-Ahorro Futuro Decimos'!$H$20,0)</f>
        <v>0</v>
      </c>
      <c r="D231" s="122">
        <f t="shared" si="3"/>
        <v>0</v>
      </c>
      <c r="E231" s="121">
        <f>ROUND(D231*'FR_Mantenimiento tasas'!$C$48/360,5)</f>
        <v>0</v>
      </c>
      <c r="F231" s="121">
        <f>ROUND(D231*'FR_Mantenimiento tasas'!$D$48/360,5)</f>
        <v>0</v>
      </c>
    </row>
    <row r="232" spans="1:6">
      <c r="A232" s="123">
        <f>IF(OR(A231='F-Ahorro Futuro Decimos'!$H$16,A231=""),"",IF(A231+1&gt;'F-Ahorro Futuro Decimos'!$H$16,'F-Ahorro Futuro Decimos'!$H$16,A231+1))</f>
        <v>230</v>
      </c>
      <c r="B232" s="122">
        <f>IFERROR(IF(DAY($A232)=DAY('F-Ahorro Futuro Decimos'!$H$15),'F-Ahorro Futuro Decimos'!$H$14,0),0)</f>
        <v>0</v>
      </c>
      <c r="C232" s="122">
        <f>IF(A232='F-Ahorro Futuro Decimos'!$H$18,'F-Ahorro Futuro Decimos'!$H$20,0)</f>
        <v>0</v>
      </c>
      <c r="D232" s="122">
        <f t="shared" si="3"/>
        <v>0</v>
      </c>
      <c r="E232" s="121">
        <f>ROUND(D232*'FR_Mantenimiento tasas'!$C$48/360,5)</f>
        <v>0</v>
      </c>
      <c r="F232" s="121">
        <f>ROUND(D232*'FR_Mantenimiento tasas'!$D$48/360,5)</f>
        <v>0</v>
      </c>
    </row>
    <row r="233" spans="1:6">
      <c r="A233" s="123">
        <f>IF(OR(A232='F-Ahorro Futuro Decimos'!$H$16,A232=""),"",IF(A232+1&gt;'F-Ahorro Futuro Decimos'!$H$16,'F-Ahorro Futuro Decimos'!$H$16,A232+1))</f>
        <v>231</v>
      </c>
      <c r="B233" s="122">
        <f>IFERROR(IF(DAY($A233)=DAY('F-Ahorro Futuro Decimos'!$H$15),'F-Ahorro Futuro Decimos'!$H$14,0),0)</f>
        <v>0</v>
      </c>
      <c r="C233" s="122">
        <f>IF(A233='F-Ahorro Futuro Decimos'!$H$18,'F-Ahorro Futuro Decimos'!$H$20,0)</f>
        <v>0</v>
      </c>
      <c r="D233" s="122">
        <f t="shared" si="3"/>
        <v>0</v>
      </c>
      <c r="E233" s="121">
        <f>ROUND(D233*'FR_Mantenimiento tasas'!$C$48/360,5)</f>
        <v>0</v>
      </c>
      <c r="F233" s="121">
        <f>ROUND(D233*'FR_Mantenimiento tasas'!$D$48/360,5)</f>
        <v>0</v>
      </c>
    </row>
    <row r="234" spans="1:6">
      <c r="A234" s="123">
        <f>IF(OR(A233='F-Ahorro Futuro Decimos'!$H$16,A233=""),"",IF(A233+1&gt;'F-Ahorro Futuro Decimos'!$H$16,'F-Ahorro Futuro Decimos'!$H$16,A233+1))</f>
        <v>232</v>
      </c>
      <c r="B234" s="122">
        <f>IFERROR(IF(DAY($A234)=DAY('F-Ahorro Futuro Decimos'!$H$15),'F-Ahorro Futuro Decimos'!$H$14,0),0)</f>
        <v>0</v>
      </c>
      <c r="C234" s="122">
        <f>IF(A234='F-Ahorro Futuro Decimos'!$H$18,'F-Ahorro Futuro Decimos'!$H$20,0)</f>
        <v>0</v>
      </c>
      <c r="D234" s="122">
        <f t="shared" si="3"/>
        <v>0</v>
      </c>
      <c r="E234" s="121">
        <f>ROUND(D234*'FR_Mantenimiento tasas'!$C$48/360,5)</f>
        <v>0</v>
      </c>
      <c r="F234" s="121">
        <f>ROUND(D234*'FR_Mantenimiento tasas'!$D$48/360,5)</f>
        <v>0</v>
      </c>
    </row>
    <row r="235" spans="1:6">
      <c r="A235" s="123">
        <f>IF(OR(A234='F-Ahorro Futuro Decimos'!$H$16,A234=""),"",IF(A234+1&gt;'F-Ahorro Futuro Decimos'!$H$16,'F-Ahorro Futuro Decimos'!$H$16,A234+1))</f>
        <v>233</v>
      </c>
      <c r="B235" s="122">
        <f>IFERROR(IF(DAY($A235)=DAY('F-Ahorro Futuro Decimos'!$H$15),'F-Ahorro Futuro Decimos'!$H$14,0),0)</f>
        <v>0</v>
      </c>
      <c r="C235" s="122">
        <f>IF(A235='F-Ahorro Futuro Decimos'!$H$18,'F-Ahorro Futuro Decimos'!$H$20,0)</f>
        <v>0</v>
      </c>
      <c r="D235" s="122">
        <f t="shared" si="3"/>
        <v>0</v>
      </c>
      <c r="E235" s="121">
        <f>ROUND(D235*'FR_Mantenimiento tasas'!$C$48/360,5)</f>
        <v>0</v>
      </c>
      <c r="F235" s="121">
        <f>ROUND(D235*'FR_Mantenimiento tasas'!$D$48/360,5)</f>
        <v>0</v>
      </c>
    </row>
    <row r="236" spans="1:6">
      <c r="A236" s="123">
        <f>IF(OR(A235='F-Ahorro Futuro Decimos'!$H$16,A235=""),"",IF(A235+1&gt;'F-Ahorro Futuro Decimos'!$H$16,'F-Ahorro Futuro Decimos'!$H$16,A235+1))</f>
        <v>234</v>
      </c>
      <c r="B236" s="122">
        <f>IFERROR(IF(DAY($A236)=DAY('F-Ahorro Futuro Decimos'!$H$15),'F-Ahorro Futuro Decimos'!$H$14,0),0)</f>
        <v>0</v>
      </c>
      <c r="C236" s="122">
        <f>IF(A236='F-Ahorro Futuro Decimos'!$H$18,'F-Ahorro Futuro Decimos'!$H$20,0)</f>
        <v>0</v>
      </c>
      <c r="D236" s="122">
        <f t="shared" si="3"/>
        <v>0</v>
      </c>
      <c r="E236" s="121">
        <f>ROUND(D236*'FR_Mantenimiento tasas'!$C$48/360,5)</f>
        <v>0</v>
      </c>
      <c r="F236" s="121">
        <f>ROUND(D236*'FR_Mantenimiento tasas'!$D$48/360,5)</f>
        <v>0</v>
      </c>
    </row>
    <row r="237" spans="1:6">
      <c r="A237" s="123">
        <f>IF(OR(A236='F-Ahorro Futuro Decimos'!$H$16,A236=""),"",IF(A236+1&gt;'F-Ahorro Futuro Decimos'!$H$16,'F-Ahorro Futuro Decimos'!$H$16,A236+1))</f>
        <v>235</v>
      </c>
      <c r="B237" s="122">
        <f>IFERROR(IF(DAY($A237)=DAY('F-Ahorro Futuro Decimos'!$H$15),'F-Ahorro Futuro Decimos'!$H$14,0),0)</f>
        <v>0</v>
      </c>
      <c r="C237" s="122">
        <f>IF(A237='F-Ahorro Futuro Decimos'!$H$18,'F-Ahorro Futuro Decimos'!$H$20,0)</f>
        <v>0</v>
      </c>
      <c r="D237" s="122">
        <f t="shared" si="3"/>
        <v>0</v>
      </c>
      <c r="E237" s="121">
        <f>ROUND(D237*'FR_Mantenimiento tasas'!$C$48/360,5)</f>
        <v>0</v>
      </c>
      <c r="F237" s="121">
        <f>ROUND(D237*'FR_Mantenimiento tasas'!$D$48/360,5)</f>
        <v>0</v>
      </c>
    </row>
    <row r="238" spans="1:6">
      <c r="A238" s="123">
        <f>IF(OR(A237='F-Ahorro Futuro Decimos'!$H$16,A237=""),"",IF(A237+1&gt;'F-Ahorro Futuro Decimos'!$H$16,'F-Ahorro Futuro Decimos'!$H$16,A237+1))</f>
        <v>236</v>
      </c>
      <c r="B238" s="122">
        <f>IFERROR(IF(DAY($A238)=DAY('F-Ahorro Futuro Decimos'!$H$15),'F-Ahorro Futuro Decimos'!$H$14,0),0)</f>
        <v>0</v>
      </c>
      <c r="C238" s="122">
        <f>IF(A238='F-Ahorro Futuro Decimos'!$H$18,'F-Ahorro Futuro Decimos'!$H$20,0)</f>
        <v>0</v>
      </c>
      <c r="D238" s="122">
        <f t="shared" si="3"/>
        <v>0</v>
      </c>
      <c r="E238" s="121">
        <f>ROUND(D238*'FR_Mantenimiento tasas'!$C$48/360,5)</f>
        <v>0</v>
      </c>
      <c r="F238" s="121">
        <f>ROUND(D238*'FR_Mantenimiento tasas'!$D$48/360,5)</f>
        <v>0</v>
      </c>
    </row>
    <row r="239" spans="1:6">
      <c r="A239" s="123">
        <f>IF(OR(A238='F-Ahorro Futuro Decimos'!$H$16,A238=""),"",IF(A238+1&gt;'F-Ahorro Futuro Decimos'!$H$16,'F-Ahorro Futuro Decimos'!$H$16,A238+1))</f>
        <v>237</v>
      </c>
      <c r="B239" s="122">
        <f>IFERROR(IF(DAY($A239)=DAY('F-Ahorro Futuro Decimos'!$H$15),'F-Ahorro Futuro Decimos'!$H$14,0),0)</f>
        <v>0</v>
      </c>
      <c r="C239" s="122">
        <f>IF(A239='F-Ahorro Futuro Decimos'!$H$18,'F-Ahorro Futuro Decimos'!$H$20,0)</f>
        <v>0</v>
      </c>
      <c r="D239" s="122">
        <f t="shared" si="3"/>
        <v>0</v>
      </c>
      <c r="E239" s="121">
        <f>ROUND(D239*'FR_Mantenimiento tasas'!$C$48/360,5)</f>
        <v>0</v>
      </c>
      <c r="F239" s="121">
        <f>ROUND(D239*'FR_Mantenimiento tasas'!$D$48/360,5)</f>
        <v>0</v>
      </c>
    </row>
    <row r="240" spans="1:6">
      <c r="A240" s="123">
        <f>IF(OR(A239='F-Ahorro Futuro Decimos'!$H$16,A239=""),"",IF(A239+1&gt;'F-Ahorro Futuro Decimos'!$H$16,'F-Ahorro Futuro Decimos'!$H$16,A239+1))</f>
        <v>238</v>
      </c>
      <c r="B240" s="122">
        <f>IFERROR(IF(DAY($A240)=DAY('F-Ahorro Futuro Decimos'!$H$15),'F-Ahorro Futuro Decimos'!$H$14,0),0)</f>
        <v>0</v>
      </c>
      <c r="C240" s="122">
        <f>IF(A240='F-Ahorro Futuro Decimos'!$H$18,'F-Ahorro Futuro Decimos'!$H$20,0)</f>
        <v>0</v>
      </c>
      <c r="D240" s="122">
        <f t="shared" si="3"/>
        <v>0</v>
      </c>
      <c r="E240" s="121">
        <f>ROUND(D240*'FR_Mantenimiento tasas'!$C$48/360,5)</f>
        <v>0</v>
      </c>
      <c r="F240" s="121">
        <f>ROUND(D240*'FR_Mantenimiento tasas'!$D$48/360,5)</f>
        <v>0</v>
      </c>
    </row>
    <row r="241" spans="1:6">
      <c r="A241" s="123">
        <f>IF(OR(A240='F-Ahorro Futuro Decimos'!$H$16,A240=""),"",IF(A240+1&gt;'F-Ahorro Futuro Decimos'!$H$16,'F-Ahorro Futuro Decimos'!$H$16,A240+1))</f>
        <v>239</v>
      </c>
      <c r="B241" s="122">
        <f>IFERROR(IF(DAY($A241)=DAY('F-Ahorro Futuro Decimos'!$H$15),'F-Ahorro Futuro Decimos'!$H$14,0),0)</f>
        <v>0</v>
      </c>
      <c r="C241" s="122">
        <f>IF(A241='F-Ahorro Futuro Decimos'!$H$18,'F-Ahorro Futuro Decimos'!$H$20,0)</f>
        <v>0</v>
      </c>
      <c r="D241" s="122">
        <f t="shared" si="3"/>
        <v>0</v>
      </c>
      <c r="E241" s="121">
        <f>ROUND(D241*'FR_Mantenimiento tasas'!$C$48/360,5)</f>
        <v>0</v>
      </c>
      <c r="F241" s="121">
        <f>ROUND(D241*'FR_Mantenimiento tasas'!$D$48/360,5)</f>
        <v>0</v>
      </c>
    </row>
    <row r="242" spans="1:6">
      <c r="A242" s="123">
        <f>IF(OR(A241='F-Ahorro Futuro Decimos'!$H$16,A241=""),"",IF(A241+1&gt;'F-Ahorro Futuro Decimos'!$H$16,'F-Ahorro Futuro Decimos'!$H$16,A241+1))</f>
        <v>240</v>
      </c>
      <c r="B242" s="122">
        <f>IFERROR(IF(DAY($A242)=DAY('F-Ahorro Futuro Decimos'!$H$15),'F-Ahorro Futuro Decimos'!$H$14,0),0)</f>
        <v>0</v>
      </c>
      <c r="C242" s="122">
        <f>IF(A242='F-Ahorro Futuro Decimos'!$H$18,'F-Ahorro Futuro Decimos'!$H$20,0)</f>
        <v>0</v>
      </c>
      <c r="D242" s="122">
        <f t="shared" si="3"/>
        <v>0</v>
      </c>
      <c r="E242" s="121">
        <f>ROUND(D242*'FR_Mantenimiento tasas'!$C$48/360,5)</f>
        <v>0</v>
      </c>
      <c r="F242" s="121">
        <f>ROUND(D242*'FR_Mantenimiento tasas'!$D$48/360,5)</f>
        <v>0</v>
      </c>
    </row>
    <row r="243" spans="1:6">
      <c r="A243" s="123">
        <f>IF(OR(A242='F-Ahorro Futuro Decimos'!$H$16,A242=""),"",IF(A242+1&gt;'F-Ahorro Futuro Decimos'!$H$16,'F-Ahorro Futuro Decimos'!$H$16,A242+1))</f>
        <v>241</v>
      </c>
      <c r="B243" s="122">
        <f>IFERROR(IF(DAY($A243)=DAY('F-Ahorro Futuro Decimos'!$H$15),'F-Ahorro Futuro Decimos'!$H$14,0),0)</f>
        <v>0</v>
      </c>
      <c r="C243" s="122">
        <f>IF(A243='F-Ahorro Futuro Decimos'!$H$18,'F-Ahorro Futuro Decimos'!$H$20,0)</f>
        <v>0</v>
      </c>
      <c r="D243" s="122">
        <f t="shared" si="3"/>
        <v>0</v>
      </c>
      <c r="E243" s="121">
        <f>ROUND(D243*'FR_Mantenimiento tasas'!$C$48/360,5)</f>
        <v>0</v>
      </c>
      <c r="F243" s="121">
        <f>ROUND(D243*'FR_Mantenimiento tasas'!$D$48/360,5)</f>
        <v>0</v>
      </c>
    </row>
    <row r="244" spans="1:6">
      <c r="A244" s="123">
        <f>IF(OR(A243='F-Ahorro Futuro Decimos'!$H$16,A243=""),"",IF(A243+1&gt;'F-Ahorro Futuro Decimos'!$H$16,'F-Ahorro Futuro Decimos'!$H$16,A243+1))</f>
        <v>242</v>
      </c>
      <c r="B244" s="122">
        <f>IFERROR(IF(DAY($A244)=DAY('F-Ahorro Futuro Decimos'!$H$15),'F-Ahorro Futuro Decimos'!$H$14,0),0)</f>
        <v>0</v>
      </c>
      <c r="C244" s="122">
        <f>IF(A244='F-Ahorro Futuro Decimos'!$H$18,'F-Ahorro Futuro Decimos'!$H$20,0)</f>
        <v>0</v>
      </c>
      <c r="D244" s="122">
        <f t="shared" si="3"/>
        <v>0</v>
      </c>
      <c r="E244" s="121">
        <f>ROUND(D244*'FR_Mantenimiento tasas'!$C$48/360,5)</f>
        <v>0</v>
      </c>
      <c r="F244" s="121">
        <f>ROUND(D244*'FR_Mantenimiento tasas'!$D$48/360,5)</f>
        <v>0</v>
      </c>
    </row>
    <row r="245" spans="1:6">
      <c r="A245" s="123">
        <f>IF(OR(A244='F-Ahorro Futuro Decimos'!$H$16,A244=""),"",IF(A244+1&gt;'F-Ahorro Futuro Decimos'!$H$16,'F-Ahorro Futuro Decimos'!$H$16,A244+1))</f>
        <v>243</v>
      </c>
      <c r="B245" s="122">
        <f>IFERROR(IF(DAY($A245)=DAY('F-Ahorro Futuro Decimos'!$H$15),'F-Ahorro Futuro Decimos'!$H$14,0),0)</f>
        <v>0</v>
      </c>
      <c r="C245" s="122">
        <f>IF(A245='F-Ahorro Futuro Decimos'!$H$18,'F-Ahorro Futuro Decimos'!$H$20,0)</f>
        <v>0</v>
      </c>
      <c r="D245" s="122">
        <f t="shared" si="3"/>
        <v>0</v>
      </c>
      <c r="E245" s="121">
        <f>ROUND(D245*'FR_Mantenimiento tasas'!$C$48/360,5)</f>
        <v>0</v>
      </c>
      <c r="F245" s="121">
        <f>ROUND(D245*'FR_Mantenimiento tasas'!$D$48/360,5)</f>
        <v>0</v>
      </c>
    </row>
    <row r="246" spans="1:6">
      <c r="A246" s="123">
        <f>IF(OR(A245='F-Ahorro Futuro Decimos'!$H$16,A245=""),"",IF(A245+1&gt;'F-Ahorro Futuro Decimos'!$H$16,'F-Ahorro Futuro Decimos'!$H$16,A245+1))</f>
        <v>244</v>
      </c>
      <c r="B246" s="122">
        <f>IFERROR(IF(DAY($A246)=DAY('F-Ahorro Futuro Decimos'!$H$15),'F-Ahorro Futuro Decimos'!$H$14,0),0)</f>
        <v>0</v>
      </c>
      <c r="C246" s="122">
        <f>IF(A246='F-Ahorro Futuro Decimos'!$H$18,'F-Ahorro Futuro Decimos'!$H$20,0)</f>
        <v>0</v>
      </c>
      <c r="D246" s="122">
        <f t="shared" si="3"/>
        <v>0</v>
      </c>
      <c r="E246" s="121">
        <f>ROUND(D246*'FR_Mantenimiento tasas'!$C$48/360,5)</f>
        <v>0</v>
      </c>
      <c r="F246" s="121">
        <f>ROUND(D246*'FR_Mantenimiento tasas'!$D$48/360,5)</f>
        <v>0</v>
      </c>
    </row>
    <row r="247" spans="1:6">
      <c r="A247" s="123">
        <f>IF(OR(A246='F-Ahorro Futuro Decimos'!$H$16,A246=""),"",IF(A246+1&gt;'F-Ahorro Futuro Decimos'!$H$16,'F-Ahorro Futuro Decimos'!$H$16,A246+1))</f>
        <v>245</v>
      </c>
      <c r="B247" s="122">
        <f>IFERROR(IF(DAY($A247)=DAY('F-Ahorro Futuro Decimos'!$H$15),'F-Ahorro Futuro Decimos'!$H$14,0),0)</f>
        <v>0</v>
      </c>
      <c r="C247" s="122">
        <f>IF(A247='F-Ahorro Futuro Decimos'!$H$18,'F-Ahorro Futuro Decimos'!$H$20,0)</f>
        <v>0</v>
      </c>
      <c r="D247" s="122">
        <f t="shared" si="3"/>
        <v>0</v>
      </c>
      <c r="E247" s="121">
        <f>ROUND(D247*'FR_Mantenimiento tasas'!$C$48/360,5)</f>
        <v>0</v>
      </c>
      <c r="F247" s="121">
        <f>ROUND(D247*'FR_Mantenimiento tasas'!$D$48/360,5)</f>
        <v>0</v>
      </c>
    </row>
    <row r="248" spans="1:6">
      <c r="A248" s="123">
        <f>IF(OR(A247='F-Ahorro Futuro Decimos'!$H$16,A247=""),"",IF(A247+1&gt;'F-Ahorro Futuro Decimos'!$H$16,'F-Ahorro Futuro Decimos'!$H$16,A247+1))</f>
        <v>246</v>
      </c>
      <c r="B248" s="122">
        <f>IFERROR(IF(DAY($A248)=DAY('F-Ahorro Futuro Decimos'!$H$15),'F-Ahorro Futuro Decimos'!$H$14,0),0)</f>
        <v>0</v>
      </c>
      <c r="C248" s="122">
        <f>IF(A248='F-Ahorro Futuro Decimos'!$H$18,'F-Ahorro Futuro Decimos'!$H$20,0)</f>
        <v>0</v>
      </c>
      <c r="D248" s="122">
        <f t="shared" si="3"/>
        <v>0</v>
      </c>
      <c r="E248" s="121">
        <f>ROUND(D248*'FR_Mantenimiento tasas'!$C$48/360,5)</f>
        <v>0</v>
      </c>
      <c r="F248" s="121">
        <f>ROUND(D248*'FR_Mantenimiento tasas'!$D$48/360,5)</f>
        <v>0</v>
      </c>
    </row>
    <row r="249" spans="1:6">
      <c r="A249" s="123">
        <f>IF(OR(A248='F-Ahorro Futuro Decimos'!$H$16,A248=""),"",IF(A248+1&gt;'F-Ahorro Futuro Decimos'!$H$16,'F-Ahorro Futuro Decimos'!$H$16,A248+1))</f>
        <v>247</v>
      </c>
      <c r="B249" s="122">
        <f>IFERROR(IF(DAY($A249)=DAY('F-Ahorro Futuro Decimos'!$H$15),'F-Ahorro Futuro Decimos'!$H$14,0),0)</f>
        <v>0</v>
      </c>
      <c r="C249" s="122">
        <f>IF(A249='F-Ahorro Futuro Decimos'!$H$18,'F-Ahorro Futuro Decimos'!$H$20,0)</f>
        <v>0</v>
      </c>
      <c r="D249" s="122">
        <f t="shared" si="3"/>
        <v>0</v>
      </c>
      <c r="E249" s="121">
        <f>ROUND(D249*'FR_Mantenimiento tasas'!$C$48/360,5)</f>
        <v>0</v>
      </c>
      <c r="F249" s="121">
        <f>ROUND(D249*'FR_Mantenimiento tasas'!$D$48/360,5)</f>
        <v>0</v>
      </c>
    </row>
    <row r="250" spans="1:6">
      <c r="A250" s="123">
        <f>IF(OR(A249='F-Ahorro Futuro Decimos'!$H$16,A249=""),"",IF(A249+1&gt;'F-Ahorro Futuro Decimos'!$H$16,'F-Ahorro Futuro Decimos'!$H$16,A249+1))</f>
        <v>248</v>
      </c>
      <c r="B250" s="122">
        <f>IFERROR(IF(DAY($A250)=DAY('F-Ahorro Futuro Decimos'!$H$15),'F-Ahorro Futuro Decimos'!$H$14,0),0)</f>
        <v>0</v>
      </c>
      <c r="C250" s="122">
        <f>IF(A250='F-Ahorro Futuro Decimos'!$H$18,'F-Ahorro Futuro Decimos'!$H$20,0)</f>
        <v>0</v>
      </c>
      <c r="D250" s="122">
        <f t="shared" si="3"/>
        <v>0</v>
      </c>
      <c r="E250" s="121">
        <f>ROUND(D250*'FR_Mantenimiento tasas'!$C$48/360,5)</f>
        <v>0</v>
      </c>
      <c r="F250" s="121">
        <f>ROUND(D250*'FR_Mantenimiento tasas'!$D$48/360,5)</f>
        <v>0</v>
      </c>
    </row>
    <row r="251" spans="1:6">
      <c r="A251" s="123">
        <f>IF(OR(A250='F-Ahorro Futuro Decimos'!$H$16,A250=""),"",IF(A250+1&gt;'F-Ahorro Futuro Decimos'!$H$16,'F-Ahorro Futuro Decimos'!$H$16,A250+1))</f>
        <v>249</v>
      </c>
      <c r="B251" s="122">
        <f>IFERROR(IF(DAY($A251)=DAY('F-Ahorro Futuro Decimos'!$H$15),'F-Ahorro Futuro Decimos'!$H$14,0),0)</f>
        <v>0</v>
      </c>
      <c r="C251" s="122">
        <f>IF(A251='F-Ahorro Futuro Decimos'!$H$18,'F-Ahorro Futuro Decimos'!$H$20,0)</f>
        <v>0</v>
      </c>
      <c r="D251" s="122">
        <f t="shared" si="3"/>
        <v>0</v>
      </c>
      <c r="E251" s="121">
        <f>ROUND(D251*'FR_Mantenimiento tasas'!$C$48/360,5)</f>
        <v>0</v>
      </c>
      <c r="F251" s="121">
        <f>ROUND(D251*'FR_Mantenimiento tasas'!$D$48/360,5)</f>
        <v>0</v>
      </c>
    </row>
    <row r="252" spans="1:6">
      <c r="A252" s="123">
        <f>IF(OR(A251='F-Ahorro Futuro Decimos'!$H$16,A251=""),"",IF(A251+1&gt;'F-Ahorro Futuro Decimos'!$H$16,'F-Ahorro Futuro Decimos'!$H$16,A251+1))</f>
        <v>250</v>
      </c>
      <c r="B252" s="122">
        <f>IFERROR(IF(DAY($A252)=DAY('F-Ahorro Futuro Decimos'!$H$15),'F-Ahorro Futuro Decimos'!$H$14,0),0)</f>
        <v>0</v>
      </c>
      <c r="C252" s="122">
        <f>IF(A252='F-Ahorro Futuro Decimos'!$H$18,'F-Ahorro Futuro Decimos'!$H$20,0)</f>
        <v>0</v>
      </c>
      <c r="D252" s="122">
        <f t="shared" si="3"/>
        <v>0</v>
      </c>
      <c r="E252" s="121">
        <f>ROUND(D252*'FR_Mantenimiento tasas'!$C$48/360,5)</f>
        <v>0</v>
      </c>
      <c r="F252" s="121">
        <f>ROUND(D252*'FR_Mantenimiento tasas'!$D$48/360,5)</f>
        <v>0</v>
      </c>
    </row>
    <row r="253" spans="1:6">
      <c r="A253" s="123">
        <f>IF(OR(A252='F-Ahorro Futuro Decimos'!$H$16,A252=""),"",IF(A252+1&gt;'F-Ahorro Futuro Decimos'!$H$16,'F-Ahorro Futuro Decimos'!$H$16,A252+1))</f>
        <v>251</v>
      </c>
      <c r="B253" s="122">
        <f>IFERROR(IF(DAY($A253)=DAY('F-Ahorro Futuro Decimos'!$H$15),'F-Ahorro Futuro Decimos'!$H$14,0),0)</f>
        <v>0</v>
      </c>
      <c r="C253" s="122">
        <f>IF(A253='F-Ahorro Futuro Decimos'!$H$18,'F-Ahorro Futuro Decimos'!$H$20,0)</f>
        <v>0</v>
      </c>
      <c r="D253" s="122">
        <f t="shared" si="3"/>
        <v>0</v>
      </c>
      <c r="E253" s="121">
        <f>ROUND(D253*'FR_Mantenimiento tasas'!$C$48/360,5)</f>
        <v>0</v>
      </c>
      <c r="F253" s="121">
        <f>ROUND(D253*'FR_Mantenimiento tasas'!$D$48/360,5)</f>
        <v>0</v>
      </c>
    </row>
    <row r="254" spans="1:6">
      <c r="A254" s="123">
        <f>IF(OR(A253='F-Ahorro Futuro Decimos'!$H$16,A253=""),"",IF(A253+1&gt;'F-Ahorro Futuro Decimos'!$H$16,'F-Ahorro Futuro Decimos'!$H$16,A253+1))</f>
        <v>252</v>
      </c>
      <c r="B254" s="122">
        <f>IFERROR(IF(DAY($A254)=DAY('F-Ahorro Futuro Decimos'!$H$15),'F-Ahorro Futuro Decimos'!$H$14,0),0)</f>
        <v>0</v>
      </c>
      <c r="C254" s="122">
        <f>IF(A254='F-Ahorro Futuro Decimos'!$H$18,'F-Ahorro Futuro Decimos'!$H$20,0)</f>
        <v>0</v>
      </c>
      <c r="D254" s="122">
        <f t="shared" si="3"/>
        <v>0</v>
      </c>
      <c r="E254" s="121">
        <f>ROUND(D254*'FR_Mantenimiento tasas'!$C$48/360,5)</f>
        <v>0</v>
      </c>
      <c r="F254" s="121">
        <f>ROUND(D254*'FR_Mantenimiento tasas'!$D$48/360,5)</f>
        <v>0</v>
      </c>
    </row>
    <row r="255" spans="1:6">
      <c r="A255" s="123">
        <f>IF(OR(A254='F-Ahorro Futuro Decimos'!$H$16,A254=""),"",IF(A254+1&gt;'F-Ahorro Futuro Decimos'!$H$16,'F-Ahorro Futuro Decimos'!$H$16,A254+1))</f>
        <v>253</v>
      </c>
      <c r="B255" s="122">
        <f>IFERROR(IF(DAY($A255)=DAY('F-Ahorro Futuro Decimos'!$H$15),'F-Ahorro Futuro Decimos'!$H$14,0),0)</f>
        <v>0</v>
      </c>
      <c r="C255" s="122">
        <f>IF(A255='F-Ahorro Futuro Decimos'!$H$18,'F-Ahorro Futuro Decimos'!$H$20,0)</f>
        <v>0</v>
      </c>
      <c r="D255" s="122">
        <f t="shared" si="3"/>
        <v>0</v>
      </c>
      <c r="E255" s="121">
        <f>ROUND(D255*'FR_Mantenimiento tasas'!$C$48/360,5)</f>
        <v>0</v>
      </c>
      <c r="F255" s="121">
        <f>ROUND(D255*'FR_Mantenimiento tasas'!$D$48/360,5)</f>
        <v>0</v>
      </c>
    </row>
    <row r="256" spans="1:6">
      <c r="A256" s="123">
        <f>IF(OR(A255='F-Ahorro Futuro Decimos'!$H$16,A255=""),"",IF(A255+1&gt;'F-Ahorro Futuro Decimos'!$H$16,'F-Ahorro Futuro Decimos'!$H$16,A255+1))</f>
        <v>254</v>
      </c>
      <c r="B256" s="122">
        <f>IFERROR(IF(DAY($A256)=DAY('F-Ahorro Futuro Decimos'!$H$15),'F-Ahorro Futuro Decimos'!$H$14,0),0)</f>
        <v>0</v>
      </c>
      <c r="C256" s="122">
        <f>IF(A256='F-Ahorro Futuro Decimos'!$H$18,'F-Ahorro Futuro Decimos'!$H$20,0)</f>
        <v>0</v>
      </c>
      <c r="D256" s="122">
        <f t="shared" si="3"/>
        <v>0</v>
      </c>
      <c r="E256" s="121">
        <f>ROUND(D256*'FR_Mantenimiento tasas'!$C$48/360,5)</f>
        <v>0</v>
      </c>
      <c r="F256" s="121">
        <f>ROUND(D256*'FR_Mantenimiento tasas'!$D$48/360,5)</f>
        <v>0</v>
      </c>
    </row>
    <row r="257" spans="1:6">
      <c r="A257" s="123">
        <f>IF(OR(A256='F-Ahorro Futuro Decimos'!$H$16,A256=""),"",IF(A256+1&gt;'F-Ahorro Futuro Decimos'!$H$16,'F-Ahorro Futuro Decimos'!$H$16,A256+1))</f>
        <v>255</v>
      </c>
      <c r="B257" s="122">
        <f>IFERROR(IF(DAY($A257)=DAY('F-Ahorro Futuro Decimos'!$H$15),'F-Ahorro Futuro Decimos'!$H$14,0),0)</f>
        <v>0</v>
      </c>
      <c r="C257" s="122">
        <f>IF(A257='F-Ahorro Futuro Decimos'!$H$18,'F-Ahorro Futuro Decimos'!$H$20,0)</f>
        <v>0</v>
      </c>
      <c r="D257" s="122">
        <f t="shared" si="3"/>
        <v>0</v>
      </c>
      <c r="E257" s="121">
        <f>ROUND(D257*'FR_Mantenimiento tasas'!$C$48/360,5)</f>
        <v>0</v>
      </c>
      <c r="F257" s="121">
        <f>ROUND(D257*'FR_Mantenimiento tasas'!$D$48/360,5)</f>
        <v>0</v>
      </c>
    </row>
    <row r="258" spans="1:6">
      <c r="A258" s="123">
        <f>IF(OR(A257='F-Ahorro Futuro Decimos'!$H$16,A257=""),"",IF(A257+1&gt;'F-Ahorro Futuro Decimos'!$H$16,'F-Ahorro Futuro Decimos'!$H$16,A257+1))</f>
        <v>256</v>
      </c>
      <c r="B258" s="122">
        <f>IFERROR(IF(DAY($A258)=DAY('F-Ahorro Futuro Decimos'!$H$15),'F-Ahorro Futuro Decimos'!$H$14,0),0)</f>
        <v>0</v>
      </c>
      <c r="C258" s="122">
        <f>IF(A258='F-Ahorro Futuro Decimos'!$H$18,'F-Ahorro Futuro Decimos'!$H$20,0)</f>
        <v>0</v>
      </c>
      <c r="D258" s="122">
        <f t="shared" si="3"/>
        <v>0</v>
      </c>
      <c r="E258" s="121">
        <f>ROUND(D258*'FR_Mantenimiento tasas'!$C$48/360,5)</f>
        <v>0</v>
      </c>
      <c r="F258" s="121">
        <f>ROUND(D258*'FR_Mantenimiento tasas'!$D$48/360,5)</f>
        <v>0</v>
      </c>
    </row>
    <row r="259" spans="1:6">
      <c r="A259" s="123">
        <f>IF(OR(A258='F-Ahorro Futuro Decimos'!$H$16,A258=""),"",IF(A258+1&gt;'F-Ahorro Futuro Decimos'!$H$16,'F-Ahorro Futuro Decimos'!$H$16,A258+1))</f>
        <v>257</v>
      </c>
      <c r="B259" s="122">
        <f>IFERROR(IF(DAY($A259)=DAY('F-Ahorro Futuro Decimos'!$H$15),'F-Ahorro Futuro Decimos'!$H$14,0),0)</f>
        <v>0</v>
      </c>
      <c r="C259" s="122">
        <f>IF(A259='F-Ahorro Futuro Decimos'!$H$18,'F-Ahorro Futuro Decimos'!$H$20,0)</f>
        <v>0</v>
      </c>
      <c r="D259" s="122">
        <f t="shared" si="3"/>
        <v>0</v>
      </c>
      <c r="E259" s="121">
        <f>ROUND(D259*'FR_Mantenimiento tasas'!$C$48/360,5)</f>
        <v>0</v>
      </c>
      <c r="F259" s="121">
        <f>ROUND(D259*'FR_Mantenimiento tasas'!$D$48/360,5)</f>
        <v>0</v>
      </c>
    </row>
    <row r="260" spans="1:6">
      <c r="A260" s="123">
        <f>IF(OR(A259='F-Ahorro Futuro Decimos'!$H$16,A259=""),"",IF(A259+1&gt;'F-Ahorro Futuro Decimos'!$H$16,'F-Ahorro Futuro Decimos'!$H$16,A259+1))</f>
        <v>258</v>
      </c>
      <c r="B260" s="122">
        <f>IFERROR(IF(DAY($A260)=DAY('F-Ahorro Futuro Decimos'!$H$15),'F-Ahorro Futuro Decimos'!$H$14,0),0)</f>
        <v>0</v>
      </c>
      <c r="C260" s="122">
        <f>IF(A260='F-Ahorro Futuro Decimos'!$H$18,'F-Ahorro Futuro Decimos'!$H$20,0)</f>
        <v>0</v>
      </c>
      <c r="D260" s="122">
        <f t="shared" ref="D260:D323" si="4">+B260+D259+E259-C260</f>
        <v>0</v>
      </c>
      <c r="E260" s="121">
        <f>ROUND(D260*'FR_Mantenimiento tasas'!$C$48/360,5)</f>
        <v>0</v>
      </c>
      <c r="F260" s="121">
        <f>ROUND(D260*'FR_Mantenimiento tasas'!$D$48/360,5)</f>
        <v>0</v>
      </c>
    </row>
    <row r="261" spans="1:6">
      <c r="A261" s="123">
        <f>IF(OR(A260='F-Ahorro Futuro Decimos'!$H$16,A260=""),"",IF(A260+1&gt;'F-Ahorro Futuro Decimos'!$H$16,'F-Ahorro Futuro Decimos'!$H$16,A260+1))</f>
        <v>259</v>
      </c>
      <c r="B261" s="122">
        <f>IFERROR(IF(DAY($A261)=DAY('F-Ahorro Futuro Decimos'!$H$15),'F-Ahorro Futuro Decimos'!$H$14,0),0)</f>
        <v>0</v>
      </c>
      <c r="C261" s="122">
        <f>IF(A261='F-Ahorro Futuro Decimos'!$H$18,'F-Ahorro Futuro Decimos'!$H$20,0)</f>
        <v>0</v>
      </c>
      <c r="D261" s="122">
        <f t="shared" si="4"/>
        <v>0</v>
      </c>
      <c r="E261" s="121">
        <f>ROUND(D261*'FR_Mantenimiento tasas'!$C$48/360,5)</f>
        <v>0</v>
      </c>
      <c r="F261" s="121">
        <f>ROUND(D261*'FR_Mantenimiento tasas'!$D$48/360,5)</f>
        <v>0</v>
      </c>
    </row>
    <row r="262" spans="1:6">
      <c r="A262" s="123">
        <f>IF(OR(A261='F-Ahorro Futuro Decimos'!$H$16,A261=""),"",IF(A261+1&gt;'F-Ahorro Futuro Decimos'!$H$16,'F-Ahorro Futuro Decimos'!$H$16,A261+1))</f>
        <v>260</v>
      </c>
      <c r="B262" s="122">
        <f>IFERROR(IF(DAY($A262)=DAY('F-Ahorro Futuro Decimos'!$H$15),'F-Ahorro Futuro Decimos'!$H$14,0),0)</f>
        <v>0</v>
      </c>
      <c r="C262" s="122">
        <f>IF(A262='F-Ahorro Futuro Decimos'!$H$18,'F-Ahorro Futuro Decimos'!$H$20,0)</f>
        <v>0</v>
      </c>
      <c r="D262" s="122">
        <f t="shared" si="4"/>
        <v>0</v>
      </c>
      <c r="E262" s="121">
        <f>ROUND(D262*'FR_Mantenimiento tasas'!$C$48/360,5)</f>
        <v>0</v>
      </c>
      <c r="F262" s="121">
        <f>ROUND(D262*'FR_Mantenimiento tasas'!$D$48/360,5)</f>
        <v>0</v>
      </c>
    </row>
    <row r="263" spans="1:6">
      <c r="A263" s="123">
        <f>IF(OR(A262='F-Ahorro Futuro Decimos'!$H$16,A262=""),"",IF(A262+1&gt;'F-Ahorro Futuro Decimos'!$H$16,'F-Ahorro Futuro Decimos'!$H$16,A262+1))</f>
        <v>261</v>
      </c>
      <c r="B263" s="122">
        <f>IFERROR(IF(DAY($A263)=DAY('F-Ahorro Futuro Decimos'!$H$15),'F-Ahorro Futuro Decimos'!$H$14,0),0)</f>
        <v>0</v>
      </c>
      <c r="C263" s="122">
        <f>IF(A263='F-Ahorro Futuro Decimos'!$H$18,'F-Ahorro Futuro Decimos'!$H$20,0)</f>
        <v>0</v>
      </c>
      <c r="D263" s="122">
        <f t="shared" si="4"/>
        <v>0</v>
      </c>
      <c r="E263" s="121">
        <f>ROUND(D263*'FR_Mantenimiento tasas'!$C$48/360,5)</f>
        <v>0</v>
      </c>
      <c r="F263" s="121">
        <f>ROUND(D263*'FR_Mantenimiento tasas'!$D$48/360,5)</f>
        <v>0</v>
      </c>
    </row>
    <row r="264" spans="1:6">
      <c r="A264" s="123">
        <f>IF(OR(A263='F-Ahorro Futuro Decimos'!$H$16,A263=""),"",IF(A263+1&gt;'F-Ahorro Futuro Decimos'!$H$16,'F-Ahorro Futuro Decimos'!$H$16,A263+1))</f>
        <v>262</v>
      </c>
      <c r="B264" s="122">
        <f>IFERROR(IF(DAY($A264)=DAY('F-Ahorro Futuro Decimos'!$H$15),'F-Ahorro Futuro Decimos'!$H$14,0),0)</f>
        <v>0</v>
      </c>
      <c r="C264" s="122">
        <f>IF(A264='F-Ahorro Futuro Decimos'!$H$18,'F-Ahorro Futuro Decimos'!$H$20,0)</f>
        <v>0</v>
      </c>
      <c r="D264" s="122">
        <f t="shared" si="4"/>
        <v>0</v>
      </c>
      <c r="E264" s="121">
        <f>ROUND(D264*'FR_Mantenimiento tasas'!$C$48/360,5)</f>
        <v>0</v>
      </c>
      <c r="F264" s="121">
        <f>ROUND(D264*'FR_Mantenimiento tasas'!$D$48/360,5)</f>
        <v>0</v>
      </c>
    </row>
    <row r="265" spans="1:6">
      <c r="A265" s="123">
        <f>IF(OR(A264='F-Ahorro Futuro Decimos'!$H$16,A264=""),"",IF(A264+1&gt;'F-Ahorro Futuro Decimos'!$H$16,'F-Ahorro Futuro Decimos'!$H$16,A264+1))</f>
        <v>263</v>
      </c>
      <c r="B265" s="122">
        <f>IFERROR(IF(DAY($A265)=DAY('F-Ahorro Futuro Decimos'!$H$15),'F-Ahorro Futuro Decimos'!$H$14,0),0)</f>
        <v>0</v>
      </c>
      <c r="C265" s="122">
        <f>IF(A265='F-Ahorro Futuro Decimos'!$H$18,'F-Ahorro Futuro Decimos'!$H$20,0)</f>
        <v>0</v>
      </c>
      <c r="D265" s="122">
        <f t="shared" si="4"/>
        <v>0</v>
      </c>
      <c r="E265" s="121">
        <f>ROUND(D265*'FR_Mantenimiento tasas'!$C$48/360,5)</f>
        <v>0</v>
      </c>
      <c r="F265" s="121">
        <f>ROUND(D265*'FR_Mantenimiento tasas'!$D$48/360,5)</f>
        <v>0</v>
      </c>
    </row>
    <row r="266" spans="1:6">
      <c r="A266" s="123">
        <f>IF(OR(A265='F-Ahorro Futuro Decimos'!$H$16,A265=""),"",IF(A265+1&gt;'F-Ahorro Futuro Decimos'!$H$16,'F-Ahorro Futuro Decimos'!$H$16,A265+1))</f>
        <v>264</v>
      </c>
      <c r="B266" s="122">
        <f>IFERROR(IF(DAY($A266)=DAY('F-Ahorro Futuro Decimos'!$H$15),'F-Ahorro Futuro Decimos'!$H$14,0),0)</f>
        <v>0</v>
      </c>
      <c r="C266" s="122">
        <f>IF(A266='F-Ahorro Futuro Decimos'!$H$18,'F-Ahorro Futuro Decimos'!$H$20,0)</f>
        <v>0</v>
      </c>
      <c r="D266" s="122">
        <f t="shared" si="4"/>
        <v>0</v>
      </c>
      <c r="E266" s="121">
        <f>ROUND(D266*'FR_Mantenimiento tasas'!$C$48/360,5)</f>
        <v>0</v>
      </c>
      <c r="F266" s="121">
        <f>ROUND(D266*'FR_Mantenimiento tasas'!$D$48/360,5)</f>
        <v>0</v>
      </c>
    </row>
    <row r="267" spans="1:6">
      <c r="A267" s="123">
        <f>IF(OR(A266='F-Ahorro Futuro Decimos'!$H$16,A266=""),"",IF(A266+1&gt;'F-Ahorro Futuro Decimos'!$H$16,'F-Ahorro Futuro Decimos'!$H$16,A266+1))</f>
        <v>265</v>
      </c>
      <c r="B267" s="122">
        <f>IFERROR(IF(DAY($A267)=DAY('F-Ahorro Futuro Decimos'!$H$15),'F-Ahorro Futuro Decimos'!$H$14,0),0)</f>
        <v>0</v>
      </c>
      <c r="C267" s="122">
        <f>IF(A267='F-Ahorro Futuro Decimos'!$H$18,'F-Ahorro Futuro Decimos'!$H$20,0)</f>
        <v>0</v>
      </c>
      <c r="D267" s="122">
        <f t="shared" si="4"/>
        <v>0</v>
      </c>
      <c r="E267" s="121">
        <f>ROUND(D267*'FR_Mantenimiento tasas'!$C$48/360,5)</f>
        <v>0</v>
      </c>
      <c r="F267" s="121">
        <f>ROUND(D267*'FR_Mantenimiento tasas'!$D$48/360,5)</f>
        <v>0</v>
      </c>
    </row>
    <row r="268" spans="1:6">
      <c r="A268" s="123">
        <f>IF(OR(A267='F-Ahorro Futuro Decimos'!$H$16,A267=""),"",IF(A267+1&gt;'F-Ahorro Futuro Decimos'!$H$16,'F-Ahorro Futuro Decimos'!$H$16,A267+1))</f>
        <v>266</v>
      </c>
      <c r="B268" s="122">
        <f>IFERROR(IF(DAY($A268)=DAY('F-Ahorro Futuro Decimos'!$H$15),'F-Ahorro Futuro Decimos'!$H$14,0),0)</f>
        <v>0</v>
      </c>
      <c r="C268" s="122">
        <f>IF(A268='F-Ahorro Futuro Decimos'!$H$18,'F-Ahorro Futuro Decimos'!$H$20,0)</f>
        <v>0</v>
      </c>
      <c r="D268" s="122">
        <f t="shared" si="4"/>
        <v>0</v>
      </c>
      <c r="E268" s="121">
        <f>ROUND(D268*'FR_Mantenimiento tasas'!$C$48/360,5)</f>
        <v>0</v>
      </c>
      <c r="F268" s="121">
        <f>ROUND(D268*'FR_Mantenimiento tasas'!$D$48/360,5)</f>
        <v>0</v>
      </c>
    </row>
    <row r="269" spans="1:6">
      <c r="A269" s="123">
        <f>IF(OR(A268='F-Ahorro Futuro Decimos'!$H$16,A268=""),"",IF(A268+1&gt;'F-Ahorro Futuro Decimos'!$H$16,'F-Ahorro Futuro Decimos'!$H$16,A268+1))</f>
        <v>267</v>
      </c>
      <c r="B269" s="122">
        <f>IFERROR(IF(DAY($A269)=DAY('F-Ahorro Futuro Decimos'!$H$15),'F-Ahorro Futuro Decimos'!$H$14,0),0)</f>
        <v>0</v>
      </c>
      <c r="C269" s="122">
        <f>IF(A269='F-Ahorro Futuro Decimos'!$H$18,'F-Ahorro Futuro Decimos'!$H$20,0)</f>
        <v>0</v>
      </c>
      <c r="D269" s="122">
        <f t="shared" si="4"/>
        <v>0</v>
      </c>
      <c r="E269" s="121">
        <f>ROUND(D269*'FR_Mantenimiento tasas'!$C$48/360,5)</f>
        <v>0</v>
      </c>
      <c r="F269" s="121">
        <f>ROUND(D269*'FR_Mantenimiento tasas'!$D$48/360,5)</f>
        <v>0</v>
      </c>
    </row>
    <row r="270" spans="1:6">
      <c r="A270" s="123">
        <f>IF(OR(A269='F-Ahorro Futuro Decimos'!$H$16,A269=""),"",IF(A269+1&gt;'F-Ahorro Futuro Decimos'!$H$16,'F-Ahorro Futuro Decimos'!$H$16,A269+1))</f>
        <v>268</v>
      </c>
      <c r="B270" s="122">
        <f>IFERROR(IF(DAY($A270)=DAY('F-Ahorro Futuro Decimos'!$H$15),'F-Ahorro Futuro Decimos'!$H$14,0),0)</f>
        <v>0</v>
      </c>
      <c r="C270" s="122">
        <f>IF(A270='F-Ahorro Futuro Decimos'!$H$18,'F-Ahorro Futuro Decimos'!$H$20,0)</f>
        <v>0</v>
      </c>
      <c r="D270" s="122">
        <f t="shared" si="4"/>
        <v>0</v>
      </c>
      <c r="E270" s="121">
        <f>ROUND(D270*'FR_Mantenimiento tasas'!$C$48/360,5)</f>
        <v>0</v>
      </c>
      <c r="F270" s="121">
        <f>ROUND(D270*'FR_Mantenimiento tasas'!$D$48/360,5)</f>
        <v>0</v>
      </c>
    </row>
    <row r="271" spans="1:6">
      <c r="A271" s="123">
        <f>IF(OR(A270='F-Ahorro Futuro Decimos'!$H$16,A270=""),"",IF(A270+1&gt;'F-Ahorro Futuro Decimos'!$H$16,'F-Ahorro Futuro Decimos'!$H$16,A270+1))</f>
        <v>269</v>
      </c>
      <c r="B271" s="122">
        <f>IFERROR(IF(DAY($A271)=DAY('F-Ahorro Futuro Decimos'!$H$15),'F-Ahorro Futuro Decimos'!$H$14,0),0)</f>
        <v>0</v>
      </c>
      <c r="C271" s="122">
        <f>IF(A271='F-Ahorro Futuro Decimos'!$H$18,'F-Ahorro Futuro Decimos'!$H$20,0)</f>
        <v>0</v>
      </c>
      <c r="D271" s="122">
        <f t="shared" si="4"/>
        <v>0</v>
      </c>
      <c r="E271" s="121">
        <f>ROUND(D271*'FR_Mantenimiento tasas'!$C$48/360,5)</f>
        <v>0</v>
      </c>
      <c r="F271" s="121">
        <f>ROUND(D271*'FR_Mantenimiento tasas'!$D$48/360,5)</f>
        <v>0</v>
      </c>
    </row>
    <row r="272" spans="1:6">
      <c r="A272" s="123">
        <f>IF(OR(A271='F-Ahorro Futuro Decimos'!$H$16,A271=""),"",IF(A271+1&gt;'F-Ahorro Futuro Decimos'!$H$16,'F-Ahorro Futuro Decimos'!$H$16,A271+1))</f>
        <v>270</v>
      </c>
      <c r="B272" s="122">
        <f>IFERROR(IF(DAY($A272)=DAY('F-Ahorro Futuro Decimos'!$H$15),'F-Ahorro Futuro Decimos'!$H$14,0),0)</f>
        <v>0</v>
      </c>
      <c r="C272" s="122">
        <f>IF(A272='F-Ahorro Futuro Decimos'!$H$18,'F-Ahorro Futuro Decimos'!$H$20,0)</f>
        <v>0</v>
      </c>
      <c r="D272" s="122">
        <f t="shared" si="4"/>
        <v>0</v>
      </c>
      <c r="E272" s="121">
        <f>ROUND(D272*'FR_Mantenimiento tasas'!$C$48/360,5)</f>
        <v>0</v>
      </c>
      <c r="F272" s="121">
        <f>ROUND(D272*'FR_Mantenimiento tasas'!$D$48/360,5)</f>
        <v>0</v>
      </c>
    </row>
    <row r="273" spans="1:6">
      <c r="A273" s="123">
        <f>IF(OR(A272='F-Ahorro Futuro Decimos'!$H$16,A272=""),"",IF(A272+1&gt;'F-Ahorro Futuro Decimos'!$H$16,'F-Ahorro Futuro Decimos'!$H$16,A272+1))</f>
        <v>271</v>
      </c>
      <c r="B273" s="122">
        <f>IFERROR(IF(DAY($A273)=DAY('F-Ahorro Futuro Decimos'!$H$15),'F-Ahorro Futuro Decimos'!$H$14,0),0)</f>
        <v>0</v>
      </c>
      <c r="C273" s="122">
        <f>IF(A273='F-Ahorro Futuro Decimos'!$H$18,'F-Ahorro Futuro Decimos'!$H$20,0)</f>
        <v>0</v>
      </c>
      <c r="D273" s="122">
        <f t="shared" si="4"/>
        <v>0</v>
      </c>
      <c r="E273" s="121">
        <f>ROUND(D273*'FR_Mantenimiento tasas'!$C$48/360,5)</f>
        <v>0</v>
      </c>
      <c r="F273" s="121">
        <f>ROUND(D273*'FR_Mantenimiento tasas'!$D$48/360,5)</f>
        <v>0</v>
      </c>
    </row>
    <row r="274" spans="1:6">
      <c r="A274" s="123">
        <f>IF(OR(A273='F-Ahorro Futuro Decimos'!$H$16,A273=""),"",IF(A273+1&gt;'F-Ahorro Futuro Decimos'!$H$16,'F-Ahorro Futuro Decimos'!$H$16,A273+1))</f>
        <v>272</v>
      </c>
      <c r="B274" s="122">
        <f>IFERROR(IF(DAY($A274)=DAY('F-Ahorro Futuro Decimos'!$H$15),'F-Ahorro Futuro Decimos'!$H$14,0),0)</f>
        <v>0</v>
      </c>
      <c r="C274" s="122">
        <f>IF(A274='F-Ahorro Futuro Decimos'!$H$18,'F-Ahorro Futuro Decimos'!$H$20,0)</f>
        <v>0</v>
      </c>
      <c r="D274" s="122">
        <f t="shared" si="4"/>
        <v>0</v>
      </c>
      <c r="E274" s="121">
        <f>ROUND(D274*'FR_Mantenimiento tasas'!$C$48/360,5)</f>
        <v>0</v>
      </c>
      <c r="F274" s="121">
        <f>ROUND(D274*'FR_Mantenimiento tasas'!$D$48/360,5)</f>
        <v>0</v>
      </c>
    </row>
    <row r="275" spans="1:6">
      <c r="A275" s="123">
        <f>IF(OR(A274='F-Ahorro Futuro Decimos'!$H$16,A274=""),"",IF(A274+1&gt;'F-Ahorro Futuro Decimos'!$H$16,'F-Ahorro Futuro Decimos'!$H$16,A274+1))</f>
        <v>273</v>
      </c>
      <c r="B275" s="122">
        <f>IFERROR(IF(DAY($A275)=DAY('F-Ahorro Futuro Decimos'!$H$15),'F-Ahorro Futuro Decimos'!$H$14,0),0)</f>
        <v>0</v>
      </c>
      <c r="C275" s="122">
        <f>IF(A275='F-Ahorro Futuro Decimos'!$H$18,'F-Ahorro Futuro Decimos'!$H$20,0)</f>
        <v>0</v>
      </c>
      <c r="D275" s="122">
        <f t="shared" si="4"/>
        <v>0</v>
      </c>
      <c r="E275" s="121">
        <f>ROUND(D275*'FR_Mantenimiento tasas'!$C$48/360,5)</f>
        <v>0</v>
      </c>
      <c r="F275" s="121">
        <f>ROUND(D275*'FR_Mantenimiento tasas'!$D$48/360,5)</f>
        <v>0</v>
      </c>
    </row>
    <row r="276" spans="1:6">
      <c r="A276" s="123">
        <f>IF(OR(A275='F-Ahorro Futuro Decimos'!$H$16,A275=""),"",IF(A275+1&gt;'F-Ahorro Futuro Decimos'!$H$16,'F-Ahorro Futuro Decimos'!$H$16,A275+1))</f>
        <v>274</v>
      </c>
      <c r="B276" s="122">
        <f>IFERROR(IF(DAY($A276)=DAY('F-Ahorro Futuro Decimos'!$H$15),'F-Ahorro Futuro Decimos'!$H$14,0),0)</f>
        <v>0</v>
      </c>
      <c r="C276" s="122">
        <f>IF(A276='F-Ahorro Futuro Decimos'!$H$18,'F-Ahorro Futuro Decimos'!$H$20,0)</f>
        <v>0</v>
      </c>
      <c r="D276" s="122">
        <f t="shared" si="4"/>
        <v>0</v>
      </c>
      <c r="E276" s="121">
        <f>ROUND(D276*'FR_Mantenimiento tasas'!$C$48/360,5)</f>
        <v>0</v>
      </c>
      <c r="F276" s="121">
        <f>ROUND(D276*'FR_Mantenimiento tasas'!$D$48/360,5)</f>
        <v>0</v>
      </c>
    </row>
    <row r="277" spans="1:6">
      <c r="A277" s="123">
        <f>IF(OR(A276='F-Ahorro Futuro Decimos'!$H$16,A276=""),"",IF(A276+1&gt;'F-Ahorro Futuro Decimos'!$H$16,'F-Ahorro Futuro Decimos'!$H$16,A276+1))</f>
        <v>275</v>
      </c>
      <c r="B277" s="122">
        <f>IFERROR(IF(DAY($A277)=DAY('F-Ahorro Futuro Decimos'!$H$15),'F-Ahorro Futuro Decimos'!$H$14,0),0)</f>
        <v>0</v>
      </c>
      <c r="C277" s="122">
        <f>IF(A277='F-Ahorro Futuro Decimos'!$H$18,'F-Ahorro Futuro Decimos'!$H$20,0)</f>
        <v>0</v>
      </c>
      <c r="D277" s="122">
        <f t="shared" si="4"/>
        <v>0</v>
      </c>
      <c r="E277" s="121">
        <f>ROUND(D277*'FR_Mantenimiento tasas'!$C$48/360,5)</f>
        <v>0</v>
      </c>
      <c r="F277" s="121">
        <f>ROUND(D277*'FR_Mantenimiento tasas'!$D$48/360,5)</f>
        <v>0</v>
      </c>
    </row>
    <row r="278" spans="1:6">
      <c r="A278" s="123">
        <f>IF(OR(A277='F-Ahorro Futuro Decimos'!$H$16,A277=""),"",IF(A277+1&gt;'F-Ahorro Futuro Decimos'!$H$16,'F-Ahorro Futuro Decimos'!$H$16,A277+1))</f>
        <v>276</v>
      </c>
      <c r="B278" s="122">
        <f>IFERROR(IF(DAY($A278)=DAY('F-Ahorro Futuro Decimos'!$H$15),'F-Ahorro Futuro Decimos'!$H$14,0),0)</f>
        <v>0</v>
      </c>
      <c r="C278" s="122">
        <f>IF(A278='F-Ahorro Futuro Decimos'!$H$18,'F-Ahorro Futuro Decimos'!$H$20,0)</f>
        <v>0</v>
      </c>
      <c r="D278" s="122">
        <f t="shared" si="4"/>
        <v>0</v>
      </c>
      <c r="E278" s="121">
        <f>ROUND(D278*'FR_Mantenimiento tasas'!$C$48/360,5)</f>
        <v>0</v>
      </c>
      <c r="F278" s="121">
        <f>ROUND(D278*'FR_Mantenimiento tasas'!$D$48/360,5)</f>
        <v>0</v>
      </c>
    </row>
    <row r="279" spans="1:6">
      <c r="A279" s="123">
        <f>IF(OR(A278='F-Ahorro Futuro Decimos'!$H$16,A278=""),"",IF(A278+1&gt;'F-Ahorro Futuro Decimos'!$H$16,'F-Ahorro Futuro Decimos'!$H$16,A278+1))</f>
        <v>277</v>
      </c>
      <c r="B279" s="122">
        <f>IFERROR(IF(DAY($A279)=DAY('F-Ahorro Futuro Decimos'!$H$15),'F-Ahorro Futuro Decimos'!$H$14,0),0)</f>
        <v>0</v>
      </c>
      <c r="C279" s="122">
        <f>IF(A279='F-Ahorro Futuro Decimos'!$H$18,'F-Ahorro Futuro Decimos'!$H$20,0)</f>
        <v>0</v>
      </c>
      <c r="D279" s="122">
        <f t="shared" si="4"/>
        <v>0</v>
      </c>
      <c r="E279" s="121">
        <f>ROUND(D279*'FR_Mantenimiento tasas'!$C$48/360,5)</f>
        <v>0</v>
      </c>
      <c r="F279" s="121">
        <f>ROUND(D279*'FR_Mantenimiento tasas'!$D$48/360,5)</f>
        <v>0</v>
      </c>
    </row>
    <row r="280" spans="1:6">
      <c r="A280" s="123">
        <f>IF(OR(A279='F-Ahorro Futuro Decimos'!$H$16,A279=""),"",IF(A279+1&gt;'F-Ahorro Futuro Decimos'!$H$16,'F-Ahorro Futuro Decimos'!$H$16,A279+1))</f>
        <v>278</v>
      </c>
      <c r="B280" s="122">
        <f>IFERROR(IF(DAY($A280)=DAY('F-Ahorro Futuro Decimos'!$H$15),'F-Ahorro Futuro Decimos'!$H$14,0),0)</f>
        <v>0</v>
      </c>
      <c r="C280" s="122">
        <f>IF(A280='F-Ahorro Futuro Decimos'!$H$18,'F-Ahorro Futuro Decimos'!$H$20,0)</f>
        <v>0</v>
      </c>
      <c r="D280" s="122">
        <f t="shared" si="4"/>
        <v>0</v>
      </c>
      <c r="E280" s="121">
        <f>ROUND(D280*'FR_Mantenimiento tasas'!$C$48/360,5)</f>
        <v>0</v>
      </c>
      <c r="F280" s="121">
        <f>ROUND(D280*'FR_Mantenimiento tasas'!$D$48/360,5)</f>
        <v>0</v>
      </c>
    </row>
    <row r="281" spans="1:6">
      <c r="A281" s="123">
        <f>IF(OR(A280='F-Ahorro Futuro Decimos'!$H$16,A280=""),"",IF(A280+1&gt;'F-Ahorro Futuro Decimos'!$H$16,'F-Ahorro Futuro Decimos'!$H$16,A280+1))</f>
        <v>279</v>
      </c>
      <c r="B281" s="122">
        <f>IFERROR(IF(DAY($A281)=DAY('F-Ahorro Futuro Decimos'!$H$15),'F-Ahorro Futuro Decimos'!$H$14,0),0)</f>
        <v>0</v>
      </c>
      <c r="C281" s="122">
        <f>IF(A281='F-Ahorro Futuro Decimos'!$H$18,'F-Ahorro Futuro Decimos'!$H$20,0)</f>
        <v>0</v>
      </c>
      <c r="D281" s="122">
        <f t="shared" si="4"/>
        <v>0</v>
      </c>
      <c r="E281" s="121">
        <f>ROUND(D281*'FR_Mantenimiento tasas'!$C$48/360,5)</f>
        <v>0</v>
      </c>
      <c r="F281" s="121">
        <f>ROUND(D281*'FR_Mantenimiento tasas'!$D$48/360,5)</f>
        <v>0</v>
      </c>
    </row>
    <row r="282" spans="1:6">
      <c r="A282" s="123">
        <f>IF(OR(A281='F-Ahorro Futuro Decimos'!$H$16,A281=""),"",IF(A281+1&gt;'F-Ahorro Futuro Decimos'!$H$16,'F-Ahorro Futuro Decimos'!$H$16,A281+1))</f>
        <v>280</v>
      </c>
      <c r="B282" s="122">
        <f>IFERROR(IF(DAY($A282)=DAY('F-Ahorro Futuro Decimos'!$H$15),'F-Ahorro Futuro Decimos'!$H$14,0),0)</f>
        <v>0</v>
      </c>
      <c r="C282" s="122">
        <f>IF(A282='F-Ahorro Futuro Decimos'!$H$18,'F-Ahorro Futuro Decimos'!$H$20,0)</f>
        <v>0</v>
      </c>
      <c r="D282" s="122">
        <f t="shared" si="4"/>
        <v>0</v>
      </c>
      <c r="E282" s="121">
        <f>ROUND(D282*'FR_Mantenimiento tasas'!$C$48/360,5)</f>
        <v>0</v>
      </c>
      <c r="F282" s="121">
        <f>ROUND(D282*'FR_Mantenimiento tasas'!$D$48/360,5)</f>
        <v>0</v>
      </c>
    </row>
    <row r="283" spans="1:6">
      <c r="A283" s="123">
        <f>IF(OR(A282='F-Ahorro Futuro Decimos'!$H$16,A282=""),"",IF(A282+1&gt;'F-Ahorro Futuro Decimos'!$H$16,'F-Ahorro Futuro Decimos'!$H$16,A282+1))</f>
        <v>281</v>
      </c>
      <c r="B283" s="122">
        <f>IFERROR(IF(DAY($A283)=DAY('F-Ahorro Futuro Decimos'!$H$15),'F-Ahorro Futuro Decimos'!$H$14,0),0)</f>
        <v>0</v>
      </c>
      <c r="C283" s="122">
        <f>IF(A283='F-Ahorro Futuro Decimos'!$H$18,'F-Ahorro Futuro Decimos'!$H$20,0)</f>
        <v>0</v>
      </c>
      <c r="D283" s="122">
        <f t="shared" si="4"/>
        <v>0</v>
      </c>
      <c r="E283" s="121">
        <f>ROUND(D283*'FR_Mantenimiento tasas'!$C$48/360,5)</f>
        <v>0</v>
      </c>
      <c r="F283" s="121">
        <f>ROUND(D283*'FR_Mantenimiento tasas'!$D$48/360,5)</f>
        <v>0</v>
      </c>
    </row>
    <row r="284" spans="1:6">
      <c r="A284" s="123">
        <f>IF(OR(A283='F-Ahorro Futuro Decimos'!$H$16,A283=""),"",IF(A283+1&gt;'F-Ahorro Futuro Decimos'!$H$16,'F-Ahorro Futuro Decimos'!$H$16,A283+1))</f>
        <v>282</v>
      </c>
      <c r="B284" s="122">
        <f>IFERROR(IF(DAY($A284)=DAY('F-Ahorro Futuro Decimos'!$H$15),'F-Ahorro Futuro Decimos'!$H$14,0),0)</f>
        <v>0</v>
      </c>
      <c r="C284" s="122">
        <f>IF(A284='F-Ahorro Futuro Decimos'!$H$18,'F-Ahorro Futuro Decimos'!$H$20,0)</f>
        <v>0</v>
      </c>
      <c r="D284" s="122">
        <f t="shared" si="4"/>
        <v>0</v>
      </c>
      <c r="E284" s="121">
        <f>ROUND(D284*'FR_Mantenimiento tasas'!$C$48/360,5)</f>
        <v>0</v>
      </c>
      <c r="F284" s="121">
        <f>ROUND(D284*'FR_Mantenimiento tasas'!$D$48/360,5)</f>
        <v>0</v>
      </c>
    </row>
    <row r="285" spans="1:6">
      <c r="A285" s="123">
        <f>IF(OR(A284='F-Ahorro Futuro Decimos'!$H$16,A284=""),"",IF(A284+1&gt;'F-Ahorro Futuro Decimos'!$H$16,'F-Ahorro Futuro Decimos'!$H$16,A284+1))</f>
        <v>283</v>
      </c>
      <c r="B285" s="122">
        <f>IFERROR(IF(DAY($A285)=DAY('F-Ahorro Futuro Decimos'!$H$15),'F-Ahorro Futuro Decimos'!$H$14,0),0)</f>
        <v>0</v>
      </c>
      <c r="C285" s="122">
        <f>IF(A285='F-Ahorro Futuro Decimos'!$H$18,'F-Ahorro Futuro Decimos'!$H$20,0)</f>
        <v>0</v>
      </c>
      <c r="D285" s="122">
        <f t="shared" si="4"/>
        <v>0</v>
      </c>
      <c r="E285" s="121">
        <f>ROUND(D285*'FR_Mantenimiento tasas'!$C$48/360,5)</f>
        <v>0</v>
      </c>
      <c r="F285" s="121">
        <f>ROUND(D285*'FR_Mantenimiento tasas'!$D$48/360,5)</f>
        <v>0</v>
      </c>
    </row>
    <row r="286" spans="1:6">
      <c r="A286" s="123">
        <f>IF(OR(A285='F-Ahorro Futuro Decimos'!$H$16,A285=""),"",IF(A285+1&gt;'F-Ahorro Futuro Decimos'!$H$16,'F-Ahorro Futuro Decimos'!$H$16,A285+1))</f>
        <v>284</v>
      </c>
      <c r="B286" s="122">
        <f>IFERROR(IF(DAY($A286)=DAY('F-Ahorro Futuro Decimos'!$H$15),'F-Ahorro Futuro Decimos'!$H$14,0),0)</f>
        <v>0</v>
      </c>
      <c r="C286" s="122">
        <f>IF(A286='F-Ahorro Futuro Decimos'!$H$18,'F-Ahorro Futuro Decimos'!$H$20,0)</f>
        <v>0</v>
      </c>
      <c r="D286" s="122">
        <f t="shared" si="4"/>
        <v>0</v>
      </c>
      <c r="E286" s="121">
        <f>ROUND(D286*'FR_Mantenimiento tasas'!$C$48/360,5)</f>
        <v>0</v>
      </c>
      <c r="F286" s="121">
        <f>ROUND(D286*'FR_Mantenimiento tasas'!$D$48/360,5)</f>
        <v>0</v>
      </c>
    </row>
    <row r="287" spans="1:6">
      <c r="A287" s="123">
        <f>IF(OR(A286='F-Ahorro Futuro Decimos'!$H$16,A286=""),"",IF(A286+1&gt;'F-Ahorro Futuro Decimos'!$H$16,'F-Ahorro Futuro Decimos'!$H$16,A286+1))</f>
        <v>285</v>
      </c>
      <c r="B287" s="122">
        <f>IFERROR(IF(DAY($A287)=DAY('F-Ahorro Futuro Decimos'!$H$15),'F-Ahorro Futuro Decimos'!$H$14,0),0)</f>
        <v>0</v>
      </c>
      <c r="C287" s="122">
        <f>IF(A287='F-Ahorro Futuro Decimos'!$H$18,'F-Ahorro Futuro Decimos'!$H$20,0)</f>
        <v>0</v>
      </c>
      <c r="D287" s="122">
        <f t="shared" si="4"/>
        <v>0</v>
      </c>
      <c r="E287" s="121">
        <f>ROUND(D287*'FR_Mantenimiento tasas'!$C$48/360,5)</f>
        <v>0</v>
      </c>
      <c r="F287" s="121">
        <f>ROUND(D287*'FR_Mantenimiento tasas'!$D$48/360,5)</f>
        <v>0</v>
      </c>
    </row>
    <row r="288" spans="1:6">
      <c r="A288" s="123">
        <f>IF(OR(A287='F-Ahorro Futuro Decimos'!$H$16,A287=""),"",IF(A287+1&gt;'F-Ahorro Futuro Decimos'!$H$16,'F-Ahorro Futuro Decimos'!$H$16,A287+1))</f>
        <v>286</v>
      </c>
      <c r="B288" s="122">
        <f>IFERROR(IF(DAY($A288)=DAY('F-Ahorro Futuro Decimos'!$H$15),'F-Ahorro Futuro Decimos'!$H$14,0),0)</f>
        <v>0</v>
      </c>
      <c r="C288" s="122">
        <f>IF(A288='F-Ahorro Futuro Decimos'!$H$18,'F-Ahorro Futuro Decimos'!$H$20,0)</f>
        <v>0</v>
      </c>
      <c r="D288" s="122">
        <f t="shared" si="4"/>
        <v>0</v>
      </c>
      <c r="E288" s="121">
        <f>ROUND(D288*'FR_Mantenimiento tasas'!$C$48/360,5)</f>
        <v>0</v>
      </c>
      <c r="F288" s="121">
        <f>ROUND(D288*'FR_Mantenimiento tasas'!$D$48/360,5)</f>
        <v>0</v>
      </c>
    </row>
    <row r="289" spans="1:6">
      <c r="A289" s="123">
        <f>IF(OR(A288='F-Ahorro Futuro Decimos'!$H$16,A288=""),"",IF(A288+1&gt;'F-Ahorro Futuro Decimos'!$H$16,'F-Ahorro Futuro Decimos'!$H$16,A288+1))</f>
        <v>287</v>
      </c>
      <c r="B289" s="122">
        <f>IFERROR(IF(DAY($A289)=DAY('F-Ahorro Futuro Decimos'!$H$15),'F-Ahorro Futuro Decimos'!$H$14,0),0)</f>
        <v>0</v>
      </c>
      <c r="C289" s="122">
        <f>IF(A289='F-Ahorro Futuro Decimos'!$H$18,'F-Ahorro Futuro Decimos'!$H$20,0)</f>
        <v>0</v>
      </c>
      <c r="D289" s="122">
        <f t="shared" si="4"/>
        <v>0</v>
      </c>
      <c r="E289" s="121">
        <f>ROUND(D289*'FR_Mantenimiento tasas'!$C$48/360,5)</f>
        <v>0</v>
      </c>
      <c r="F289" s="121">
        <f>ROUND(D289*'FR_Mantenimiento tasas'!$D$48/360,5)</f>
        <v>0</v>
      </c>
    </row>
    <row r="290" spans="1:6">
      <c r="A290" s="123">
        <f>IF(OR(A289='F-Ahorro Futuro Decimos'!$H$16,A289=""),"",IF(A289+1&gt;'F-Ahorro Futuro Decimos'!$H$16,'F-Ahorro Futuro Decimos'!$H$16,A289+1))</f>
        <v>288</v>
      </c>
      <c r="B290" s="122">
        <f>IFERROR(IF(DAY($A290)=DAY('F-Ahorro Futuro Decimos'!$H$15),'F-Ahorro Futuro Decimos'!$H$14,0),0)</f>
        <v>0</v>
      </c>
      <c r="C290" s="122">
        <f>IF(A290='F-Ahorro Futuro Decimos'!$H$18,'F-Ahorro Futuro Decimos'!$H$20,0)</f>
        <v>0</v>
      </c>
      <c r="D290" s="122">
        <f t="shared" si="4"/>
        <v>0</v>
      </c>
      <c r="E290" s="121">
        <f>ROUND(D290*'FR_Mantenimiento tasas'!$C$48/360,5)</f>
        <v>0</v>
      </c>
      <c r="F290" s="121">
        <f>ROUND(D290*'FR_Mantenimiento tasas'!$D$48/360,5)</f>
        <v>0</v>
      </c>
    </row>
    <row r="291" spans="1:6">
      <c r="A291" s="123">
        <f>IF(OR(A290='F-Ahorro Futuro Decimos'!$H$16,A290=""),"",IF(A290+1&gt;'F-Ahorro Futuro Decimos'!$H$16,'F-Ahorro Futuro Decimos'!$H$16,A290+1))</f>
        <v>289</v>
      </c>
      <c r="B291" s="122">
        <f>IFERROR(IF(DAY($A291)=DAY('F-Ahorro Futuro Decimos'!$H$15),'F-Ahorro Futuro Decimos'!$H$14,0),0)</f>
        <v>0</v>
      </c>
      <c r="C291" s="122">
        <f>IF(A291='F-Ahorro Futuro Decimos'!$H$18,'F-Ahorro Futuro Decimos'!$H$20,0)</f>
        <v>0</v>
      </c>
      <c r="D291" s="122">
        <f t="shared" si="4"/>
        <v>0</v>
      </c>
      <c r="E291" s="121">
        <f>ROUND(D291*'FR_Mantenimiento tasas'!$C$48/360,5)</f>
        <v>0</v>
      </c>
      <c r="F291" s="121">
        <f>ROUND(D291*'FR_Mantenimiento tasas'!$D$48/360,5)</f>
        <v>0</v>
      </c>
    </row>
    <row r="292" spans="1:6">
      <c r="A292" s="123">
        <f>IF(OR(A291='F-Ahorro Futuro Decimos'!$H$16,A291=""),"",IF(A291+1&gt;'F-Ahorro Futuro Decimos'!$H$16,'F-Ahorro Futuro Decimos'!$H$16,A291+1))</f>
        <v>290</v>
      </c>
      <c r="B292" s="122">
        <f>IFERROR(IF(DAY($A292)=DAY('F-Ahorro Futuro Decimos'!$H$15),'F-Ahorro Futuro Decimos'!$H$14,0),0)</f>
        <v>0</v>
      </c>
      <c r="C292" s="122">
        <f>IF(A292='F-Ahorro Futuro Decimos'!$H$18,'F-Ahorro Futuro Decimos'!$H$20,0)</f>
        <v>0</v>
      </c>
      <c r="D292" s="122">
        <f t="shared" si="4"/>
        <v>0</v>
      </c>
      <c r="E292" s="121">
        <f>ROUND(D292*'FR_Mantenimiento tasas'!$C$48/360,5)</f>
        <v>0</v>
      </c>
      <c r="F292" s="121">
        <f>ROUND(D292*'FR_Mantenimiento tasas'!$D$48/360,5)</f>
        <v>0</v>
      </c>
    </row>
    <row r="293" spans="1:6">
      <c r="A293" s="123">
        <f>IF(OR(A292='F-Ahorro Futuro Decimos'!$H$16,A292=""),"",IF(A292+1&gt;'F-Ahorro Futuro Decimos'!$H$16,'F-Ahorro Futuro Decimos'!$H$16,A292+1))</f>
        <v>291</v>
      </c>
      <c r="B293" s="122">
        <f>IFERROR(IF(DAY($A293)=DAY('F-Ahorro Futuro Decimos'!$H$15),'F-Ahorro Futuro Decimos'!$H$14,0),0)</f>
        <v>0</v>
      </c>
      <c r="C293" s="122">
        <f>IF(A293='F-Ahorro Futuro Decimos'!$H$18,'F-Ahorro Futuro Decimos'!$H$20,0)</f>
        <v>0</v>
      </c>
      <c r="D293" s="122">
        <f t="shared" si="4"/>
        <v>0</v>
      </c>
      <c r="E293" s="121">
        <f>ROUND(D293*'FR_Mantenimiento tasas'!$C$48/360,5)</f>
        <v>0</v>
      </c>
      <c r="F293" s="121">
        <f>ROUND(D293*'FR_Mantenimiento tasas'!$D$48/360,5)</f>
        <v>0</v>
      </c>
    </row>
    <row r="294" spans="1:6">
      <c r="A294" s="123">
        <f>IF(OR(A293='F-Ahorro Futuro Decimos'!$H$16,A293=""),"",IF(A293+1&gt;'F-Ahorro Futuro Decimos'!$H$16,'F-Ahorro Futuro Decimos'!$H$16,A293+1))</f>
        <v>292</v>
      </c>
      <c r="B294" s="122">
        <f>IFERROR(IF(DAY($A294)=DAY('F-Ahorro Futuro Decimos'!$H$15),'F-Ahorro Futuro Decimos'!$H$14,0),0)</f>
        <v>0</v>
      </c>
      <c r="C294" s="122">
        <f>IF(A294='F-Ahorro Futuro Decimos'!$H$18,'F-Ahorro Futuro Decimos'!$H$20,0)</f>
        <v>0</v>
      </c>
      <c r="D294" s="122">
        <f t="shared" si="4"/>
        <v>0</v>
      </c>
      <c r="E294" s="121">
        <f>ROUND(D294*'FR_Mantenimiento tasas'!$C$48/360,5)</f>
        <v>0</v>
      </c>
      <c r="F294" s="121">
        <f>ROUND(D294*'FR_Mantenimiento tasas'!$D$48/360,5)</f>
        <v>0</v>
      </c>
    </row>
    <row r="295" spans="1:6">
      <c r="A295" s="123">
        <f>IF(OR(A294='F-Ahorro Futuro Decimos'!$H$16,A294=""),"",IF(A294+1&gt;'F-Ahorro Futuro Decimos'!$H$16,'F-Ahorro Futuro Decimos'!$H$16,A294+1))</f>
        <v>293</v>
      </c>
      <c r="B295" s="122">
        <f>IFERROR(IF(DAY($A295)=DAY('F-Ahorro Futuro Decimos'!$H$15),'F-Ahorro Futuro Decimos'!$H$14,0),0)</f>
        <v>0</v>
      </c>
      <c r="C295" s="122">
        <f>IF(A295='F-Ahorro Futuro Decimos'!$H$18,'F-Ahorro Futuro Decimos'!$H$20,0)</f>
        <v>0</v>
      </c>
      <c r="D295" s="122">
        <f t="shared" si="4"/>
        <v>0</v>
      </c>
      <c r="E295" s="121">
        <f>ROUND(D295*'FR_Mantenimiento tasas'!$C$48/360,5)</f>
        <v>0</v>
      </c>
      <c r="F295" s="121">
        <f>ROUND(D295*'FR_Mantenimiento tasas'!$D$48/360,5)</f>
        <v>0</v>
      </c>
    </row>
    <row r="296" spans="1:6">
      <c r="A296" s="123">
        <f>IF(OR(A295='F-Ahorro Futuro Decimos'!$H$16,A295=""),"",IF(A295+1&gt;'F-Ahorro Futuro Decimos'!$H$16,'F-Ahorro Futuro Decimos'!$H$16,A295+1))</f>
        <v>294</v>
      </c>
      <c r="B296" s="122">
        <f>IFERROR(IF(DAY($A296)=DAY('F-Ahorro Futuro Decimos'!$H$15),'F-Ahorro Futuro Decimos'!$H$14,0),0)</f>
        <v>0</v>
      </c>
      <c r="C296" s="122">
        <f>IF(A296='F-Ahorro Futuro Decimos'!$H$18,'F-Ahorro Futuro Decimos'!$H$20,0)</f>
        <v>0</v>
      </c>
      <c r="D296" s="122">
        <f t="shared" si="4"/>
        <v>0</v>
      </c>
      <c r="E296" s="121">
        <f>ROUND(D296*'FR_Mantenimiento tasas'!$C$48/360,5)</f>
        <v>0</v>
      </c>
      <c r="F296" s="121">
        <f>ROUND(D296*'FR_Mantenimiento tasas'!$D$48/360,5)</f>
        <v>0</v>
      </c>
    </row>
    <row r="297" spans="1:6">
      <c r="A297" s="123">
        <f>IF(OR(A296='F-Ahorro Futuro Decimos'!$H$16,A296=""),"",IF(A296+1&gt;'F-Ahorro Futuro Decimos'!$H$16,'F-Ahorro Futuro Decimos'!$H$16,A296+1))</f>
        <v>295</v>
      </c>
      <c r="B297" s="122">
        <f>IFERROR(IF(DAY($A297)=DAY('F-Ahorro Futuro Decimos'!$H$15),'F-Ahorro Futuro Decimos'!$H$14,0),0)</f>
        <v>0</v>
      </c>
      <c r="C297" s="122">
        <f>IF(A297='F-Ahorro Futuro Decimos'!$H$18,'F-Ahorro Futuro Decimos'!$H$20,0)</f>
        <v>0</v>
      </c>
      <c r="D297" s="122">
        <f t="shared" si="4"/>
        <v>0</v>
      </c>
      <c r="E297" s="121">
        <f>ROUND(D297*'FR_Mantenimiento tasas'!$C$48/360,5)</f>
        <v>0</v>
      </c>
      <c r="F297" s="121">
        <f>ROUND(D297*'FR_Mantenimiento tasas'!$D$48/360,5)</f>
        <v>0</v>
      </c>
    </row>
    <row r="298" spans="1:6">
      <c r="A298" s="123">
        <f>IF(OR(A297='F-Ahorro Futuro Decimos'!$H$16,A297=""),"",IF(A297+1&gt;'F-Ahorro Futuro Decimos'!$H$16,'F-Ahorro Futuro Decimos'!$H$16,A297+1))</f>
        <v>296</v>
      </c>
      <c r="B298" s="122">
        <f>IFERROR(IF(DAY($A298)=DAY('F-Ahorro Futuro Decimos'!$H$15),'F-Ahorro Futuro Decimos'!$H$14,0),0)</f>
        <v>0</v>
      </c>
      <c r="C298" s="122">
        <f>IF(A298='F-Ahorro Futuro Decimos'!$H$18,'F-Ahorro Futuro Decimos'!$H$20,0)</f>
        <v>0</v>
      </c>
      <c r="D298" s="122">
        <f t="shared" si="4"/>
        <v>0</v>
      </c>
      <c r="E298" s="121">
        <f>ROUND(D298*'FR_Mantenimiento tasas'!$C$48/360,5)</f>
        <v>0</v>
      </c>
      <c r="F298" s="121">
        <f>ROUND(D298*'FR_Mantenimiento tasas'!$D$48/360,5)</f>
        <v>0</v>
      </c>
    </row>
    <row r="299" spans="1:6">
      <c r="A299" s="123">
        <f>IF(OR(A298='F-Ahorro Futuro Decimos'!$H$16,A298=""),"",IF(A298+1&gt;'F-Ahorro Futuro Decimos'!$H$16,'F-Ahorro Futuro Decimos'!$H$16,A298+1))</f>
        <v>297</v>
      </c>
      <c r="B299" s="122">
        <f>IFERROR(IF(DAY($A299)=DAY('F-Ahorro Futuro Decimos'!$H$15),'F-Ahorro Futuro Decimos'!$H$14,0),0)</f>
        <v>0</v>
      </c>
      <c r="C299" s="122">
        <f>IF(A299='F-Ahorro Futuro Decimos'!$H$18,'F-Ahorro Futuro Decimos'!$H$20,0)</f>
        <v>0</v>
      </c>
      <c r="D299" s="122">
        <f t="shared" si="4"/>
        <v>0</v>
      </c>
      <c r="E299" s="121">
        <f>ROUND(D299*'FR_Mantenimiento tasas'!$C$48/360,5)</f>
        <v>0</v>
      </c>
      <c r="F299" s="121">
        <f>ROUND(D299*'FR_Mantenimiento tasas'!$D$48/360,5)</f>
        <v>0</v>
      </c>
    </row>
    <row r="300" spans="1:6">
      <c r="A300" s="123">
        <f>IF(OR(A299='F-Ahorro Futuro Decimos'!$H$16,A299=""),"",IF(A299+1&gt;'F-Ahorro Futuro Decimos'!$H$16,'F-Ahorro Futuro Decimos'!$H$16,A299+1))</f>
        <v>298</v>
      </c>
      <c r="B300" s="122">
        <f>IFERROR(IF(DAY($A300)=DAY('F-Ahorro Futuro Decimos'!$H$15),'F-Ahorro Futuro Decimos'!$H$14,0),0)</f>
        <v>0</v>
      </c>
      <c r="C300" s="122">
        <f>IF(A300='F-Ahorro Futuro Decimos'!$H$18,'F-Ahorro Futuro Decimos'!$H$20,0)</f>
        <v>0</v>
      </c>
      <c r="D300" s="122">
        <f t="shared" si="4"/>
        <v>0</v>
      </c>
      <c r="E300" s="121">
        <f>ROUND(D300*'FR_Mantenimiento tasas'!$C$48/360,5)</f>
        <v>0</v>
      </c>
      <c r="F300" s="121">
        <f>ROUND(D300*'FR_Mantenimiento tasas'!$D$48/360,5)</f>
        <v>0</v>
      </c>
    </row>
    <row r="301" spans="1:6">
      <c r="A301" s="123">
        <f>IF(OR(A300='F-Ahorro Futuro Decimos'!$H$16,A300=""),"",IF(A300+1&gt;'F-Ahorro Futuro Decimos'!$H$16,'F-Ahorro Futuro Decimos'!$H$16,A300+1))</f>
        <v>299</v>
      </c>
      <c r="B301" s="122">
        <f>IFERROR(IF(DAY($A301)=DAY('F-Ahorro Futuro Decimos'!$H$15),'F-Ahorro Futuro Decimos'!$H$14,0),0)</f>
        <v>0</v>
      </c>
      <c r="C301" s="122">
        <f>IF(A301='F-Ahorro Futuro Decimos'!$H$18,'F-Ahorro Futuro Decimos'!$H$20,0)</f>
        <v>0</v>
      </c>
      <c r="D301" s="122">
        <f t="shared" si="4"/>
        <v>0</v>
      </c>
      <c r="E301" s="121">
        <f>ROUND(D301*'FR_Mantenimiento tasas'!$C$48/360,5)</f>
        <v>0</v>
      </c>
      <c r="F301" s="121">
        <f>ROUND(D301*'FR_Mantenimiento tasas'!$D$48/360,5)</f>
        <v>0</v>
      </c>
    </row>
    <row r="302" spans="1:6">
      <c r="A302" s="123">
        <f>IF(OR(A301='F-Ahorro Futuro Decimos'!$H$16,A301=""),"",IF(A301+1&gt;'F-Ahorro Futuro Decimos'!$H$16,'F-Ahorro Futuro Decimos'!$H$16,A301+1))</f>
        <v>300</v>
      </c>
      <c r="B302" s="122">
        <f>IFERROR(IF(DAY($A302)=DAY('F-Ahorro Futuro Decimos'!$H$15),'F-Ahorro Futuro Decimos'!$H$14,0),0)</f>
        <v>0</v>
      </c>
      <c r="C302" s="122">
        <f>IF(A302='F-Ahorro Futuro Decimos'!$H$18,'F-Ahorro Futuro Decimos'!$H$20,0)</f>
        <v>0</v>
      </c>
      <c r="D302" s="122">
        <f t="shared" si="4"/>
        <v>0</v>
      </c>
      <c r="E302" s="121">
        <f>ROUND(D302*'FR_Mantenimiento tasas'!$C$48/360,5)</f>
        <v>0</v>
      </c>
      <c r="F302" s="121">
        <f>ROUND(D302*'FR_Mantenimiento tasas'!$D$48/360,5)</f>
        <v>0</v>
      </c>
    </row>
    <row r="303" spans="1:6">
      <c r="A303" s="123">
        <f>IF(OR(A302='F-Ahorro Futuro Decimos'!$H$16,A302=""),"",IF(A302+1&gt;'F-Ahorro Futuro Decimos'!$H$16,'F-Ahorro Futuro Decimos'!$H$16,A302+1))</f>
        <v>301</v>
      </c>
      <c r="B303" s="122">
        <f>IFERROR(IF(DAY($A303)=DAY('F-Ahorro Futuro Decimos'!$H$15),'F-Ahorro Futuro Decimos'!$H$14,0),0)</f>
        <v>0</v>
      </c>
      <c r="C303" s="122">
        <f>IF(A303='F-Ahorro Futuro Decimos'!$H$18,'F-Ahorro Futuro Decimos'!$H$20,0)</f>
        <v>0</v>
      </c>
      <c r="D303" s="122">
        <f t="shared" si="4"/>
        <v>0</v>
      </c>
      <c r="E303" s="121">
        <f>ROUND(D303*'FR_Mantenimiento tasas'!$C$48/360,5)</f>
        <v>0</v>
      </c>
      <c r="F303" s="121">
        <f>ROUND(D303*'FR_Mantenimiento tasas'!$D$48/360,5)</f>
        <v>0</v>
      </c>
    </row>
    <row r="304" spans="1:6">
      <c r="A304" s="123">
        <f>IF(OR(A303='F-Ahorro Futuro Decimos'!$H$16,A303=""),"",IF(A303+1&gt;'F-Ahorro Futuro Decimos'!$H$16,'F-Ahorro Futuro Decimos'!$H$16,A303+1))</f>
        <v>302</v>
      </c>
      <c r="B304" s="122">
        <f>IFERROR(IF(DAY($A304)=DAY('F-Ahorro Futuro Decimos'!$H$15),'F-Ahorro Futuro Decimos'!$H$14,0),0)</f>
        <v>0</v>
      </c>
      <c r="C304" s="122">
        <f>IF(A304='F-Ahorro Futuro Decimos'!$H$18,'F-Ahorro Futuro Decimos'!$H$20,0)</f>
        <v>0</v>
      </c>
      <c r="D304" s="122">
        <f t="shared" si="4"/>
        <v>0</v>
      </c>
      <c r="E304" s="121">
        <f>ROUND(D304*'FR_Mantenimiento tasas'!$C$48/360,5)</f>
        <v>0</v>
      </c>
      <c r="F304" s="121">
        <f>ROUND(D304*'FR_Mantenimiento tasas'!$D$48/360,5)</f>
        <v>0</v>
      </c>
    </row>
    <row r="305" spans="1:6">
      <c r="A305" s="123">
        <f>IF(OR(A304='F-Ahorro Futuro Decimos'!$H$16,A304=""),"",IF(A304+1&gt;'F-Ahorro Futuro Decimos'!$H$16,'F-Ahorro Futuro Decimos'!$H$16,A304+1))</f>
        <v>303</v>
      </c>
      <c r="B305" s="122">
        <f>IFERROR(IF(DAY($A305)=DAY('F-Ahorro Futuro Decimos'!$H$15),'F-Ahorro Futuro Decimos'!$H$14,0),0)</f>
        <v>0</v>
      </c>
      <c r="C305" s="122">
        <f>IF(A305='F-Ahorro Futuro Decimos'!$H$18,'F-Ahorro Futuro Decimos'!$H$20,0)</f>
        <v>0</v>
      </c>
      <c r="D305" s="122">
        <f t="shared" si="4"/>
        <v>0</v>
      </c>
      <c r="E305" s="121">
        <f>ROUND(D305*'FR_Mantenimiento tasas'!$C$48/360,5)</f>
        <v>0</v>
      </c>
      <c r="F305" s="121">
        <f>ROUND(D305*'FR_Mantenimiento tasas'!$D$48/360,5)</f>
        <v>0</v>
      </c>
    </row>
    <row r="306" spans="1:6">
      <c r="A306" s="123">
        <f>IF(OR(A305='F-Ahorro Futuro Decimos'!$H$16,A305=""),"",IF(A305+1&gt;'F-Ahorro Futuro Decimos'!$H$16,'F-Ahorro Futuro Decimos'!$H$16,A305+1))</f>
        <v>304</v>
      </c>
      <c r="B306" s="122">
        <f>IFERROR(IF(DAY($A306)=DAY('F-Ahorro Futuro Decimos'!$H$15),'F-Ahorro Futuro Decimos'!$H$14,0),0)</f>
        <v>0</v>
      </c>
      <c r="C306" s="122">
        <f>IF(A306='F-Ahorro Futuro Decimos'!$H$18,'F-Ahorro Futuro Decimos'!$H$20,0)</f>
        <v>0</v>
      </c>
      <c r="D306" s="122">
        <f>+B306+D305+E305-C306</f>
        <v>0</v>
      </c>
      <c r="E306" s="121">
        <f>ROUND(D306*'FR_Mantenimiento tasas'!$C$48/360,5)</f>
        <v>0</v>
      </c>
      <c r="F306" s="121">
        <f>ROUND(D306*'FR_Mantenimiento tasas'!$D$48/360,5)</f>
        <v>0</v>
      </c>
    </row>
    <row r="307" spans="1:6">
      <c r="A307" s="123">
        <f>IF(OR(A306='F-Ahorro Futuro Decimos'!$H$16,A306=""),"",IF(A306+1&gt;'F-Ahorro Futuro Decimos'!$H$16,'F-Ahorro Futuro Decimos'!$H$16,A306+1))</f>
        <v>305</v>
      </c>
      <c r="B307" s="122">
        <f>IFERROR(IF(DAY($A307)=DAY('F-Ahorro Futuro Decimos'!$H$15),'F-Ahorro Futuro Decimos'!$H$14,0),0)</f>
        <v>0</v>
      </c>
      <c r="C307" s="122">
        <f>IF(A307='F-Ahorro Futuro Decimos'!$H$18,'F-Ahorro Futuro Decimos'!$H$20,0)</f>
        <v>0</v>
      </c>
      <c r="D307" s="122">
        <f t="shared" si="4"/>
        <v>0</v>
      </c>
      <c r="E307" s="121">
        <f>ROUND(D307*'FR_Mantenimiento tasas'!$C$48/360,5)</f>
        <v>0</v>
      </c>
      <c r="F307" s="121">
        <f>ROUND(D307*'FR_Mantenimiento tasas'!$D$48/360,5)</f>
        <v>0</v>
      </c>
    </row>
    <row r="308" spans="1:6">
      <c r="A308" s="123">
        <f>IF(OR(A307='F-Ahorro Futuro Decimos'!$H$16,A307=""),"",IF(A307+1&gt;'F-Ahorro Futuro Decimos'!$H$16,'F-Ahorro Futuro Decimos'!$H$16,A307+1))</f>
        <v>306</v>
      </c>
      <c r="B308" s="122">
        <f>IFERROR(IF(DAY($A308)=DAY('F-Ahorro Futuro Decimos'!$H$15),'F-Ahorro Futuro Decimos'!$H$14,0),0)</f>
        <v>0</v>
      </c>
      <c r="C308" s="122">
        <f>IF(A308='F-Ahorro Futuro Decimos'!$H$18,'F-Ahorro Futuro Decimos'!$H$20,0)</f>
        <v>0</v>
      </c>
      <c r="D308" s="122">
        <f t="shared" si="4"/>
        <v>0</v>
      </c>
      <c r="E308" s="121">
        <f>ROUND(D308*'FR_Mantenimiento tasas'!$C$48/360,5)</f>
        <v>0</v>
      </c>
      <c r="F308" s="121">
        <f>ROUND(D308*'FR_Mantenimiento tasas'!$D$48/360,5)</f>
        <v>0</v>
      </c>
    </row>
    <row r="309" spans="1:6">
      <c r="A309" s="123">
        <f>IF(OR(A308='F-Ahorro Futuro Decimos'!$H$16,A308=""),"",IF(A308+1&gt;'F-Ahorro Futuro Decimos'!$H$16,'F-Ahorro Futuro Decimos'!$H$16,A308+1))</f>
        <v>307</v>
      </c>
      <c r="B309" s="122">
        <f>IFERROR(IF(DAY($A309)=DAY('F-Ahorro Futuro Decimos'!$H$15),'F-Ahorro Futuro Decimos'!$H$14,0),0)</f>
        <v>0</v>
      </c>
      <c r="C309" s="122">
        <f>IF(A309='F-Ahorro Futuro Decimos'!$H$18,'F-Ahorro Futuro Decimos'!$H$20,0)</f>
        <v>0</v>
      </c>
      <c r="D309" s="122">
        <f t="shared" si="4"/>
        <v>0</v>
      </c>
      <c r="E309" s="121">
        <f>ROUND(D309*'FR_Mantenimiento tasas'!$C$48/360,5)</f>
        <v>0</v>
      </c>
      <c r="F309" s="121">
        <f>ROUND(D309*'FR_Mantenimiento tasas'!$D$48/360,5)</f>
        <v>0</v>
      </c>
    </row>
    <row r="310" spans="1:6">
      <c r="A310" s="123">
        <f>IF(OR(A309='F-Ahorro Futuro Decimos'!$H$16,A309=""),"",IF(A309+1&gt;'F-Ahorro Futuro Decimos'!$H$16,'F-Ahorro Futuro Decimos'!$H$16,A309+1))</f>
        <v>308</v>
      </c>
      <c r="B310" s="122">
        <f>IFERROR(IF(DAY($A310)=DAY('F-Ahorro Futuro Decimos'!$H$15),'F-Ahorro Futuro Decimos'!$H$14,0),0)</f>
        <v>0</v>
      </c>
      <c r="C310" s="122">
        <f>IF(A310='F-Ahorro Futuro Decimos'!$H$18,'F-Ahorro Futuro Decimos'!$H$20,0)</f>
        <v>0</v>
      </c>
      <c r="D310" s="122">
        <f t="shared" si="4"/>
        <v>0</v>
      </c>
      <c r="E310" s="121">
        <f>ROUND(D310*'FR_Mantenimiento tasas'!$C$48/360,5)</f>
        <v>0</v>
      </c>
      <c r="F310" s="121">
        <f>ROUND(D310*'FR_Mantenimiento tasas'!$D$48/360,5)</f>
        <v>0</v>
      </c>
    </row>
    <row r="311" spans="1:6">
      <c r="A311" s="123">
        <f>IF(OR(A310='F-Ahorro Futuro Decimos'!$H$16,A310=""),"",IF(A310+1&gt;'F-Ahorro Futuro Decimos'!$H$16,'F-Ahorro Futuro Decimos'!$H$16,A310+1))</f>
        <v>309</v>
      </c>
      <c r="B311" s="122">
        <f>IFERROR(IF(DAY($A311)=DAY('F-Ahorro Futuro Decimos'!$H$15),'F-Ahorro Futuro Decimos'!$H$14,0),0)</f>
        <v>0</v>
      </c>
      <c r="C311" s="122">
        <f>IF(A311='F-Ahorro Futuro Decimos'!$H$18,'F-Ahorro Futuro Decimos'!$H$20,0)</f>
        <v>0</v>
      </c>
      <c r="D311" s="122">
        <f t="shared" si="4"/>
        <v>0</v>
      </c>
      <c r="E311" s="121">
        <f>ROUND(D311*'FR_Mantenimiento tasas'!$C$48/360,5)</f>
        <v>0</v>
      </c>
      <c r="F311" s="121">
        <f>ROUND(D311*'FR_Mantenimiento tasas'!$D$48/360,5)</f>
        <v>0</v>
      </c>
    </row>
    <row r="312" spans="1:6">
      <c r="A312" s="123">
        <f>IF(OR(A311='F-Ahorro Futuro Decimos'!$H$16,A311=""),"",IF(A311+1&gt;'F-Ahorro Futuro Decimos'!$H$16,'F-Ahorro Futuro Decimos'!$H$16,A311+1))</f>
        <v>310</v>
      </c>
      <c r="B312" s="122">
        <f>IFERROR(IF(DAY($A312)=DAY('F-Ahorro Futuro Decimos'!$H$15),'F-Ahorro Futuro Decimos'!$H$14,0),0)</f>
        <v>0</v>
      </c>
      <c r="C312" s="122">
        <f>IF(A312='F-Ahorro Futuro Decimos'!$H$18,'F-Ahorro Futuro Decimos'!$H$20,0)</f>
        <v>0</v>
      </c>
      <c r="D312" s="122">
        <f t="shared" si="4"/>
        <v>0</v>
      </c>
      <c r="E312" s="121">
        <f>ROUND(D312*'FR_Mantenimiento tasas'!$C$48/360,5)</f>
        <v>0</v>
      </c>
      <c r="F312" s="121">
        <f>ROUND(D312*'FR_Mantenimiento tasas'!$D$48/360,5)</f>
        <v>0</v>
      </c>
    </row>
    <row r="313" spans="1:6">
      <c r="A313" s="123">
        <f>IF(OR(A312='F-Ahorro Futuro Decimos'!$H$16,A312=""),"",IF(A312+1&gt;'F-Ahorro Futuro Decimos'!$H$16,'F-Ahorro Futuro Decimos'!$H$16,A312+1))</f>
        <v>311</v>
      </c>
      <c r="B313" s="122">
        <f>IFERROR(IF(DAY($A313)=DAY('F-Ahorro Futuro Decimos'!$H$15),'F-Ahorro Futuro Decimos'!$H$14,0),0)</f>
        <v>0</v>
      </c>
      <c r="C313" s="122">
        <f>IF(A313='F-Ahorro Futuro Decimos'!$H$18,'F-Ahorro Futuro Decimos'!$H$20,0)</f>
        <v>0</v>
      </c>
      <c r="D313" s="122">
        <f t="shared" si="4"/>
        <v>0</v>
      </c>
      <c r="E313" s="121">
        <f>ROUND(D313*'FR_Mantenimiento tasas'!$C$48/360,5)</f>
        <v>0</v>
      </c>
      <c r="F313" s="121">
        <f>ROUND(D313*'FR_Mantenimiento tasas'!$D$48/360,5)</f>
        <v>0</v>
      </c>
    </row>
    <row r="314" spans="1:6">
      <c r="A314" s="123">
        <f>IF(OR(A313='F-Ahorro Futuro Decimos'!$H$16,A313=""),"",IF(A313+1&gt;'F-Ahorro Futuro Decimos'!$H$16,'F-Ahorro Futuro Decimos'!$H$16,A313+1))</f>
        <v>312</v>
      </c>
      <c r="B314" s="122">
        <f>IFERROR(IF(DAY($A314)=DAY('F-Ahorro Futuro Decimos'!$H$15),'F-Ahorro Futuro Decimos'!$H$14,0),0)</f>
        <v>0</v>
      </c>
      <c r="C314" s="122">
        <f>IF(A314='F-Ahorro Futuro Decimos'!$H$18,'F-Ahorro Futuro Decimos'!$H$20,0)</f>
        <v>0</v>
      </c>
      <c r="D314" s="122">
        <f t="shared" si="4"/>
        <v>0</v>
      </c>
      <c r="E314" s="121">
        <f>ROUND(D314*'FR_Mantenimiento tasas'!$C$48/360,5)</f>
        <v>0</v>
      </c>
      <c r="F314" s="121">
        <f>ROUND(D314*'FR_Mantenimiento tasas'!$D$48/360,5)</f>
        <v>0</v>
      </c>
    </row>
    <row r="315" spans="1:6">
      <c r="A315" s="123">
        <f>IF(OR(A314='F-Ahorro Futuro Decimos'!$H$16,A314=""),"",IF(A314+1&gt;'F-Ahorro Futuro Decimos'!$H$16,'F-Ahorro Futuro Decimos'!$H$16,A314+1))</f>
        <v>313</v>
      </c>
      <c r="B315" s="122">
        <f>IFERROR(IF(DAY($A315)=DAY('F-Ahorro Futuro Decimos'!$H$15),'F-Ahorro Futuro Decimos'!$H$14,0),0)</f>
        <v>0</v>
      </c>
      <c r="C315" s="122">
        <f>IF(A315='F-Ahorro Futuro Decimos'!$H$18,'F-Ahorro Futuro Decimos'!$H$20,0)</f>
        <v>0</v>
      </c>
      <c r="D315" s="122">
        <f t="shared" si="4"/>
        <v>0</v>
      </c>
      <c r="E315" s="121">
        <f>ROUND(D315*'FR_Mantenimiento tasas'!$C$48/360,5)</f>
        <v>0</v>
      </c>
      <c r="F315" s="121">
        <f>ROUND(D315*'FR_Mantenimiento tasas'!$D$48/360,5)</f>
        <v>0</v>
      </c>
    </row>
    <row r="316" spans="1:6">
      <c r="A316" s="123">
        <f>IF(OR(A315='F-Ahorro Futuro Decimos'!$H$16,A315=""),"",IF(A315+1&gt;'F-Ahorro Futuro Decimos'!$H$16,'F-Ahorro Futuro Decimos'!$H$16,A315+1))</f>
        <v>314</v>
      </c>
      <c r="B316" s="122">
        <f>IFERROR(IF(DAY($A316)=DAY('F-Ahorro Futuro Decimos'!$H$15),'F-Ahorro Futuro Decimos'!$H$14,0),0)</f>
        <v>0</v>
      </c>
      <c r="C316" s="122">
        <f>IF(A316='F-Ahorro Futuro Decimos'!$H$18,'F-Ahorro Futuro Decimos'!$H$20,0)</f>
        <v>0</v>
      </c>
      <c r="D316" s="122">
        <f t="shared" si="4"/>
        <v>0</v>
      </c>
      <c r="E316" s="121">
        <f>ROUND(D316*'FR_Mantenimiento tasas'!$C$48/360,5)</f>
        <v>0</v>
      </c>
      <c r="F316" s="121">
        <f>ROUND(D316*'FR_Mantenimiento tasas'!$D$48/360,5)</f>
        <v>0</v>
      </c>
    </row>
    <row r="317" spans="1:6">
      <c r="A317" s="123">
        <f>IF(OR(A316='F-Ahorro Futuro Decimos'!$H$16,A316=""),"",IF(A316+1&gt;'F-Ahorro Futuro Decimos'!$H$16,'F-Ahorro Futuro Decimos'!$H$16,A316+1))</f>
        <v>315</v>
      </c>
      <c r="B317" s="122">
        <f>IFERROR(IF(DAY($A317)=DAY('F-Ahorro Futuro Decimos'!$H$15),'F-Ahorro Futuro Decimos'!$H$14,0),0)</f>
        <v>0</v>
      </c>
      <c r="C317" s="122">
        <f>IF(A317='F-Ahorro Futuro Decimos'!$H$18,'F-Ahorro Futuro Decimos'!$H$20,0)</f>
        <v>0</v>
      </c>
      <c r="D317" s="122">
        <f t="shared" si="4"/>
        <v>0</v>
      </c>
      <c r="E317" s="121">
        <f>ROUND(D317*'FR_Mantenimiento tasas'!$C$48/360,5)</f>
        <v>0</v>
      </c>
      <c r="F317" s="121">
        <f>ROUND(D317*'FR_Mantenimiento tasas'!$D$48/360,5)</f>
        <v>0</v>
      </c>
    </row>
    <row r="318" spans="1:6">
      <c r="A318" s="123">
        <f>IF(OR(A317='F-Ahorro Futuro Decimos'!$H$16,A317=""),"",IF(A317+1&gt;'F-Ahorro Futuro Decimos'!$H$16,'F-Ahorro Futuro Decimos'!$H$16,A317+1))</f>
        <v>316</v>
      </c>
      <c r="B318" s="122">
        <f>IFERROR(IF(DAY($A318)=DAY('F-Ahorro Futuro Decimos'!$H$15),'F-Ahorro Futuro Decimos'!$H$14,0),0)</f>
        <v>0</v>
      </c>
      <c r="C318" s="122">
        <f>IF(A318='F-Ahorro Futuro Decimos'!$H$18,'F-Ahorro Futuro Decimos'!$H$20,0)</f>
        <v>0</v>
      </c>
      <c r="D318" s="122">
        <f t="shared" si="4"/>
        <v>0</v>
      </c>
      <c r="E318" s="121">
        <f>ROUND(D318*'FR_Mantenimiento tasas'!$C$48/360,5)</f>
        <v>0</v>
      </c>
      <c r="F318" s="121">
        <f>ROUND(D318*'FR_Mantenimiento tasas'!$D$48/360,5)</f>
        <v>0</v>
      </c>
    </row>
    <row r="319" spans="1:6">
      <c r="A319" s="123">
        <f>IF(OR(A318='F-Ahorro Futuro Decimos'!$H$16,A318=""),"",IF(A318+1&gt;'F-Ahorro Futuro Decimos'!$H$16,'F-Ahorro Futuro Decimos'!$H$16,A318+1))</f>
        <v>317</v>
      </c>
      <c r="B319" s="122">
        <f>IFERROR(IF(DAY($A319)=DAY('F-Ahorro Futuro Decimos'!$H$15),'F-Ahorro Futuro Decimos'!$H$14,0),0)</f>
        <v>0</v>
      </c>
      <c r="C319" s="122">
        <f>IF(A319='F-Ahorro Futuro Decimos'!$H$18,'F-Ahorro Futuro Decimos'!$H$20,0)</f>
        <v>0</v>
      </c>
      <c r="D319" s="122">
        <f t="shared" si="4"/>
        <v>0</v>
      </c>
      <c r="E319" s="121">
        <f>ROUND(D319*'FR_Mantenimiento tasas'!$C$48/360,5)</f>
        <v>0</v>
      </c>
      <c r="F319" s="121">
        <f>ROUND(D319*'FR_Mantenimiento tasas'!$D$48/360,5)</f>
        <v>0</v>
      </c>
    </row>
    <row r="320" spans="1:6">
      <c r="A320" s="123">
        <f>IF(OR(A319='F-Ahorro Futuro Decimos'!$H$16,A319=""),"",IF(A319+1&gt;'F-Ahorro Futuro Decimos'!$H$16,'F-Ahorro Futuro Decimos'!$H$16,A319+1))</f>
        <v>318</v>
      </c>
      <c r="B320" s="122">
        <f>IFERROR(IF(DAY($A320)=DAY('F-Ahorro Futuro Decimos'!$H$15),'F-Ahorro Futuro Decimos'!$H$14,0),0)</f>
        <v>0</v>
      </c>
      <c r="C320" s="122">
        <f>IF(A320='F-Ahorro Futuro Decimos'!$H$18,'F-Ahorro Futuro Decimos'!$H$20,0)</f>
        <v>0</v>
      </c>
      <c r="D320" s="122">
        <f t="shared" si="4"/>
        <v>0</v>
      </c>
      <c r="E320" s="121">
        <f>ROUND(D320*'FR_Mantenimiento tasas'!$C$48/360,5)</f>
        <v>0</v>
      </c>
      <c r="F320" s="121">
        <f>ROUND(D320*'FR_Mantenimiento tasas'!$D$48/360,5)</f>
        <v>0</v>
      </c>
    </row>
    <row r="321" spans="1:6">
      <c r="A321" s="123">
        <f>IF(OR(A320='F-Ahorro Futuro Decimos'!$H$16,A320=""),"",IF(A320+1&gt;'F-Ahorro Futuro Decimos'!$H$16,'F-Ahorro Futuro Decimos'!$H$16,A320+1))</f>
        <v>319</v>
      </c>
      <c r="B321" s="122">
        <f>IFERROR(IF(DAY($A321)=DAY('F-Ahorro Futuro Decimos'!$H$15),'F-Ahorro Futuro Decimos'!$H$14,0),0)</f>
        <v>0</v>
      </c>
      <c r="C321" s="122">
        <f>IF(A321='F-Ahorro Futuro Decimos'!$H$18,'F-Ahorro Futuro Decimos'!$H$20,0)</f>
        <v>0</v>
      </c>
      <c r="D321" s="122">
        <f t="shared" si="4"/>
        <v>0</v>
      </c>
      <c r="E321" s="121">
        <f>ROUND(D321*'FR_Mantenimiento tasas'!$C$48/360,5)</f>
        <v>0</v>
      </c>
      <c r="F321" s="121">
        <f>ROUND(D321*'FR_Mantenimiento tasas'!$D$48/360,5)</f>
        <v>0</v>
      </c>
    </row>
    <row r="322" spans="1:6">
      <c r="A322" s="123">
        <f>IF(OR(A321='F-Ahorro Futuro Decimos'!$H$16,A321=""),"",IF(A321+1&gt;'F-Ahorro Futuro Decimos'!$H$16,'F-Ahorro Futuro Decimos'!$H$16,A321+1))</f>
        <v>320</v>
      </c>
      <c r="B322" s="122">
        <f>IFERROR(IF(DAY($A322)=DAY('F-Ahorro Futuro Decimos'!$H$15),'F-Ahorro Futuro Decimos'!$H$14,0),0)</f>
        <v>0</v>
      </c>
      <c r="C322" s="122">
        <f>IF(A322='F-Ahorro Futuro Decimos'!$H$18,'F-Ahorro Futuro Decimos'!$H$20,0)</f>
        <v>0</v>
      </c>
      <c r="D322" s="122">
        <f t="shared" si="4"/>
        <v>0</v>
      </c>
      <c r="E322" s="121">
        <f>ROUND(D322*'FR_Mantenimiento tasas'!$C$48/360,5)</f>
        <v>0</v>
      </c>
      <c r="F322" s="121">
        <f>ROUND(D322*'FR_Mantenimiento tasas'!$D$48/360,5)</f>
        <v>0</v>
      </c>
    </row>
    <row r="323" spans="1:6">
      <c r="A323" s="123">
        <f>IF(OR(A322='F-Ahorro Futuro Decimos'!$H$16,A322=""),"",IF(A322+1&gt;'F-Ahorro Futuro Decimos'!$H$16,'F-Ahorro Futuro Decimos'!$H$16,A322+1))</f>
        <v>321</v>
      </c>
      <c r="B323" s="122">
        <f>IFERROR(IF(DAY($A323)=DAY('F-Ahorro Futuro Decimos'!$H$15),'F-Ahorro Futuro Decimos'!$H$14,0),0)</f>
        <v>0</v>
      </c>
      <c r="C323" s="122">
        <f>IF(A323='F-Ahorro Futuro Decimos'!$H$18,'F-Ahorro Futuro Decimos'!$H$20,0)</f>
        <v>0</v>
      </c>
      <c r="D323" s="122">
        <f t="shared" si="4"/>
        <v>0</v>
      </c>
      <c r="E323" s="121">
        <f>ROUND(D323*'FR_Mantenimiento tasas'!$C$48/360,5)</f>
        <v>0</v>
      </c>
      <c r="F323" s="121">
        <f>ROUND(D323*'FR_Mantenimiento tasas'!$D$48/360,5)</f>
        <v>0</v>
      </c>
    </row>
    <row r="324" spans="1:6">
      <c r="A324" s="123">
        <f>IF(OR(A323='F-Ahorro Futuro Decimos'!$H$16,A323=""),"",IF(A323+1&gt;'F-Ahorro Futuro Decimos'!$H$16,'F-Ahorro Futuro Decimos'!$H$16,A323+1))</f>
        <v>322</v>
      </c>
      <c r="B324" s="122">
        <f>IFERROR(IF(DAY($A324)=DAY('F-Ahorro Futuro Decimos'!$H$15),'F-Ahorro Futuro Decimos'!$H$14,0),0)</f>
        <v>0</v>
      </c>
      <c r="C324" s="122">
        <f>IF(A324='F-Ahorro Futuro Decimos'!$H$18,'F-Ahorro Futuro Decimos'!$H$20,0)</f>
        <v>0</v>
      </c>
      <c r="D324" s="122">
        <f t="shared" ref="D324:D387" si="5">+B324+D323+E323-C324</f>
        <v>0</v>
      </c>
      <c r="E324" s="121">
        <f>ROUND(D324*'FR_Mantenimiento tasas'!$C$48/360,5)</f>
        <v>0</v>
      </c>
      <c r="F324" s="121">
        <f>ROUND(D324*'FR_Mantenimiento tasas'!$D$48/360,5)</f>
        <v>0</v>
      </c>
    </row>
    <row r="325" spans="1:6">
      <c r="A325" s="123">
        <f>IF(OR(A324='F-Ahorro Futuro Decimos'!$H$16,A324=""),"",IF(A324+1&gt;'F-Ahorro Futuro Decimos'!$H$16,'F-Ahorro Futuro Decimos'!$H$16,A324+1))</f>
        <v>323</v>
      </c>
      <c r="B325" s="122">
        <f>IFERROR(IF(DAY($A325)=DAY('F-Ahorro Futuro Decimos'!$H$15),'F-Ahorro Futuro Decimos'!$H$14,0),0)</f>
        <v>0</v>
      </c>
      <c r="C325" s="122">
        <f>IF(A325='F-Ahorro Futuro Decimos'!$H$18,'F-Ahorro Futuro Decimos'!$H$20,0)</f>
        <v>0</v>
      </c>
      <c r="D325" s="122">
        <f t="shared" si="5"/>
        <v>0</v>
      </c>
      <c r="E325" s="121">
        <f>ROUND(D325*'FR_Mantenimiento tasas'!$C$48/360,5)</f>
        <v>0</v>
      </c>
      <c r="F325" s="121">
        <f>ROUND(D325*'FR_Mantenimiento tasas'!$D$48/360,5)</f>
        <v>0</v>
      </c>
    </row>
    <row r="326" spans="1:6">
      <c r="A326" s="123">
        <f>IF(OR(A325='F-Ahorro Futuro Decimos'!$H$16,A325=""),"",IF(A325+1&gt;'F-Ahorro Futuro Decimos'!$H$16,'F-Ahorro Futuro Decimos'!$H$16,A325+1))</f>
        <v>324</v>
      </c>
      <c r="B326" s="122">
        <f>IFERROR(IF(DAY($A326)=DAY('F-Ahorro Futuro Decimos'!$H$15),'F-Ahorro Futuro Decimos'!$H$14,0),0)</f>
        <v>0</v>
      </c>
      <c r="C326" s="122">
        <f>IF(A326='F-Ahorro Futuro Decimos'!$H$18,'F-Ahorro Futuro Decimos'!$H$20,0)</f>
        <v>0</v>
      </c>
      <c r="D326" s="122">
        <f t="shared" si="5"/>
        <v>0</v>
      </c>
      <c r="E326" s="121">
        <f>ROUND(D326*'FR_Mantenimiento tasas'!$C$48/360,5)</f>
        <v>0</v>
      </c>
      <c r="F326" s="121">
        <f>ROUND(D326*'FR_Mantenimiento tasas'!$D$48/360,5)</f>
        <v>0</v>
      </c>
    </row>
    <row r="327" spans="1:6">
      <c r="A327" s="123">
        <f>IF(OR(A326='F-Ahorro Futuro Decimos'!$H$16,A326=""),"",IF(A326+1&gt;'F-Ahorro Futuro Decimos'!$H$16,'F-Ahorro Futuro Decimos'!$H$16,A326+1))</f>
        <v>325</v>
      </c>
      <c r="B327" s="122">
        <f>IFERROR(IF(DAY($A327)=DAY('F-Ahorro Futuro Decimos'!$H$15),'F-Ahorro Futuro Decimos'!$H$14,0),0)</f>
        <v>0</v>
      </c>
      <c r="C327" s="122">
        <f>IF(A327='F-Ahorro Futuro Decimos'!$H$18,'F-Ahorro Futuro Decimos'!$H$20,0)</f>
        <v>0</v>
      </c>
      <c r="D327" s="122">
        <f t="shared" si="5"/>
        <v>0</v>
      </c>
      <c r="E327" s="121">
        <f>ROUND(D327*'FR_Mantenimiento tasas'!$C$48/360,5)</f>
        <v>0</v>
      </c>
      <c r="F327" s="121">
        <f>ROUND(D327*'FR_Mantenimiento tasas'!$D$48/360,5)</f>
        <v>0</v>
      </c>
    </row>
    <row r="328" spans="1:6">
      <c r="A328" s="123">
        <f>IF(OR(A327='F-Ahorro Futuro Decimos'!$H$16,A327=""),"",IF(A327+1&gt;'F-Ahorro Futuro Decimos'!$H$16,'F-Ahorro Futuro Decimos'!$H$16,A327+1))</f>
        <v>326</v>
      </c>
      <c r="B328" s="122">
        <f>IFERROR(IF(DAY($A328)=DAY('F-Ahorro Futuro Decimos'!$H$15),'F-Ahorro Futuro Decimos'!$H$14,0),0)</f>
        <v>0</v>
      </c>
      <c r="C328" s="122">
        <f>IF(A328='F-Ahorro Futuro Decimos'!$H$18,'F-Ahorro Futuro Decimos'!$H$20,0)</f>
        <v>0</v>
      </c>
      <c r="D328" s="122">
        <f t="shared" si="5"/>
        <v>0</v>
      </c>
      <c r="E328" s="121">
        <f>ROUND(D328*'FR_Mantenimiento tasas'!$C$48/360,5)</f>
        <v>0</v>
      </c>
      <c r="F328" s="121">
        <f>ROUND(D328*'FR_Mantenimiento tasas'!$D$48/360,5)</f>
        <v>0</v>
      </c>
    </row>
    <row r="329" spans="1:6">
      <c r="A329" s="123">
        <f>IF(OR(A328='F-Ahorro Futuro Decimos'!$H$16,A328=""),"",IF(A328+1&gt;'F-Ahorro Futuro Decimos'!$H$16,'F-Ahorro Futuro Decimos'!$H$16,A328+1))</f>
        <v>327</v>
      </c>
      <c r="B329" s="122">
        <f>IFERROR(IF(DAY($A329)=DAY('F-Ahorro Futuro Decimos'!$H$15),'F-Ahorro Futuro Decimos'!$H$14,0),0)</f>
        <v>0</v>
      </c>
      <c r="C329" s="122">
        <f>IF(A329='F-Ahorro Futuro Decimos'!$H$18,'F-Ahorro Futuro Decimos'!$H$20,0)</f>
        <v>0</v>
      </c>
      <c r="D329" s="122">
        <f t="shared" si="5"/>
        <v>0</v>
      </c>
      <c r="E329" s="121">
        <f>ROUND(D329*'FR_Mantenimiento tasas'!$C$48/360,5)</f>
        <v>0</v>
      </c>
      <c r="F329" s="121">
        <f>ROUND(D329*'FR_Mantenimiento tasas'!$D$48/360,5)</f>
        <v>0</v>
      </c>
    </row>
    <row r="330" spans="1:6">
      <c r="A330" s="123">
        <f>IF(OR(A329='F-Ahorro Futuro Decimos'!$H$16,A329=""),"",IF(A329+1&gt;'F-Ahorro Futuro Decimos'!$H$16,'F-Ahorro Futuro Decimos'!$H$16,A329+1))</f>
        <v>328</v>
      </c>
      <c r="B330" s="122">
        <f>IFERROR(IF(DAY($A330)=DAY('F-Ahorro Futuro Decimos'!$H$15),'F-Ahorro Futuro Decimos'!$H$14,0),0)</f>
        <v>0</v>
      </c>
      <c r="C330" s="122">
        <f>IF(A330='F-Ahorro Futuro Decimos'!$H$18,'F-Ahorro Futuro Decimos'!$H$20,0)</f>
        <v>0</v>
      </c>
      <c r="D330" s="122">
        <f t="shared" si="5"/>
        <v>0</v>
      </c>
      <c r="E330" s="121">
        <f>ROUND(D330*'FR_Mantenimiento tasas'!$C$48/360,5)</f>
        <v>0</v>
      </c>
      <c r="F330" s="121">
        <f>ROUND(D330*'FR_Mantenimiento tasas'!$D$48/360,5)</f>
        <v>0</v>
      </c>
    </row>
    <row r="331" spans="1:6">
      <c r="A331" s="123">
        <f>IF(OR(A330='F-Ahorro Futuro Decimos'!$H$16,A330=""),"",IF(A330+1&gt;'F-Ahorro Futuro Decimos'!$H$16,'F-Ahorro Futuro Decimos'!$H$16,A330+1))</f>
        <v>329</v>
      </c>
      <c r="B331" s="122">
        <f>IFERROR(IF(DAY($A331)=DAY('F-Ahorro Futuro Decimos'!$H$15),'F-Ahorro Futuro Decimos'!$H$14,0),0)</f>
        <v>0</v>
      </c>
      <c r="C331" s="122">
        <f>IF(A331='F-Ahorro Futuro Decimos'!$H$18,'F-Ahorro Futuro Decimos'!$H$20,0)</f>
        <v>0</v>
      </c>
      <c r="D331" s="122">
        <f t="shared" si="5"/>
        <v>0</v>
      </c>
      <c r="E331" s="121">
        <f>ROUND(D331*'FR_Mantenimiento tasas'!$C$48/360,5)</f>
        <v>0</v>
      </c>
      <c r="F331" s="121">
        <f>ROUND(D331*'FR_Mantenimiento tasas'!$D$48/360,5)</f>
        <v>0</v>
      </c>
    </row>
    <row r="332" spans="1:6">
      <c r="A332" s="123">
        <f>IF(OR(A331='F-Ahorro Futuro Decimos'!$H$16,A331=""),"",IF(A331+1&gt;'F-Ahorro Futuro Decimos'!$H$16,'F-Ahorro Futuro Decimos'!$H$16,A331+1))</f>
        <v>330</v>
      </c>
      <c r="B332" s="122">
        <f>IFERROR(IF(DAY($A332)=DAY('F-Ahorro Futuro Decimos'!$H$15),'F-Ahorro Futuro Decimos'!$H$14,0),0)</f>
        <v>0</v>
      </c>
      <c r="C332" s="122">
        <f>IF(A332='F-Ahorro Futuro Decimos'!$H$18,'F-Ahorro Futuro Decimos'!$H$20,0)</f>
        <v>0</v>
      </c>
      <c r="D332" s="122">
        <f t="shared" si="5"/>
        <v>0</v>
      </c>
      <c r="E332" s="121">
        <f>ROUND(D332*'FR_Mantenimiento tasas'!$C$48/360,5)</f>
        <v>0</v>
      </c>
      <c r="F332" s="121">
        <f>ROUND(D332*'FR_Mantenimiento tasas'!$D$48/360,5)</f>
        <v>0</v>
      </c>
    </row>
    <row r="333" spans="1:6">
      <c r="A333" s="123">
        <f>IF(OR(A332='F-Ahorro Futuro Decimos'!$H$16,A332=""),"",IF(A332+1&gt;'F-Ahorro Futuro Decimos'!$H$16,'F-Ahorro Futuro Decimos'!$H$16,A332+1))</f>
        <v>331</v>
      </c>
      <c r="B333" s="122">
        <f>IFERROR(IF(DAY($A333)=DAY('F-Ahorro Futuro Decimos'!$H$15),'F-Ahorro Futuro Decimos'!$H$14,0),0)</f>
        <v>0</v>
      </c>
      <c r="C333" s="122">
        <f>IF(A333='F-Ahorro Futuro Decimos'!$H$18,'F-Ahorro Futuro Decimos'!$H$20,0)</f>
        <v>0</v>
      </c>
      <c r="D333" s="122">
        <f t="shared" si="5"/>
        <v>0</v>
      </c>
      <c r="E333" s="121">
        <f>ROUND(D333*'FR_Mantenimiento tasas'!$C$48/360,5)</f>
        <v>0</v>
      </c>
      <c r="F333" s="121">
        <f>ROUND(D333*'FR_Mantenimiento tasas'!$D$48/360,5)</f>
        <v>0</v>
      </c>
    </row>
    <row r="334" spans="1:6">
      <c r="A334" s="123">
        <f>IF(OR(A333='F-Ahorro Futuro Decimos'!$H$16,A333=""),"",IF(A333+1&gt;'F-Ahorro Futuro Decimos'!$H$16,'F-Ahorro Futuro Decimos'!$H$16,A333+1))</f>
        <v>332</v>
      </c>
      <c r="B334" s="122">
        <f>IFERROR(IF(DAY($A334)=DAY('F-Ahorro Futuro Decimos'!$H$15),'F-Ahorro Futuro Decimos'!$H$14,0),0)</f>
        <v>0</v>
      </c>
      <c r="C334" s="122">
        <f>IF(A334='F-Ahorro Futuro Decimos'!$H$18,'F-Ahorro Futuro Decimos'!$H$20,0)</f>
        <v>0</v>
      </c>
      <c r="D334" s="122">
        <f t="shared" si="5"/>
        <v>0</v>
      </c>
      <c r="E334" s="121">
        <f>ROUND(D334*'FR_Mantenimiento tasas'!$C$48/360,5)</f>
        <v>0</v>
      </c>
      <c r="F334" s="121">
        <f>ROUND(D334*'FR_Mantenimiento tasas'!$D$48/360,5)</f>
        <v>0</v>
      </c>
    </row>
    <row r="335" spans="1:6">
      <c r="A335" s="123">
        <f>IF(OR(A334='F-Ahorro Futuro Decimos'!$H$16,A334=""),"",IF(A334+1&gt;'F-Ahorro Futuro Decimos'!$H$16,'F-Ahorro Futuro Decimos'!$H$16,A334+1))</f>
        <v>333</v>
      </c>
      <c r="B335" s="122">
        <f>IFERROR(IF(DAY($A335)=DAY('F-Ahorro Futuro Decimos'!$H$15),'F-Ahorro Futuro Decimos'!$H$14,0),0)</f>
        <v>0</v>
      </c>
      <c r="C335" s="122">
        <f>IF(A335='F-Ahorro Futuro Decimos'!$H$18,'F-Ahorro Futuro Decimos'!$H$20,0)</f>
        <v>0</v>
      </c>
      <c r="D335" s="122">
        <f t="shared" si="5"/>
        <v>0</v>
      </c>
      <c r="E335" s="121">
        <f>ROUND(D335*'FR_Mantenimiento tasas'!$C$48/360,5)</f>
        <v>0</v>
      </c>
      <c r="F335" s="121">
        <f>ROUND(D335*'FR_Mantenimiento tasas'!$D$48/360,5)</f>
        <v>0</v>
      </c>
    </row>
    <row r="336" spans="1:6">
      <c r="A336" s="123">
        <f>IF(OR(A335='F-Ahorro Futuro Decimos'!$H$16,A335=""),"",IF(A335+1&gt;'F-Ahorro Futuro Decimos'!$H$16,'F-Ahorro Futuro Decimos'!$H$16,A335+1))</f>
        <v>334</v>
      </c>
      <c r="B336" s="122">
        <f>IFERROR(IF(DAY($A336)=DAY('F-Ahorro Futuro Decimos'!$H$15),'F-Ahorro Futuro Decimos'!$H$14,0),0)</f>
        <v>0</v>
      </c>
      <c r="C336" s="122">
        <f>IF(A336='F-Ahorro Futuro Decimos'!$H$18,'F-Ahorro Futuro Decimos'!$H$20,0)</f>
        <v>0</v>
      </c>
      <c r="D336" s="122">
        <f t="shared" si="5"/>
        <v>0</v>
      </c>
      <c r="E336" s="121">
        <f>ROUND(D336*'FR_Mantenimiento tasas'!$C$48/360,5)</f>
        <v>0</v>
      </c>
      <c r="F336" s="121">
        <f>ROUND(D336*'FR_Mantenimiento tasas'!$D$48/360,5)</f>
        <v>0</v>
      </c>
    </row>
    <row r="337" spans="1:6">
      <c r="A337" s="123">
        <f>IF(OR(A336='F-Ahorro Futuro Decimos'!$H$16,A336=""),"",IF(A336+1&gt;'F-Ahorro Futuro Decimos'!$H$16,'F-Ahorro Futuro Decimos'!$H$16,A336+1))</f>
        <v>335</v>
      </c>
      <c r="B337" s="122">
        <f>IFERROR(IF(DAY($A337)=DAY('F-Ahorro Futuro Decimos'!$H$15),'F-Ahorro Futuro Decimos'!$H$14,0),0)</f>
        <v>0</v>
      </c>
      <c r="C337" s="122">
        <f>IF(A337='F-Ahorro Futuro Decimos'!$H$18,'F-Ahorro Futuro Decimos'!$H$20,0)</f>
        <v>0</v>
      </c>
      <c r="D337" s="122">
        <f t="shared" si="5"/>
        <v>0</v>
      </c>
      <c r="E337" s="121">
        <f>ROUND(D337*'FR_Mantenimiento tasas'!$C$48/360,5)</f>
        <v>0</v>
      </c>
      <c r="F337" s="121">
        <f>ROUND(D337*'FR_Mantenimiento tasas'!$D$48/360,5)</f>
        <v>0</v>
      </c>
    </row>
    <row r="338" spans="1:6">
      <c r="A338" s="123">
        <f>IF(OR(A337='F-Ahorro Futuro Decimos'!$H$16,A337=""),"",IF(A337+1&gt;'F-Ahorro Futuro Decimos'!$H$16,'F-Ahorro Futuro Decimos'!$H$16,A337+1))</f>
        <v>336</v>
      </c>
      <c r="B338" s="122">
        <f>IFERROR(IF(DAY($A338)=DAY('F-Ahorro Futuro Decimos'!$H$15),'F-Ahorro Futuro Decimos'!$H$14,0),0)</f>
        <v>0</v>
      </c>
      <c r="C338" s="122">
        <f>IF(A338='F-Ahorro Futuro Decimos'!$H$18,'F-Ahorro Futuro Decimos'!$H$20,0)</f>
        <v>0</v>
      </c>
      <c r="D338" s="122">
        <f t="shared" si="5"/>
        <v>0</v>
      </c>
      <c r="E338" s="121">
        <f>ROUND(D338*'FR_Mantenimiento tasas'!$C$48/360,5)</f>
        <v>0</v>
      </c>
      <c r="F338" s="121">
        <f>ROUND(D338*'FR_Mantenimiento tasas'!$D$48/360,5)</f>
        <v>0</v>
      </c>
    </row>
    <row r="339" spans="1:6">
      <c r="A339" s="123">
        <f>IF(OR(A338='F-Ahorro Futuro Decimos'!$H$16,A338=""),"",IF(A338+1&gt;'F-Ahorro Futuro Decimos'!$H$16,'F-Ahorro Futuro Decimos'!$H$16,A338+1))</f>
        <v>337</v>
      </c>
      <c r="B339" s="122">
        <f>IFERROR(IF(DAY($A339)=DAY('F-Ahorro Futuro Decimos'!$H$15),'F-Ahorro Futuro Decimos'!$H$14,0),0)</f>
        <v>0</v>
      </c>
      <c r="C339" s="122">
        <f>IF(A339='F-Ahorro Futuro Decimos'!$H$18,'F-Ahorro Futuro Decimos'!$H$20,0)</f>
        <v>0</v>
      </c>
      <c r="D339" s="122">
        <f t="shared" si="5"/>
        <v>0</v>
      </c>
      <c r="E339" s="121">
        <f>ROUND(D339*'FR_Mantenimiento tasas'!$C$48/360,5)</f>
        <v>0</v>
      </c>
      <c r="F339" s="121">
        <f>ROUND(D339*'FR_Mantenimiento tasas'!$D$48/360,5)</f>
        <v>0</v>
      </c>
    </row>
    <row r="340" spans="1:6">
      <c r="A340" s="123">
        <f>IF(OR(A339='F-Ahorro Futuro Decimos'!$H$16,A339=""),"",IF(A339+1&gt;'F-Ahorro Futuro Decimos'!$H$16,'F-Ahorro Futuro Decimos'!$H$16,A339+1))</f>
        <v>338</v>
      </c>
      <c r="B340" s="122">
        <f>IFERROR(IF(DAY($A340)=DAY('F-Ahorro Futuro Decimos'!$H$15),'F-Ahorro Futuro Decimos'!$H$14,0),0)</f>
        <v>0</v>
      </c>
      <c r="C340" s="122">
        <f>IF(A340='F-Ahorro Futuro Decimos'!$H$18,'F-Ahorro Futuro Decimos'!$H$20,0)</f>
        <v>0</v>
      </c>
      <c r="D340" s="122">
        <f t="shared" si="5"/>
        <v>0</v>
      </c>
      <c r="E340" s="121">
        <f>ROUND(D340*'FR_Mantenimiento tasas'!$C$48/360,5)</f>
        <v>0</v>
      </c>
      <c r="F340" s="121">
        <f>ROUND(D340*'FR_Mantenimiento tasas'!$D$48/360,5)</f>
        <v>0</v>
      </c>
    </row>
    <row r="341" spans="1:6">
      <c r="A341" s="123">
        <f>IF(OR(A340='F-Ahorro Futuro Decimos'!$H$16,A340=""),"",IF(A340+1&gt;'F-Ahorro Futuro Decimos'!$H$16,'F-Ahorro Futuro Decimos'!$H$16,A340+1))</f>
        <v>339</v>
      </c>
      <c r="B341" s="122">
        <f>IFERROR(IF(DAY($A341)=DAY('F-Ahorro Futuro Decimos'!$H$15),'F-Ahorro Futuro Decimos'!$H$14,0),0)</f>
        <v>0</v>
      </c>
      <c r="C341" s="122">
        <f>IF(A341='F-Ahorro Futuro Decimos'!$H$18,'F-Ahorro Futuro Decimos'!$H$20,0)</f>
        <v>0</v>
      </c>
      <c r="D341" s="122">
        <f t="shared" si="5"/>
        <v>0</v>
      </c>
      <c r="E341" s="121">
        <f>ROUND(D341*'FR_Mantenimiento tasas'!$C$48/360,5)</f>
        <v>0</v>
      </c>
      <c r="F341" s="121">
        <f>ROUND(D341*'FR_Mantenimiento tasas'!$D$48/360,5)</f>
        <v>0</v>
      </c>
    </row>
    <row r="342" spans="1:6">
      <c r="A342" s="123">
        <f>IF(OR(A341='F-Ahorro Futuro Decimos'!$H$16,A341=""),"",IF(A341+1&gt;'F-Ahorro Futuro Decimos'!$H$16,'F-Ahorro Futuro Decimos'!$H$16,A341+1))</f>
        <v>340</v>
      </c>
      <c r="B342" s="122">
        <f>IFERROR(IF(DAY($A342)=DAY('F-Ahorro Futuro Decimos'!$H$15),'F-Ahorro Futuro Decimos'!$H$14,0),0)</f>
        <v>0</v>
      </c>
      <c r="C342" s="122">
        <f>IF(A342='F-Ahorro Futuro Decimos'!$H$18,'F-Ahorro Futuro Decimos'!$H$20,0)</f>
        <v>0</v>
      </c>
      <c r="D342" s="122">
        <f t="shared" si="5"/>
        <v>0</v>
      </c>
      <c r="E342" s="121">
        <f>ROUND(D342*'FR_Mantenimiento tasas'!$C$48/360,5)</f>
        <v>0</v>
      </c>
      <c r="F342" s="121">
        <f>ROUND(D342*'FR_Mantenimiento tasas'!$D$48/360,5)</f>
        <v>0</v>
      </c>
    </row>
    <row r="343" spans="1:6">
      <c r="A343" s="123">
        <f>IF(OR(A342='F-Ahorro Futuro Decimos'!$H$16,A342=""),"",IF(A342+1&gt;'F-Ahorro Futuro Decimos'!$H$16,'F-Ahorro Futuro Decimos'!$H$16,A342+1))</f>
        <v>341</v>
      </c>
      <c r="B343" s="122">
        <f>IFERROR(IF(DAY($A343)=DAY('F-Ahorro Futuro Decimos'!$H$15),'F-Ahorro Futuro Decimos'!$H$14,0),0)</f>
        <v>0</v>
      </c>
      <c r="C343" s="122">
        <f>IF(A343='F-Ahorro Futuro Decimos'!$H$18,'F-Ahorro Futuro Decimos'!$H$20,0)</f>
        <v>0</v>
      </c>
      <c r="D343" s="122">
        <f t="shared" si="5"/>
        <v>0</v>
      </c>
      <c r="E343" s="121">
        <f>ROUND(D343*'FR_Mantenimiento tasas'!$C$48/360,5)</f>
        <v>0</v>
      </c>
      <c r="F343" s="121">
        <f>ROUND(D343*'FR_Mantenimiento tasas'!$D$48/360,5)</f>
        <v>0</v>
      </c>
    </row>
    <row r="344" spans="1:6">
      <c r="A344" s="123">
        <f>IF(OR(A343='F-Ahorro Futuro Decimos'!$H$16,A343=""),"",IF(A343+1&gt;'F-Ahorro Futuro Decimos'!$H$16,'F-Ahorro Futuro Decimos'!$H$16,A343+1))</f>
        <v>342</v>
      </c>
      <c r="B344" s="122">
        <f>IFERROR(IF(DAY($A344)=DAY('F-Ahorro Futuro Decimos'!$H$15),'F-Ahorro Futuro Decimos'!$H$14,0),0)</f>
        <v>0</v>
      </c>
      <c r="C344" s="122">
        <f>IF(A344='F-Ahorro Futuro Decimos'!$H$18,'F-Ahorro Futuro Decimos'!$H$20,0)</f>
        <v>0</v>
      </c>
      <c r="D344" s="122">
        <f t="shared" si="5"/>
        <v>0</v>
      </c>
      <c r="E344" s="121">
        <f>ROUND(D344*'FR_Mantenimiento tasas'!$C$48/360,5)</f>
        <v>0</v>
      </c>
      <c r="F344" s="121">
        <f>ROUND(D344*'FR_Mantenimiento tasas'!$D$48/360,5)</f>
        <v>0</v>
      </c>
    </row>
    <row r="345" spans="1:6">
      <c r="A345" s="123">
        <f>IF(OR(A344='F-Ahorro Futuro Decimos'!$H$16,A344=""),"",IF(A344+1&gt;'F-Ahorro Futuro Decimos'!$H$16,'F-Ahorro Futuro Decimos'!$H$16,A344+1))</f>
        <v>343</v>
      </c>
      <c r="B345" s="122">
        <f>IFERROR(IF(DAY($A345)=DAY('F-Ahorro Futuro Decimos'!$H$15),'F-Ahorro Futuro Decimos'!$H$14,0),0)</f>
        <v>0</v>
      </c>
      <c r="C345" s="122">
        <f>IF(A345='F-Ahorro Futuro Decimos'!$H$18,'F-Ahorro Futuro Decimos'!$H$20,0)</f>
        <v>0</v>
      </c>
      <c r="D345" s="122">
        <f t="shared" si="5"/>
        <v>0</v>
      </c>
      <c r="E345" s="121">
        <f>ROUND(D345*'FR_Mantenimiento tasas'!$C$48/360,5)</f>
        <v>0</v>
      </c>
      <c r="F345" s="121">
        <f>ROUND(D345*'FR_Mantenimiento tasas'!$D$48/360,5)</f>
        <v>0</v>
      </c>
    </row>
    <row r="346" spans="1:6">
      <c r="A346" s="123">
        <f>IF(OR(A345='F-Ahorro Futuro Decimos'!$H$16,A345=""),"",IF(A345+1&gt;'F-Ahorro Futuro Decimos'!$H$16,'F-Ahorro Futuro Decimos'!$H$16,A345+1))</f>
        <v>344</v>
      </c>
      <c r="B346" s="122">
        <f>IFERROR(IF(DAY($A346)=DAY('F-Ahorro Futuro Decimos'!$H$15),'F-Ahorro Futuro Decimos'!$H$14,0),0)</f>
        <v>0</v>
      </c>
      <c r="C346" s="122">
        <f>IF(A346='F-Ahorro Futuro Decimos'!$H$18,'F-Ahorro Futuro Decimos'!$H$20,0)</f>
        <v>0</v>
      </c>
      <c r="D346" s="122">
        <f t="shared" si="5"/>
        <v>0</v>
      </c>
      <c r="E346" s="121">
        <f>ROUND(D346*'FR_Mantenimiento tasas'!$C$48/360,5)</f>
        <v>0</v>
      </c>
      <c r="F346" s="121">
        <f>ROUND(D346*'FR_Mantenimiento tasas'!$D$48/360,5)</f>
        <v>0</v>
      </c>
    </row>
    <row r="347" spans="1:6">
      <c r="A347" s="123">
        <f>IF(OR(A346='F-Ahorro Futuro Decimos'!$H$16,A346=""),"",IF(A346+1&gt;'F-Ahorro Futuro Decimos'!$H$16,'F-Ahorro Futuro Decimos'!$H$16,A346+1))</f>
        <v>345</v>
      </c>
      <c r="B347" s="122">
        <f>IFERROR(IF(DAY($A347)=DAY('F-Ahorro Futuro Decimos'!$H$15),'F-Ahorro Futuro Decimos'!$H$14,0),0)</f>
        <v>0</v>
      </c>
      <c r="C347" s="122">
        <f>IF(A347='F-Ahorro Futuro Decimos'!$H$18,'F-Ahorro Futuro Decimos'!$H$20,0)</f>
        <v>0</v>
      </c>
      <c r="D347" s="122">
        <f t="shared" si="5"/>
        <v>0</v>
      </c>
      <c r="E347" s="121">
        <f>ROUND(D347*'FR_Mantenimiento tasas'!$C$48/360,5)</f>
        <v>0</v>
      </c>
      <c r="F347" s="121">
        <f>ROUND(D347*'FR_Mantenimiento tasas'!$D$48/360,5)</f>
        <v>0</v>
      </c>
    </row>
    <row r="348" spans="1:6">
      <c r="A348" s="123">
        <f>IF(OR(A347='F-Ahorro Futuro Decimos'!$H$16,A347=""),"",IF(A347+1&gt;'F-Ahorro Futuro Decimos'!$H$16,'F-Ahorro Futuro Decimos'!$H$16,A347+1))</f>
        <v>346</v>
      </c>
      <c r="B348" s="122">
        <f>IFERROR(IF(DAY($A348)=DAY('F-Ahorro Futuro Decimos'!$H$15),'F-Ahorro Futuro Decimos'!$H$14,0),0)</f>
        <v>0</v>
      </c>
      <c r="C348" s="122">
        <f>IF(A348='F-Ahorro Futuro Decimos'!$H$18,'F-Ahorro Futuro Decimos'!$H$20,0)</f>
        <v>0</v>
      </c>
      <c r="D348" s="122">
        <f t="shared" si="5"/>
        <v>0</v>
      </c>
      <c r="E348" s="121">
        <f>ROUND(D348*'FR_Mantenimiento tasas'!$C$48/360,5)</f>
        <v>0</v>
      </c>
      <c r="F348" s="121">
        <f>ROUND(D348*'FR_Mantenimiento tasas'!$D$48/360,5)</f>
        <v>0</v>
      </c>
    </row>
    <row r="349" spans="1:6">
      <c r="A349" s="123">
        <f>IF(OR(A348='F-Ahorro Futuro Decimos'!$H$16,A348=""),"",IF(A348+1&gt;'F-Ahorro Futuro Decimos'!$H$16,'F-Ahorro Futuro Decimos'!$H$16,A348+1))</f>
        <v>347</v>
      </c>
      <c r="B349" s="122">
        <f>IFERROR(IF(DAY($A349)=DAY('F-Ahorro Futuro Decimos'!$H$15),'F-Ahorro Futuro Decimos'!$H$14,0),0)</f>
        <v>0</v>
      </c>
      <c r="C349" s="122">
        <f>IF(A349='F-Ahorro Futuro Decimos'!$H$18,'F-Ahorro Futuro Decimos'!$H$20,0)</f>
        <v>0</v>
      </c>
      <c r="D349" s="122">
        <f t="shared" si="5"/>
        <v>0</v>
      </c>
      <c r="E349" s="121">
        <f>ROUND(D349*'FR_Mantenimiento tasas'!$C$48/360,5)</f>
        <v>0</v>
      </c>
      <c r="F349" s="121">
        <f>ROUND(D349*'FR_Mantenimiento tasas'!$D$48/360,5)</f>
        <v>0</v>
      </c>
    </row>
    <row r="350" spans="1:6">
      <c r="A350" s="123">
        <f>IF(OR(A349='F-Ahorro Futuro Decimos'!$H$16,A349=""),"",IF(A349+1&gt;'F-Ahorro Futuro Decimos'!$H$16,'F-Ahorro Futuro Decimos'!$H$16,A349+1))</f>
        <v>348</v>
      </c>
      <c r="B350" s="122">
        <f>IFERROR(IF(DAY($A350)=DAY('F-Ahorro Futuro Decimos'!$H$15),'F-Ahorro Futuro Decimos'!$H$14,0),0)</f>
        <v>0</v>
      </c>
      <c r="C350" s="122">
        <f>IF(A350='F-Ahorro Futuro Decimos'!$H$18,'F-Ahorro Futuro Decimos'!$H$20,0)</f>
        <v>0</v>
      </c>
      <c r="D350" s="122">
        <f t="shared" si="5"/>
        <v>0</v>
      </c>
      <c r="E350" s="121">
        <f>ROUND(D350*'FR_Mantenimiento tasas'!$C$48/360,5)</f>
        <v>0</v>
      </c>
      <c r="F350" s="121">
        <f>ROUND(D350*'FR_Mantenimiento tasas'!$D$48/360,5)</f>
        <v>0</v>
      </c>
    </row>
    <row r="351" spans="1:6">
      <c r="A351" s="123">
        <f>IF(OR(A350='F-Ahorro Futuro Decimos'!$H$16,A350=""),"",IF(A350+1&gt;'F-Ahorro Futuro Decimos'!$H$16,'F-Ahorro Futuro Decimos'!$H$16,A350+1))</f>
        <v>349</v>
      </c>
      <c r="B351" s="122">
        <f>IFERROR(IF(DAY($A351)=DAY('F-Ahorro Futuro Decimos'!$H$15),'F-Ahorro Futuro Decimos'!$H$14,0),0)</f>
        <v>0</v>
      </c>
      <c r="C351" s="122">
        <f>IF(A351='F-Ahorro Futuro Decimos'!$H$18,'F-Ahorro Futuro Decimos'!$H$20,0)</f>
        <v>0</v>
      </c>
      <c r="D351" s="122">
        <f t="shared" si="5"/>
        <v>0</v>
      </c>
      <c r="E351" s="121">
        <f>ROUND(D351*'FR_Mantenimiento tasas'!$C$48/360,5)</f>
        <v>0</v>
      </c>
      <c r="F351" s="121">
        <f>ROUND(D351*'FR_Mantenimiento tasas'!$D$48/360,5)</f>
        <v>0</v>
      </c>
    </row>
    <row r="352" spans="1:6">
      <c r="A352" s="123">
        <f>IF(OR(A351='F-Ahorro Futuro Decimos'!$H$16,A351=""),"",IF(A351+1&gt;'F-Ahorro Futuro Decimos'!$H$16,'F-Ahorro Futuro Decimos'!$H$16,A351+1))</f>
        <v>350</v>
      </c>
      <c r="B352" s="122">
        <f>IFERROR(IF(DAY($A352)=DAY('F-Ahorro Futuro Decimos'!$H$15),'F-Ahorro Futuro Decimos'!$H$14,0),0)</f>
        <v>0</v>
      </c>
      <c r="C352" s="122">
        <f>IF(A352='F-Ahorro Futuro Decimos'!$H$18,'F-Ahorro Futuro Decimos'!$H$20,0)</f>
        <v>0</v>
      </c>
      <c r="D352" s="122">
        <f t="shared" si="5"/>
        <v>0</v>
      </c>
      <c r="E352" s="121">
        <f>ROUND(D352*'FR_Mantenimiento tasas'!$C$48/360,5)</f>
        <v>0</v>
      </c>
      <c r="F352" s="121">
        <f>ROUND(D352*'FR_Mantenimiento tasas'!$D$48/360,5)</f>
        <v>0</v>
      </c>
    </row>
    <row r="353" spans="1:6">
      <c r="A353" s="123">
        <f>IF(OR(A352='F-Ahorro Futuro Decimos'!$H$16,A352=""),"",IF(A352+1&gt;'F-Ahorro Futuro Decimos'!$H$16,'F-Ahorro Futuro Decimos'!$H$16,A352+1))</f>
        <v>351</v>
      </c>
      <c r="B353" s="122">
        <f>IFERROR(IF(DAY($A353)=DAY('F-Ahorro Futuro Decimos'!$H$15),'F-Ahorro Futuro Decimos'!$H$14,0),0)</f>
        <v>0</v>
      </c>
      <c r="C353" s="122">
        <f>IF(A353='F-Ahorro Futuro Decimos'!$H$18,'F-Ahorro Futuro Decimos'!$H$20,0)</f>
        <v>0</v>
      </c>
      <c r="D353" s="122">
        <f t="shared" si="5"/>
        <v>0</v>
      </c>
      <c r="E353" s="121">
        <f>ROUND(D353*'FR_Mantenimiento tasas'!$C$48/360,5)</f>
        <v>0</v>
      </c>
      <c r="F353" s="121">
        <f>ROUND(D353*'FR_Mantenimiento tasas'!$D$48/360,5)</f>
        <v>0</v>
      </c>
    </row>
    <row r="354" spans="1:6">
      <c r="A354" s="123">
        <f>IF(OR(A353='F-Ahorro Futuro Decimos'!$H$16,A353=""),"",IF(A353+1&gt;'F-Ahorro Futuro Decimos'!$H$16,'F-Ahorro Futuro Decimos'!$H$16,A353+1))</f>
        <v>352</v>
      </c>
      <c r="B354" s="122">
        <f>IFERROR(IF(DAY($A354)=DAY('F-Ahorro Futuro Decimos'!$H$15),'F-Ahorro Futuro Decimos'!$H$14,0),0)</f>
        <v>0</v>
      </c>
      <c r="C354" s="122">
        <f>IF(A354='F-Ahorro Futuro Decimos'!$H$18,'F-Ahorro Futuro Decimos'!$H$20,0)</f>
        <v>0</v>
      </c>
      <c r="D354" s="122">
        <f t="shared" si="5"/>
        <v>0</v>
      </c>
      <c r="E354" s="121">
        <f>ROUND(D354*'FR_Mantenimiento tasas'!$C$48/360,5)</f>
        <v>0</v>
      </c>
      <c r="F354" s="121">
        <f>ROUND(D354*'FR_Mantenimiento tasas'!$D$48/360,5)</f>
        <v>0</v>
      </c>
    </row>
    <row r="355" spans="1:6">
      <c r="A355" s="123">
        <f>IF(OR(A354='F-Ahorro Futuro Decimos'!$H$16,A354=""),"",IF(A354+1&gt;'F-Ahorro Futuro Decimos'!$H$16,'F-Ahorro Futuro Decimos'!$H$16,A354+1))</f>
        <v>353</v>
      </c>
      <c r="B355" s="122">
        <f>IFERROR(IF(DAY($A355)=DAY('F-Ahorro Futuro Decimos'!$H$15),'F-Ahorro Futuro Decimos'!$H$14,0),0)</f>
        <v>0</v>
      </c>
      <c r="C355" s="122">
        <f>IF(A355='F-Ahorro Futuro Decimos'!$H$18,'F-Ahorro Futuro Decimos'!$H$20,0)</f>
        <v>0</v>
      </c>
      <c r="D355" s="122">
        <f t="shared" si="5"/>
        <v>0</v>
      </c>
      <c r="E355" s="121">
        <f>ROUND(D355*'FR_Mantenimiento tasas'!$C$48/360,5)</f>
        <v>0</v>
      </c>
      <c r="F355" s="121">
        <f>ROUND(D355*'FR_Mantenimiento tasas'!$D$48/360,5)</f>
        <v>0</v>
      </c>
    </row>
    <row r="356" spans="1:6">
      <c r="A356" s="123">
        <f>IF(OR(A355='F-Ahorro Futuro Decimos'!$H$16,A355=""),"",IF(A355+1&gt;'F-Ahorro Futuro Decimos'!$H$16,'F-Ahorro Futuro Decimos'!$H$16,A355+1))</f>
        <v>354</v>
      </c>
      <c r="B356" s="122">
        <f>IFERROR(IF(DAY($A356)=DAY('F-Ahorro Futuro Decimos'!$H$15),'F-Ahorro Futuro Decimos'!$H$14,0),0)</f>
        <v>0</v>
      </c>
      <c r="C356" s="122">
        <f>IF(A356='F-Ahorro Futuro Decimos'!$H$18,'F-Ahorro Futuro Decimos'!$H$20,0)</f>
        <v>0</v>
      </c>
      <c r="D356" s="122">
        <f t="shared" si="5"/>
        <v>0</v>
      </c>
      <c r="E356" s="121">
        <f>ROUND(D356*'FR_Mantenimiento tasas'!$C$48/360,5)</f>
        <v>0</v>
      </c>
      <c r="F356" s="121">
        <f>ROUND(D356*'FR_Mantenimiento tasas'!$D$48/360,5)</f>
        <v>0</v>
      </c>
    </row>
    <row r="357" spans="1:6">
      <c r="A357" s="123">
        <f>IF(OR(A356='F-Ahorro Futuro Decimos'!$H$16,A356=""),"",IF(A356+1&gt;'F-Ahorro Futuro Decimos'!$H$16,'F-Ahorro Futuro Decimos'!$H$16,A356+1))</f>
        <v>355</v>
      </c>
      <c r="B357" s="122">
        <f>IFERROR(IF(DAY($A357)=DAY('F-Ahorro Futuro Decimos'!$H$15),'F-Ahorro Futuro Decimos'!$H$14,0),0)</f>
        <v>0</v>
      </c>
      <c r="C357" s="122">
        <f>IF(A357='F-Ahorro Futuro Decimos'!$H$18,'F-Ahorro Futuro Decimos'!$H$20,0)</f>
        <v>0</v>
      </c>
      <c r="D357" s="122">
        <f t="shared" si="5"/>
        <v>0</v>
      </c>
      <c r="E357" s="121">
        <f>ROUND(D357*'FR_Mantenimiento tasas'!$C$48/360,5)</f>
        <v>0</v>
      </c>
      <c r="F357" s="121">
        <f>ROUND(D357*'FR_Mantenimiento tasas'!$D$48/360,5)</f>
        <v>0</v>
      </c>
    </row>
    <row r="358" spans="1:6">
      <c r="A358" s="123">
        <f>IF(OR(A357='F-Ahorro Futuro Decimos'!$H$16,A357=""),"",IF(A357+1&gt;'F-Ahorro Futuro Decimos'!$H$16,'F-Ahorro Futuro Decimos'!$H$16,A357+1))</f>
        <v>356</v>
      </c>
      <c r="B358" s="122">
        <f>IFERROR(IF(DAY($A358)=DAY('F-Ahorro Futuro Decimos'!$H$15),'F-Ahorro Futuro Decimos'!$H$14,0),0)</f>
        <v>0</v>
      </c>
      <c r="C358" s="122">
        <f>IF(A358='F-Ahorro Futuro Decimos'!$H$18,'F-Ahorro Futuro Decimos'!$H$20,0)</f>
        <v>0</v>
      </c>
      <c r="D358" s="122">
        <f t="shared" si="5"/>
        <v>0</v>
      </c>
      <c r="E358" s="121">
        <f>ROUND(D358*'FR_Mantenimiento tasas'!$C$48/360,5)</f>
        <v>0</v>
      </c>
      <c r="F358" s="121">
        <f>ROUND(D358*'FR_Mantenimiento tasas'!$D$48/360,5)</f>
        <v>0</v>
      </c>
    </row>
    <row r="359" spans="1:6">
      <c r="A359" s="123">
        <f>IF(OR(A358='F-Ahorro Futuro Decimos'!$H$16,A358=""),"",IF(A358+1&gt;'F-Ahorro Futuro Decimos'!$H$16,'F-Ahorro Futuro Decimos'!$H$16,A358+1))</f>
        <v>357</v>
      </c>
      <c r="B359" s="122">
        <f>IFERROR(IF(DAY($A359)=DAY('F-Ahorro Futuro Decimos'!$H$15),'F-Ahorro Futuro Decimos'!$H$14,0),0)</f>
        <v>0</v>
      </c>
      <c r="C359" s="122">
        <f>IF(A359='F-Ahorro Futuro Decimos'!$H$18,'F-Ahorro Futuro Decimos'!$H$20,0)</f>
        <v>0</v>
      </c>
      <c r="D359" s="122">
        <f t="shared" si="5"/>
        <v>0</v>
      </c>
      <c r="E359" s="121">
        <f>ROUND(D359*'FR_Mantenimiento tasas'!$C$48/360,5)</f>
        <v>0</v>
      </c>
      <c r="F359" s="121">
        <f>ROUND(D359*'FR_Mantenimiento tasas'!$D$48/360,5)</f>
        <v>0</v>
      </c>
    </row>
    <row r="360" spans="1:6">
      <c r="A360" s="123">
        <f>IF(OR(A359='F-Ahorro Futuro Decimos'!$H$16,A359=""),"",IF(A359+1&gt;'F-Ahorro Futuro Decimos'!$H$16,'F-Ahorro Futuro Decimos'!$H$16,A359+1))</f>
        <v>358</v>
      </c>
      <c r="B360" s="122">
        <f>IFERROR(IF(DAY($A360)=DAY('F-Ahorro Futuro Decimos'!$H$15),'F-Ahorro Futuro Decimos'!$H$14,0),0)</f>
        <v>0</v>
      </c>
      <c r="C360" s="122">
        <f>IF(A360='F-Ahorro Futuro Decimos'!$H$18,'F-Ahorro Futuro Decimos'!$H$20,0)</f>
        <v>0</v>
      </c>
      <c r="D360" s="122">
        <f t="shared" si="5"/>
        <v>0</v>
      </c>
      <c r="E360" s="121">
        <f>ROUND(D360*'FR_Mantenimiento tasas'!$C$48/360,5)</f>
        <v>0</v>
      </c>
      <c r="F360" s="121">
        <f>ROUND(D360*'FR_Mantenimiento tasas'!$D$48/360,5)</f>
        <v>0</v>
      </c>
    </row>
    <row r="361" spans="1:6">
      <c r="A361" s="123">
        <f>IF(OR(A360='F-Ahorro Futuro Decimos'!$H$16,A360=""),"",IF(A360+1&gt;'F-Ahorro Futuro Decimos'!$H$16,'F-Ahorro Futuro Decimos'!$H$16,A360+1))</f>
        <v>359</v>
      </c>
      <c r="B361" s="122">
        <f>IFERROR(IF(DAY($A361)=DAY('F-Ahorro Futuro Decimos'!$H$15),'F-Ahorro Futuro Decimos'!$H$14,0),0)</f>
        <v>0</v>
      </c>
      <c r="C361" s="122">
        <f>IF(A361='F-Ahorro Futuro Decimos'!$H$18,'F-Ahorro Futuro Decimos'!$H$20,0)</f>
        <v>0</v>
      </c>
      <c r="D361" s="122">
        <f>+B361+D360+E360-C361</f>
        <v>0</v>
      </c>
      <c r="E361" s="121">
        <f>ROUND(D361*'FR_Mantenimiento tasas'!$C$48/360,5)</f>
        <v>0</v>
      </c>
      <c r="F361" s="121">
        <f>ROUND(D361*'FR_Mantenimiento tasas'!$D$48/360,5)</f>
        <v>0</v>
      </c>
    </row>
    <row r="362" spans="1:6">
      <c r="A362" s="123">
        <f>IF(OR(A361='F-Ahorro Futuro Decimos'!$H$16,A361=""),"",IF(A361+1&gt;'F-Ahorro Futuro Decimos'!$H$16,'F-Ahorro Futuro Decimos'!$H$16,A361+1))</f>
        <v>360</v>
      </c>
      <c r="B362" s="122">
        <f>IFERROR(IF(DAY($A362)=DAY('F-Ahorro Futuro Decimos'!$H$15),'F-Ahorro Futuro Decimos'!$H$14,0),0)</f>
        <v>0</v>
      </c>
      <c r="C362" s="122">
        <f>IF(A362='F-Ahorro Futuro Decimos'!$H$18,'F-Ahorro Futuro Decimos'!$H$20,0)</f>
        <v>0</v>
      </c>
      <c r="D362" s="122">
        <f>+B362+D361+E361-C362</f>
        <v>0</v>
      </c>
      <c r="E362" s="121">
        <f>ROUND(D362*'FR_Mantenimiento tasas'!$C$48/360,5)</f>
        <v>0</v>
      </c>
      <c r="F362" s="121">
        <f>ROUND(D362*'FR_Mantenimiento tasas'!$D$48/360,5)</f>
        <v>0</v>
      </c>
    </row>
    <row r="363" spans="1:6">
      <c r="A363" s="123">
        <f>IF(OR(A362='F-Ahorro Futuro Decimos'!$H$16,A362=""),"",IF(A362+1&gt;'F-Ahorro Futuro Decimos'!$H$16,'F-Ahorro Futuro Decimos'!$H$16,A362+1))</f>
        <v>361</v>
      </c>
      <c r="B363" s="122">
        <f>IFERROR(IF(DAY($A363)=DAY('F-Ahorro Futuro Decimos'!$H$15),'F-Ahorro Futuro Decimos'!$H$14,0),0)</f>
        <v>0</v>
      </c>
      <c r="C363" s="122">
        <f>IF(A363='F-Ahorro Futuro Decimos'!$H$18,'F-Ahorro Futuro Decimos'!$H$20,0)</f>
        <v>0</v>
      </c>
      <c r="D363" s="122">
        <f t="shared" si="5"/>
        <v>0</v>
      </c>
      <c r="E363" s="121">
        <f>ROUND(D363*'FR_Mantenimiento tasas'!$C$48/360,5)</f>
        <v>0</v>
      </c>
      <c r="F363" s="121">
        <f>ROUND(D363*'FR_Mantenimiento tasas'!$D$48/360,5)</f>
        <v>0</v>
      </c>
    </row>
    <row r="364" spans="1:6">
      <c r="A364" s="123">
        <f>IF(OR(A363='F-Ahorro Futuro Decimos'!$H$16,A363=""),"",IF(A363+1&gt;'F-Ahorro Futuro Decimos'!$H$16,'F-Ahorro Futuro Decimos'!$H$16,A363+1))</f>
        <v>362</v>
      </c>
      <c r="B364" s="122">
        <f>IFERROR(IF(DAY($A364)=DAY('F-Ahorro Futuro Decimos'!$H$15),'F-Ahorro Futuro Decimos'!$H$14,0),0)</f>
        <v>0</v>
      </c>
      <c r="C364" s="122">
        <f>IF(A364='F-Ahorro Futuro Decimos'!$H$18,'F-Ahorro Futuro Decimos'!$H$20,0)</f>
        <v>0</v>
      </c>
      <c r="D364" s="122">
        <f t="shared" si="5"/>
        <v>0</v>
      </c>
      <c r="E364" s="121">
        <f>ROUND(D364*'FR_Mantenimiento tasas'!$C$48/360,5)</f>
        <v>0</v>
      </c>
      <c r="F364" s="121">
        <f>ROUND(D364*'FR_Mantenimiento tasas'!$D$48/360,5)</f>
        <v>0</v>
      </c>
    </row>
    <row r="365" spans="1:6">
      <c r="A365" s="123">
        <f>IF(OR(A364='F-Ahorro Futuro Decimos'!$H$16,A364=""),"",IF(A364+1&gt;'F-Ahorro Futuro Decimos'!$H$16,'F-Ahorro Futuro Decimos'!$H$16,A364+1))</f>
        <v>363</v>
      </c>
      <c r="B365" s="122">
        <f>IFERROR(IF(DAY($A365)=DAY('F-Ahorro Futuro Decimos'!$H$15),'F-Ahorro Futuro Decimos'!$H$14,0),0)</f>
        <v>0</v>
      </c>
      <c r="C365" s="122">
        <f>IF(A365='F-Ahorro Futuro Decimos'!$H$18,'F-Ahorro Futuro Decimos'!$H$20,0)</f>
        <v>0</v>
      </c>
      <c r="D365" s="122">
        <f t="shared" si="5"/>
        <v>0</v>
      </c>
      <c r="E365" s="121">
        <f>ROUND(D365*'FR_Mantenimiento tasas'!$C$48/360,5)</f>
        <v>0</v>
      </c>
      <c r="F365" s="121">
        <f>ROUND(D365*'FR_Mantenimiento tasas'!$D$48/360,5)</f>
        <v>0</v>
      </c>
    </row>
    <row r="366" spans="1:6">
      <c r="A366" s="123">
        <f>IF(OR(A365='F-Ahorro Futuro Decimos'!$H$16,A365=""),"",IF(A365+1&gt;'F-Ahorro Futuro Decimos'!$H$16,'F-Ahorro Futuro Decimos'!$H$16,A365+1))</f>
        <v>364</v>
      </c>
      <c r="B366" s="122">
        <f>IFERROR(IF(DAY($A366)=DAY('F-Ahorro Futuro Decimos'!$H$15),'F-Ahorro Futuro Decimos'!$H$14,0),0)</f>
        <v>0</v>
      </c>
      <c r="C366" s="122">
        <f>IF(A366='F-Ahorro Futuro Decimos'!$H$18,'F-Ahorro Futuro Decimos'!$H$20,0)</f>
        <v>0</v>
      </c>
      <c r="D366" s="122">
        <f t="shared" si="5"/>
        <v>0</v>
      </c>
      <c r="E366" s="121">
        <f>ROUND(D366*'FR_Mantenimiento tasas'!$C$48/360,5)</f>
        <v>0</v>
      </c>
      <c r="F366" s="121">
        <f>ROUND(D366*'FR_Mantenimiento tasas'!$D$48/360,5)</f>
        <v>0</v>
      </c>
    </row>
    <row r="367" spans="1:6">
      <c r="A367" s="123">
        <f>IF(OR(A366='F-Ahorro Futuro Decimos'!$H$16,A366=""),"",IF(A366+1&gt;'F-Ahorro Futuro Decimos'!$H$16,'F-Ahorro Futuro Decimos'!$H$16,A366+1))</f>
        <v>365</v>
      </c>
      <c r="B367" s="122">
        <f>IFERROR(IF(DAY($A367)=DAY('F-Ahorro Futuro Decimos'!$H$15),'F-Ahorro Futuro Decimos'!$H$14,0),0)</f>
        <v>0</v>
      </c>
      <c r="C367" s="122">
        <f>IF(A367='F-Ahorro Futuro Decimos'!$H$18,'F-Ahorro Futuro Decimos'!$H$20,0)</f>
        <v>0</v>
      </c>
      <c r="D367" s="122">
        <f t="shared" si="5"/>
        <v>0</v>
      </c>
      <c r="E367" s="121">
        <f>ROUND(D367*'FR_Mantenimiento tasas'!$C$48/360,5)</f>
        <v>0</v>
      </c>
      <c r="F367" s="121">
        <f>ROUND(D367*'FR_Mantenimiento tasas'!$D$48/360,5)</f>
        <v>0</v>
      </c>
    </row>
    <row r="368" spans="1:6">
      <c r="A368" s="123">
        <f>IF(OR(A367='F-Ahorro Futuro Decimos'!$H$16,A367=""),"",IF(A367+1&gt;'F-Ahorro Futuro Decimos'!$H$16,'F-Ahorro Futuro Decimos'!$H$16,A367+1))</f>
        <v>366</v>
      </c>
      <c r="B368" s="122">
        <f>IFERROR(IF(DAY($A368)=DAY('F-Ahorro Futuro Decimos'!$H$15),'F-Ahorro Futuro Decimos'!$H$14,0),0)</f>
        <v>0</v>
      </c>
      <c r="C368" s="122">
        <f>IF(A368='F-Ahorro Futuro Decimos'!$H$18,'F-Ahorro Futuro Decimos'!$H$20,0)</f>
        <v>0</v>
      </c>
      <c r="D368" s="122">
        <f t="shared" si="5"/>
        <v>0</v>
      </c>
      <c r="E368" s="121">
        <f>ROUND(D368*'FR_Mantenimiento tasas'!$C$48/360,5)</f>
        <v>0</v>
      </c>
      <c r="F368" s="121">
        <f>ROUND(D368*'FR_Mantenimiento tasas'!$D$48/360,5)</f>
        <v>0</v>
      </c>
    </row>
    <row r="369" spans="1:6">
      <c r="A369" s="123">
        <f>IF(OR(A368='F-Ahorro Futuro Decimos'!$H$16,A368=""),"",IF(A368+1&gt;'F-Ahorro Futuro Decimos'!$H$16,'F-Ahorro Futuro Decimos'!$H$16,A368+1))</f>
        <v>367</v>
      </c>
      <c r="B369" s="122">
        <f>IFERROR(IF(DAY($A369)=DAY('F-Ahorro Futuro Decimos'!$H$15),'F-Ahorro Futuro Decimos'!$H$14,0),0)</f>
        <v>0</v>
      </c>
      <c r="C369" s="122">
        <f>IF(A369='F-Ahorro Futuro Decimos'!$H$18,'F-Ahorro Futuro Decimos'!$H$20,0)</f>
        <v>0</v>
      </c>
      <c r="D369" s="122">
        <f t="shared" si="5"/>
        <v>0</v>
      </c>
      <c r="E369" s="121">
        <f>ROUND(D369*'FR_Mantenimiento tasas'!$C$48/360,5)</f>
        <v>0</v>
      </c>
      <c r="F369" s="121">
        <f>ROUND(D369*'FR_Mantenimiento tasas'!$D$48/360,5)</f>
        <v>0</v>
      </c>
    </row>
    <row r="370" spans="1:6">
      <c r="A370" s="123">
        <f>IF(OR(A369='F-Ahorro Futuro Decimos'!$H$16,A369=""),"",IF(A369+1&gt;'F-Ahorro Futuro Decimos'!$H$16,'F-Ahorro Futuro Decimos'!$H$16,A369+1))</f>
        <v>368</v>
      </c>
      <c r="B370" s="122">
        <f>IFERROR(IF(DAY($A370)=DAY('F-Ahorro Futuro Decimos'!$H$15),'F-Ahorro Futuro Decimos'!$H$14,0),0)</f>
        <v>0</v>
      </c>
      <c r="C370" s="122">
        <f>IF(A370='F-Ahorro Futuro Decimos'!$H$18,'F-Ahorro Futuro Decimos'!$H$20,0)</f>
        <v>0</v>
      </c>
      <c r="D370" s="122">
        <f t="shared" si="5"/>
        <v>0</v>
      </c>
      <c r="E370" s="121">
        <f>ROUND(D370*'FR_Mantenimiento tasas'!$C$48/360,5)</f>
        <v>0</v>
      </c>
      <c r="F370" s="121">
        <f>ROUND(D370*'FR_Mantenimiento tasas'!$D$48/360,5)</f>
        <v>0</v>
      </c>
    </row>
    <row r="371" spans="1:6">
      <c r="A371" s="123">
        <f>IF(OR(A370='F-Ahorro Futuro Decimos'!$H$16,A370=""),"",IF(A370+1&gt;'F-Ahorro Futuro Decimos'!$H$16,'F-Ahorro Futuro Decimos'!$H$16,A370+1))</f>
        <v>369</v>
      </c>
      <c r="B371" s="122">
        <f>IFERROR(IF(DAY($A371)=DAY('F-Ahorro Futuro Decimos'!$H$15),'F-Ahorro Futuro Decimos'!$H$14,0),0)</f>
        <v>0</v>
      </c>
      <c r="C371" s="122">
        <f>IF(A371='F-Ahorro Futuro Decimos'!$H$18,'F-Ahorro Futuro Decimos'!$H$20,0)</f>
        <v>0</v>
      </c>
      <c r="D371" s="122">
        <f t="shared" si="5"/>
        <v>0</v>
      </c>
      <c r="E371" s="121">
        <f>ROUND(D371*'FR_Mantenimiento tasas'!$C$48/360,5)</f>
        <v>0</v>
      </c>
      <c r="F371" s="121">
        <f>ROUND(D371*'FR_Mantenimiento tasas'!$D$48/360,5)</f>
        <v>0</v>
      </c>
    </row>
    <row r="372" spans="1:6">
      <c r="A372" s="123">
        <f>IF(OR(A371='F-Ahorro Futuro Decimos'!$H$16,A371=""),"",IF(A371+1&gt;'F-Ahorro Futuro Decimos'!$H$16,'F-Ahorro Futuro Decimos'!$H$16,A371+1))</f>
        <v>370</v>
      </c>
      <c r="B372" s="122">
        <f>IFERROR(IF(DAY($A372)=DAY('F-Ahorro Futuro Decimos'!$H$15),'F-Ahorro Futuro Decimos'!$H$14,0),0)</f>
        <v>0</v>
      </c>
      <c r="C372" s="122">
        <f>IF(A372='F-Ahorro Futuro Decimos'!$H$18,'F-Ahorro Futuro Decimos'!$H$20,0)</f>
        <v>0</v>
      </c>
      <c r="D372" s="122">
        <f t="shared" si="5"/>
        <v>0</v>
      </c>
      <c r="E372" s="121">
        <f>ROUND(D372*'FR_Mantenimiento tasas'!$C$48/360,5)</f>
        <v>0</v>
      </c>
      <c r="F372" s="121">
        <f>ROUND(D372*'FR_Mantenimiento tasas'!$D$48/360,5)</f>
        <v>0</v>
      </c>
    </row>
    <row r="373" spans="1:6">
      <c r="A373" s="123">
        <f>IF(OR(A372='F-Ahorro Futuro Decimos'!$H$16,A372=""),"",IF(A372+1&gt;'F-Ahorro Futuro Decimos'!$H$16,'F-Ahorro Futuro Decimos'!$H$16,A372+1))</f>
        <v>371</v>
      </c>
      <c r="B373" s="122">
        <f>IFERROR(IF(DAY($A373)=DAY('F-Ahorro Futuro Decimos'!$H$15),'F-Ahorro Futuro Decimos'!$H$14,0),0)</f>
        <v>0</v>
      </c>
      <c r="C373" s="122">
        <f>IF(A373='F-Ahorro Futuro Decimos'!$H$18,'F-Ahorro Futuro Decimos'!$H$20,0)</f>
        <v>0</v>
      </c>
      <c r="D373" s="122">
        <f t="shared" si="5"/>
        <v>0</v>
      </c>
      <c r="E373" s="121">
        <f>ROUND(D373*'FR_Mantenimiento tasas'!$C$48/360,5)</f>
        <v>0</v>
      </c>
      <c r="F373" s="121">
        <f>ROUND(D373*'FR_Mantenimiento tasas'!$D$48/360,5)</f>
        <v>0</v>
      </c>
    </row>
    <row r="374" spans="1:6">
      <c r="A374" s="123">
        <f>IF(OR(A373='F-Ahorro Futuro Decimos'!$H$16,A373=""),"",IF(A373+1&gt;'F-Ahorro Futuro Decimos'!$H$16,'F-Ahorro Futuro Decimos'!$H$16,A373+1))</f>
        <v>372</v>
      </c>
      <c r="B374" s="122">
        <f>IFERROR(IF(DAY($A374)=DAY('F-Ahorro Futuro Decimos'!$H$15),'F-Ahorro Futuro Decimos'!$H$14,0),0)</f>
        <v>0</v>
      </c>
      <c r="C374" s="122">
        <f>IF(A374='F-Ahorro Futuro Decimos'!$H$18,'F-Ahorro Futuro Decimos'!$H$20,0)</f>
        <v>0</v>
      </c>
      <c r="D374" s="122">
        <f t="shared" si="5"/>
        <v>0</v>
      </c>
      <c r="E374" s="121">
        <f>ROUND(D374*'FR_Mantenimiento tasas'!$C$48/360,5)</f>
        <v>0</v>
      </c>
      <c r="F374" s="121">
        <f>ROUND(D374*'FR_Mantenimiento tasas'!$D$48/360,5)</f>
        <v>0</v>
      </c>
    </row>
    <row r="375" spans="1:6">
      <c r="A375" s="123">
        <f>IF(OR(A374='F-Ahorro Futuro Decimos'!$H$16,A374=""),"",IF(A374+1&gt;'F-Ahorro Futuro Decimos'!$H$16,'F-Ahorro Futuro Decimos'!$H$16,A374+1))</f>
        <v>373</v>
      </c>
      <c r="B375" s="122">
        <f>IFERROR(IF(DAY($A375)=DAY('F-Ahorro Futuro Decimos'!$H$15),'F-Ahorro Futuro Decimos'!$H$14,0),0)</f>
        <v>0</v>
      </c>
      <c r="C375" s="122">
        <f>IF(A375='F-Ahorro Futuro Decimos'!$H$18,'F-Ahorro Futuro Decimos'!$H$20,0)</f>
        <v>0</v>
      </c>
      <c r="D375" s="122">
        <f t="shared" si="5"/>
        <v>0</v>
      </c>
      <c r="E375" s="121">
        <f>ROUND(D375*'FR_Mantenimiento tasas'!$C$48/360,5)</f>
        <v>0</v>
      </c>
      <c r="F375" s="121">
        <f>ROUND(D375*'FR_Mantenimiento tasas'!$D$48/360,5)</f>
        <v>0</v>
      </c>
    </row>
    <row r="376" spans="1:6">
      <c r="A376" s="123">
        <f>IF(OR(A375='F-Ahorro Futuro Decimos'!$H$16,A375=""),"",IF(A375+1&gt;'F-Ahorro Futuro Decimos'!$H$16,'F-Ahorro Futuro Decimos'!$H$16,A375+1))</f>
        <v>374</v>
      </c>
      <c r="B376" s="122">
        <f>IFERROR(IF(DAY($A376)=DAY('F-Ahorro Futuro Decimos'!$H$15),'F-Ahorro Futuro Decimos'!$H$14,0),0)</f>
        <v>0</v>
      </c>
      <c r="C376" s="122">
        <f>IF(A376='F-Ahorro Futuro Decimos'!$H$18,'F-Ahorro Futuro Decimos'!$H$20,0)</f>
        <v>0</v>
      </c>
      <c r="D376" s="122">
        <f t="shared" si="5"/>
        <v>0</v>
      </c>
      <c r="E376" s="121">
        <f>ROUND(D376*'FR_Mantenimiento tasas'!$C$48/360,5)</f>
        <v>0</v>
      </c>
      <c r="F376" s="121">
        <f>ROUND(D376*'FR_Mantenimiento tasas'!$D$48/360,5)</f>
        <v>0</v>
      </c>
    </row>
    <row r="377" spans="1:6">
      <c r="A377" s="123">
        <f>IF(OR(A376='F-Ahorro Futuro Decimos'!$H$16,A376=""),"",IF(A376+1&gt;'F-Ahorro Futuro Decimos'!$H$16,'F-Ahorro Futuro Decimos'!$H$16,A376+1))</f>
        <v>375</v>
      </c>
      <c r="B377" s="122">
        <f>IFERROR(IF(DAY($A377)=DAY('F-Ahorro Futuro Decimos'!$H$15),'F-Ahorro Futuro Decimos'!$H$14,0),0)</f>
        <v>0</v>
      </c>
      <c r="C377" s="122">
        <f>IF(A377='F-Ahorro Futuro Decimos'!$H$18,'F-Ahorro Futuro Decimos'!$H$20,0)</f>
        <v>0</v>
      </c>
      <c r="D377" s="122">
        <f t="shared" si="5"/>
        <v>0</v>
      </c>
      <c r="E377" s="121">
        <f>ROUND(D377*'FR_Mantenimiento tasas'!$C$48/360,5)</f>
        <v>0</v>
      </c>
      <c r="F377" s="121">
        <f>ROUND(D377*'FR_Mantenimiento tasas'!$D$48/360,5)</f>
        <v>0</v>
      </c>
    </row>
    <row r="378" spans="1:6">
      <c r="A378" s="123">
        <f>IF(OR(A377='F-Ahorro Futuro Decimos'!$H$16,A377=""),"",IF(A377+1&gt;'F-Ahorro Futuro Decimos'!$H$16,'F-Ahorro Futuro Decimos'!$H$16,A377+1))</f>
        <v>376</v>
      </c>
      <c r="B378" s="122">
        <f>IFERROR(IF(DAY($A378)=DAY('F-Ahorro Futuro Decimos'!$H$15),'F-Ahorro Futuro Decimos'!$H$14,0),0)</f>
        <v>0</v>
      </c>
      <c r="C378" s="122">
        <f>IF(A378='F-Ahorro Futuro Decimos'!$H$18,'F-Ahorro Futuro Decimos'!$H$20,0)</f>
        <v>0</v>
      </c>
      <c r="D378" s="122">
        <f t="shared" si="5"/>
        <v>0</v>
      </c>
      <c r="E378" s="121">
        <f>ROUND(D378*'FR_Mantenimiento tasas'!$C$48/360,5)</f>
        <v>0</v>
      </c>
      <c r="F378" s="121">
        <f>ROUND(D378*'FR_Mantenimiento tasas'!$D$48/360,5)</f>
        <v>0</v>
      </c>
    </row>
    <row r="379" spans="1:6">
      <c r="A379" s="123">
        <f>IF(OR(A378='F-Ahorro Futuro Decimos'!$H$16,A378=""),"",IF(A378+1&gt;'F-Ahorro Futuro Decimos'!$H$16,'F-Ahorro Futuro Decimos'!$H$16,A378+1))</f>
        <v>377</v>
      </c>
      <c r="B379" s="122">
        <f>IFERROR(IF(DAY($A379)=DAY('F-Ahorro Futuro Decimos'!$H$15),'F-Ahorro Futuro Decimos'!$H$14,0),0)</f>
        <v>0</v>
      </c>
      <c r="C379" s="122">
        <f>IF(A379='F-Ahorro Futuro Decimos'!$H$18,'F-Ahorro Futuro Decimos'!$H$20,0)</f>
        <v>0</v>
      </c>
      <c r="D379" s="122">
        <f t="shared" si="5"/>
        <v>0</v>
      </c>
      <c r="E379" s="121">
        <f>ROUND(D379*'FR_Mantenimiento tasas'!$C$48/360,5)</f>
        <v>0</v>
      </c>
      <c r="F379" s="121">
        <f>ROUND(D379*'FR_Mantenimiento tasas'!$D$48/360,5)</f>
        <v>0</v>
      </c>
    </row>
    <row r="380" spans="1:6">
      <c r="A380" s="123">
        <f>IF(OR(A379='F-Ahorro Futuro Decimos'!$H$16,A379=""),"",IF(A379+1&gt;'F-Ahorro Futuro Decimos'!$H$16,'F-Ahorro Futuro Decimos'!$H$16,A379+1))</f>
        <v>378</v>
      </c>
      <c r="B380" s="122">
        <f>IFERROR(IF(DAY($A380)=DAY('F-Ahorro Futuro Decimos'!$H$15),'F-Ahorro Futuro Decimos'!$H$14,0),0)</f>
        <v>0</v>
      </c>
      <c r="C380" s="122">
        <f>IF(A380='F-Ahorro Futuro Decimos'!$H$18,'F-Ahorro Futuro Decimos'!$H$20,0)</f>
        <v>0</v>
      </c>
      <c r="D380" s="122">
        <f t="shared" si="5"/>
        <v>0</v>
      </c>
      <c r="E380" s="121">
        <f>ROUND(D380*'FR_Mantenimiento tasas'!$C$48/360,5)</f>
        <v>0</v>
      </c>
      <c r="F380" s="121">
        <f>ROUND(D380*'FR_Mantenimiento tasas'!$D$48/360,5)</f>
        <v>0</v>
      </c>
    </row>
    <row r="381" spans="1:6">
      <c r="A381" s="123">
        <f>IF(OR(A380='F-Ahorro Futuro Decimos'!$H$16,A380=""),"",IF(A380+1&gt;'F-Ahorro Futuro Decimos'!$H$16,'F-Ahorro Futuro Decimos'!$H$16,A380+1))</f>
        <v>379</v>
      </c>
      <c r="B381" s="122">
        <f>IFERROR(IF(DAY($A381)=DAY('F-Ahorro Futuro Decimos'!$H$15),'F-Ahorro Futuro Decimos'!$H$14,0),0)</f>
        <v>0</v>
      </c>
      <c r="C381" s="122">
        <f>IF(A381='F-Ahorro Futuro Decimos'!$H$18,'F-Ahorro Futuro Decimos'!$H$20,0)</f>
        <v>0</v>
      </c>
      <c r="D381" s="122">
        <f t="shared" si="5"/>
        <v>0</v>
      </c>
      <c r="E381" s="121">
        <f>ROUND(D381*'FR_Mantenimiento tasas'!$C$48/360,5)</f>
        <v>0</v>
      </c>
      <c r="F381" s="121">
        <f>ROUND(D381*'FR_Mantenimiento tasas'!$D$48/360,5)</f>
        <v>0</v>
      </c>
    </row>
    <row r="382" spans="1:6">
      <c r="A382" s="123">
        <f>IF(OR(A381='F-Ahorro Futuro Decimos'!$H$16,A381=""),"",IF(A381+1&gt;'F-Ahorro Futuro Decimos'!$H$16,'F-Ahorro Futuro Decimos'!$H$16,A381+1))</f>
        <v>380</v>
      </c>
      <c r="B382" s="122">
        <f>IFERROR(IF(DAY($A382)=DAY('F-Ahorro Futuro Decimos'!$H$15),'F-Ahorro Futuro Decimos'!$H$14,0),0)</f>
        <v>0</v>
      </c>
      <c r="C382" s="122">
        <f>IF(A382='F-Ahorro Futuro Decimos'!$H$18,'F-Ahorro Futuro Decimos'!$H$20,0)</f>
        <v>0</v>
      </c>
      <c r="D382" s="122">
        <f t="shared" si="5"/>
        <v>0</v>
      </c>
      <c r="E382" s="121">
        <f>ROUND(D382*'FR_Mantenimiento tasas'!$C$48/360,5)</f>
        <v>0</v>
      </c>
      <c r="F382" s="121">
        <f>ROUND(D382*'FR_Mantenimiento tasas'!$D$48/360,5)</f>
        <v>0</v>
      </c>
    </row>
    <row r="383" spans="1:6">
      <c r="A383" s="123">
        <f>IF(OR(A382='F-Ahorro Futuro Decimos'!$H$16,A382=""),"",IF(A382+1&gt;'F-Ahorro Futuro Decimos'!$H$16,'F-Ahorro Futuro Decimos'!$H$16,A382+1))</f>
        <v>381</v>
      </c>
      <c r="B383" s="122">
        <f>IFERROR(IF(DAY($A383)=DAY('F-Ahorro Futuro Decimos'!$H$15),'F-Ahorro Futuro Decimos'!$H$14,0),0)</f>
        <v>0</v>
      </c>
      <c r="C383" s="122">
        <f>IF(A383='F-Ahorro Futuro Decimos'!$H$18,'F-Ahorro Futuro Decimos'!$H$20,0)</f>
        <v>0</v>
      </c>
      <c r="D383" s="122">
        <f t="shared" si="5"/>
        <v>0</v>
      </c>
      <c r="E383" s="121">
        <f>ROUND(D383*'FR_Mantenimiento tasas'!$C$48/360,5)</f>
        <v>0</v>
      </c>
      <c r="F383" s="121">
        <f>ROUND(D383*'FR_Mantenimiento tasas'!$D$48/360,5)</f>
        <v>0</v>
      </c>
    </row>
    <row r="384" spans="1:6">
      <c r="A384" s="123">
        <f>IF(OR(A383='F-Ahorro Futuro Decimos'!$H$16,A383=""),"",IF(A383+1&gt;'F-Ahorro Futuro Decimos'!$H$16,'F-Ahorro Futuro Decimos'!$H$16,A383+1))</f>
        <v>382</v>
      </c>
      <c r="B384" s="122">
        <f>IFERROR(IF(DAY($A384)=DAY('F-Ahorro Futuro Decimos'!$H$15),'F-Ahorro Futuro Decimos'!$H$14,0),0)</f>
        <v>0</v>
      </c>
      <c r="C384" s="122">
        <f>IF(A384='F-Ahorro Futuro Decimos'!$H$18,'F-Ahorro Futuro Decimos'!$H$20,0)</f>
        <v>0</v>
      </c>
      <c r="D384" s="122">
        <f t="shared" si="5"/>
        <v>0</v>
      </c>
      <c r="E384" s="121">
        <f>ROUND(D384*'FR_Mantenimiento tasas'!$C$48/360,5)</f>
        <v>0</v>
      </c>
      <c r="F384" s="121">
        <f>ROUND(D384*'FR_Mantenimiento tasas'!$D$48/360,5)</f>
        <v>0</v>
      </c>
    </row>
    <row r="385" spans="1:6">
      <c r="A385" s="123">
        <f>IF(OR(A384='F-Ahorro Futuro Decimos'!$H$16,A384=""),"",IF(A384+1&gt;'F-Ahorro Futuro Decimos'!$H$16,'F-Ahorro Futuro Decimos'!$H$16,A384+1))</f>
        <v>383</v>
      </c>
      <c r="B385" s="122">
        <f>IFERROR(IF(DAY($A385)=DAY('F-Ahorro Futuro Decimos'!$H$15),'F-Ahorro Futuro Decimos'!$H$14,0),0)</f>
        <v>0</v>
      </c>
      <c r="C385" s="122">
        <f>IF(A385='F-Ahorro Futuro Decimos'!$H$18,'F-Ahorro Futuro Decimos'!$H$20,0)</f>
        <v>0</v>
      </c>
      <c r="D385" s="122">
        <f t="shared" si="5"/>
        <v>0</v>
      </c>
      <c r="E385" s="121">
        <f>ROUND(D385*'FR_Mantenimiento tasas'!$C$48/360,5)</f>
        <v>0</v>
      </c>
      <c r="F385" s="121">
        <f>ROUND(D385*'FR_Mantenimiento tasas'!$D$48/360,5)</f>
        <v>0</v>
      </c>
    </row>
    <row r="386" spans="1:6">
      <c r="A386" s="123">
        <f>IF(OR(A385='F-Ahorro Futuro Decimos'!$H$16,A385=""),"",IF(A385+1&gt;'F-Ahorro Futuro Decimos'!$H$16,'F-Ahorro Futuro Decimos'!$H$16,A385+1))</f>
        <v>384</v>
      </c>
      <c r="B386" s="122">
        <f>IFERROR(IF(DAY($A386)=DAY('F-Ahorro Futuro Decimos'!$H$15),'F-Ahorro Futuro Decimos'!$H$14,0),0)</f>
        <v>0</v>
      </c>
      <c r="C386" s="122">
        <f>IF(A386='F-Ahorro Futuro Decimos'!$H$18,'F-Ahorro Futuro Decimos'!$H$20,0)</f>
        <v>0</v>
      </c>
      <c r="D386" s="122">
        <f t="shared" si="5"/>
        <v>0</v>
      </c>
      <c r="E386" s="121">
        <f>ROUND(D386*'FR_Mantenimiento tasas'!$C$48/360,5)</f>
        <v>0</v>
      </c>
      <c r="F386" s="121">
        <f>ROUND(D386*'FR_Mantenimiento tasas'!$D$48/360,5)</f>
        <v>0</v>
      </c>
    </row>
    <row r="387" spans="1:6">
      <c r="A387" s="123">
        <f>IF(OR(A386='F-Ahorro Futuro Decimos'!$H$16,A386=""),"",IF(A386+1&gt;'F-Ahorro Futuro Decimos'!$H$16,'F-Ahorro Futuro Decimos'!$H$16,A386+1))</f>
        <v>385</v>
      </c>
      <c r="B387" s="122">
        <f>IFERROR(IF(DAY($A387)=DAY('F-Ahorro Futuro Decimos'!$H$15),'F-Ahorro Futuro Decimos'!$H$14,0),0)</f>
        <v>0</v>
      </c>
      <c r="C387" s="122">
        <f>IF(A387='F-Ahorro Futuro Decimos'!$H$18,'F-Ahorro Futuro Decimos'!$H$20,0)</f>
        <v>0</v>
      </c>
      <c r="D387" s="122">
        <f t="shared" si="5"/>
        <v>0</v>
      </c>
      <c r="E387" s="121">
        <f>ROUND(D387*'FR_Mantenimiento tasas'!$C$48/360,5)</f>
        <v>0</v>
      </c>
      <c r="F387" s="121">
        <f>ROUND(D387*'FR_Mantenimiento tasas'!$D$48/360,5)</f>
        <v>0</v>
      </c>
    </row>
    <row r="388" spans="1:6">
      <c r="A388" s="123">
        <f>IF(OR(A387='F-Ahorro Futuro Decimos'!$H$16,A387=""),"",IF(A387+1&gt;'F-Ahorro Futuro Decimos'!$H$16,'F-Ahorro Futuro Decimos'!$H$16,A387+1))</f>
        <v>386</v>
      </c>
      <c r="B388" s="122">
        <f>IFERROR(IF(DAY($A388)=DAY('F-Ahorro Futuro Decimos'!$H$15),'F-Ahorro Futuro Decimos'!$H$14,0),0)</f>
        <v>0</v>
      </c>
      <c r="C388" s="122">
        <f>IF(A388='F-Ahorro Futuro Decimos'!$H$18,'F-Ahorro Futuro Decimos'!$H$20,0)</f>
        <v>0</v>
      </c>
      <c r="D388" s="122">
        <f t="shared" ref="D388:D451" si="6">+B388+D387+E387-C388</f>
        <v>0</v>
      </c>
      <c r="E388" s="121">
        <f>ROUND(D388*'FR_Mantenimiento tasas'!$C$48/360,5)</f>
        <v>0</v>
      </c>
      <c r="F388" s="121">
        <f>ROUND(D388*'FR_Mantenimiento tasas'!$D$48/360,5)</f>
        <v>0</v>
      </c>
    </row>
    <row r="389" spans="1:6">
      <c r="A389" s="123">
        <f>IF(OR(A388='F-Ahorro Futuro Decimos'!$H$16,A388=""),"",IF(A388+1&gt;'F-Ahorro Futuro Decimos'!$H$16,'F-Ahorro Futuro Decimos'!$H$16,A388+1))</f>
        <v>387</v>
      </c>
      <c r="B389" s="122">
        <f>IFERROR(IF(DAY($A389)=DAY('F-Ahorro Futuro Decimos'!$H$15),'F-Ahorro Futuro Decimos'!$H$14,0),0)</f>
        <v>0</v>
      </c>
      <c r="C389" s="122">
        <f>IF(A389='F-Ahorro Futuro Decimos'!$H$18,'F-Ahorro Futuro Decimos'!$H$20,0)</f>
        <v>0</v>
      </c>
      <c r="D389" s="122">
        <f t="shared" si="6"/>
        <v>0</v>
      </c>
      <c r="E389" s="121">
        <f>ROUND(D389*'FR_Mantenimiento tasas'!$C$48/360,5)</f>
        <v>0</v>
      </c>
      <c r="F389" s="121">
        <f>ROUND(D389*'FR_Mantenimiento tasas'!$D$48/360,5)</f>
        <v>0</v>
      </c>
    </row>
    <row r="390" spans="1:6">
      <c r="A390" s="123">
        <f>IF(OR(A389='F-Ahorro Futuro Decimos'!$H$16,A389=""),"",IF(A389+1&gt;'F-Ahorro Futuro Decimos'!$H$16,'F-Ahorro Futuro Decimos'!$H$16,A389+1))</f>
        <v>388</v>
      </c>
      <c r="B390" s="122">
        <f>IFERROR(IF(DAY($A390)=DAY('F-Ahorro Futuro Decimos'!$H$15),'F-Ahorro Futuro Decimos'!$H$14,0),0)</f>
        <v>0</v>
      </c>
      <c r="C390" s="122">
        <f>IF(A390='F-Ahorro Futuro Decimos'!$H$18,'F-Ahorro Futuro Decimos'!$H$20,0)</f>
        <v>0</v>
      </c>
      <c r="D390" s="122">
        <f t="shared" si="6"/>
        <v>0</v>
      </c>
      <c r="E390" s="121">
        <f>ROUND(D390*'FR_Mantenimiento tasas'!$C$48/360,5)</f>
        <v>0</v>
      </c>
      <c r="F390" s="121">
        <f>ROUND(D390*'FR_Mantenimiento tasas'!$D$48/360,5)</f>
        <v>0</v>
      </c>
    </row>
    <row r="391" spans="1:6">
      <c r="A391" s="123">
        <f>IF(OR(A390='F-Ahorro Futuro Decimos'!$H$16,A390=""),"",IF(A390+1&gt;'F-Ahorro Futuro Decimos'!$H$16,'F-Ahorro Futuro Decimos'!$H$16,A390+1))</f>
        <v>389</v>
      </c>
      <c r="B391" s="122">
        <f>IFERROR(IF(DAY($A391)=DAY('F-Ahorro Futuro Decimos'!$H$15),'F-Ahorro Futuro Decimos'!$H$14,0),0)</f>
        <v>0</v>
      </c>
      <c r="C391" s="122">
        <f>IF(A391='F-Ahorro Futuro Decimos'!$H$18,'F-Ahorro Futuro Decimos'!$H$20,0)</f>
        <v>0</v>
      </c>
      <c r="D391" s="122">
        <f t="shared" si="6"/>
        <v>0</v>
      </c>
      <c r="E391" s="121">
        <f>ROUND(D391*'FR_Mantenimiento tasas'!$C$48/360,5)</f>
        <v>0</v>
      </c>
      <c r="F391" s="121">
        <f>ROUND(D391*'FR_Mantenimiento tasas'!$D$48/360,5)</f>
        <v>0</v>
      </c>
    </row>
    <row r="392" spans="1:6">
      <c r="A392" s="123">
        <f>IF(OR(A391='F-Ahorro Futuro Decimos'!$H$16,A391=""),"",IF(A391+1&gt;'F-Ahorro Futuro Decimos'!$H$16,'F-Ahorro Futuro Decimos'!$H$16,A391+1))</f>
        <v>390</v>
      </c>
      <c r="B392" s="122">
        <f>IFERROR(IF(DAY($A392)=DAY('F-Ahorro Futuro Decimos'!$H$15),'F-Ahorro Futuro Decimos'!$H$14,0),0)</f>
        <v>0</v>
      </c>
      <c r="C392" s="122">
        <f>IF(A392='F-Ahorro Futuro Decimos'!$H$18,'F-Ahorro Futuro Decimos'!$H$20,0)</f>
        <v>0</v>
      </c>
      <c r="D392" s="122">
        <f t="shared" si="6"/>
        <v>0</v>
      </c>
      <c r="E392" s="121">
        <f>ROUND(D392*'FR_Mantenimiento tasas'!$C$48/360,5)</f>
        <v>0</v>
      </c>
      <c r="F392" s="121">
        <f>ROUND(D392*'FR_Mantenimiento tasas'!$D$48/360,5)</f>
        <v>0</v>
      </c>
    </row>
    <row r="393" spans="1:6">
      <c r="A393" s="123">
        <f>IF(OR(A392='F-Ahorro Futuro Decimos'!$H$16,A392=""),"",IF(A392+1&gt;'F-Ahorro Futuro Decimos'!$H$16,'F-Ahorro Futuro Decimos'!$H$16,A392+1))</f>
        <v>391</v>
      </c>
      <c r="B393" s="122">
        <f>IFERROR(IF(DAY($A393)=DAY('F-Ahorro Futuro Decimos'!$H$15),'F-Ahorro Futuro Decimos'!$H$14,0),0)</f>
        <v>0</v>
      </c>
      <c r="C393" s="122">
        <f>IF(A393='F-Ahorro Futuro Decimos'!$H$18,'F-Ahorro Futuro Decimos'!$H$20,0)</f>
        <v>0</v>
      </c>
      <c r="D393" s="122">
        <f t="shared" si="6"/>
        <v>0</v>
      </c>
      <c r="E393" s="121">
        <f>ROUND(D393*'FR_Mantenimiento tasas'!$C$48/360,5)</f>
        <v>0</v>
      </c>
      <c r="F393" s="121">
        <f>ROUND(D393*'FR_Mantenimiento tasas'!$D$48/360,5)</f>
        <v>0</v>
      </c>
    </row>
    <row r="394" spans="1:6">
      <c r="A394" s="123">
        <f>IF(OR(A393='F-Ahorro Futuro Decimos'!$H$16,A393=""),"",IF(A393+1&gt;'F-Ahorro Futuro Decimos'!$H$16,'F-Ahorro Futuro Decimos'!$H$16,A393+1))</f>
        <v>392</v>
      </c>
      <c r="B394" s="122">
        <f>IFERROR(IF(DAY($A394)=DAY('F-Ahorro Futuro Decimos'!$H$15),'F-Ahorro Futuro Decimos'!$H$14,0),0)</f>
        <v>0</v>
      </c>
      <c r="C394" s="122">
        <f>IF(A394='F-Ahorro Futuro Decimos'!$H$18,'F-Ahorro Futuro Decimos'!$H$20,0)</f>
        <v>0</v>
      </c>
      <c r="D394" s="122">
        <f t="shared" si="6"/>
        <v>0</v>
      </c>
      <c r="E394" s="121">
        <f>ROUND(D394*'FR_Mantenimiento tasas'!$C$48/360,5)</f>
        <v>0</v>
      </c>
      <c r="F394" s="121">
        <f>ROUND(D394*'FR_Mantenimiento tasas'!$D$48/360,5)</f>
        <v>0</v>
      </c>
    </row>
    <row r="395" spans="1:6">
      <c r="A395" s="123">
        <f>IF(OR(A394='F-Ahorro Futuro Decimos'!$H$16,A394=""),"",IF(A394+1&gt;'F-Ahorro Futuro Decimos'!$H$16,'F-Ahorro Futuro Decimos'!$H$16,A394+1))</f>
        <v>393</v>
      </c>
      <c r="B395" s="122">
        <f>IFERROR(IF(DAY($A395)=DAY('F-Ahorro Futuro Decimos'!$H$15),'F-Ahorro Futuro Decimos'!$H$14,0),0)</f>
        <v>0</v>
      </c>
      <c r="C395" s="122">
        <f>IF(A395='F-Ahorro Futuro Decimos'!$H$18,'F-Ahorro Futuro Decimos'!$H$20,0)</f>
        <v>0</v>
      </c>
      <c r="D395" s="122">
        <f t="shared" si="6"/>
        <v>0</v>
      </c>
      <c r="E395" s="121">
        <f>ROUND(D395*'FR_Mantenimiento tasas'!$C$48/360,5)</f>
        <v>0</v>
      </c>
      <c r="F395" s="121">
        <f>ROUND(D395*'FR_Mantenimiento tasas'!$D$48/360,5)</f>
        <v>0</v>
      </c>
    </row>
    <row r="396" spans="1:6">
      <c r="A396" s="123">
        <f>IF(OR(A395='F-Ahorro Futuro Decimos'!$H$16,A395=""),"",IF(A395+1&gt;'F-Ahorro Futuro Decimos'!$H$16,'F-Ahorro Futuro Decimos'!$H$16,A395+1))</f>
        <v>394</v>
      </c>
      <c r="B396" s="122">
        <f>IFERROR(IF(DAY($A396)=DAY('F-Ahorro Futuro Decimos'!$H$15),'F-Ahorro Futuro Decimos'!$H$14,0),0)</f>
        <v>0</v>
      </c>
      <c r="C396" s="122">
        <f>IF(A396='F-Ahorro Futuro Decimos'!$H$18,'F-Ahorro Futuro Decimos'!$H$20,0)</f>
        <v>0</v>
      </c>
      <c r="D396" s="122">
        <f t="shared" si="6"/>
        <v>0</v>
      </c>
      <c r="E396" s="121">
        <f>ROUND(D396*'FR_Mantenimiento tasas'!$C$48/360,5)</f>
        <v>0</v>
      </c>
      <c r="F396" s="121">
        <f>ROUND(D396*'FR_Mantenimiento tasas'!$D$48/360,5)</f>
        <v>0</v>
      </c>
    </row>
    <row r="397" spans="1:6">
      <c r="A397" s="123">
        <f>IF(OR(A396='F-Ahorro Futuro Decimos'!$H$16,A396=""),"",IF(A396+1&gt;'F-Ahorro Futuro Decimos'!$H$16,'F-Ahorro Futuro Decimos'!$H$16,A396+1))</f>
        <v>395</v>
      </c>
      <c r="B397" s="122">
        <f>IFERROR(IF(DAY($A397)=DAY('F-Ahorro Futuro Decimos'!$H$15),'F-Ahorro Futuro Decimos'!$H$14,0),0)</f>
        <v>0</v>
      </c>
      <c r="C397" s="122">
        <f>IF(A397='F-Ahorro Futuro Decimos'!$H$18,'F-Ahorro Futuro Decimos'!$H$20,0)</f>
        <v>0</v>
      </c>
      <c r="D397" s="122">
        <f t="shared" si="6"/>
        <v>0</v>
      </c>
      <c r="E397" s="121">
        <f>ROUND(D397*'FR_Mantenimiento tasas'!$C$48/360,5)</f>
        <v>0</v>
      </c>
      <c r="F397" s="121">
        <f>ROUND(D397*'FR_Mantenimiento tasas'!$D$48/360,5)</f>
        <v>0</v>
      </c>
    </row>
    <row r="398" spans="1:6">
      <c r="A398" s="123">
        <f>IF(OR(A397='F-Ahorro Futuro Decimos'!$H$16,A397=""),"",IF(A397+1&gt;'F-Ahorro Futuro Decimos'!$H$16,'F-Ahorro Futuro Decimos'!$H$16,A397+1))</f>
        <v>396</v>
      </c>
      <c r="B398" s="122">
        <f>IFERROR(IF(DAY($A398)=DAY('F-Ahorro Futuro Decimos'!$H$15),'F-Ahorro Futuro Decimos'!$H$14,0),0)</f>
        <v>0</v>
      </c>
      <c r="C398" s="122">
        <f>IF(A398='F-Ahorro Futuro Decimos'!$H$18,'F-Ahorro Futuro Decimos'!$H$20,0)</f>
        <v>0</v>
      </c>
      <c r="D398" s="122">
        <f t="shared" si="6"/>
        <v>0</v>
      </c>
      <c r="E398" s="121">
        <f>ROUND(D398*'FR_Mantenimiento tasas'!$C$48/360,5)</f>
        <v>0</v>
      </c>
      <c r="F398" s="121">
        <f>ROUND(D398*'FR_Mantenimiento tasas'!$D$48/360,5)</f>
        <v>0</v>
      </c>
    </row>
    <row r="399" spans="1:6">
      <c r="A399" s="123">
        <f>IF(OR(A398='F-Ahorro Futuro Decimos'!$H$16,A398=""),"",IF(A398+1&gt;'F-Ahorro Futuro Decimos'!$H$16,'F-Ahorro Futuro Decimos'!$H$16,A398+1))</f>
        <v>397</v>
      </c>
      <c r="B399" s="122">
        <f>IFERROR(IF(DAY($A399)=DAY('F-Ahorro Futuro Decimos'!$H$15),'F-Ahorro Futuro Decimos'!$H$14,0),0)</f>
        <v>0</v>
      </c>
      <c r="C399" s="122">
        <f>IF(A399='F-Ahorro Futuro Decimos'!$H$18,'F-Ahorro Futuro Decimos'!$H$20,0)</f>
        <v>0</v>
      </c>
      <c r="D399" s="122">
        <f t="shared" si="6"/>
        <v>0</v>
      </c>
      <c r="E399" s="121">
        <f>ROUND(D399*'FR_Mantenimiento tasas'!$C$48/360,5)</f>
        <v>0</v>
      </c>
      <c r="F399" s="121">
        <f>ROUND(D399*'FR_Mantenimiento tasas'!$D$48/360,5)</f>
        <v>0</v>
      </c>
    </row>
    <row r="400" spans="1:6">
      <c r="A400" s="123">
        <f>IF(OR(A399='F-Ahorro Futuro Decimos'!$H$16,A399=""),"",IF(A399+1&gt;'F-Ahorro Futuro Decimos'!$H$16,'F-Ahorro Futuro Decimos'!$H$16,A399+1))</f>
        <v>398</v>
      </c>
      <c r="B400" s="122">
        <f>IFERROR(IF(DAY($A400)=DAY('F-Ahorro Futuro Decimos'!$H$15),'F-Ahorro Futuro Decimos'!$H$14,0),0)</f>
        <v>0</v>
      </c>
      <c r="C400" s="122">
        <f>IF(A400='F-Ahorro Futuro Decimos'!$H$18,'F-Ahorro Futuro Decimos'!$H$20,0)</f>
        <v>0</v>
      </c>
      <c r="D400" s="122">
        <f t="shared" si="6"/>
        <v>0</v>
      </c>
      <c r="E400" s="121">
        <f>ROUND(D400*'FR_Mantenimiento tasas'!$C$48/360,5)</f>
        <v>0</v>
      </c>
      <c r="F400" s="121">
        <f>ROUND(D400*'FR_Mantenimiento tasas'!$D$48/360,5)</f>
        <v>0</v>
      </c>
    </row>
    <row r="401" spans="1:6">
      <c r="A401" s="123">
        <f>IF(OR(A400='F-Ahorro Futuro Decimos'!$H$16,A400=""),"",IF(A400+1&gt;'F-Ahorro Futuro Decimos'!$H$16,'F-Ahorro Futuro Decimos'!$H$16,A400+1))</f>
        <v>399</v>
      </c>
      <c r="B401" s="122">
        <f>IFERROR(IF(DAY($A401)=DAY('F-Ahorro Futuro Decimos'!$H$15),'F-Ahorro Futuro Decimos'!$H$14,0),0)</f>
        <v>0</v>
      </c>
      <c r="C401" s="122">
        <f>IF(A401='F-Ahorro Futuro Decimos'!$H$18,'F-Ahorro Futuro Decimos'!$H$20,0)</f>
        <v>0</v>
      </c>
      <c r="D401" s="122">
        <f t="shared" si="6"/>
        <v>0</v>
      </c>
      <c r="E401" s="121">
        <f>ROUND(D401*'FR_Mantenimiento tasas'!$C$48/360,5)</f>
        <v>0</v>
      </c>
      <c r="F401" s="121">
        <f>ROUND(D401*'FR_Mantenimiento tasas'!$D$48/360,5)</f>
        <v>0</v>
      </c>
    </row>
    <row r="402" spans="1:6">
      <c r="A402" s="123">
        <f>IF(OR(A401='F-Ahorro Futuro Decimos'!$H$16,A401=""),"",IF(A401+1&gt;'F-Ahorro Futuro Decimos'!$H$16,'F-Ahorro Futuro Decimos'!$H$16,A401+1))</f>
        <v>400</v>
      </c>
      <c r="B402" s="122">
        <f>IFERROR(IF(DAY($A402)=DAY('F-Ahorro Futuro Decimos'!$H$15),'F-Ahorro Futuro Decimos'!$H$14,0),0)</f>
        <v>0</v>
      </c>
      <c r="C402" s="122">
        <f>IF(A402='F-Ahorro Futuro Decimos'!$H$18,'F-Ahorro Futuro Decimos'!$H$20,0)</f>
        <v>0</v>
      </c>
      <c r="D402" s="122">
        <f t="shared" si="6"/>
        <v>0</v>
      </c>
      <c r="E402" s="121">
        <f>ROUND(D402*'FR_Mantenimiento tasas'!$C$48/360,5)</f>
        <v>0</v>
      </c>
      <c r="F402" s="121">
        <f>ROUND(D402*'FR_Mantenimiento tasas'!$D$48/360,5)</f>
        <v>0</v>
      </c>
    </row>
    <row r="403" spans="1:6">
      <c r="A403" s="123">
        <f>IF(OR(A402='F-Ahorro Futuro Decimos'!$H$16,A402=""),"",IF(A402+1&gt;'F-Ahorro Futuro Decimos'!$H$16,'F-Ahorro Futuro Decimos'!$H$16,A402+1))</f>
        <v>401</v>
      </c>
      <c r="B403" s="122">
        <f>IFERROR(IF(DAY($A403)=DAY('F-Ahorro Futuro Decimos'!$H$15),'F-Ahorro Futuro Decimos'!$H$14,0),0)</f>
        <v>0</v>
      </c>
      <c r="C403" s="122">
        <f>IF(A403='F-Ahorro Futuro Decimos'!$H$18,'F-Ahorro Futuro Decimos'!$H$20,0)</f>
        <v>0</v>
      </c>
      <c r="D403" s="122">
        <f t="shared" si="6"/>
        <v>0</v>
      </c>
      <c r="E403" s="121">
        <f>ROUND(D403*'FR_Mantenimiento tasas'!$C$48/360,5)</f>
        <v>0</v>
      </c>
      <c r="F403" s="121">
        <f>ROUND(D403*'FR_Mantenimiento tasas'!$D$48/360,5)</f>
        <v>0</v>
      </c>
    </row>
    <row r="404" spans="1:6">
      <c r="A404" s="123">
        <f>IF(OR(A403='F-Ahorro Futuro Decimos'!$H$16,A403=""),"",IF(A403+1&gt;'F-Ahorro Futuro Decimos'!$H$16,'F-Ahorro Futuro Decimos'!$H$16,A403+1))</f>
        <v>402</v>
      </c>
      <c r="B404" s="122">
        <f>IFERROR(IF(DAY($A404)=DAY('F-Ahorro Futuro Decimos'!$H$15),'F-Ahorro Futuro Decimos'!$H$14,0),0)</f>
        <v>0</v>
      </c>
      <c r="C404" s="122">
        <f>IF(A404='F-Ahorro Futuro Decimos'!$H$18,'F-Ahorro Futuro Decimos'!$H$20,0)</f>
        <v>0</v>
      </c>
      <c r="D404" s="122">
        <f t="shared" si="6"/>
        <v>0</v>
      </c>
      <c r="E404" s="121">
        <f>ROUND(D404*'FR_Mantenimiento tasas'!$C$48/360,5)</f>
        <v>0</v>
      </c>
      <c r="F404" s="121">
        <f>ROUND(D404*'FR_Mantenimiento tasas'!$D$48/360,5)</f>
        <v>0</v>
      </c>
    </row>
    <row r="405" spans="1:6">
      <c r="A405" s="123">
        <f>IF(OR(A404='F-Ahorro Futuro Decimos'!$H$16,A404=""),"",IF(A404+1&gt;'F-Ahorro Futuro Decimos'!$H$16,'F-Ahorro Futuro Decimos'!$H$16,A404+1))</f>
        <v>403</v>
      </c>
      <c r="B405" s="122">
        <f>IFERROR(IF(DAY($A405)=DAY('F-Ahorro Futuro Decimos'!$H$15),'F-Ahorro Futuro Decimos'!$H$14,0),0)</f>
        <v>0</v>
      </c>
      <c r="C405" s="122">
        <f>IF(A405='F-Ahorro Futuro Decimos'!$H$18,'F-Ahorro Futuro Decimos'!$H$20,0)</f>
        <v>0</v>
      </c>
      <c r="D405" s="122">
        <f t="shared" si="6"/>
        <v>0</v>
      </c>
      <c r="E405" s="121">
        <f>ROUND(D405*'FR_Mantenimiento tasas'!$C$48/360,5)</f>
        <v>0</v>
      </c>
      <c r="F405" s="121">
        <f>ROUND(D405*'FR_Mantenimiento tasas'!$D$48/360,5)</f>
        <v>0</v>
      </c>
    </row>
    <row r="406" spans="1:6">
      <c r="A406" s="123">
        <f>IF(OR(A405='F-Ahorro Futuro Decimos'!$H$16,A405=""),"",IF(A405+1&gt;'F-Ahorro Futuro Decimos'!$H$16,'F-Ahorro Futuro Decimos'!$H$16,A405+1))</f>
        <v>404</v>
      </c>
      <c r="B406" s="122">
        <f>IFERROR(IF(DAY($A406)=DAY('F-Ahorro Futuro Decimos'!$H$15),'F-Ahorro Futuro Decimos'!$H$14,0),0)</f>
        <v>0</v>
      </c>
      <c r="C406" s="122">
        <f>IF(A406='F-Ahorro Futuro Decimos'!$H$18,'F-Ahorro Futuro Decimos'!$H$20,0)</f>
        <v>0</v>
      </c>
      <c r="D406" s="122">
        <f t="shared" si="6"/>
        <v>0</v>
      </c>
      <c r="E406" s="121">
        <f>ROUND(D406*'FR_Mantenimiento tasas'!$C$48/360,5)</f>
        <v>0</v>
      </c>
      <c r="F406" s="121">
        <f>ROUND(D406*'FR_Mantenimiento tasas'!$D$48/360,5)</f>
        <v>0</v>
      </c>
    </row>
    <row r="407" spans="1:6">
      <c r="A407" s="123">
        <f>IF(OR(A406='F-Ahorro Futuro Decimos'!$H$16,A406=""),"",IF(A406+1&gt;'F-Ahorro Futuro Decimos'!$H$16,'F-Ahorro Futuro Decimos'!$H$16,A406+1))</f>
        <v>405</v>
      </c>
      <c r="B407" s="122">
        <f>IFERROR(IF(DAY($A407)=DAY('F-Ahorro Futuro Decimos'!$H$15),'F-Ahorro Futuro Decimos'!$H$14,0),0)</f>
        <v>0</v>
      </c>
      <c r="C407" s="122">
        <f>IF(A407='F-Ahorro Futuro Decimos'!$H$18,'F-Ahorro Futuro Decimos'!$H$20,0)</f>
        <v>0</v>
      </c>
      <c r="D407" s="122">
        <f t="shared" si="6"/>
        <v>0</v>
      </c>
      <c r="E407" s="121">
        <f>ROUND(D407*'FR_Mantenimiento tasas'!$C$48/360,5)</f>
        <v>0</v>
      </c>
      <c r="F407" s="121">
        <f>ROUND(D407*'FR_Mantenimiento tasas'!$D$48/360,5)</f>
        <v>0</v>
      </c>
    </row>
    <row r="408" spans="1:6">
      <c r="A408" s="123">
        <f>IF(OR(A407='F-Ahorro Futuro Decimos'!$H$16,A407=""),"",IF(A407+1&gt;'F-Ahorro Futuro Decimos'!$H$16,'F-Ahorro Futuro Decimos'!$H$16,A407+1))</f>
        <v>406</v>
      </c>
      <c r="B408" s="122">
        <f>IFERROR(IF(DAY($A408)=DAY('F-Ahorro Futuro Decimos'!$H$15),'F-Ahorro Futuro Decimos'!$H$14,0),0)</f>
        <v>0</v>
      </c>
      <c r="C408" s="122">
        <f>IF(A408='F-Ahorro Futuro Decimos'!$H$18,'F-Ahorro Futuro Decimos'!$H$20,0)</f>
        <v>0</v>
      </c>
      <c r="D408" s="122">
        <f t="shared" si="6"/>
        <v>0</v>
      </c>
      <c r="E408" s="121">
        <f>ROUND(D408*'FR_Mantenimiento tasas'!$C$48/360,5)</f>
        <v>0</v>
      </c>
      <c r="F408" s="121">
        <f>ROUND(D408*'FR_Mantenimiento tasas'!$D$48/360,5)</f>
        <v>0</v>
      </c>
    </row>
    <row r="409" spans="1:6">
      <c r="A409" s="123">
        <f>IF(OR(A408='F-Ahorro Futuro Decimos'!$H$16,A408=""),"",IF(A408+1&gt;'F-Ahorro Futuro Decimos'!$H$16,'F-Ahorro Futuro Decimos'!$H$16,A408+1))</f>
        <v>407</v>
      </c>
      <c r="B409" s="122">
        <f>IFERROR(IF(DAY($A409)=DAY('F-Ahorro Futuro Decimos'!$H$15),'F-Ahorro Futuro Decimos'!$H$14,0),0)</f>
        <v>0</v>
      </c>
      <c r="C409" s="122">
        <f>IF(A409='F-Ahorro Futuro Decimos'!$H$18,'F-Ahorro Futuro Decimos'!$H$20,0)</f>
        <v>0</v>
      </c>
      <c r="D409" s="122">
        <f t="shared" si="6"/>
        <v>0</v>
      </c>
      <c r="E409" s="121">
        <f>ROUND(D409*'FR_Mantenimiento tasas'!$C$48/360,5)</f>
        <v>0</v>
      </c>
      <c r="F409" s="121">
        <f>ROUND(D409*'FR_Mantenimiento tasas'!$D$48/360,5)</f>
        <v>0</v>
      </c>
    </row>
    <row r="410" spans="1:6">
      <c r="A410" s="123">
        <f>IF(OR(A409='F-Ahorro Futuro Decimos'!$H$16,A409=""),"",IF(A409+1&gt;'F-Ahorro Futuro Decimos'!$H$16,'F-Ahorro Futuro Decimos'!$H$16,A409+1))</f>
        <v>408</v>
      </c>
      <c r="B410" s="122">
        <f>IFERROR(IF(DAY($A410)=DAY('F-Ahorro Futuro Decimos'!$H$15),'F-Ahorro Futuro Decimos'!$H$14,0),0)</f>
        <v>0</v>
      </c>
      <c r="C410" s="122">
        <f>IF(A410='F-Ahorro Futuro Decimos'!$H$18,'F-Ahorro Futuro Decimos'!$H$20,0)</f>
        <v>0</v>
      </c>
      <c r="D410" s="122">
        <f t="shared" si="6"/>
        <v>0</v>
      </c>
      <c r="E410" s="121">
        <f>ROUND(D410*'FR_Mantenimiento tasas'!$C$48/360,5)</f>
        <v>0</v>
      </c>
      <c r="F410" s="121">
        <f>ROUND(D410*'FR_Mantenimiento tasas'!$D$48/360,5)</f>
        <v>0</v>
      </c>
    </row>
    <row r="411" spans="1:6">
      <c r="A411" s="123">
        <f>IF(OR(A410='F-Ahorro Futuro Decimos'!$H$16,A410=""),"",IF(A410+1&gt;'F-Ahorro Futuro Decimos'!$H$16,'F-Ahorro Futuro Decimos'!$H$16,A410+1))</f>
        <v>409</v>
      </c>
      <c r="B411" s="122">
        <f>IFERROR(IF(DAY($A411)=DAY('F-Ahorro Futuro Decimos'!$H$15),'F-Ahorro Futuro Decimos'!$H$14,0),0)</f>
        <v>0</v>
      </c>
      <c r="C411" s="122">
        <f>IF(A411='F-Ahorro Futuro Decimos'!$H$18,'F-Ahorro Futuro Decimos'!$H$20,0)</f>
        <v>0</v>
      </c>
      <c r="D411" s="122">
        <f t="shared" si="6"/>
        <v>0</v>
      </c>
      <c r="E411" s="121">
        <f>ROUND(D411*'FR_Mantenimiento tasas'!$C$48/360,5)</f>
        <v>0</v>
      </c>
      <c r="F411" s="121">
        <f>ROUND(D411*'FR_Mantenimiento tasas'!$D$48/360,5)</f>
        <v>0</v>
      </c>
    </row>
    <row r="412" spans="1:6">
      <c r="A412" s="123">
        <f>IF(OR(A411='F-Ahorro Futuro Decimos'!$H$16,A411=""),"",IF(A411+1&gt;'F-Ahorro Futuro Decimos'!$H$16,'F-Ahorro Futuro Decimos'!$H$16,A411+1))</f>
        <v>410</v>
      </c>
      <c r="B412" s="122">
        <f>IFERROR(IF(DAY($A412)=DAY('F-Ahorro Futuro Decimos'!$H$15),'F-Ahorro Futuro Decimos'!$H$14,0),0)</f>
        <v>0</v>
      </c>
      <c r="C412" s="122">
        <f>IF(A412='F-Ahorro Futuro Decimos'!$H$18,'F-Ahorro Futuro Decimos'!$H$20,0)</f>
        <v>0</v>
      </c>
      <c r="D412" s="122">
        <f t="shared" si="6"/>
        <v>0</v>
      </c>
      <c r="E412" s="121">
        <f>ROUND(D412*'FR_Mantenimiento tasas'!$C$48/360,5)</f>
        <v>0</v>
      </c>
      <c r="F412" s="121">
        <f>ROUND(D412*'FR_Mantenimiento tasas'!$D$48/360,5)</f>
        <v>0</v>
      </c>
    </row>
    <row r="413" spans="1:6">
      <c r="A413" s="123">
        <f>IF(OR(A412='F-Ahorro Futuro Decimos'!$H$16,A412=""),"",IF(A412+1&gt;'F-Ahorro Futuro Decimos'!$H$16,'F-Ahorro Futuro Decimos'!$H$16,A412+1))</f>
        <v>411</v>
      </c>
      <c r="B413" s="122">
        <f>IFERROR(IF(DAY($A413)=DAY('F-Ahorro Futuro Decimos'!$H$15),'F-Ahorro Futuro Decimos'!$H$14,0),0)</f>
        <v>0</v>
      </c>
      <c r="C413" s="122">
        <f>IF(A413='F-Ahorro Futuro Decimos'!$H$18,'F-Ahorro Futuro Decimos'!$H$20,0)</f>
        <v>0</v>
      </c>
      <c r="D413" s="122">
        <f t="shared" si="6"/>
        <v>0</v>
      </c>
      <c r="E413" s="121">
        <f>ROUND(D413*'FR_Mantenimiento tasas'!$C$48/360,5)</f>
        <v>0</v>
      </c>
      <c r="F413" s="121">
        <f>ROUND(D413*'FR_Mantenimiento tasas'!$D$48/360,5)</f>
        <v>0</v>
      </c>
    </row>
    <row r="414" spans="1:6">
      <c r="A414" s="123">
        <f>IF(OR(A413='F-Ahorro Futuro Decimos'!$H$16,A413=""),"",IF(A413+1&gt;'F-Ahorro Futuro Decimos'!$H$16,'F-Ahorro Futuro Decimos'!$H$16,A413+1))</f>
        <v>412</v>
      </c>
      <c r="B414" s="122">
        <f>IFERROR(IF(DAY($A414)=DAY('F-Ahorro Futuro Decimos'!$H$15),'F-Ahorro Futuro Decimos'!$H$14,0),0)</f>
        <v>0</v>
      </c>
      <c r="C414" s="122">
        <f>IF(A414='F-Ahorro Futuro Decimos'!$H$18,'F-Ahorro Futuro Decimos'!$H$20,0)</f>
        <v>0</v>
      </c>
      <c r="D414" s="122">
        <f t="shared" si="6"/>
        <v>0</v>
      </c>
      <c r="E414" s="121">
        <f>ROUND(D414*'FR_Mantenimiento tasas'!$C$48/360,5)</f>
        <v>0</v>
      </c>
      <c r="F414" s="121">
        <f>ROUND(D414*'FR_Mantenimiento tasas'!$D$48/360,5)</f>
        <v>0</v>
      </c>
    </row>
    <row r="415" spans="1:6">
      <c r="A415" s="123">
        <f>IF(OR(A414='F-Ahorro Futuro Decimos'!$H$16,A414=""),"",IF(A414+1&gt;'F-Ahorro Futuro Decimos'!$H$16,'F-Ahorro Futuro Decimos'!$H$16,A414+1))</f>
        <v>413</v>
      </c>
      <c r="B415" s="122">
        <f>IFERROR(IF(DAY($A415)=DAY('F-Ahorro Futuro Decimos'!$H$15),'F-Ahorro Futuro Decimos'!$H$14,0),0)</f>
        <v>0</v>
      </c>
      <c r="C415" s="122">
        <f>IF(A415='F-Ahorro Futuro Decimos'!$H$18,'F-Ahorro Futuro Decimos'!$H$20,0)</f>
        <v>0</v>
      </c>
      <c r="D415" s="122">
        <f t="shared" si="6"/>
        <v>0</v>
      </c>
      <c r="E415" s="121">
        <f>ROUND(D415*'FR_Mantenimiento tasas'!$C$48/360,5)</f>
        <v>0</v>
      </c>
      <c r="F415" s="121">
        <f>ROUND(D415*'FR_Mantenimiento tasas'!$D$48/360,5)</f>
        <v>0</v>
      </c>
    </row>
    <row r="416" spans="1:6">
      <c r="A416" s="123">
        <f>IF(OR(A415='F-Ahorro Futuro Decimos'!$H$16,A415=""),"",IF(A415+1&gt;'F-Ahorro Futuro Decimos'!$H$16,'F-Ahorro Futuro Decimos'!$H$16,A415+1))</f>
        <v>414</v>
      </c>
      <c r="B416" s="122">
        <f>IFERROR(IF(DAY($A416)=DAY('F-Ahorro Futuro Decimos'!$H$15),'F-Ahorro Futuro Decimos'!$H$14,0),0)</f>
        <v>0</v>
      </c>
      <c r="C416" s="122">
        <f>IF(A416='F-Ahorro Futuro Decimos'!$H$18,'F-Ahorro Futuro Decimos'!$H$20,0)</f>
        <v>0</v>
      </c>
      <c r="D416" s="122">
        <f t="shared" si="6"/>
        <v>0</v>
      </c>
      <c r="E416" s="121">
        <f>ROUND(D416*'FR_Mantenimiento tasas'!$C$48/360,5)</f>
        <v>0</v>
      </c>
      <c r="F416" s="121">
        <f>ROUND(D416*'FR_Mantenimiento tasas'!$D$48/360,5)</f>
        <v>0</v>
      </c>
    </row>
    <row r="417" spans="1:6">
      <c r="A417" s="123">
        <f>IF(OR(A416='F-Ahorro Futuro Decimos'!$H$16,A416=""),"",IF(A416+1&gt;'F-Ahorro Futuro Decimos'!$H$16,'F-Ahorro Futuro Decimos'!$H$16,A416+1))</f>
        <v>415</v>
      </c>
      <c r="B417" s="122">
        <f>IFERROR(IF(DAY($A417)=DAY('F-Ahorro Futuro Decimos'!$H$15),'F-Ahorro Futuro Decimos'!$H$14,0),0)</f>
        <v>0</v>
      </c>
      <c r="C417" s="122">
        <f>IF(A417='F-Ahorro Futuro Decimos'!$H$18,'F-Ahorro Futuro Decimos'!$H$20,0)</f>
        <v>0</v>
      </c>
      <c r="D417" s="122">
        <f t="shared" si="6"/>
        <v>0</v>
      </c>
      <c r="E417" s="121">
        <f>ROUND(D417*'FR_Mantenimiento tasas'!$C$48/360,5)</f>
        <v>0</v>
      </c>
      <c r="F417" s="121">
        <f>ROUND(D417*'FR_Mantenimiento tasas'!$D$48/360,5)</f>
        <v>0</v>
      </c>
    </row>
    <row r="418" spans="1:6">
      <c r="A418" s="123">
        <f>IF(OR(A417='F-Ahorro Futuro Decimos'!$H$16,A417=""),"",IF(A417+1&gt;'F-Ahorro Futuro Decimos'!$H$16,'F-Ahorro Futuro Decimos'!$H$16,A417+1))</f>
        <v>416</v>
      </c>
      <c r="B418" s="122">
        <f>IFERROR(IF(DAY($A418)=DAY('F-Ahorro Futuro Decimos'!$H$15),'F-Ahorro Futuro Decimos'!$H$14,0),0)</f>
        <v>0</v>
      </c>
      <c r="C418" s="122">
        <f>IF(A418='F-Ahorro Futuro Decimos'!$H$18,'F-Ahorro Futuro Decimos'!$H$20,0)</f>
        <v>0</v>
      </c>
      <c r="D418" s="122">
        <f t="shared" si="6"/>
        <v>0</v>
      </c>
      <c r="E418" s="121">
        <f>ROUND(D418*'FR_Mantenimiento tasas'!$C$48/360,5)</f>
        <v>0</v>
      </c>
      <c r="F418" s="121">
        <f>ROUND(D418*'FR_Mantenimiento tasas'!$D$48/360,5)</f>
        <v>0</v>
      </c>
    </row>
    <row r="419" spans="1:6">
      <c r="A419" s="123">
        <f>IF(OR(A418='F-Ahorro Futuro Decimos'!$H$16,A418=""),"",IF(A418+1&gt;'F-Ahorro Futuro Decimos'!$H$16,'F-Ahorro Futuro Decimos'!$H$16,A418+1))</f>
        <v>417</v>
      </c>
      <c r="B419" s="122">
        <f>IFERROR(IF(DAY($A419)=DAY('F-Ahorro Futuro Decimos'!$H$15),'F-Ahorro Futuro Decimos'!$H$14,0),0)</f>
        <v>0</v>
      </c>
      <c r="C419" s="122">
        <f>IF(A419='F-Ahorro Futuro Decimos'!$H$18,'F-Ahorro Futuro Decimos'!$H$20,0)</f>
        <v>0</v>
      </c>
      <c r="D419" s="122">
        <f t="shared" si="6"/>
        <v>0</v>
      </c>
      <c r="E419" s="121">
        <f>ROUND(D419*'FR_Mantenimiento tasas'!$C$48/360,5)</f>
        <v>0</v>
      </c>
      <c r="F419" s="121">
        <f>ROUND(D419*'FR_Mantenimiento tasas'!$D$48/360,5)</f>
        <v>0</v>
      </c>
    </row>
    <row r="420" spans="1:6">
      <c r="A420" s="123">
        <f>IF(OR(A419='F-Ahorro Futuro Decimos'!$H$16,A419=""),"",IF(A419+1&gt;'F-Ahorro Futuro Decimos'!$H$16,'F-Ahorro Futuro Decimos'!$H$16,A419+1))</f>
        <v>418</v>
      </c>
      <c r="B420" s="122">
        <f>IFERROR(IF(DAY($A420)=DAY('F-Ahorro Futuro Decimos'!$H$15),'F-Ahorro Futuro Decimos'!$H$14,0),0)</f>
        <v>0</v>
      </c>
      <c r="C420" s="122">
        <f>IF(A420='F-Ahorro Futuro Decimos'!$H$18,'F-Ahorro Futuro Decimos'!$H$20,0)</f>
        <v>0</v>
      </c>
      <c r="D420" s="122">
        <f t="shared" si="6"/>
        <v>0</v>
      </c>
      <c r="E420" s="121">
        <f>ROUND(D420*'FR_Mantenimiento tasas'!$C$48/360,5)</f>
        <v>0</v>
      </c>
      <c r="F420" s="121">
        <f>ROUND(D420*'FR_Mantenimiento tasas'!$D$48/360,5)</f>
        <v>0</v>
      </c>
    </row>
    <row r="421" spans="1:6">
      <c r="A421" s="123">
        <f>IF(OR(A420='F-Ahorro Futuro Decimos'!$H$16,A420=""),"",IF(A420+1&gt;'F-Ahorro Futuro Decimos'!$H$16,'F-Ahorro Futuro Decimos'!$H$16,A420+1))</f>
        <v>419</v>
      </c>
      <c r="B421" s="122">
        <f>IFERROR(IF(DAY($A421)=DAY('F-Ahorro Futuro Decimos'!$H$15),'F-Ahorro Futuro Decimos'!$H$14,0),0)</f>
        <v>0</v>
      </c>
      <c r="C421" s="122">
        <f>IF(A421='F-Ahorro Futuro Decimos'!$H$18,'F-Ahorro Futuro Decimos'!$H$20,0)</f>
        <v>0</v>
      </c>
      <c r="D421" s="122">
        <f t="shared" si="6"/>
        <v>0</v>
      </c>
      <c r="E421" s="121">
        <f>ROUND(D421*'FR_Mantenimiento tasas'!$C$48/360,5)</f>
        <v>0</v>
      </c>
      <c r="F421" s="121">
        <f>ROUND(D421*'FR_Mantenimiento tasas'!$D$48/360,5)</f>
        <v>0</v>
      </c>
    </row>
    <row r="422" spans="1:6">
      <c r="A422" s="123">
        <f>IF(OR(A421='F-Ahorro Futuro Decimos'!$H$16,A421=""),"",IF(A421+1&gt;'F-Ahorro Futuro Decimos'!$H$16,'F-Ahorro Futuro Decimos'!$H$16,A421+1))</f>
        <v>420</v>
      </c>
      <c r="B422" s="122">
        <f>IFERROR(IF(DAY($A422)=DAY('F-Ahorro Futuro Decimos'!$H$15),'F-Ahorro Futuro Decimos'!$H$14,0),0)</f>
        <v>0</v>
      </c>
      <c r="C422" s="122">
        <f>IF(A422='F-Ahorro Futuro Decimos'!$H$18,'F-Ahorro Futuro Decimos'!$H$20,0)</f>
        <v>0</v>
      </c>
      <c r="D422" s="122">
        <f t="shared" si="6"/>
        <v>0</v>
      </c>
      <c r="E422" s="121">
        <f>ROUND(D422*'FR_Mantenimiento tasas'!$C$48/360,5)</f>
        <v>0</v>
      </c>
      <c r="F422" s="121">
        <f>ROUND(D422*'FR_Mantenimiento tasas'!$D$48/360,5)</f>
        <v>0</v>
      </c>
    </row>
    <row r="423" spans="1:6">
      <c r="A423" s="123">
        <f>IF(OR(A422='F-Ahorro Futuro Decimos'!$H$16,A422=""),"",IF(A422+1&gt;'F-Ahorro Futuro Decimos'!$H$16,'F-Ahorro Futuro Decimos'!$H$16,A422+1))</f>
        <v>421</v>
      </c>
      <c r="B423" s="122">
        <f>IFERROR(IF(DAY($A423)=DAY('F-Ahorro Futuro Decimos'!$H$15),'F-Ahorro Futuro Decimos'!$H$14,0),0)</f>
        <v>0</v>
      </c>
      <c r="C423" s="122">
        <f>IF(A423='F-Ahorro Futuro Decimos'!$H$18,'F-Ahorro Futuro Decimos'!$H$20,0)</f>
        <v>0</v>
      </c>
      <c r="D423" s="122">
        <f t="shared" si="6"/>
        <v>0</v>
      </c>
      <c r="E423" s="121">
        <f>ROUND(D423*'FR_Mantenimiento tasas'!$C$48/360,5)</f>
        <v>0</v>
      </c>
      <c r="F423" s="121">
        <f>ROUND(D423*'FR_Mantenimiento tasas'!$D$48/360,5)</f>
        <v>0</v>
      </c>
    </row>
    <row r="424" spans="1:6">
      <c r="A424" s="123">
        <f>IF(OR(A423='F-Ahorro Futuro Decimos'!$H$16,A423=""),"",IF(A423+1&gt;'F-Ahorro Futuro Decimos'!$H$16,'F-Ahorro Futuro Decimos'!$H$16,A423+1))</f>
        <v>422</v>
      </c>
      <c r="B424" s="122">
        <f>IFERROR(IF(DAY($A424)=DAY('F-Ahorro Futuro Decimos'!$H$15),'F-Ahorro Futuro Decimos'!$H$14,0),0)</f>
        <v>0</v>
      </c>
      <c r="C424" s="122">
        <f>IF(A424='F-Ahorro Futuro Decimos'!$H$18,'F-Ahorro Futuro Decimos'!$H$20,0)</f>
        <v>0</v>
      </c>
      <c r="D424" s="122">
        <f t="shared" si="6"/>
        <v>0</v>
      </c>
      <c r="E424" s="121">
        <f>ROUND(D424*'FR_Mantenimiento tasas'!$C$48/360,5)</f>
        <v>0</v>
      </c>
      <c r="F424" s="121">
        <f>ROUND(D424*'FR_Mantenimiento tasas'!$D$48/360,5)</f>
        <v>0</v>
      </c>
    </row>
    <row r="425" spans="1:6">
      <c r="A425" s="123">
        <f>IF(OR(A424='F-Ahorro Futuro Decimos'!$H$16,A424=""),"",IF(A424+1&gt;'F-Ahorro Futuro Decimos'!$H$16,'F-Ahorro Futuro Decimos'!$H$16,A424+1))</f>
        <v>423</v>
      </c>
      <c r="B425" s="122">
        <f>IFERROR(IF(DAY($A425)=DAY('F-Ahorro Futuro Decimos'!$H$15),'F-Ahorro Futuro Decimos'!$H$14,0),0)</f>
        <v>0</v>
      </c>
      <c r="C425" s="122">
        <f>IF(A425='F-Ahorro Futuro Decimos'!$H$18,'F-Ahorro Futuro Decimos'!$H$20,0)</f>
        <v>0</v>
      </c>
      <c r="D425" s="122">
        <f t="shared" si="6"/>
        <v>0</v>
      </c>
      <c r="E425" s="121">
        <f>ROUND(D425*'FR_Mantenimiento tasas'!$C$48/360,5)</f>
        <v>0</v>
      </c>
      <c r="F425" s="121">
        <f>ROUND(D425*'FR_Mantenimiento tasas'!$D$48/360,5)</f>
        <v>0</v>
      </c>
    </row>
    <row r="426" spans="1:6">
      <c r="A426" s="123">
        <f>IF(OR(A425='F-Ahorro Futuro Decimos'!$H$16,A425=""),"",IF(A425+1&gt;'F-Ahorro Futuro Decimos'!$H$16,'F-Ahorro Futuro Decimos'!$H$16,A425+1))</f>
        <v>424</v>
      </c>
      <c r="B426" s="122">
        <f>IFERROR(IF(DAY($A426)=DAY('F-Ahorro Futuro Decimos'!$H$15),'F-Ahorro Futuro Decimos'!$H$14,0),0)</f>
        <v>0</v>
      </c>
      <c r="C426" s="122">
        <f>IF(A426='F-Ahorro Futuro Decimos'!$H$18,'F-Ahorro Futuro Decimos'!$H$20,0)</f>
        <v>0</v>
      </c>
      <c r="D426" s="122">
        <f t="shared" si="6"/>
        <v>0</v>
      </c>
      <c r="E426" s="121">
        <f>ROUND(D426*'FR_Mantenimiento tasas'!$C$48/360,5)</f>
        <v>0</v>
      </c>
      <c r="F426" s="121">
        <f>ROUND(D426*'FR_Mantenimiento tasas'!$D$48/360,5)</f>
        <v>0</v>
      </c>
    </row>
    <row r="427" spans="1:6">
      <c r="A427" s="123">
        <f>IF(OR(A426='F-Ahorro Futuro Decimos'!$H$16,A426=""),"",IF(A426+1&gt;'F-Ahorro Futuro Decimos'!$H$16,'F-Ahorro Futuro Decimos'!$H$16,A426+1))</f>
        <v>425</v>
      </c>
      <c r="B427" s="122">
        <f>IFERROR(IF(DAY($A427)=DAY('F-Ahorro Futuro Decimos'!$H$15),'F-Ahorro Futuro Decimos'!$H$14,0),0)</f>
        <v>0</v>
      </c>
      <c r="C427" s="122">
        <f>IF(A427='F-Ahorro Futuro Decimos'!$H$18,'F-Ahorro Futuro Decimos'!$H$20,0)</f>
        <v>0</v>
      </c>
      <c r="D427" s="122">
        <f t="shared" si="6"/>
        <v>0</v>
      </c>
      <c r="E427" s="121">
        <f>ROUND(D427*'FR_Mantenimiento tasas'!$C$48/360,5)</f>
        <v>0</v>
      </c>
      <c r="F427" s="121">
        <f>ROUND(D427*'FR_Mantenimiento tasas'!$D$48/360,5)</f>
        <v>0</v>
      </c>
    </row>
    <row r="428" spans="1:6">
      <c r="A428" s="123">
        <f>IF(OR(A427='F-Ahorro Futuro Decimos'!$H$16,A427=""),"",IF(A427+1&gt;'F-Ahorro Futuro Decimos'!$H$16,'F-Ahorro Futuro Decimos'!$H$16,A427+1))</f>
        <v>426</v>
      </c>
      <c r="B428" s="122">
        <f>IFERROR(IF(DAY($A428)=DAY('F-Ahorro Futuro Decimos'!$H$15),'F-Ahorro Futuro Decimos'!$H$14,0),0)</f>
        <v>0</v>
      </c>
      <c r="C428" s="122">
        <f>IF(A428='F-Ahorro Futuro Decimos'!$H$18,'F-Ahorro Futuro Decimos'!$H$20,0)</f>
        <v>0</v>
      </c>
      <c r="D428" s="122">
        <f t="shared" si="6"/>
        <v>0</v>
      </c>
      <c r="E428" s="121">
        <f>ROUND(D428*'FR_Mantenimiento tasas'!$C$48/360,5)</f>
        <v>0</v>
      </c>
      <c r="F428" s="121">
        <f>ROUND(D428*'FR_Mantenimiento tasas'!$D$48/360,5)</f>
        <v>0</v>
      </c>
    </row>
    <row r="429" spans="1:6">
      <c r="A429" s="123">
        <f>IF(OR(A428='F-Ahorro Futuro Decimos'!$H$16,A428=""),"",IF(A428+1&gt;'F-Ahorro Futuro Decimos'!$H$16,'F-Ahorro Futuro Decimos'!$H$16,A428+1))</f>
        <v>427</v>
      </c>
      <c r="B429" s="122">
        <f>IFERROR(IF(DAY($A429)=DAY('F-Ahorro Futuro Decimos'!$H$15),'F-Ahorro Futuro Decimos'!$H$14,0),0)</f>
        <v>0</v>
      </c>
      <c r="C429" s="122">
        <f>IF(A429='F-Ahorro Futuro Decimos'!$H$18,'F-Ahorro Futuro Decimos'!$H$20,0)</f>
        <v>0</v>
      </c>
      <c r="D429" s="122">
        <f t="shared" si="6"/>
        <v>0</v>
      </c>
      <c r="E429" s="121">
        <f>ROUND(D429*'FR_Mantenimiento tasas'!$C$48/360,5)</f>
        <v>0</v>
      </c>
      <c r="F429" s="121">
        <f>ROUND(D429*'FR_Mantenimiento tasas'!$D$48/360,5)</f>
        <v>0</v>
      </c>
    </row>
    <row r="430" spans="1:6">
      <c r="A430" s="123">
        <f>IF(OR(A429='F-Ahorro Futuro Decimos'!$H$16,A429=""),"",IF(A429+1&gt;'F-Ahorro Futuro Decimos'!$H$16,'F-Ahorro Futuro Decimos'!$H$16,A429+1))</f>
        <v>428</v>
      </c>
      <c r="B430" s="122">
        <f>IFERROR(IF(DAY($A430)=DAY('F-Ahorro Futuro Decimos'!$H$15),'F-Ahorro Futuro Decimos'!$H$14,0),0)</f>
        <v>0</v>
      </c>
      <c r="C430" s="122">
        <f>IF(A430='F-Ahorro Futuro Decimos'!$H$18,'F-Ahorro Futuro Decimos'!$H$20,0)</f>
        <v>0</v>
      </c>
      <c r="D430" s="122">
        <f t="shared" si="6"/>
        <v>0</v>
      </c>
      <c r="E430" s="121">
        <f>ROUND(D430*'FR_Mantenimiento tasas'!$C$48/360,5)</f>
        <v>0</v>
      </c>
      <c r="F430" s="121">
        <f>ROUND(D430*'FR_Mantenimiento tasas'!$D$48/360,5)</f>
        <v>0</v>
      </c>
    </row>
    <row r="431" spans="1:6">
      <c r="A431" s="123">
        <f>IF(OR(A430='F-Ahorro Futuro Decimos'!$H$16,A430=""),"",IF(A430+1&gt;'F-Ahorro Futuro Decimos'!$H$16,'F-Ahorro Futuro Decimos'!$H$16,A430+1))</f>
        <v>429</v>
      </c>
      <c r="B431" s="122">
        <f>IFERROR(IF(DAY($A431)=DAY('F-Ahorro Futuro Decimos'!$H$15),'F-Ahorro Futuro Decimos'!$H$14,0),0)</f>
        <v>0</v>
      </c>
      <c r="C431" s="122">
        <f>IF(A431='F-Ahorro Futuro Decimos'!$H$18,'F-Ahorro Futuro Decimos'!$H$20,0)</f>
        <v>0</v>
      </c>
      <c r="D431" s="122">
        <f t="shared" si="6"/>
        <v>0</v>
      </c>
      <c r="E431" s="121">
        <f>ROUND(D431*'FR_Mantenimiento tasas'!$C$48/360,5)</f>
        <v>0</v>
      </c>
      <c r="F431" s="121">
        <f>ROUND(D431*'FR_Mantenimiento tasas'!$D$48/360,5)</f>
        <v>0</v>
      </c>
    </row>
    <row r="432" spans="1:6">
      <c r="A432" s="123">
        <f>IF(OR(A431='F-Ahorro Futuro Decimos'!$H$16,A431=""),"",IF(A431+1&gt;'F-Ahorro Futuro Decimos'!$H$16,'F-Ahorro Futuro Decimos'!$H$16,A431+1))</f>
        <v>430</v>
      </c>
      <c r="B432" s="122">
        <f>IFERROR(IF(DAY($A432)=DAY('F-Ahorro Futuro Decimos'!$H$15),'F-Ahorro Futuro Decimos'!$H$14,0),0)</f>
        <v>0</v>
      </c>
      <c r="C432" s="122">
        <f>IF(A432='F-Ahorro Futuro Decimos'!$H$18,'F-Ahorro Futuro Decimos'!$H$20,0)</f>
        <v>0</v>
      </c>
      <c r="D432" s="122">
        <f t="shared" si="6"/>
        <v>0</v>
      </c>
      <c r="E432" s="121">
        <f>ROUND(D432*'FR_Mantenimiento tasas'!$C$48/360,5)</f>
        <v>0</v>
      </c>
      <c r="F432" s="121">
        <f>ROUND(D432*'FR_Mantenimiento tasas'!$D$48/360,5)</f>
        <v>0</v>
      </c>
    </row>
    <row r="433" spans="1:6">
      <c r="A433" s="123">
        <f>IF(OR(A432='F-Ahorro Futuro Decimos'!$H$16,A432=""),"",IF(A432+1&gt;'F-Ahorro Futuro Decimos'!$H$16,'F-Ahorro Futuro Decimos'!$H$16,A432+1))</f>
        <v>431</v>
      </c>
      <c r="B433" s="122">
        <f>IFERROR(IF(DAY($A433)=DAY('F-Ahorro Futuro Decimos'!$H$15),'F-Ahorro Futuro Decimos'!$H$14,0),0)</f>
        <v>0</v>
      </c>
      <c r="C433" s="122">
        <f>IF(A433='F-Ahorro Futuro Decimos'!$H$18,'F-Ahorro Futuro Decimos'!$H$20,0)</f>
        <v>0</v>
      </c>
      <c r="D433" s="122">
        <f t="shared" si="6"/>
        <v>0</v>
      </c>
      <c r="E433" s="121">
        <f>ROUND(D433*'FR_Mantenimiento tasas'!$C$48/360,5)</f>
        <v>0</v>
      </c>
      <c r="F433" s="121">
        <f>ROUND(D433*'FR_Mantenimiento tasas'!$D$48/360,5)</f>
        <v>0</v>
      </c>
    </row>
    <row r="434" spans="1:6">
      <c r="A434" s="123">
        <f>IF(OR(A433='F-Ahorro Futuro Decimos'!$H$16,A433=""),"",IF(A433+1&gt;'F-Ahorro Futuro Decimos'!$H$16,'F-Ahorro Futuro Decimos'!$H$16,A433+1))</f>
        <v>432</v>
      </c>
      <c r="B434" s="122">
        <f>IFERROR(IF(DAY($A434)=DAY('F-Ahorro Futuro Decimos'!$H$15),'F-Ahorro Futuro Decimos'!$H$14,0),0)</f>
        <v>0</v>
      </c>
      <c r="C434" s="122">
        <f>IF(A434='F-Ahorro Futuro Decimos'!$H$18,'F-Ahorro Futuro Decimos'!$H$20,0)</f>
        <v>0</v>
      </c>
      <c r="D434" s="122">
        <f t="shared" si="6"/>
        <v>0</v>
      </c>
      <c r="E434" s="121">
        <f>ROUND(D434*'FR_Mantenimiento tasas'!$C$48/360,5)</f>
        <v>0</v>
      </c>
      <c r="F434" s="121">
        <f>ROUND(D434*'FR_Mantenimiento tasas'!$D$48/360,5)</f>
        <v>0</v>
      </c>
    </row>
    <row r="435" spans="1:6">
      <c r="A435" s="123">
        <f>IF(OR(A434='F-Ahorro Futuro Decimos'!$H$16,A434=""),"",IF(A434+1&gt;'F-Ahorro Futuro Decimos'!$H$16,'F-Ahorro Futuro Decimos'!$H$16,A434+1))</f>
        <v>433</v>
      </c>
      <c r="B435" s="122">
        <f>IFERROR(IF(DAY($A435)=DAY('F-Ahorro Futuro Decimos'!$H$15),'F-Ahorro Futuro Decimos'!$H$14,0),0)</f>
        <v>0</v>
      </c>
      <c r="C435" s="122">
        <f>IF(A435='F-Ahorro Futuro Decimos'!$H$18,'F-Ahorro Futuro Decimos'!$H$20,0)</f>
        <v>0</v>
      </c>
      <c r="D435" s="122">
        <f t="shared" si="6"/>
        <v>0</v>
      </c>
      <c r="E435" s="121">
        <f>ROUND(D435*'FR_Mantenimiento tasas'!$C$48/360,5)</f>
        <v>0</v>
      </c>
      <c r="F435" s="121">
        <f>ROUND(D435*'FR_Mantenimiento tasas'!$D$48/360,5)</f>
        <v>0</v>
      </c>
    </row>
    <row r="436" spans="1:6">
      <c r="A436" s="123">
        <f>IF(OR(A435='F-Ahorro Futuro Decimos'!$H$16,A435=""),"",IF(A435+1&gt;'F-Ahorro Futuro Decimos'!$H$16,'F-Ahorro Futuro Decimos'!$H$16,A435+1))</f>
        <v>434</v>
      </c>
      <c r="B436" s="122">
        <f>IFERROR(IF(DAY($A436)=DAY('F-Ahorro Futuro Decimos'!$H$15),'F-Ahorro Futuro Decimos'!$H$14,0),0)</f>
        <v>0</v>
      </c>
      <c r="C436" s="122">
        <f>IF(A436='F-Ahorro Futuro Decimos'!$H$18,'F-Ahorro Futuro Decimos'!$H$20,0)</f>
        <v>0</v>
      </c>
      <c r="D436" s="122">
        <f t="shared" si="6"/>
        <v>0</v>
      </c>
      <c r="E436" s="121">
        <f>ROUND(D436*'FR_Mantenimiento tasas'!$C$48/360,5)</f>
        <v>0</v>
      </c>
      <c r="F436" s="121">
        <f>ROUND(D436*'FR_Mantenimiento tasas'!$D$48/360,5)</f>
        <v>0</v>
      </c>
    </row>
    <row r="437" spans="1:6">
      <c r="A437" s="123">
        <f>IF(OR(A436='F-Ahorro Futuro Decimos'!$H$16,A436=""),"",IF(A436+1&gt;'F-Ahorro Futuro Decimos'!$H$16,'F-Ahorro Futuro Decimos'!$H$16,A436+1))</f>
        <v>435</v>
      </c>
      <c r="B437" s="122">
        <f>IFERROR(IF(DAY($A437)=DAY('F-Ahorro Futuro Decimos'!$H$15),'F-Ahorro Futuro Decimos'!$H$14,0),0)</f>
        <v>0</v>
      </c>
      <c r="C437" s="122">
        <f>IF(A437='F-Ahorro Futuro Decimos'!$H$18,'F-Ahorro Futuro Decimos'!$H$20,0)</f>
        <v>0</v>
      </c>
      <c r="D437" s="122">
        <f t="shared" si="6"/>
        <v>0</v>
      </c>
      <c r="E437" s="121">
        <f>ROUND(D437*'FR_Mantenimiento tasas'!$C$48/360,5)</f>
        <v>0</v>
      </c>
      <c r="F437" s="121">
        <f>ROUND(D437*'FR_Mantenimiento tasas'!$D$48/360,5)</f>
        <v>0</v>
      </c>
    </row>
    <row r="438" spans="1:6">
      <c r="A438" s="123">
        <f>IF(OR(A437='F-Ahorro Futuro Decimos'!$H$16,A437=""),"",IF(A437+1&gt;'F-Ahorro Futuro Decimos'!$H$16,'F-Ahorro Futuro Decimos'!$H$16,A437+1))</f>
        <v>436</v>
      </c>
      <c r="B438" s="122">
        <f>IFERROR(IF(DAY($A438)=DAY('F-Ahorro Futuro Decimos'!$H$15),'F-Ahorro Futuro Decimos'!$H$14,0),0)</f>
        <v>0</v>
      </c>
      <c r="C438" s="122">
        <f>IF(A438='F-Ahorro Futuro Decimos'!$H$18,'F-Ahorro Futuro Decimos'!$H$20,0)</f>
        <v>0</v>
      </c>
      <c r="D438" s="122">
        <f t="shared" si="6"/>
        <v>0</v>
      </c>
      <c r="E438" s="121">
        <f>ROUND(D438*'FR_Mantenimiento tasas'!$C$48/360,5)</f>
        <v>0</v>
      </c>
      <c r="F438" s="121">
        <f>ROUND(D438*'FR_Mantenimiento tasas'!$D$48/360,5)</f>
        <v>0</v>
      </c>
    </row>
    <row r="439" spans="1:6">
      <c r="A439" s="123">
        <f>IF(OR(A438='F-Ahorro Futuro Decimos'!$H$16,A438=""),"",IF(A438+1&gt;'F-Ahorro Futuro Decimos'!$H$16,'F-Ahorro Futuro Decimos'!$H$16,A438+1))</f>
        <v>437</v>
      </c>
      <c r="B439" s="122">
        <f>IFERROR(IF(DAY($A439)=DAY('F-Ahorro Futuro Decimos'!$H$15),'F-Ahorro Futuro Decimos'!$H$14,0),0)</f>
        <v>0</v>
      </c>
      <c r="C439" s="122">
        <f>IF(A439='F-Ahorro Futuro Decimos'!$H$18,'F-Ahorro Futuro Decimos'!$H$20,0)</f>
        <v>0</v>
      </c>
      <c r="D439" s="122">
        <f t="shared" si="6"/>
        <v>0</v>
      </c>
      <c r="E439" s="121">
        <f>ROUND(D439*'FR_Mantenimiento tasas'!$C$48/360,5)</f>
        <v>0</v>
      </c>
      <c r="F439" s="121">
        <f>ROUND(D439*'FR_Mantenimiento tasas'!$D$48/360,5)</f>
        <v>0</v>
      </c>
    </row>
    <row r="440" spans="1:6">
      <c r="A440" s="123">
        <f>IF(OR(A439='F-Ahorro Futuro Decimos'!$H$16,A439=""),"",IF(A439+1&gt;'F-Ahorro Futuro Decimos'!$H$16,'F-Ahorro Futuro Decimos'!$H$16,A439+1))</f>
        <v>438</v>
      </c>
      <c r="B440" s="122">
        <f>IFERROR(IF(DAY($A440)=DAY('F-Ahorro Futuro Decimos'!$H$15),'F-Ahorro Futuro Decimos'!$H$14,0),0)</f>
        <v>0</v>
      </c>
      <c r="C440" s="122">
        <f>IF(A440='F-Ahorro Futuro Decimos'!$H$18,'F-Ahorro Futuro Decimos'!$H$20,0)</f>
        <v>0</v>
      </c>
      <c r="D440" s="122">
        <f t="shared" si="6"/>
        <v>0</v>
      </c>
      <c r="E440" s="121">
        <f>ROUND(D440*'FR_Mantenimiento tasas'!$C$48/360,5)</f>
        <v>0</v>
      </c>
      <c r="F440" s="121">
        <f>ROUND(D440*'FR_Mantenimiento tasas'!$D$48/360,5)</f>
        <v>0</v>
      </c>
    </row>
    <row r="441" spans="1:6">
      <c r="A441" s="123">
        <f>IF(OR(A440='F-Ahorro Futuro Decimos'!$H$16,A440=""),"",IF(A440+1&gt;'F-Ahorro Futuro Decimos'!$H$16,'F-Ahorro Futuro Decimos'!$H$16,A440+1))</f>
        <v>439</v>
      </c>
      <c r="B441" s="122">
        <f>IFERROR(IF(DAY($A441)=DAY('F-Ahorro Futuro Decimos'!$H$15),'F-Ahorro Futuro Decimos'!$H$14,0),0)</f>
        <v>0</v>
      </c>
      <c r="C441" s="122">
        <f>IF(A441='F-Ahorro Futuro Decimos'!$H$18,'F-Ahorro Futuro Decimos'!$H$20,0)</f>
        <v>0</v>
      </c>
      <c r="D441" s="122">
        <f t="shared" si="6"/>
        <v>0</v>
      </c>
      <c r="E441" s="121">
        <f>ROUND(D441*'FR_Mantenimiento tasas'!$C$48/360,5)</f>
        <v>0</v>
      </c>
      <c r="F441" s="121">
        <f>ROUND(D441*'FR_Mantenimiento tasas'!$D$48/360,5)</f>
        <v>0</v>
      </c>
    </row>
    <row r="442" spans="1:6">
      <c r="A442" s="123">
        <f>IF(OR(A441='F-Ahorro Futuro Decimos'!$H$16,A441=""),"",IF(A441+1&gt;'F-Ahorro Futuro Decimos'!$H$16,'F-Ahorro Futuro Decimos'!$H$16,A441+1))</f>
        <v>440</v>
      </c>
      <c r="B442" s="122">
        <f>IFERROR(IF(DAY($A442)=DAY('F-Ahorro Futuro Decimos'!$H$15),'F-Ahorro Futuro Decimos'!$H$14,0),0)</f>
        <v>0</v>
      </c>
      <c r="C442" s="122">
        <f>IF(A442='F-Ahorro Futuro Decimos'!$H$18,'F-Ahorro Futuro Decimos'!$H$20,0)</f>
        <v>0</v>
      </c>
      <c r="D442" s="122">
        <f t="shared" si="6"/>
        <v>0</v>
      </c>
      <c r="E442" s="121">
        <f>ROUND(D442*'FR_Mantenimiento tasas'!$C$48/360,5)</f>
        <v>0</v>
      </c>
      <c r="F442" s="121">
        <f>ROUND(D442*'FR_Mantenimiento tasas'!$D$48/360,5)</f>
        <v>0</v>
      </c>
    </row>
    <row r="443" spans="1:6">
      <c r="A443" s="123">
        <f>IF(OR(A442='F-Ahorro Futuro Decimos'!$H$16,A442=""),"",IF(A442+1&gt;'F-Ahorro Futuro Decimos'!$H$16,'F-Ahorro Futuro Decimos'!$H$16,A442+1))</f>
        <v>441</v>
      </c>
      <c r="B443" s="122">
        <f>IFERROR(IF(DAY($A443)=DAY('F-Ahorro Futuro Decimos'!$H$15),'F-Ahorro Futuro Decimos'!$H$14,0),0)</f>
        <v>0</v>
      </c>
      <c r="C443" s="122">
        <f>IF(A443='F-Ahorro Futuro Decimos'!$H$18,'F-Ahorro Futuro Decimos'!$H$20,0)</f>
        <v>0</v>
      </c>
      <c r="D443" s="122">
        <f t="shared" si="6"/>
        <v>0</v>
      </c>
      <c r="E443" s="121">
        <f>ROUND(D443*'FR_Mantenimiento tasas'!$C$48/360,5)</f>
        <v>0</v>
      </c>
      <c r="F443" s="121">
        <f>ROUND(D443*'FR_Mantenimiento tasas'!$D$48/360,5)</f>
        <v>0</v>
      </c>
    </row>
    <row r="444" spans="1:6">
      <c r="A444" s="123">
        <f>IF(OR(A443='F-Ahorro Futuro Decimos'!$H$16,A443=""),"",IF(A443+1&gt;'F-Ahorro Futuro Decimos'!$H$16,'F-Ahorro Futuro Decimos'!$H$16,A443+1))</f>
        <v>442</v>
      </c>
      <c r="B444" s="122">
        <f>IFERROR(IF(DAY($A444)=DAY('F-Ahorro Futuro Decimos'!$H$15),'F-Ahorro Futuro Decimos'!$H$14,0),0)</f>
        <v>0</v>
      </c>
      <c r="C444" s="122">
        <f>IF(A444='F-Ahorro Futuro Decimos'!$H$18,'F-Ahorro Futuro Decimos'!$H$20,0)</f>
        <v>0</v>
      </c>
      <c r="D444" s="122">
        <f t="shared" si="6"/>
        <v>0</v>
      </c>
      <c r="E444" s="121">
        <f>ROUND(D444*'FR_Mantenimiento tasas'!$C$48/360,5)</f>
        <v>0</v>
      </c>
      <c r="F444" s="121">
        <f>ROUND(D444*'FR_Mantenimiento tasas'!$D$48/360,5)</f>
        <v>0</v>
      </c>
    </row>
    <row r="445" spans="1:6">
      <c r="A445" s="123">
        <f>IF(OR(A444='F-Ahorro Futuro Decimos'!$H$16,A444=""),"",IF(A444+1&gt;'F-Ahorro Futuro Decimos'!$H$16,'F-Ahorro Futuro Decimos'!$H$16,A444+1))</f>
        <v>443</v>
      </c>
      <c r="B445" s="122">
        <f>IFERROR(IF(DAY($A445)=DAY('F-Ahorro Futuro Decimos'!$H$15),'F-Ahorro Futuro Decimos'!$H$14,0),0)</f>
        <v>0</v>
      </c>
      <c r="C445" s="122">
        <f>IF(A445='F-Ahorro Futuro Decimos'!$H$18,'F-Ahorro Futuro Decimos'!$H$20,0)</f>
        <v>0</v>
      </c>
      <c r="D445" s="122">
        <f t="shared" si="6"/>
        <v>0</v>
      </c>
      <c r="E445" s="121">
        <f>ROUND(D445*'FR_Mantenimiento tasas'!$C$48/360,5)</f>
        <v>0</v>
      </c>
      <c r="F445" s="121">
        <f>ROUND(D445*'FR_Mantenimiento tasas'!$D$48/360,5)</f>
        <v>0</v>
      </c>
    </row>
    <row r="446" spans="1:6">
      <c r="A446" s="123">
        <f>IF(OR(A445='F-Ahorro Futuro Decimos'!$H$16,A445=""),"",IF(A445+1&gt;'F-Ahorro Futuro Decimos'!$H$16,'F-Ahorro Futuro Decimos'!$H$16,A445+1))</f>
        <v>444</v>
      </c>
      <c r="B446" s="122">
        <f>IFERROR(IF(DAY($A446)=DAY('F-Ahorro Futuro Decimos'!$H$15),'F-Ahorro Futuro Decimos'!$H$14,0),0)</f>
        <v>0</v>
      </c>
      <c r="C446" s="122">
        <f>IF(A446='F-Ahorro Futuro Decimos'!$H$18,'F-Ahorro Futuro Decimos'!$H$20,0)</f>
        <v>0</v>
      </c>
      <c r="D446" s="122">
        <f t="shared" si="6"/>
        <v>0</v>
      </c>
      <c r="E446" s="121">
        <f>ROUND(D446*'FR_Mantenimiento tasas'!$C$48/360,5)</f>
        <v>0</v>
      </c>
      <c r="F446" s="121">
        <f>ROUND(D446*'FR_Mantenimiento tasas'!$D$48/360,5)</f>
        <v>0</v>
      </c>
    </row>
    <row r="447" spans="1:6">
      <c r="A447" s="123">
        <f>IF(OR(A446='F-Ahorro Futuro Decimos'!$H$16,A446=""),"",IF(A446+1&gt;'F-Ahorro Futuro Decimos'!$H$16,'F-Ahorro Futuro Decimos'!$H$16,A446+1))</f>
        <v>445</v>
      </c>
      <c r="B447" s="122">
        <f>IFERROR(IF(DAY($A447)=DAY('F-Ahorro Futuro Decimos'!$H$15),'F-Ahorro Futuro Decimos'!$H$14,0),0)</f>
        <v>0</v>
      </c>
      <c r="C447" s="122">
        <f>IF(A447='F-Ahorro Futuro Decimos'!$H$18,'F-Ahorro Futuro Decimos'!$H$20,0)</f>
        <v>0</v>
      </c>
      <c r="D447" s="122">
        <f t="shared" si="6"/>
        <v>0</v>
      </c>
      <c r="E447" s="121">
        <f>ROUND(D447*'FR_Mantenimiento tasas'!$C$48/360,5)</f>
        <v>0</v>
      </c>
      <c r="F447" s="121">
        <f>ROUND(D447*'FR_Mantenimiento tasas'!$D$48/360,5)</f>
        <v>0</v>
      </c>
    </row>
    <row r="448" spans="1:6">
      <c r="A448" s="123">
        <f>IF(OR(A447='F-Ahorro Futuro Decimos'!$H$16,A447=""),"",IF(A447+1&gt;'F-Ahorro Futuro Decimos'!$H$16,'F-Ahorro Futuro Decimos'!$H$16,A447+1))</f>
        <v>446</v>
      </c>
      <c r="B448" s="122">
        <f>IFERROR(IF(DAY($A448)=DAY('F-Ahorro Futuro Decimos'!$H$15),'F-Ahorro Futuro Decimos'!$H$14,0),0)</f>
        <v>0</v>
      </c>
      <c r="C448" s="122">
        <f>IF(A448='F-Ahorro Futuro Decimos'!$H$18,'F-Ahorro Futuro Decimos'!$H$20,0)</f>
        <v>0</v>
      </c>
      <c r="D448" s="122">
        <f t="shared" si="6"/>
        <v>0</v>
      </c>
      <c r="E448" s="121">
        <f>ROUND(D448*'FR_Mantenimiento tasas'!$C$48/360,5)</f>
        <v>0</v>
      </c>
      <c r="F448" s="121">
        <f>ROUND(D448*'FR_Mantenimiento tasas'!$D$48/360,5)</f>
        <v>0</v>
      </c>
    </row>
    <row r="449" spans="1:6">
      <c r="A449" s="123">
        <f>IF(OR(A448='F-Ahorro Futuro Decimos'!$H$16,A448=""),"",IF(A448+1&gt;'F-Ahorro Futuro Decimos'!$H$16,'F-Ahorro Futuro Decimos'!$H$16,A448+1))</f>
        <v>447</v>
      </c>
      <c r="B449" s="122">
        <f>IFERROR(IF(DAY($A449)=DAY('F-Ahorro Futuro Decimos'!$H$15),'F-Ahorro Futuro Decimos'!$H$14,0),0)</f>
        <v>0</v>
      </c>
      <c r="C449" s="122">
        <f>IF(A449='F-Ahorro Futuro Decimos'!$H$18,'F-Ahorro Futuro Decimos'!$H$20,0)</f>
        <v>0</v>
      </c>
      <c r="D449" s="122">
        <f t="shared" si="6"/>
        <v>0</v>
      </c>
      <c r="E449" s="121">
        <f>ROUND(D449*'FR_Mantenimiento tasas'!$C$48/360,5)</f>
        <v>0</v>
      </c>
      <c r="F449" s="121">
        <f>ROUND(D449*'FR_Mantenimiento tasas'!$D$48/360,5)</f>
        <v>0</v>
      </c>
    </row>
    <row r="450" spans="1:6">
      <c r="A450" s="123">
        <f>IF(OR(A449='F-Ahorro Futuro Decimos'!$H$16,A449=""),"",IF(A449+1&gt;'F-Ahorro Futuro Decimos'!$H$16,'F-Ahorro Futuro Decimos'!$H$16,A449+1))</f>
        <v>448</v>
      </c>
      <c r="B450" s="122">
        <f>IFERROR(IF(DAY($A450)=DAY('F-Ahorro Futuro Decimos'!$H$15),'F-Ahorro Futuro Decimos'!$H$14,0),0)</f>
        <v>0</v>
      </c>
      <c r="C450" s="122">
        <f>IF(A450='F-Ahorro Futuro Decimos'!$H$18,'F-Ahorro Futuro Decimos'!$H$20,0)</f>
        <v>0</v>
      </c>
      <c r="D450" s="122">
        <f t="shared" si="6"/>
        <v>0</v>
      </c>
      <c r="E450" s="121">
        <f>ROUND(D450*'FR_Mantenimiento tasas'!$C$48/360,5)</f>
        <v>0</v>
      </c>
      <c r="F450" s="121">
        <f>ROUND(D450*'FR_Mantenimiento tasas'!$D$48/360,5)</f>
        <v>0</v>
      </c>
    </row>
    <row r="451" spans="1:6">
      <c r="A451" s="123">
        <f>IF(OR(A450='F-Ahorro Futuro Decimos'!$H$16,A450=""),"",IF(A450+1&gt;'F-Ahorro Futuro Decimos'!$H$16,'F-Ahorro Futuro Decimos'!$H$16,A450+1))</f>
        <v>449</v>
      </c>
      <c r="B451" s="122">
        <f>IFERROR(IF(DAY($A451)=DAY('F-Ahorro Futuro Decimos'!$H$15),'F-Ahorro Futuro Decimos'!$H$14,0),0)</f>
        <v>0</v>
      </c>
      <c r="C451" s="122">
        <f>IF(A451='F-Ahorro Futuro Decimos'!$H$18,'F-Ahorro Futuro Decimos'!$H$20,0)</f>
        <v>0</v>
      </c>
      <c r="D451" s="122">
        <f t="shared" si="6"/>
        <v>0</v>
      </c>
      <c r="E451" s="121">
        <f>ROUND(D451*'FR_Mantenimiento tasas'!$C$48/360,5)</f>
        <v>0</v>
      </c>
      <c r="F451" s="121">
        <f>ROUND(D451*'FR_Mantenimiento tasas'!$D$48/360,5)</f>
        <v>0</v>
      </c>
    </row>
    <row r="452" spans="1:6">
      <c r="A452" s="123">
        <f>IF(OR(A451='F-Ahorro Futuro Decimos'!$H$16,A451=""),"",IF(A451+1&gt;'F-Ahorro Futuro Decimos'!$H$16,'F-Ahorro Futuro Decimos'!$H$16,A451+1))</f>
        <v>450</v>
      </c>
      <c r="B452" s="122">
        <f>IFERROR(IF(DAY($A452)=DAY('F-Ahorro Futuro Decimos'!$H$15),'F-Ahorro Futuro Decimos'!$H$14,0),0)</f>
        <v>0</v>
      </c>
      <c r="C452" s="122">
        <f>IF(A452='F-Ahorro Futuro Decimos'!$H$18,'F-Ahorro Futuro Decimos'!$H$20,0)</f>
        <v>0</v>
      </c>
      <c r="D452" s="122">
        <f t="shared" ref="D452:D515" si="7">+B452+D451+E451-C452</f>
        <v>0</v>
      </c>
      <c r="E452" s="121">
        <f>ROUND(D452*'FR_Mantenimiento tasas'!$C$48/360,5)</f>
        <v>0</v>
      </c>
      <c r="F452" s="121">
        <f>ROUND(D452*'FR_Mantenimiento tasas'!$D$48/360,5)</f>
        <v>0</v>
      </c>
    </row>
    <row r="453" spans="1:6">
      <c r="A453" s="123">
        <f>IF(OR(A452='F-Ahorro Futuro Decimos'!$H$16,A452=""),"",IF(A452+1&gt;'F-Ahorro Futuro Decimos'!$H$16,'F-Ahorro Futuro Decimos'!$H$16,A452+1))</f>
        <v>451</v>
      </c>
      <c r="B453" s="122">
        <f>IFERROR(IF(DAY($A453)=DAY('F-Ahorro Futuro Decimos'!$H$15),'F-Ahorro Futuro Decimos'!$H$14,0),0)</f>
        <v>0</v>
      </c>
      <c r="C453" s="122">
        <f>IF(A453='F-Ahorro Futuro Decimos'!$H$18,'F-Ahorro Futuro Decimos'!$H$20,0)</f>
        <v>0</v>
      </c>
      <c r="D453" s="122">
        <f t="shared" si="7"/>
        <v>0</v>
      </c>
      <c r="E453" s="121">
        <f>ROUND(D453*'FR_Mantenimiento tasas'!$C$48/360,5)</f>
        <v>0</v>
      </c>
      <c r="F453" s="121">
        <f>ROUND(D453*'FR_Mantenimiento tasas'!$D$48/360,5)</f>
        <v>0</v>
      </c>
    </row>
    <row r="454" spans="1:6">
      <c r="A454" s="123">
        <f>IF(OR(A453='F-Ahorro Futuro Decimos'!$H$16,A453=""),"",IF(A453+1&gt;'F-Ahorro Futuro Decimos'!$H$16,'F-Ahorro Futuro Decimos'!$H$16,A453+1))</f>
        <v>452</v>
      </c>
      <c r="B454" s="122">
        <f>IFERROR(IF(DAY($A454)=DAY('F-Ahorro Futuro Decimos'!$H$15),'F-Ahorro Futuro Decimos'!$H$14,0),0)</f>
        <v>0</v>
      </c>
      <c r="C454" s="122">
        <f>IF(A454='F-Ahorro Futuro Decimos'!$H$18,'F-Ahorro Futuro Decimos'!$H$20,0)</f>
        <v>0</v>
      </c>
      <c r="D454" s="122">
        <f t="shared" si="7"/>
        <v>0</v>
      </c>
      <c r="E454" s="121">
        <f>ROUND(D454*'FR_Mantenimiento tasas'!$C$48/360,5)</f>
        <v>0</v>
      </c>
      <c r="F454" s="121">
        <f>ROUND(D454*'FR_Mantenimiento tasas'!$D$48/360,5)</f>
        <v>0</v>
      </c>
    </row>
    <row r="455" spans="1:6">
      <c r="A455" s="123">
        <f>IF(OR(A454='F-Ahorro Futuro Decimos'!$H$16,A454=""),"",IF(A454+1&gt;'F-Ahorro Futuro Decimos'!$H$16,'F-Ahorro Futuro Decimos'!$H$16,A454+1))</f>
        <v>453</v>
      </c>
      <c r="B455" s="122">
        <f>IFERROR(IF(DAY($A455)=DAY('F-Ahorro Futuro Decimos'!$H$15),'F-Ahorro Futuro Decimos'!$H$14,0),0)</f>
        <v>0</v>
      </c>
      <c r="C455" s="122">
        <f>IF(A455='F-Ahorro Futuro Decimos'!$H$18,'F-Ahorro Futuro Decimos'!$H$20,0)</f>
        <v>0</v>
      </c>
      <c r="D455" s="122">
        <f t="shared" si="7"/>
        <v>0</v>
      </c>
      <c r="E455" s="121">
        <f>ROUND(D455*'FR_Mantenimiento tasas'!$C$48/360,5)</f>
        <v>0</v>
      </c>
      <c r="F455" s="121">
        <f>ROUND(D455*'FR_Mantenimiento tasas'!$D$48/360,5)</f>
        <v>0</v>
      </c>
    </row>
    <row r="456" spans="1:6">
      <c r="A456" s="123">
        <f>IF(OR(A455='F-Ahorro Futuro Decimos'!$H$16,A455=""),"",IF(A455+1&gt;'F-Ahorro Futuro Decimos'!$H$16,'F-Ahorro Futuro Decimos'!$H$16,A455+1))</f>
        <v>454</v>
      </c>
      <c r="B456" s="122">
        <f>IFERROR(IF(DAY($A456)=DAY('F-Ahorro Futuro Decimos'!$H$15),'F-Ahorro Futuro Decimos'!$H$14,0),0)</f>
        <v>0</v>
      </c>
      <c r="C456" s="122">
        <f>IF(A456='F-Ahorro Futuro Decimos'!$H$18,'F-Ahorro Futuro Decimos'!$H$20,0)</f>
        <v>0</v>
      </c>
      <c r="D456" s="122">
        <f t="shared" si="7"/>
        <v>0</v>
      </c>
      <c r="E456" s="121">
        <f>ROUND(D456*'FR_Mantenimiento tasas'!$C$48/360,5)</f>
        <v>0</v>
      </c>
      <c r="F456" s="121">
        <f>ROUND(D456*'FR_Mantenimiento tasas'!$D$48/360,5)</f>
        <v>0</v>
      </c>
    </row>
    <row r="457" spans="1:6">
      <c r="A457" s="123">
        <f>IF(OR(A456='F-Ahorro Futuro Decimos'!$H$16,A456=""),"",IF(A456+1&gt;'F-Ahorro Futuro Decimos'!$H$16,'F-Ahorro Futuro Decimos'!$H$16,A456+1))</f>
        <v>455</v>
      </c>
      <c r="B457" s="122">
        <f>IFERROR(IF(DAY($A457)=DAY('F-Ahorro Futuro Decimos'!$H$15),'F-Ahorro Futuro Decimos'!$H$14,0),0)</f>
        <v>0</v>
      </c>
      <c r="C457" s="122">
        <f>IF(A457='F-Ahorro Futuro Decimos'!$H$18,'F-Ahorro Futuro Decimos'!$H$20,0)</f>
        <v>0</v>
      </c>
      <c r="D457" s="122">
        <f t="shared" si="7"/>
        <v>0</v>
      </c>
      <c r="E457" s="121">
        <f>ROUND(D457*'FR_Mantenimiento tasas'!$C$48/360,5)</f>
        <v>0</v>
      </c>
      <c r="F457" s="121">
        <f>ROUND(D457*'FR_Mantenimiento tasas'!$D$48/360,5)</f>
        <v>0</v>
      </c>
    </row>
    <row r="458" spans="1:6">
      <c r="A458" s="123">
        <f>IF(OR(A457='F-Ahorro Futuro Decimos'!$H$16,A457=""),"",IF(A457+1&gt;'F-Ahorro Futuro Decimos'!$H$16,'F-Ahorro Futuro Decimos'!$H$16,A457+1))</f>
        <v>456</v>
      </c>
      <c r="B458" s="122">
        <f>IFERROR(IF(DAY($A458)=DAY('F-Ahorro Futuro Decimos'!$H$15),'F-Ahorro Futuro Decimos'!$H$14,0),0)</f>
        <v>0</v>
      </c>
      <c r="C458" s="122">
        <f>IF(A458='F-Ahorro Futuro Decimos'!$H$18,'F-Ahorro Futuro Decimos'!$H$20,0)</f>
        <v>0</v>
      </c>
      <c r="D458" s="122">
        <f t="shared" si="7"/>
        <v>0</v>
      </c>
      <c r="E458" s="121">
        <f>ROUND(D458*'FR_Mantenimiento tasas'!$C$48/360,5)</f>
        <v>0</v>
      </c>
      <c r="F458" s="121">
        <f>ROUND(D458*'FR_Mantenimiento tasas'!$D$48/360,5)</f>
        <v>0</v>
      </c>
    </row>
    <row r="459" spans="1:6">
      <c r="A459" s="123">
        <f>IF(OR(A458='F-Ahorro Futuro Decimos'!$H$16,A458=""),"",IF(A458+1&gt;'F-Ahorro Futuro Decimos'!$H$16,'F-Ahorro Futuro Decimos'!$H$16,A458+1))</f>
        <v>457</v>
      </c>
      <c r="B459" s="122">
        <f>IFERROR(IF(DAY($A459)=DAY('F-Ahorro Futuro Decimos'!$H$15),'F-Ahorro Futuro Decimos'!$H$14,0),0)</f>
        <v>0</v>
      </c>
      <c r="C459" s="122">
        <f>IF(A459='F-Ahorro Futuro Decimos'!$H$18,'F-Ahorro Futuro Decimos'!$H$20,0)</f>
        <v>0</v>
      </c>
      <c r="D459" s="122">
        <f t="shared" si="7"/>
        <v>0</v>
      </c>
      <c r="E459" s="121">
        <f>ROUND(D459*'FR_Mantenimiento tasas'!$C$48/360,5)</f>
        <v>0</v>
      </c>
      <c r="F459" s="121">
        <f>ROUND(D459*'FR_Mantenimiento tasas'!$D$48/360,5)</f>
        <v>0</v>
      </c>
    </row>
    <row r="460" spans="1:6">
      <c r="A460" s="123">
        <f>IF(OR(A459='F-Ahorro Futuro Decimos'!$H$16,A459=""),"",IF(A459+1&gt;'F-Ahorro Futuro Decimos'!$H$16,'F-Ahorro Futuro Decimos'!$H$16,A459+1))</f>
        <v>458</v>
      </c>
      <c r="B460" s="122">
        <f>IFERROR(IF(DAY($A460)=DAY('F-Ahorro Futuro Decimos'!$H$15),'F-Ahorro Futuro Decimos'!$H$14,0),0)</f>
        <v>0</v>
      </c>
      <c r="C460" s="122">
        <f>IF(A460='F-Ahorro Futuro Decimos'!$H$18,'F-Ahorro Futuro Decimos'!$H$20,0)</f>
        <v>0</v>
      </c>
      <c r="D460" s="122">
        <f t="shared" si="7"/>
        <v>0</v>
      </c>
      <c r="E460" s="121">
        <f>ROUND(D460*'FR_Mantenimiento tasas'!$C$48/360,5)</f>
        <v>0</v>
      </c>
      <c r="F460" s="121">
        <f>ROUND(D460*'FR_Mantenimiento tasas'!$D$48/360,5)</f>
        <v>0</v>
      </c>
    </row>
    <row r="461" spans="1:6">
      <c r="A461" s="123">
        <f>IF(OR(A460='F-Ahorro Futuro Decimos'!$H$16,A460=""),"",IF(A460+1&gt;'F-Ahorro Futuro Decimos'!$H$16,'F-Ahorro Futuro Decimos'!$H$16,A460+1))</f>
        <v>459</v>
      </c>
      <c r="B461" s="122">
        <f>IFERROR(IF(DAY($A461)=DAY('F-Ahorro Futuro Decimos'!$H$15),'F-Ahorro Futuro Decimos'!$H$14,0),0)</f>
        <v>0</v>
      </c>
      <c r="C461" s="122">
        <f>IF(A461='F-Ahorro Futuro Decimos'!$H$18,'F-Ahorro Futuro Decimos'!$H$20,0)</f>
        <v>0</v>
      </c>
      <c r="D461" s="122">
        <f t="shared" si="7"/>
        <v>0</v>
      </c>
      <c r="E461" s="121">
        <f>ROUND(D461*'FR_Mantenimiento tasas'!$C$48/360,5)</f>
        <v>0</v>
      </c>
      <c r="F461" s="121">
        <f>ROUND(D461*'FR_Mantenimiento tasas'!$D$48/360,5)</f>
        <v>0</v>
      </c>
    </row>
    <row r="462" spans="1:6">
      <c r="A462" s="123">
        <f>IF(OR(A461='F-Ahorro Futuro Decimos'!$H$16,A461=""),"",IF(A461+1&gt;'F-Ahorro Futuro Decimos'!$H$16,'F-Ahorro Futuro Decimos'!$H$16,A461+1))</f>
        <v>460</v>
      </c>
      <c r="B462" s="122">
        <f>IFERROR(IF(DAY($A462)=DAY('F-Ahorro Futuro Decimos'!$H$15),'F-Ahorro Futuro Decimos'!$H$14,0),0)</f>
        <v>0</v>
      </c>
      <c r="C462" s="122">
        <f>IF(A462='F-Ahorro Futuro Decimos'!$H$18,'F-Ahorro Futuro Decimos'!$H$20,0)</f>
        <v>0</v>
      </c>
      <c r="D462" s="122">
        <f t="shared" si="7"/>
        <v>0</v>
      </c>
      <c r="E462" s="121">
        <f>ROUND(D462*'FR_Mantenimiento tasas'!$C$48/360,5)</f>
        <v>0</v>
      </c>
      <c r="F462" s="121">
        <f>ROUND(D462*'FR_Mantenimiento tasas'!$D$48/360,5)</f>
        <v>0</v>
      </c>
    </row>
    <row r="463" spans="1:6">
      <c r="A463" s="123">
        <f>IF(OR(A462='F-Ahorro Futuro Decimos'!$H$16,A462=""),"",IF(A462+1&gt;'F-Ahorro Futuro Decimos'!$H$16,'F-Ahorro Futuro Decimos'!$H$16,A462+1))</f>
        <v>461</v>
      </c>
      <c r="B463" s="122">
        <f>IFERROR(IF(DAY($A463)=DAY('F-Ahorro Futuro Decimos'!$H$15),'F-Ahorro Futuro Decimos'!$H$14,0),0)</f>
        <v>0</v>
      </c>
      <c r="C463" s="122">
        <f>IF(A463='F-Ahorro Futuro Decimos'!$H$18,'F-Ahorro Futuro Decimos'!$H$20,0)</f>
        <v>0</v>
      </c>
      <c r="D463" s="122">
        <f t="shared" si="7"/>
        <v>0</v>
      </c>
      <c r="E463" s="121">
        <f>ROUND(D463*'FR_Mantenimiento tasas'!$C$48/360,5)</f>
        <v>0</v>
      </c>
      <c r="F463" s="121">
        <f>ROUND(D463*'FR_Mantenimiento tasas'!$D$48/360,5)</f>
        <v>0</v>
      </c>
    </row>
    <row r="464" spans="1:6">
      <c r="A464" s="123">
        <f>IF(OR(A463='F-Ahorro Futuro Decimos'!$H$16,A463=""),"",IF(A463+1&gt;'F-Ahorro Futuro Decimos'!$H$16,'F-Ahorro Futuro Decimos'!$H$16,A463+1))</f>
        <v>462</v>
      </c>
      <c r="B464" s="122">
        <f>IFERROR(IF(DAY($A464)=DAY('F-Ahorro Futuro Decimos'!$H$15),'F-Ahorro Futuro Decimos'!$H$14,0),0)</f>
        <v>0</v>
      </c>
      <c r="C464" s="122">
        <f>IF(A464='F-Ahorro Futuro Decimos'!$H$18,'F-Ahorro Futuro Decimos'!$H$20,0)</f>
        <v>0</v>
      </c>
      <c r="D464" s="122">
        <f t="shared" si="7"/>
        <v>0</v>
      </c>
      <c r="E464" s="121">
        <f>ROUND(D464*'FR_Mantenimiento tasas'!$C$48/360,5)</f>
        <v>0</v>
      </c>
      <c r="F464" s="121">
        <f>ROUND(D464*'FR_Mantenimiento tasas'!$D$48/360,5)</f>
        <v>0</v>
      </c>
    </row>
    <row r="465" spans="1:6">
      <c r="A465" s="123">
        <f>IF(OR(A464='F-Ahorro Futuro Decimos'!$H$16,A464=""),"",IF(A464+1&gt;'F-Ahorro Futuro Decimos'!$H$16,'F-Ahorro Futuro Decimos'!$H$16,A464+1))</f>
        <v>463</v>
      </c>
      <c r="B465" s="122">
        <f>IFERROR(IF(DAY($A465)=DAY('F-Ahorro Futuro Decimos'!$H$15),'F-Ahorro Futuro Decimos'!$H$14,0),0)</f>
        <v>0</v>
      </c>
      <c r="C465" s="122">
        <f>IF(A465='F-Ahorro Futuro Decimos'!$H$18,'F-Ahorro Futuro Decimos'!$H$20,0)</f>
        <v>0</v>
      </c>
      <c r="D465" s="122">
        <f t="shared" si="7"/>
        <v>0</v>
      </c>
      <c r="E465" s="121">
        <f>ROUND(D465*'FR_Mantenimiento tasas'!$C$48/360,5)</f>
        <v>0</v>
      </c>
      <c r="F465" s="121">
        <f>ROUND(D465*'FR_Mantenimiento tasas'!$D$48/360,5)</f>
        <v>0</v>
      </c>
    </row>
    <row r="466" spans="1:6">
      <c r="A466" s="123">
        <f>IF(OR(A465='F-Ahorro Futuro Decimos'!$H$16,A465=""),"",IF(A465+1&gt;'F-Ahorro Futuro Decimos'!$H$16,'F-Ahorro Futuro Decimos'!$H$16,A465+1))</f>
        <v>464</v>
      </c>
      <c r="B466" s="122">
        <f>IFERROR(IF(DAY($A466)=DAY('F-Ahorro Futuro Decimos'!$H$15),'F-Ahorro Futuro Decimos'!$H$14,0),0)</f>
        <v>0</v>
      </c>
      <c r="C466" s="122">
        <f>IF(A466='F-Ahorro Futuro Decimos'!$H$18,'F-Ahorro Futuro Decimos'!$H$20,0)</f>
        <v>0</v>
      </c>
      <c r="D466" s="122">
        <f t="shared" si="7"/>
        <v>0</v>
      </c>
      <c r="E466" s="121">
        <f>ROUND(D466*'FR_Mantenimiento tasas'!$C$48/360,5)</f>
        <v>0</v>
      </c>
      <c r="F466" s="121">
        <f>ROUND(D466*'FR_Mantenimiento tasas'!$D$48/360,5)</f>
        <v>0</v>
      </c>
    </row>
    <row r="467" spans="1:6">
      <c r="A467" s="123">
        <f>IF(OR(A466='F-Ahorro Futuro Decimos'!$H$16,A466=""),"",IF(A466+1&gt;'F-Ahorro Futuro Decimos'!$H$16,'F-Ahorro Futuro Decimos'!$H$16,A466+1))</f>
        <v>465</v>
      </c>
      <c r="B467" s="122">
        <f>IFERROR(IF(DAY($A467)=DAY('F-Ahorro Futuro Decimos'!$H$15),'F-Ahorro Futuro Decimos'!$H$14,0),0)</f>
        <v>0</v>
      </c>
      <c r="C467" s="122">
        <f>IF(A467='F-Ahorro Futuro Decimos'!$H$18,'F-Ahorro Futuro Decimos'!$H$20,0)</f>
        <v>0</v>
      </c>
      <c r="D467" s="122">
        <f t="shared" si="7"/>
        <v>0</v>
      </c>
      <c r="E467" s="121">
        <f>ROUND(D467*'FR_Mantenimiento tasas'!$C$48/360,5)</f>
        <v>0</v>
      </c>
      <c r="F467" s="121">
        <f>ROUND(D467*'FR_Mantenimiento tasas'!$D$48/360,5)</f>
        <v>0</v>
      </c>
    </row>
    <row r="468" spans="1:6">
      <c r="A468" s="123">
        <f>IF(OR(A467='F-Ahorro Futuro Decimos'!$H$16,A467=""),"",IF(A467+1&gt;'F-Ahorro Futuro Decimos'!$H$16,'F-Ahorro Futuro Decimos'!$H$16,A467+1))</f>
        <v>466</v>
      </c>
      <c r="B468" s="122">
        <f>IFERROR(IF(DAY($A468)=DAY('F-Ahorro Futuro Decimos'!$H$15),'F-Ahorro Futuro Decimos'!$H$14,0),0)</f>
        <v>0</v>
      </c>
      <c r="C468" s="122">
        <f>IF(A468='F-Ahorro Futuro Decimos'!$H$18,'F-Ahorro Futuro Decimos'!$H$20,0)</f>
        <v>0</v>
      </c>
      <c r="D468" s="122">
        <f t="shared" si="7"/>
        <v>0</v>
      </c>
      <c r="E468" s="121">
        <f>ROUND(D468*'FR_Mantenimiento tasas'!$C$48/360,5)</f>
        <v>0</v>
      </c>
      <c r="F468" s="121">
        <f>ROUND(D468*'FR_Mantenimiento tasas'!$D$48/360,5)</f>
        <v>0</v>
      </c>
    </row>
    <row r="469" spans="1:6">
      <c r="A469" s="123">
        <f>IF(OR(A468='F-Ahorro Futuro Decimos'!$H$16,A468=""),"",IF(A468+1&gt;'F-Ahorro Futuro Decimos'!$H$16,'F-Ahorro Futuro Decimos'!$H$16,A468+1))</f>
        <v>467</v>
      </c>
      <c r="B469" s="122">
        <f>IFERROR(IF(DAY($A469)=DAY('F-Ahorro Futuro Decimos'!$H$15),'F-Ahorro Futuro Decimos'!$H$14,0),0)</f>
        <v>0</v>
      </c>
      <c r="C469" s="122">
        <f>IF(A469='F-Ahorro Futuro Decimos'!$H$18,'F-Ahorro Futuro Decimos'!$H$20,0)</f>
        <v>0</v>
      </c>
      <c r="D469" s="122">
        <f t="shared" si="7"/>
        <v>0</v>
      </c>
      <c r="E469" s="121">
        <f>ROUND(D469*'FR_Mantenimiento tasas'!$C$48/360,5)</f>
        <v>0</v>
      </c>
      <c r="F469" s="121">
        <f>ROUND(D469*'FR_Mantenimiento tasas'!$D$48/360,5)</f>
        <v>0</v>
      </c>
    </row>
    <row r="470" spans="1:6">
      <c r="A470" s="123">
        <f>IF(OR(A469='F-Ahorro Futuro Decimos'!$H$16,A469=""),"",IF(A469+1&gt;'F-Ahorro Futuro Decimos'!$H$16,'F-Ahorro Futuro Decimos'!$H$16,A469+1))</f>
        <v>468</v>
      </c>
      <c r="B470" s="122">
        <f>IFERROR(IF(DAY($A470)=DAY('F-Ahorro Futuro Decimos'!$H$15),'F-Ahorro Futuro Decimos'!$H$14,0),0)</f>
        <v>0</v>
      </c>
      <c r="C470" s="122">
        <f>IF(A470='F-Ahorro Futuro Decimos'!$H$18,'F-Ahorro Futuro Decimos'!$H$20,0)</f>
        <v>0</v>
      </c>
      <c r="D470" s="122">
        <f t="shared" si="7"/>
        <v>0</v>
      </c>
      <c r="E470" s="121">
        <f>ROUND(D470*'FR_Mantenimiento tasas'!$C$48/360,5)</f>
        <v>0</v>
      </c>
      <c r="F470" s="121">
        <f>ROUND(D470*'FR_Mantenimiento tasas'!$D$48/360,5)</f>
        <v>0</v>
      </c>
    </row>
    <row r="471" spans="1:6">
      <c r="A471" s="123">
        <f>IF(OR(A470='F-Ahorro Futuro Decimos'!$H$16,A470=""),"",IF(A470+1&gt;'F-Ahorro Futuro Decimos'!$H$16,'F-Ahorro Futuro Decimos'!$H$16,A470+1))</f>
        <v>469</v>
      </c>
      <c r="B471" s="122">
        <f>IFERROR(IF(DAY($A471)=DAY('F-Ahorro Futuro Decimos'!$H$15),'F-Ahorro Futuro Decimos'!$H$14,0),0)</f>
        <v>0</v>
      </c>
      <c r="C471" s="122">
        <f>IF(A471='F-Ahorro Futuro Decimos'!$H$18,'F-Ahorro Futuro Decimos'!$H$20,0)</f>
        <v>0</v>
      </c>
      <c r="D471" s="122">
        <f t="shared" si="7"/>
        <v>0</v>
      </c>
      <c r="E471" s="121">
        <f>ROUND(D471*'FR_Mantenimiento tasas'!$C$48/360,5)</f>
        <v>0</v>
      </c>
      <c r="F471" s="121">
        <f>ROUND(D471*'FR_Mantenimiento tasas'!$D$48/360,5)</f>
        <v>0</v>
      </c>
    </row>
    <row r="472" spans="1:6">
      <c r="A472" s="123">
        <f>IF(OR(A471='F-Ahorro Futuro Decimos'!$H$16,A471=""),"",IF(A471+1&gt;'F-Ahorro Futuro Decimos'!$H$16,'F-Ahorro Futuro Decimos'!$H$16,A471+1))</f>
        <v>470</v>
      </c>
      <c r="B472" s="122">
        <f>IFERROR(IF(DAY($A472)=DAY('F-Ahorro Futuro Decimos'!$H$15),'F-Ahorro Futuro Decimos'!$H$14,0),0)</f>
        <v>0</v>
      </c>
      <c r="C472" s="122">
        <f>IF(A472='F-Ahorro Futuro Decimos'!$H$18,'F-Ahorro Futuro Decimos'!$H$20,0)</f>
        <v>0</v>
      </c>
      <c r="D472" s="122">
        <f t="shared" si="7"/>
        <v>0</v>
      </c>
      <c r="E472" s="121">
        <f>ROUND(D472*'FR_Mantenimiento tasas'!$C$48/360,5)</f>
        <v>0</v>
      </c>
      <c r="F472" s="121">
        <f>ROUND(D472*'FR_Mantenimiento tasas'!$D$48/360,5)</f>
        <v>0</v>
      </c>
    </row>
    <row r="473" spans="1:6">
      <c r="A473" s="123">
        <f>IF(OR(A472='F-Ahorro Futuro Decimos'!$H$16,A472=""),"",IF(A472+1&gt;'F-Ahorro Futuro Decimos'!$H$16,'F-Ahorro Futuro Decimos'!$H$16,A472+1))</f>
        <v>471</v>
      </c>
      <c r="B473" s="122">
        <f>IFERROR(IF(DAY($A473)=DAY('F-Ahorro Futuro Decimos'!$H$15),'F-Ahorro Futuro Decimos'!$H$14,0),0)</f>
        <v>0</v>
      </c>
      <c r="C473" s="122">
        <f>IF(A473='F-Ahorro Futuro Decimos'!$H$18,'F-Ahorro Futuro Decimos'!$H$20,0)</f>
        <v>0</v>
      </c>
      <c r="D473" s="122">
        <f t="shared" si="7"/>
        <v>0</v>
      </c>
      <c r="E473" s="121">
        <f>ROUND(D473*'FR_Mantenimiento tasas'!$C$48/360,5)</f>
        <v>0</v>
      </c>
      <c r="F473" s="121">
        <f>ROUND(D473*'FR_Mantenimiento tasas'!$D$48/360,5)</f>
        <v>0</v>
      </c>
    </row>
    <row r="474" spans="1:6">
      <c r="A474" s="123">
        <f>IF(OR(A473='F-Ahorro Futuro Decimos'!$H$16,A473=""),"",IF(A473+1&gt;'F-Ahorro Futuro Decimos'!$H$16,'F-Ahorro Futuro Decimos'!$H$16,A473+1))</f>
        <v>472</v>
      </c>
      <c r="B474" s="122">
        <f>IFERROR(IF(DAY($A474)=DAY('F-Ahorro Futuro Decimos'!$H$15),'F-Ahorro Futuro Decimos'!$H$14,0),0)</f>
        <v>0</v>
      </c>
      <c r="C474" s="122">
        <f>IF(A474='F-Ahorro Futuro Decimos'!$H$18,'F-Ahorro Futuro Decimos'!$H$20,0)</f>
        <v>0</v>
      </c>
      <c r="D474" s="122">
        <f t="shared" si="7"/>
        <v>0</v>
      </c>
      <c r="E474" s="121">
        <f>ROUND(D474*'FR_Mantenimiento tasas'!$C$48/360,5)</f>
        <v>0</v>
      </c>
      <c r="F474" s="121">
        <f>ROUND(D474*'FR_Mantenimiento tasas'!$D$48/360,5)</f>
        <v>0</v>
      </c>
    </row>
    <row r="475" spans="1:6">
      <c r="A475" s="123">
        <f>IF(OR(A474='F-Ahorro Futuro Decimos'!$H$16,A474=""),"",IF(A474+1&gt;'F-Ahorro Futuro Decimos'!$H$16,'F-Ahorro Futuro Decimos'!$H$16,A474+1))</f>
        <v>473</v>
      </c>
      <c r="B475" s="122">
        <f>IFERROR(IF(DAY($A475)=DAY('F-Ahorro Futuro Decimos'!$H$15),'F-Ahorro Futuro Decimos'!$H$14,0),0)</f>
        <v>0</v>
      </c>
      <c r="C475" s="122">
        <f>IF(A475='F-Ahorro Futuro Decimos'!$H$18,'F-Ahorro Futuro Decimos'!$H$20,0)</f>
        <v>0</v>
      </c>
      <c r="D475" s="122">
        <f t="shared" si="7"/>
        <v>0</v>
      </c>
      <c r="E475" s="121">
        <f>ROUND(D475*'FR_Mantenimiento tasas'!$C$48/360,5)</f>
        <v>0</v>
      </c>
      <c r="F475" s="121">
        <f>ROUND(D475*'FR_Mantenimiento tasas'!$D$48/360,5)</f>
        <v>0</v>
      </c>
    </row>
    <row r="476" spans="1:6">
      <c r="A476" s="123">
        <f>IF(OR(A475='F-Ahorro Futuro Decimos'!$H$16,A475=""),"",IF(A475+1&gt;'F-Ahorro Futuro Decimos'!$H$16,'F-Ahorro Futuro Decimos'!$H$16,A475+1))</f>
        <v>474</v>
      </c>
      <c r="B476" s="122">
        <f>IFERROR(IF(DAY($A476)=DAY('F-Ahorro Futuro Decimos'!$H$15),'F-Ahorro Futuro Decimos'!$H$14,0),0)</f>
        <v>0</v>
      </c>
      <c r="C476" s="122">
        <f>IF(A476='F-Ahorro Futuro Decimos'!$H$18,'F-Ahorro Futuro Decimos'!$H$20,0)</f>
        <v>0</v>
      </c>
      <c r="D476" s="122">
        <f t="shared" si="7"/>
        <v>0</v>
      </c>
      <c r="E476" s="121">
        <f>ROUND(D476*'FR_Mantenimiento tasas'!$C$48/360,5)</f>
        <v>0</v>
      </c>
      <c r="F476" s="121">
        <f>ROUND(D476*'FR_Mantenimiento tasas'!$D$48/360,5)</f>
        <v>0</v>
      </c>
    </row>
    <row r="477" spans="1:6">
      <c r="A477" s="123">
        <f>IF(OR(A476='F-Ahorro Futuro Decimos'!$H$16,A476=""),"",IF(A476+1&gt;'F-Ahorro Futuro Decimos'!$H$16,'F-Ahorro Futuro Decimos'!$H$16,A476+1))</f>
        <v>475</v>
      </c>
      <c r="B477" s="122">
        <f>IFERROR(IF(DAY($A477)=DAY('F-Ahorro Futuro Decimos'!$H$15),'F-Ahorro Futuro Decimos'!$H$14,0),0)</f>
        <v>0</v>
      </c>
      <c r="C477" s="122">
        <f>IF(A477='F-Ahorro Futuro Decimos'!$H$18,'F-Ahorro Futuro Decimos'!$H$20,0)</f>
        <v>0</v>
      </c>
      <c r="D477" s="122">
        <f t="shared" si="7"/>
        <v>0</v>
      </c>
      <c r="E477" s="121">
        <f>ROUND(D477*'FR_Mantenimiento tasas'!$C$48/360,5)</f>
        <v>0</v>
      </c>
      <c r="F477" s="121">
        <f>ROUND(D477*'FR_Mantenimiento tasas'!$D$48/360,5)</f>
        <v>0</v>
      </c>
    </row>
    <row r="478" spans="1:6">
      <c r="A478" s="123">
        <f>IF(OR(A477='F-Ahorro Futuro Decimos'!$H$16,A477=""),"",IF(A477+1&gt;'F-Ahorro Futuro Decimos'!$H$16,'F-Ahorro Futuro Decimos'!$H$16,A477+1))</f>
        <v>476</v>
      </c>
      <c r="B478" s="122">
        <f>IFERROR(IF(DAY($A478)=DAY('F-Ahorro Futuro Decimos'!$H$15),'F-Ahorro Futuro Decimos'!$H$14,0),0)</f>
        <v>0</v>
      </c>
      <c r="C478" s="122">
        <f>IF(A478='F-Ahorro Futuro Decimos'!$H$18,'F-Ahorro Futuro Decimos'!$H$20,0)</f>
        <v>0</v>
      </c>
      <c r="D478" s="122">
        <f t="shared" si="7"/>
        <v>0</v>
      </c>
      <c r="E478" s="121">
        <f>ROUND(D478*'FR_Mantenimiento tasas'!$C$48/360,5)</f>
        <v>0</v>
      </c>
      <c r="F478" s="121">
        <f>ROUND(D478*'FR_Mantenimiento tasas'!$D$48/360,5)</f>
        <v>0</v>
      </c>
    </row>
    <row r="479" spans="1:6">
      <c r="A479" s="123">
        <f>IF(OR(A478='F-Ahorro Futuro Decimos'!$H$16,A478=""),"",IF(A478+1&gt;'F-Ahorro Futuro Decimos'!$H$16,'F-Ahorro Futuro Decimos'!$H$16,A478+1))</f>
        <v>477</v>
      </c>
      <c r="B479" s="122">
        <f>IFERROR(IF(DAY($A479)=DAY('F-Ahorro Futuro Decimos'!$H$15),'F-Ahorro Futuro Decimos'!$H$14,0),0)</f>
        <v>0</v>
      </c>
      <c r="C479" s="122">
        <f>IF(A479='F-Ahorro Futuro Decimos'!$H$18,'F-Ahorro Futuro Decimos'!$H$20,0)</f>
        <v>0</v>
      </c>
      <c r="D479" s="122">
        <f t="shared" si="7"/>
        <v>0</v>
      </c>
      <c r="E479" s="121">
        <f>ROUND(D479*'FR_Mantenimiento tasas'!$C$48/360,5)</f>
        <v>0</v>
      </c>
      <c r="F479" s="121">
        <f>ROUND(D479*'FR_Mantenimiento tasas'!$D$48/360,5)</f>
        <v>0</v>
      </c>
    </row>
    <row r="480" spans="1:6">
      <c r="A480" s="123">
        <f>IF(OR(A479='F-Ahorro Futuro Decimos'!$H$16,A479=""),"",IF(A479+1&gt;'F-Ahorro Futuro Decimos'!$H$16,'F-Ahorro Futuro Decimos'!$H$16,A479+1))</f>
        <v>478</v>
      </c>
      <c r="B480" s="122">
        <f>IFERROR(IF(DAY($A480)=DAY('F-Ahorro Futuro Decimos'!$H$15),'F-Ahorro Futuro Decimos'!$H$14,0),0)</f>
        <v>0</v>
      </c>
      <c r="C480" s="122">
        <f>IF(A480='F-Ahorro Futuro Decimos'!$H$18,'F-Ahorro Futuro Decimos'!$H$20,0)</f>
        <v>0</v>
      </c>
      <c r="D480" s="122">
        <f t="shared" si="7"/>
        <v>0</v>
      </c>
      <c r="E480" s="121">
        <f>ROUND(D480*'FR_Mantenimiento tasas'!$C$48/360,5)</f>
        <v>0</v>
      </c>
      <c r="F480" s="121">
        <f>ROUND(D480*'FR_Mantenimiento tasas'!$D$48/360,5)</f>
        <v>0</v>
      </c>
    </row>
    <row r="481" spans="1:6">
      <c r="A481" s="123">
        <f>IF(OR(A480='F-Ahorro Futuro Decimos'!$H$16,A480=""),"",IF(A480+1&gt;'F-Ahorro Futuro Decimos'!$H$16,'F-Ahorro Futuro Decimos'!$H$16,A480+1))</f>
        <v>479</v>
      </c>
      <c r="B481" s="122">
        <f>IFERROR(IF(DAY($A481)=DAY('F-Ahorro Futuro Decimos'!$H$15),'F-Ahorro Futuro Decimos'!$H$14,0),0)</f>
        <v>0</v>
      </c>
      <c r="C481" s="122">
        <f>IF(A481='F-Ahorro Futuro Decimos'!$H$18,'F-Ahorro Futuro Decimos'!$H$20,0)</f>
        <v>0</v>
      </c>
      <c r="D481" s="122">
        <f t="shared" si="7"/>
        <v>0</v>
      </c>
      <c r="E481" s="121">
        <f>ROUND(D481*'FR_Mantenimiento tasas'!$C$48/360,5)</f>
        <v>0</v>
      </c>
      <c r="F481" s="121">
        <f>ROUND(D481*'FR_Mantenimiento tasas'!$D$48/360,5)</f>
        <v>0</v>
      </c>
    </row>
    <row r="482" spans="1:6">
      <c r="A482" s="123">
        <f>IF(OR(A481='F-Ahorro Futuro Decimos'!$H$16,A481=""),"",IF(A481+1&gt;'F-Ahorro Futuro Decimos'!$H$16,'F-Ahorro Futuro Decimos'!$H$16,A481+1))</f>
        <v>480</v>
      </c>
      <c r="B482" s="122">
        <f>IFERROR(IF(DAY($A482)=DAY('F-Ahorro Futuro Decimos'!$H$15),'F-Ahorro Futuro Decimos'!$H$14,0),0)</f>
        <v>0</v>
      </c>
      <c r="C482" s="122">
        <f>IF(A482='F-Ahorro Futuro Decimos'!$H$18,'F-Ahorro Futuro Decimos'!$H$20,0)</f>
        <v>0</v>
      </c>
      <c r="D482" s="122">
        <f t="shared" si="7"/>
        <v>0</v>
      </c>
      <c r="E482" s="121">
        <f>ROUND(D482*'FR_Mantenimiento tasas'!$C$48/360,5)</f>
        <v>0</v>
      </c>
      <c r="F482" s="121">
        <f>ROUND(D482*'FR_Mantenimiento tasas'!$D$48/360,5)</f>
        <v>0</v>
      </c>
    </row>
    <row r="483" spans="1:6">
      <c r="A483" s="123">
        <f>IF(OR(A482='F-Ahorro Futuro Decimos'!$H$16,A482=""),"",IF(A482+1&gt;'F-Ahorro Futuro Decimos'!$H$16,'F-Ahorro Futuro Decimos'!$H$16,A482+1))</f>
        <v>481</v>
      </c>
      <c r="B483" s="122">
        <f>IFERROR(IF(DAY($A483)=DAY('F-Ahorro Futuro Decimos'!$H$15),'F-Ahorro Futuro Decimos'!$H$14,0),0)</f>
        <v>0</v>
      </c>
      <c r="C483" s="122">
        <f>IF(A483='F-Ahorro Futuro Decimos'!$H$18,'F-Ahorro Futuro Decimos'!$H$20,0)</f>
        <v>0</v>
      </c>
      <c r="D483" s="122">
        <f t="shared" si="7"/>
        <v>0</v>
      </c>
      <c r="E483" s="121">
        <f>ROUND(D483*'FR_Mantenimiento tasas'!$C$48/360,5)</f>
        <v>0</v>
      </c>
      <c r="F483" s="121">
        <f>ROUND(D483*'FR_Mantenimiento tasas'!$D$48/360,5)</f>
        <v>0</v>
      </c>
    </row>
    <row r="484" spans="1:6">
      <c r="A484" s="123">
        <f>IF(OR(A483='F-Ahorro Futuro Decimos'!$H$16,A483=""),"",IF(A483+1&gt;'F-Ahorro Futuro Decimos'!$H$16,'F-Ahorro Futuro Decimos'!$H$16,A483+1))</f>
        <v>482</v>
      </c>
      <c r="B484" s="122">
        <f>IFERROR(IF(DAY($A484)=DAY('F-Ahorro Futuro Decimos'!$H$15),'F-Ahorro Futuro Decimos'!$H$14,0),0)</f>
        <v>0</v>
      </c>
      <c r="C484" s="122">
        <f>IF(A484='F-Ahorro Futuro Decimos'!$H$18,'F-Ahorro Futuro Decimos'!$H$20,0)</f>
        <v>0</v>
      </c>
      <c r="D484" s="122">
        <f t="shared" si="7"/>
        <v>0</v>
      </c>
      <c r="E484" s="121">
        <f>ROUND(D484*'FR_Mantenimiento tasas'!$C$48/360,5)</f>
        <v>0</v>
      </c>
      <c r="F484" s="121">
        <f>ROUND(D484*'FR_Mantenimiento tasas'!$D$48/360,5)</f>
        <v>0</v>
      </c>
    </row>
    <row r="485" spans="1:6">
      <c r="A485" s="123">
        <f>IF(OR(A484='F-Ahorro Futuro Decimos'!$H$16,A484=""),"",IF(A484+1&gt;'F-Ahorro Futuro Decimos'!$H$16,'F-Ahorro Futuro Decimos'!$H$16,A484+1))</f>
        <v>483</v>
      </c>
      <c r="B485" s="122">
        <f>IFERROR(IF(DAY($A485)=DAY('F-Ahorro Futuro Decimos'!$H$15),'F-Ahorro Futuro Decimos'!$H$14,0),0)</f>
        <v>0</v>
      </c>
      <c r="C485" s="122">
        <f>IF(A485='F-Ahorro Futuro Decimos'!$H$18,'F-Ahorro Futuro Decimos'!$H$20,0)</f>
        <v>0</v>
      </c>
      <c r="D485" s="122">
        <f t="shared" si="7"/>
        <v>0</v>
      </c>
      <c r="E485" s="121">
        <f>ROUND(D485*'FR_Mantenimiento tasas'!$C$48/360,5)</f>
        <v>0</v>
      </c>
      <c r="F485" s="121">
        <f>ROUND(D485*'FR_Mantenimiento tasas'!$D$48/360,5)</f>
        <v>0</v>
      </c>
    </row>
    <row r="486" spans="1:6">
      <c r="A486" s="123">
        <f>IF(OR(A485='F-Ahorro Futuro Decimos'!$H$16,A485=""),"",IF(A485+1&gt;'F-Ahorro Futuro Decimos'!$H$16,'F-Ahorro Futuro Decimos'!$H$16,A485+1))</f>
        <v>484</v>
      </c>
      <c r="B486" s="122">
        <f>IFERROR(IF(DAY($A486)=DAY('F-Ahorro Futuro Decimos'!$H$15),'F-Ahorro Futuro Decimos'!$H$14,0),0)</f>
        <v>0</v>
      </c>
      <c r="C486" s="122">
        <f>IF(A486='F-Ahorro Futuro Decimos'!$H$18,'F-Ahorro Futuro Decimos'!$H$20,0)</f>
        <v>0</v>
      </c>
      <c r="D486" s="122">
        <f t="shared" si="7"/>
        <v>0</v>
      </c>
      <c r="E486" s="121">
        <f>ROUND(D486*'FR_Mantenimiento tasas'!$C$48/360,5)</f>
        <v>0</v>
      </c>
      <c r="F486" s="121">
        <f>ROUND(D486*'FR_Mantenimiento tasas'!$D$48/360,5)</f>
        <v>0</v>
      </c>
    </row>
    <row r="487" spans="1:6">
      <c r="A487" s="123">
        <f>IF(OR(A486='F-Ahorro Futuro Decimos'!$H$16,A486=""),"",IF(A486+1&gt;'F-Ahorro Futuro Decimos'!$H$16,'F-Ahorro Futuro Decimos'!$H$16,A486+1))</f>
        <v>485</v>
      </c>
      <c r="B487" s="122">
        <f>IFERROR(IF(DAY($A487)=DAY('F-Ahorro Futuro Decimos'!$H$15),'F-Ahorro Futuro Decimos'!$H$14,0),0)</f>
        <v>0</v>
      </c>
      <c r="C487" s="122">
        <f>IF(A487='F-Ahorro Futuro Decimos'!$H$18,'F-Ahorro Futuro Decimos'!$H$20,0)</f>
        <v>0</v>
      </c>
      <c r="D487" s="122">
        <f t="shared" si="7"/>
        <v>0</v>
      </c>
      <c r="E487" s="121">
        <f>ROUND(D487*'FR_Mantenimiento tasas'!$C$48/360,5)</f>
        <v>0</v>
      </c>
      <c r="F487" s="121">
        <f>ROUND(D487*'FR_Mantenimiento tasas'!$D$48/360,5)</f>
        <v>0</v>
      </c>
    </row>
    <row r="488" spans="1:6">
      <c r="A488" s="123">
        <f>IF(OR(A487='F-Ahorro Futuro Decimos'!$H$16,A487=""),"",IF(A487+1&gt;'F-Ahorro Futuro Decimos'!$H$16,'F-Ahorro Futuro Decimos'!$H$16,A487+1))</f>
        <v>486</v>
      </c>
      <c r="B488" s="122">
        <f>IFERROR(IF(DAY($A488)=DAY('F-Ahorro Futuro Decimos'!$H$15),'F-Ahorro Futuro Decimos'!$H$14,0),0)</f>
        <v>0</v>
      </c>
      <c r="C488" s="122">
        <f>IF(A488='F-Ahorro Futuro Decimos'!$H$18,'F-Ahorro Futuro Decimos'!$H$20,0)</f>
        <v>0</v>
      </c>
      <c r="D488" s="122">
        <f t="shared" si="7"/>
        <v>0</v>
      </c>
      <c r="E488" s="121">
        <f>ROUND(D488*'FR_Mantenimiento tasas'!$C$48/360,5)</f>
        <v>0</v>
      </c>
      <c r="F488" s="121">
        <f>ROUND(D488*'FR_Mantenimiento tasas'!$D$48/360,5)</f>
        <v>0</v>
      </c>
    </row>
    <row r="489" spans="1:6">
      <c r="A489" s="123">
        <f>IF(OR(A488='F-Ahorro Futuro Decimos'!$H$16,A488=""),"",IF(A488+1&gt;'F-Ahorro Futuro Decimos'!$H$16,'F-Ahorro Futuro Decimos'!$H$16,A488+1))</f>
        <v>487</v>
      </c>
      <c r="B489" s="122">
        <f>IFERROR(IF(DAY($A489)=DAY('F-Ahorro Futuro Decimos'!$H$15),'F-Ahorro Futuro Decimos'!$H$14,0),0)</f>
        <v>0</v>
      </c>
      <c r="C489" s="122">
        <f>IF(A489='F-Ahorro Futuro Decimos'!$H$18,'F-Ahorro Futuro Decimos'!$H$20,0)</f>
        <v>0</v>
      </c>
      <c r="D489" s="122">
        <f t="shared" si="7"/>
        <v>0</v>
      </c>
      <c r="E489" s="121">
        <f>ROUND(D489*'FR_Mantenimiento tasas'!$C$48/360,5)</f>
        <v>0</v>
      </c>
      <c r="F489" s="121">
        <f>ROUND(D489*'FR_Mantenimiento tasas'!$D$48/360,5)</f>
        <v>0</v>
      </c>
    </row>
    <row r="490" spans="1:6">
      <c r="A490" s="123">
        <f>IF(OR(A489='F-Ahorro Futuro Decimos'!$H$16,A489=""),"",IF(A489+1&gt;'F-Ahorro Futuro Decimos'!$H$16,'F-Ahorro Futuro Decimos'!$H$16,A489+1))</f>
        <v>488</v>
      </c>
      <c r="B490" s="122">
        <f>IFERROR(IF(DAY($A490)=DAY('F-Ahorro Futuro Decimos'!$H$15),'F-Ahorro Futuro Decimos'!$H$14,0),0)</f>
        <v>0</v>
      </c>
      <c r="C490" s="122">
        <f>IF(A490='F-Ahorro Futuro Decimos'!$H$18,'F-Ahorro Futuro Decimos'!$H$20,0)</f>
        <v>0</v>
      </c>
      <c r="D490" s="122">
        <f t="shared" si="7"/>
        <v>0</v>
      </c>
      <c r="E490" s="121">
        <f>ROUND(D490*'FR_Mantenimiento tasas'!$C$48/360,5)</f>
        <v>0</v>
      </c>
      <c r="F490" s="121">
        <f>ROUND(D490*'FR_Mantenimiento tasas'!$D$48/360,5)</f>
        <v>0</v>
      </c>
    </row>
    <row r="491" spans="1:6">
      <c r="A491" s="123">
        <f>IF(OR(A490='F-Ahorro Futuro Decimos'!$H$16,A490=""),"",IF(A490+1&gt;'F-Ahorro Futuro Decimos'!$H$16,'F-Ahorro Futuro Decimos'!$H$16,A490+1))</f>
        <v>489</v>
      </c>
      <c r="B491" s="122">
        <f>IFERROR(IF(DAY($A491)=DAY('F-Ahorro Futuro Decimos'!$H$15),'F-Ahorro Futuro Decimos'!$H$14,0),0)</f>
        <v>0</v>
      </c>
      <c r="C491" s="122">
        <f>IF(A491='F-Ahorro Futuro Decimos'!$H$18,'F-Ahorro Futuro Decimos'!$H$20,0)</f>
        <v>0</v>
      </c>
      <c r="D491" s="122">
        <f t="shared" si="7"/>
        <v>0</v>
      </c>
      <c r="E491" s="121">
        <f>ROUND(D491*'FR_Mantenimiento tasas'!$C$48/360,5)</f>
        <v>0</v>
      </c>
      <c r="F491" s="121">
        <f>ROUND(D491*'FR_Mantenimiento tasas'!$D$48/360,5)</f>
        <v>0</v>
      </c>
    </row>
    <row r="492" spans="1:6">
      <c r="A492" s="123">
        <f>IF(OR(A491='F-Ahorro Futuro Decimos'!$H$16,A491=""),"",IF(A491+1&gt;'F-Ahorro Futuro Decimos'!$H$16,'F-Ahorro Futuro Decimos'!$H$16,A491+1))</f>
        <v>490</v>
      </c>
      <c r="B492" s="122">
        <f>IFERROR(IF(DAY($A492)=DAY('F-Ahorro Futuro Decimos'!$H$15),'F-Ahorro Futuro Decimos'!$H$14,0),0)</f>
        <v>0</v>
      </c>
      <c r="C492" s="122">
        <f>IF(A492='F-Ahorro Futuro Decimos'!$H$18,'F-Ahorro Futuro Decimos'!$H$20,0)</f>
        <v>0</v>
      </c>
      <c r="D492" s="122">
        <f t="shared" si="7"/>
        <v>0</v>
      </c>
      <c r="E492" s="121">
        <f>ROUND(D492*'FR_Mantenimiento tasas'!$C$48/360,5)</f>
        <v>0</v>
      </c>
      <c r="F492" s="121">
        <f>ROUND(D492*'FR_Mantenimiento tasas'!$D$48/360,5)</f>
        <v>0</v>
      </c>
    </row>
    <row r="493" spans="1:6">
      <c r="A493" s="123">
        <f>IF(OR(A492='F-Ahorro Futuro Decimos'!$H$16,A492=""),"",IF(A492+1&gt;'F-Ahorro Futuro Decimos'!$H$16,'F-Ahorro Futuro Decimos'!$H$16,A492+1))</f>
        <v>491</v>
      </c>
      <c r="B493" s="122">
        <f>IFERROR(IF(DAY($A493)=DAY('F-Ahorro Futuro Decimos'!$H$15),'F-Ahorro Futuro Decimos'!$H$14,0),0)</f>
        <v>0</v>
      </c>
      <c r="C493" s="122">
        <f>IF(A493='F-Ahorro Futuro Decimos'!$H$18,'F-Ahorro Futuro Decimos'!$H$20,0)</f>
        <v>0</v>
      </c>
      <c r="D493" s="122">
        <f t="shared" si="7"/>
        <v>0</v>
      </c>
      <c r="E493" s="121">
        <f>ROUND(D493*'FR_Mantenimiento tasas'!$C$48/360,5)</f>
        <v>0</v>
      </c>
      <c r="F493" s="121">
        <f>ROUND(D493*'FR_Mantenimiento tasas'!$D$48/360,5)</f>
        <v>0</v>
      </c>
    </row>
    <row r="494" spans="1:6">
      <c r="A494" s="123">
        <f>IF(OR(A493='F-Ahorro Futuro Decimos'!$H$16,A493=""),"",IF(A493+1&gt;'F-Ahorro Futuro Decimos'!$H$16,'F-Ahorro Futuro Decimos'!$H$16,A493+1))</f>
        <v>492</v>
      </c>
      <c r="B494" s="122">
        <f>IFERROR(IF(DAY($A494)=DAY('F-Ahorro Futuro Decimos'!$H$15),'F-Ahorro Futuro Decimos'!$H$14,0),0)</f>
        <v>0</v>
      </c>
      <c r="C494" s="122">
        <f>IF(A494='F-Ahorro Futuro Decimos'!$H$18,'F-Ahorro Futuro Decimos'!$H$20,0)</f>
        <v>0</v>
      </c>
      <c r="D494" s="122">
        <f t="shared" si="7"/>
        <v>0</v>
      </c>
      <c r="E494" s="121">
        <f>ROUND(D494*'FR_Mantenimiento tasas'!$C$48/360,5)</f>
        <v>0</v>
      </c>
      <c r="F494" s="121">
        <f>ROUND(D494*'FR_Mantenimiento tasas'!$D$48/360,5)</f>
        <v>0</v>
      </c>
    </row>
    <row r="495" spans="1:6">
      <c r="A495" s="123">
        <f>IF(OR(A494='F-Ahorro Futuro Decimos'!$H$16,A494=""),"",IF(A494+1&gt;'F-Ahorro Futuro Decimos'!$H$16,'F-Ahorro Futuro Decimos'!$H$16,A494+1))</f>
        <v>493</v>
      </c>
      <c r="B495" s="122">
        <f>IFERROR(IF(DAY($A495)=DAY('F-Ahorro Futuro Decimos'!$H$15),'F-Ahorro Futuro Decimos'!$H$14,0),0)</f>
        <v>0</v>
      </c>
      <c r="C495" s="122">
        <f>IF(A495='F-Ahorro Futuro Decimos'!$H$18,'F-Ahorro Futuro Decimos'!$H$20,0)</f>
        <v>0</v>
      </c>
      <c r="D495" s="122">
        <f t="shared" si="7"/>
        <v>0</v>
      </c>
      <c r="E495" s="121">
        <f>ROUND(D495*'FR_Mantenimiento tasas'!$C$48/360,5)</f>
        <v>0</v>
      </c>
      <c r="F495" s="121">
        <f>ROUND(D495*'FR_Mantenimiento tasas'!$D$48/360,5)</f>
        <v>0</v>
      </c>
    </row>
    <row r="496" spans="1:6">
      <c r="A496" s="123">
        <f>IF(OR(A495='F-Ahorro Futuro Decimos'!$H$16,A495=""),"",IF(A495+1&gt;'F-Ahorro Futuro Decimos'!$H$16,'F-Ahorro Futuro Decimos'!$H$16,A495+1))</f>
        <v>494</v>
      </c>
      <c r="B496" s="122">
        <f>IFERROR(IF(DAY($A496)=DAY('F-Ahorro Futuro Decimos'!$H$15),'F-Ahorro Futuro Decimos'!$H$14,0),0)</f>
        <v>0</v>
      </c>
      <c r="C496" s="122">
        <f>IF(A496='F-Ahorro Futuro Decimos'!$H$18,'F-Ahorro Futuro Decimos'!$H$20,0)</f>
        <v>0</v>
      </c>
      <c r="D496" s="122">
        <f t="shared" si="7"/>
        <v>0</v>
      </c>
      <c r="E496" s="121">
        <f>ROUND(D496*'FR_Mantenimiento tasas'!$C$48/360,5)</f>
        <v>0</v>
      </c>
      <c r="F496" s="121">
        <f>ROUND(D496*'FR_Mantenimiento tasas'!$D$48/360,5)</f>
        <v>0</v>
      </c>
    </row>
    <row r="497" spans="1:6">
      <c r="A497" s="123">
        <f>IF(OR(A496='F-Ahorro Futuro Decimos'!$H$16,A496=""),"",IF(A496+1&gt;'F-Ahorro Futuro Decimos'!$H$16,'F-Ahorro Futuro Decimos'!$H$16,A496+1))</f>
        <v>495</v>
      </c>
      <c r="B497" s="122">
        <f>IFERROR(IF(DAY($A497)=DAY('F-Ahorro Futuro Decimos'!$H$15),'F-Ahorro Futuro Decimos'!$H$14,0),0)</f>
        <v>0</v>
      </c>
      <c r="C497" s="122">
        <f>IF(A497='F-Ahorro Futuro Decimos'!$H$18,'F-Ahorro Futuro Decimos'!$H$20,0)</f>
        <v>0</v>
      </c>
      <c r="D497" s="122">
        <f t="shared" si="7"/>
        <v>0</v>
      </c>
      <c r="E497" s="121">
        <f>ROUND(D497*'FR_Mantenimiento tasas'!$C$48/360,5)</f>
        <v>0</v>
      </c>
      <c r="F497" s="121">
        <f>ROUND(D497*'FR_Mantenimiento tasas'!$D$48/360,5)</f>
        <v>0</v>
      </c>
    </row>
    <row r="498" spans="1:6">
      <c r="A498" s="123">
        <f>IF(OR(A497='F-Ahorro Futuro Decimos'!$H$16,A497=""),"",IF(A497+1&gt;'F-Ahorro Futuro Decimos'!$H$16,'F-Ahorro Futuro Decimos'!$H$16,A497+1))</f>
        <v>496</v>
      </c>
      <c r="B498" s="122">
        <f>IFERROR(IF(DAY($A498)=DAY('F-Ahorro Futuro Decimos'!$H$15),'F-Ahorro Futuro Decimos'!$H$14,0),0)</f>
        <v>0</v>
      </c>
      <c r="C498" s="122">
        <f>IF(A498='F-Ahorro Futuro Decimos'!$H$18,'F-Ahorro Futuro Decimos'!$H$20,0)</f>
        <v>0</v>
      </c>
      <c r="D498" s="122">
        <f t="shared" si="7"/>
        <v>0</v>
      </c>
      <c r="E498" s="121">
        <f>ROUND(D498*'FR_Mantenimiento tasas'!$C$48/360,5)</f>
        <v>0</v>
      </c>
      <c r="F498" s="121">
        <f>ROUND(D498*'FR_Mantenimiento tasas'!$D$48/360,5)</f>
        <v>0</v>
      </c>
    </row>
    <row r="499" spans="1:6">
      <c r="A499" s="123">
        <f>IF(OR(A498='F-Ahorro Futuro Decimos'!$H$16,A498=""),"",IF(A498+1&gt;'F-Ahorro Futuro Decimos'!$H$16,'F-Ahorro Futuro Decimos'!$H$16,A498+1))</f>
        <v>497</v>
      </c>
      <c r="B499" s="122">
        <f>IFERROR(IF(DAY($A499)=DAY('F-Ahorro Futuro Decimos'!$H$15),'F-Ahorro Futuro Decimos'!$H$14,0),0)</f>
        <v>0</v>
      </c>
      <c r="C499" s="122">
        <f>IF(A499='F-Ahorro Futuro Decimos'!$H$18,'F-Ahorro Futuro Decimos'!$H$20,0)</f>
        <v>0</v>
      </c>
      <c r="D499" s="122">
        <f t="shared" si="7"/>
        <v>0</v>
      </c>
      <c r="E499" s="121">
        <f>ROUND(D499*'FR_Mantenimiento tasas'!$C$48/360,5)</f>
        <v>0</v>
      </c>
      <c r="F499" s="121">
        <f>ROUND(D499*'FR_Mantenimiento tasas'!$D$48/360,5)</f>
        <v>0</v>
      </c>
    </row>
    <row r="500" spans="1:6">
      <c r="A500" s="123">
        <f>IF(OR(A499='F-Ahorro Futuro Decimos'!$H$16,A499=""),"",IF(A499+1&gt;'F-Ahorro Futuro Decimos'!$H$16,'F-Ahorro Futuro Decimos'!$H$16,A499+1))</f>
        <v>498</v>
      </c>
      <c r="B500" s="122">
        <f>IFERROR(IF(DAY($A500)=DAY('F-Ahorro Futuro Decimos'!$H$15),'F-Ahorro Futuro Decimos'!$H$14,0),0)</f>
        <v>0</v>
      </c>
      <c r="C500" s="122">
        <f>IF(A500='F-Ahorro Futuro Decimos'!$H$18,'F-Ahorro Futuro Decimos'!$H$20,0)</f>
        <v>0</v>
      </c>
      <c r="D500" s="122">
        <f t="shared" si="7"/>
        <v>0</v>
      </c>
      <c r="E500" s="121">
        <f>ROUND(D500*'FR_Mantenimiento tasas'!$C$48/360,5)</f>
        <v>0</v>
      </c>
      <c r="F500" s="121">
        <f>ROUND(D500*'FR_Mantenimiento tasas'!$D$48/360,5)</f>
        <v>0</v>
      </c>
    </row>
    <row r="501" spans="1:6">
      <c r="A501" s="123">
        <f>IF(OR(A500='F-Ahorro Futuro Decimos'!$H$16,A500=""),"",IF(A500+1&gt;'F-Ahorro Futuro Decimos'!$H$16,'F-Ahorro Futuro Decimos'!$H$16,A500+1))</f>
        <v>499</v>
      </c>
      <c r="B501" s="122">
        <f>IFERROR(IF(DAY($A501)=DAY('F-Ahorro Futuro Decimos'!$H$15),'F-Ahorro Futuro Decimos'!$H$14,0),0)</f>
        <v>0</v>
      </c>
      <c r="C501" s="122">
        <f>IF(A501='F-Ahorro Futuro Decimos'!$H$18,'F-Ahorro Futuro Decimos'!$H$20,0)</f>
        <v>0</v>
      </c>
      <c r="D501" s="122">
        <f t="shared" si="7"/>
        <v>0</v>
      </c>
      <c r="E501" s="121">
        <f>ROUND(D501*'FR_Mantenimiento tasas'!$C$48/360,5)</f>
        <v>0</v>
      </c>
      <c r="F501" s="121">
        <f>ROUND(D501*'FR_Mantenimiento tasas'!$D$48/360,5)</f>
        <v>0</v>
      </c>
    </row>
    <row r="502" spans="1:6">
      <c r="A502" s="123">
        <f>IF(OR(A501='F-Ahorro Futuro Decimos'!$H$16,A501=""),"",IF(A501+1&gt;'F-Ahorro Futuro Decimos'!$H$16,'F-Ahorro Futuro Decimos'!$H$16,A501+1))</f>
        <v>500</v>
      </c>
      <c r="B502" s="122">
        <f>IFERROR(IF(DAY($A502)=DAY('F-Ahorro Futuro Decimos'!$H$15),'F-Ahorro Futuro Decimos'!$H$14,0),0)</f>
        <v>0</v>
      </c>
      <c r="C502" s="122">
        <f>IF(A502='F-Ahorro Futuro Decimos'!$H$18,'F-Ahorro Futuro Decimos'!$H$20,0)</f>
        <v>0</v>
      </c>
      <c r="D502" s="122">
        <f t="shared" si="7"/>
        <v>0</v>
      </c>
      <c r="E502" s="121">
        <f>ROUND(D502*'FR_Mantenimiento tasas'!$C$48/360,5)</f>
        <v>0</v>
      </c>
      <c r="F502" s="121">
        <f>ROUND(D502*'FR_Mantenimiento tasas'!$D$48/360,5)</f>
        <v>0</v>
      </c>
    </row>
    <row r="503" spans="1:6">
      <c r="A503" s="123">
        <f>IF(OR(A502='F-Ahorro Futuro Decimos'!$H$16,A502=""),"",IF(A502+1&gt;'F-Ahorro Futuro Decimos'!$H$16,'F-Ahorro Futuro Decimos'!$H$16,A502+1))</f>
        <v>501</v>
      </c>
      <c r="B503" s="122">
        <f>IFERROR(IF(DAY($A503)=DAY('F-Ahorro Futuro Decimos'!$H$15),'F-Ahorro Futuro Decimos'!$H$14,0),0)</f>
        <v>0</v>
      </c>
      <c r="C503" s="122">
        <f>IF(A503='F-Ahorro Futuro Decimos'!$H$18,'F-Ahorro Futuro Decimos'!$H$20,0)</f>
        <v>0</v>
      </c>
      <c r="D503" s="122">
        <f t="shared" si="7"/>
        <v>0</v>
      </c>
      <c r="E503" s="121">
        <f>ROUND(D503*'FR_Mantenimiento tasas'!$C$48/360,5)</f>
        <v>0</v>
      </c>
      <c r="F503" s="121">
        <f>ROUND(D503*'FR_Mantenimiento tasas'!$D$48/360,5)</f>
        <v>0</v>
      </c>
    </row>
    <row r="504" spans="1:6">
      <c r="A504" s="123">
        <f>IF(OR(A503='F-Ahorro Futuro Decimos'!$H$16,A503=""),"",IF(A503+1&gt;'F-Ahorro Futuro Decimos'!$H$16,'F-Ahorro Futuro Decimos'!$H$16,A503+1))</f>
        <v>502</v>
      </c>
      <c r="B504" s="122">
        <f>IFERROR(IF(DAY($A504)=DAY('F-Ahorro Futuro Decimos'!$H$15),'F-Ahorro Futuro Decimos'!$H$14,0),0)</f>
        <v>0</v>
      </c>
      <c r="C504" s="122">
        <f>IF(A504='F-Ahorro Futuro Decimos'!$H$18,'F-Ahorro Futuro Decimos'!$H$20,0)</f>
        <v>0</v>
      </c>
      <c r="D504" s="122">
        <f t="shared" si="7"/>
        <v>0</v>
      </c>
      <c r="E504" s="121">
        <f>ROUND(D504*'FR_Mantenimiento tasas'!$C$48/360,5)</f>
        <v>0</v>
      </c>
      <c r="F504" s="121">
        <f>ROUND(D504*'FR_Mantenimiento tasas'!$D$48/360,5)</f>
        <v>0</v>
      </c>
    </row>
    <row r="505" spans="1:6">
      <c r="A505" s="123">
        <f>IF(OR(A504='F-Ahorro Futuro Decimos'!$H$16,A504=""),"",IF(A504+1&gt;'F-Ahorro Futuro Decimos'!$H$16,'F-Ahorro Futuro Decimos'!$H$16,A504+1))</f>
        <v>503</v>
      </c>
      <c r="B505" s="122">
        <f>IFERROR(IF(DAY($A505)=DAY('F-Ahorro Futuro Decimos'!$H$15),'F-Ahorro Futuro Decimos'!$H$14,0),0)</f>
        <v>0</v>
      </c>
      <c r="C505" s="122">
        <f>IF(A505='F-Ahorro Futuro Decimos'!$H$18,'F-Ahorro Futuro Decimos'!$H$20,0)</f>
        <v>0</v>
      </c>
      <c r="D505" s="122">
        <f t="shared" si="7"/>
        <v>0</v>
      </c>
      <c r="E505" s="121">
        <f>ROUND(D505*'FR_Mantenimiento tasas'!$C$48/360,5)</f>
        <v>0</v>
      </c>
      <c r="F505" s="121">
        <f>ROUND(D505*'FR_Mantenimiento tasas'!$D$48/360,5)</f>
        <v>0</v>
      </c>
    </row>
    <row r="506" spans="1:6">
      <c r="A506" s="123">
        <f>IF(OR(A505='F-Ahorro Futuro Decimos'!$H$16,A505=""),"",IF(A505+1&gt;'F-Ahorro Futuro Decimos'!$H$16,'F-Ahorro Futuro Decimos'!$H$16,A505+1))</f>
        <v>504</v>
      </c>
      <c r="B506" s="122">
        <f>IFERROR(IF(DAY($A506)=DAY('F-Ahorro Futuro Decimos'!$H$15),'F-Ahorro Futuro Decimos'!$H$14,0),0)</f>
        <v>0</v>
      </c>
      <c r="C506" s="122">
        <f>IF(A506='F-Ahorro Futuro Decimos'!$H$18,'F-Ahorro Futuro Decimos'!$H$20,0)</f>
        <v>0</v>
      </c>
      <c r="D506" s="122">
        <f t="shared" si="7"/>
        <v>0</v>
      </c>
      <c r="E506" s="121">
        <f>ROUND(D506*'FR_Mantenimiento tasas'!$C$48/360,5)</f>
        <v>0</v>
      </c>
      <c r="F506" s="121">
        <f>ROUND(D506*'FR_Mantenimiento tasas'!$D$48/360,5)</f>
        <v>0</v>
      </c>
    </row>
    <row r="507" spans="1:6">
      <c r="A507" s="123">
        <f>IF(OR(A506='F-Ahorro Futuro Decimos'!$H$16,A506=""),"",IF(A506+1&gt;'F-Ahorro Futuro Decimos'!$H$16,'F-Ahorro Futuro Decimos'!$H$16,A506+1))</f>
        <v>505</v>
      </c>
      <c r="B507" s="122">
        <f>IFERROR(IF(DAY($A507)=DAY('F-Ahorro Futuro Decimos'!$H$15),'F-Ahorro Futuro Decimos'!$H$14,0),0)</f>
        <v>0</v>
      </c>
      <c r="C507" s="122">
        <f>IF(A507='F-Ahorro Futuro Decimos'!$H$18,'F-Ahorro Futuro Decimos'!$H$20,0)</f>
        <v>0</v>
      </c>
      <c r="D507" s="122">
        <f t="shared" si="7"/>
        <v>0</v>
      </c>
      <c r="E507" s="121">
        <f>ROUND(D507*'FR_Mantenimiento tasas'!$C$48/360,5)</f>
        <v>0</v>
      </c>
      <c r="F507" s="121">
        <f>ROUND(D507*'FR_Mantenimiento tasas'!$D$48/360,5)</f>
        <v>0</v>
      </c>
    </row>
    <row r="508" spans="1:6">
      <c r="A508" s="123">
        <f>IF(OR(A507='F-Ahorro Futuro Decimos'!$H$16,A507=""),"",IF(A507+1&gt;'F-Ahorro Futuro Decimos'!$H$16,'F-Ahorro Futuro Decimos'!$H$16,A507+1))</f>
        <v>506</v>
      </c>
      <c r="B508" s="122">
        <f>IFERROR(IF(DAY($A508)=DAY('F-Ahorro Futuro Decimos'!$H$15),'F-Ahorro Futuro Decimos'!$H$14,0),0)</f>
        <v>0</v>
      </c>
      <c r="C508" s="122">
        <f>IF(A508='F-Ahorro Futuro Decimos'!$H$18,'F-Ahorro Futuro Decimos'!$H$20,0)</f>
        <v>0</v>
      </c>
      <c r="D508" s="122">
        <f t="shared" si="7"/>
        <v>0</v>
      </c>
      <c r="E508" s="121">
        <f>ROUND(D508*'FR_Mantenimiento tasas'!$C$48/360,5)</f>
        <v>0</v>
      </c>
      <c r="F508" s="121">
        <f>ROUND(D508*'FR_Mantenimiento tasas'!$D$48/360,5)</f>
        <v>0</v>
      </c>
    </row>
    <row r="509" spans="1:6">
      <c r="A509" s="123">
        <f>IF(OR(A508='F-Ahorro Futuro Decimos'!$H$16,A508=""),"",IF(A508+1&gt;'F-Ahorro Futuro Decimos'!$H$16,'F-Ahorro Futuro Decimos'!$H$16,A508+1))</f>
        <v>507</v>
      </c>
      <c r="B509" s="122">
        <f>IFERROR(IF(DAY($A509)=DAY('F-Ahorro Futuro Decimos'!$H$15),'F-Ahorro Futuro Decimos'!$H$14,0),0)</f>
        <v>0</v>
      </c>
      <c r="C509" s="122">
        <f>IF(A509='F-Ahorro Futuro Decimos'!$H$18,'F-Ahorro Futuro Decimos'!$H$20,0)</f>
        <v>0</v>
      </c>
      <c r="D509" s="122">
        <f t="shared" si="7"/>
        <v>0</v>
      </c>
      <c r="E509" s="121">
        <f>ROUND(D509*'FR_Mantenimiento tasas'!$C$48/360,5)</f>
        <v>0</v>
      </c>
      <c r="F509" s="121">
        <f>ROUND(D509*'FR_Mantenimiento tasas'!$D$48/360,5)</f>
        <v>0</v>
      </c>
    </row>
    <row r="510" spans="1:6">
      <c r="A510" s="123">
        <f>IF(OR(A509='F-Ahorro Futuro Decimos'!$H$16,A509=""),"",IF(A509+1&gt;'F-Ahorro Futuro Decimos'!$H$16,'F-Ahorro Futuro Decimos'!$H$16,A509+1))</f>
        <v>508</v>
      </c>
      <c r="B510" s="122">
        <f>IFERROR(IF(DAY($A510)=DAY('F-Ahorro Futuro Decimos'!$H$15),'F-Ahorro Futuro Decimos'!$H$14,0),0)</f>
        <v>0</v>
      </c>
      <c r="C510" s="122">
        <f>IF(A510='F-Ahorro Futuro Decimos'!$H$18,'F-Ahorro Futuro Decimos'!$H$20,0)</f>
        <v>0</v>
      </c>
      <c r="D510" s="122">
        <f t="shared" si="7"/>
        <v>0</v>
      </c>
      <c r="E510" s="121">
        <f>ROUND(D510*'FR_Mantenimiento tasas'!$C$48/360,5)</f>
        <v>0</v>
      </c>
      <c r="F510" s="121">
        <f>ROUND(D510*'FR_Mantenimiento tasas'!$D$48/360,5)</f>
        <v>0</v>
      </c>
    </row>
    <row r="511" spans="1:6">
      <c r="A511" s="123">
        <f>IF(OR(A510='F-Ahorro Futuro Decimos'!$H$16,A510=""),"",IF(A510+1&gt;'F-Ahorro Futuro Decimos'!$H$16,'F-Ahorro Futuro Decimos'!$H$16,A510+1))</f>
        <v>509</v>
      </c>
      <c r="B511" s="122">
        <f>IFERROR(IF(DAY($A511)=DAY('F-Ahorro Futuro Decimos'!$H$15),'F-Ahorro Futuro Decimos'!$H$14,0),0)</f>
        <v>0</v>
      </c>
      <c r="C511" s="122">
        <f>IF(A511='F-Ahorro Futuro Decimos'!$H$18,'F-Ahorro Futuro Decimos'!$H$20,0)</f>
        <v>0</v>
      </c>
      <c r="D511" s="122">
        <f t="shared" si="7"/>
        <v>0</v>
      </c>
      <c r="E511" s="121">
        <f>ROUND(D511*'FR_Mantenimiento tasas'!$C$48/360,5)</f>
        <v>0</v>
      </c>
      <c r="F511" s="121">
        <f>ROUND(D511*'FR_Mantenimiento tasas'!$D$48/360,5)</f>
        <v>0</v>
      </c>
    </row>
    <row r="512" spans="1:6">
      <c r="A512" s="123">
        <f>IF(OR(A511='F-Ahorro Futuro Decimos'!$H$16,A511=""),"",IF(A511+1&gt;'F-Ahorro Futuro Decimos'!$H$16,'F-Ahorro Futuro Decimos'!$H$16,A511+1))</f>
        <v>510</v>
      </c>
      <c r="B512" s="122">
        <f>IFERROR(IF(DAY($A512)=DAY('F-Ahorro Futuro Decimos'!$H$15),'F-Ahorro Futuro Decimos'!$H$14,0),0)</f>
        <v>0</v>
      </c>
      <c r="C512" s="122">
        <f>IF(A512='F-Ahorro Futuro Decimos'!$H$18,'F-Ahorro Futuro Decimos'!$H$20,0)</f>
        <v>0</v>
      </c>
      <c r="D512" s="122">
        <f t="shared" si="7"/>
        <v>0</v>
      </c>
      <c r="E512" s="121">
        <f>ROUND(D512*'FR_Mantenimiento tasas'!$C$48/360,5)</f>
        <v>0</v>
      </c>
      <c r="F512" s="121">
        <f>ROUND(D512*'FR_Mantenimiento tasas'!$D$48/360,5)</f>
        <v>0</v>
      </c>
    </row>
    <row r="513" spans="1:6">
      <c r="A513" s="123">
        <f>IF(OR(A512='F-Ahorro Futuro Decimos'!$H$16,A512=""),"",IF(A512+1&gt;'F-Ahorro Futuro Decimos'!$H$16,'F-Ahorro Futuro Decimos'!$H$16,A512+1))</f>
        <v>511</v>
      </c>
      <c r="B513" s="122">
        <f>IFERROR(IF(DAY($A513)=DAY('F-Ahorro Futuro Decimos'!$H$15),'F-Ahorro Futuro Decimos'!$H$14,0),0)</f>
        <v>0</v>
      </c>
      <c r="C513" s="122">
        <f>IF(A513='F-Ahorro Futuro Decimos'!$H$18,'F-Ahorro Futuro Decimos'!$H$20,0)</f>
        <v>0</v>
      </c>
      <c r="D513" s="122">
        <f t="shared" si="7"/>
        <v>0</v>
      </c>
      <c r="E513" s="121">
        <f>ROUND(D513*'FR_Mantenimiento tasas'!$C$48/360,5)</f>
        <v>0</v>
      </c>
      <c r="F513" s="121">
        <f>ROUND(D513*'FR_Mantenimiento tasas'!$D$48/360,5)</f>
        <v>0</v>
      </c>
    </row>
    <row r="514" spans="1:6">
      <c r="A514" s="123">
        <f>IF(OR(A513='F-Ahorro Futuro Decimos'!$H$16,A513=""),"",IF(A513+1&gt;'F-Ahorro Futuro Decimos'!$H$16,'F-Ahorro Futuro Decimos'!$H$16,A513+1))</f>
        <v>512</v>
      </c>
      <c r="B514" s="122">
        <f>IFERROR(IF(DAY($A514)=DAY('F-Ahorro Futuro Decimos'!$H$15),'F-Ahorro Futuro Decimos'!$H$14,0),0)</f>
        <v>0</v>
      </c>
      <c r="C514" s="122">
        <f>IF(A514='F-Ahorro Futuro Decimos'!$H$18,'F-Ahorro Futuro Decimos'!$H$20,0)</f>
        <v>0</v>
      </c>
      <c r="D514" s="122">
        <f t="shared" si="7"/>
        <v>0</v>
      </c>
      <c r="E514" s="121">
        <f>ROUND(D514*'FR_Mantenimiento tasas'!$C$48/360,5)</f>
        <v>0</v>
      </c>
      <c r="F514" s="121">
        <f>ROUND(D514*'FR_Mantenimiento tasas'!$D$48/360,5)</f>
        <v>0</v>
      </c>
    </row>
    <row r="515" spans="1:6">
      <c r="A515" s="123">
        <f>IF(OR(A514='F-Ahorro Futuro Decimos'!$H$16,A514=""),"",IF(A514+1&gt;'F-Ahorro Futuro Decimos'!$H$16,'F-Ahorro Futuro Decimos'!$H$16,A514+1))</f>
        <v>513</v>
      </c>
      <c r="B515" s="122">
        <f>IFERROR(IF(DAY($A515)=DAY('F-Ahorro Futuro Decimos'!$H$15),'F-Ahorro Futuro Decimos'!$H$14,0),0)</f>
        <v>0</v>
      </c>
      <c r="C515" s="122">
        <f>IF(A515='F-Ahorro Futuro Decimos'!$H$18,'F-Ahorro Futuro Decimos'!$H$20,0)</f>
        <v>0</v>
      </c>
      <c r="D515" s="122">
        <f t="shared" si="7"/>
        <v>0</v>
      </c>
      <c r="E515" s="121">
        <f>ROUND(D515*'FR_Mantenimiento tasas'!$C$48/360,5)</f>
        <v>0</v>
      </c>
      <c r="F515" s="121">
        <f>ROUND(D515*'FR_Mantenimiento tasas'!$D$48/360,5)</f>
        <v>0</v>
      </c>
    </row>
    <row r="516" spans="1:6">
      <c r="A516" s="123">
        <f>IF(OR(A515='F-Ahorro Futuro Decimos'!$H$16,A515=""),"",IF(A515+1&gt;'F-Ahorro Futuro Decimos'!$H$16,'F-Ahorro Futuro Decimos'!$H$16,A515+1))</f>
        <v>514</v>
      </c>
      <c r="B516" s="122">
        <f>IFERROR(IF(DAY($A516)=DAY('F-Ahorro Futuro Decimos'!$H$15),'F-Ahorro Futuro Decimos'!$H$14,0),0)</f>
        <v>0</v>
      </c>
      <c r="C516" s="122">
        <f>IF(A516='F-Ahorro Futuro Decimos'!$H$18,'F-Ahorro Futuro Decimos'!$H$20,0)</f>
        <v>0</v>
      </c>
      <c r="D516" s="122">
        <f t="shared" ref="D516:D579" si="8">+B516+D515+E515-C516</f>
        <v>0</v>
      </c>
      <c r="E516" s="121">
        <f>ROUND(D516*'FR_Mantenimiento tasas'!$C$48/360,5)</f>
        <v>0</v>
      </c>
      <c r="F516" s="121">
        <f>ROUND(D516*'FR_Mantenimiento tasas'!$D$48/360,5)</f>
        <v>0</v>
      </c>
    </row>
    <row r="517" spans="1:6">
      <c r="A517" s="123">
        <f>IF(OR(A516='F-Ahorro Futuro Decimos'!$H$16,A516=""),"",IF(A516+1&gt;'F-Ahorro Futuro Decimos'!$H$16,'F-Ahorro Futuro Decimos'!$H$16,A516+1))</f>
        <v>515</v>
      </c>
      <c r="B517" s="122">
        <f>IFERROR(IF(DAY($A517)=DAY('F-Ahorro Futuro Decimos'!$H$15),'F-Ahorro Futuro Decimos'!$H$14,0),0)</f>
        <v>0</v>
      </c>
      <c r="C517" s="122">
        <f>IF(A517='F-Ahorro Futuro Decimos'!$H$18,'F-Ahorro Futuro Decimos'!$H$20,0)</f>
        <v>0</v>
      </c>
      <c r="D517" s="122">
        <f t="shared" si="8"/>
        <v>0</v>
      </c>
      <c r="E517" s="121">
        <f>ROUND(D517*'FR_Mantenimiento tasas'!$C$48/360,5)</f>
        <v>0</v>
      </c>
      <c r="F517" s="121">
        <f>ROUND(D517*'FR_Mantenimiento tasas'!$D$48/360,5)</f>
        <v>0</v>
      </c>
    </row>
    <row r="518" spans="1:6">
      <c r="A518" s="123">
        <f>IF(OR(A517='F-Ahorro Futuro Decimos'!$H$16,A517=""),"",IF(A517+1&gt;'F-Ahorro Futuro Decimos'!$H$16,'F-Ahorro Futuro Decimos'!$H$16,A517+1))</f>
        <v>516</v>
      </c>
      <c r="B518" s="122">
        <f>IFERROR(IF(DAY($A518)=DAY('F-Ahorro Futuro Decimos'!$H$15),'F-Ahorro Futuro Decimos'!$H$14,0),0)</f>
        <v>0</v>
      </c>
      <c r="C518" s="122">
        <f>IF(A518='F-Ahorro Futuro Decimos'!$H$18,'F-Ahorro Futuro Decimos'!$H$20,0)</f>
        <v>0</v>
      </c>
      <c r="D518" s="122">
        <f t="shared" si="8"/>
        <v>0</v>
      </c>
      <c r="E518" s="121">
        <f>ROUND(D518*'FR_Mantenimiento tasas'!$C$48/360,5)</f>
        <v>0</v>
      </c>
      <c r="F518" s="121">
        <f>ROUND(D518*'FR_Mantenimiento tasas'!$D$48/360,5)</f>
        <v>0</v>
      </c>
    </row>
    <row r="519" spans="1:6">
      <c r="A519" s="123">
        <f>IF(OR(A518='F-Ahorro Futuro Decimos'!$H$16,A518=""),"",IF(A518+1&gt;'F-Ahorro Futuro Decimos'!$H$16,'F-Ahorro Futuro Decimos'!$H$16,A518+1))</f>
        <v>517</v>
      </c>
      <c r="B519" s="122">
        <f>IFERROR(IF(DAY($A519)=DAY('F-Ahorro Futuro Decimos'!$H$15),'F-Ahorro Futuro Decimos'!$H$14,0),0)</f>
        <v>0</v>
      </c>
      <c r="C519" s="122">
        <f>IF(A519='F-Ahorro Futuro Decimos'!$H$18,'F-Ahorro Futuro Decimos'!$H$20,0)</f>
        <v>0</v>
      </c>
      <c r="D519" s="122">
        <f t="shared" si="8"/>
        <v>0</v>
      </c>
      <c r="E519" s="121">
        <f>ROUND(D519*'FR_Mantenimiento tasas'!$C$48/360,5)</f>
        <v>0</v>
      </c>
      <c r="F519" s="121">
        <f>ROUND(D519*'FR_Mantenimiento tasas'!$D$48/360,5)</f>
        <v>0</v>
      </c>
    </row>
    <row r="520" spans="1:6">
      <c r="A520" s="123">
        <f>IF(OR(A519='F-Ahorro Futuro Decimos'!$H$16,A519=""),"",IF(A519+1&gt;'F-Ahorro Futuro Decimos'!$H$16,'F-Ahorro Futuro Decimos'!$H$16,A519+1))</f>
        <v>518</v>
      </c>
      <c r="B520" s="122">
        <f>IFERROR(IF(DAY($A520)=DAY('F-Ahorro Futuro Decimos'!$H$15),'F-Ahorro Futuro Decimos'!$H$14,0),0)</f>
        <v>0</v>
      </c>
      <c r="C520" s="122">
        <f>IF(A520='F-Ahorro Futuro Decimos'!$H$18,'F-Ahorro Futuro Decimos'!$H$20,0)</f>
        <v>0</v>
      </c>
      <c r="D520" s="122">
        <f t="shared" si="8"/>
        <v>0</v>
      </c>
      <c r="E520" s="121">
        <f>ROUND(D520*'FR_Mantenimiento tasas'!$C$48/360,5)</f>
        <v>0</v>
      </c>
      <c r="F520" s="121">
        <f>ROUND(D520*'FR_Mantenimiento tasas'!$D$48/360,5)</f>
        <v>0</v>
      </c>
    </row>
    <row r="521" spans="1:6">
      <c r="A521" s="123">
        <f>IF(OR(A520='F-Ahorro Futuro Decimos'!$H$16,A520=""),"",IF(A520+1&gt;'F-Ahorro Futuro Decimos'!$H$16,'F-Ahorro Futuro Decimos'!$H$16,A520+1))</f>
        <v>519</v>
      </c>
      <c r="B521" s="122">
        <f>IFERROR(IF(DAY($A521)=DAY('F-Ahorro Futuro Decimos'!$H$15),'F-Ahorro Futuro Decimos'!$H$14,0),0)</f>
        <v>0</v>
      </c>
      <c r="C521" s="122">
        <f>IF(A521='F-Ahorro Futuro Decimos'!$H$18,'F-Ahorro Futuro Decimos'!$H$20,0)</f>
        <v>0</v>
      </c>
      <c r="D521" s="122">
        <f t="shared" si="8"/>
        <v>0</v>
      </c>
      <c r="E521" s="121">
        <f>ROUND(D521*'FR_Mantenimiento tasas'!$C$48/360,5)</f>
        <v>0</v>
      </c>
      <c r="F521" s="121">
        <f>ROUND(D521*'FR_Mantenimiento tasas'!$D$48/360,5)</f>
        <v>0</v>
      </c>
    </row>
    <row r="522" spans="1:6">
      <c r="A522" s="123">
        <f>IF(OR(A521='F-Ahorro Futuro Decimos'!$H$16,A521=""),"",IF(A521+1&gt;'F-Ahorro Futuro Decimos'!$H$16,'F-Ahorro Futuro Decimos'!$H$16,A521+1))</f>
        <v>520</v>
      </c>
      <c r="B522" s="122">
        <f>IFERROR(IF(DAY($A522)=DAY('F-Ahorro Futuro Decimos'!$H$15),'F-Ahorro Futuro Decimos'!$H$14,0),0)</f>
        <v>0</v>
      </c>
      <c r="C522" s="122">
        <f>IF(A522='F-Ahorro Futuro Decimos'!$H$18,'F-Ahorro Futuro Decimos'!$H$20,0)</f>
        <v>0</v>
      </c>
      <c r="D522" s="122">
        <f t="shared" si="8"/>
        <v>0</v>
      </c>
      <c r="E522" s="121">
        <f>ROUND(D522*'FR_Mantenimiento tasas'!$C$48/360,5)</f>
        <v>0</v>
      </c>
      <c r="F522" s="121">
        <f>ROUND(D522*'FR_Mantenimiento tasas'!$D$48/360,5)</f>
        <v>0</v>
      </c>
    </row>
    <row r="523" spans="1:6">
      <c r="A523" s="123">
        <f>IF(OR(A522='F-Ahorro Futuro Decimos'!$H$16,A522=""),"",IF(A522+1&gt;'F-Ahorro Futuro Decimos'!$H$16,'F-Ahorro Futuro Decimos'!$H$16,A522+1))</f>
        <v>521</v>
      </c>
      <c r="B523" s="122">
        <f>IFERROR(IF(DAY($A523)=DAY('F-Ahorro Futuro Decimos'!$H$15),'F-Ahorro Futuro Decimos'!$H$14,0),0)</f>
        <v>0</v>
      </c>
      <c r="C523" s="122">
        <f>IF(A523='F-Ahorro Futuro Decimos'!$H$18,'F-Ahorro Futuro Decimos'!$H$20,0)</f>
        <v>0</v>
      </c>
      <c r="D523" s="122">
        <f t="shared" si="8"/>
        <v>0</v>
      </c>
      <c r="E523" s="121">
        <f>ROUND(D523*'FR_Mantenimiento tasas'!$C$48/360,5)</f>
        <v>0</v>
      </c>
      <c r="F523" s="121">
        <f>ROUND(D523*'FR_Mantenimiento tasas'!$D$48/360,5)</f>
        <v>0</v>
      </c>
    </row>
    <row r="524" spans="1:6">
      <c r="A524" s="123">
        <f>IF(OR(A523='F-Ahorro Futuro Decimos'!$H$16,A523=""),"",IF(A523+1&gt;'F-Ahorro Futuro Decimos'!$H$16,'F-Ahorro Futuro Decimos'!$H$16,A523+1))</f>
        <v>522</v>
      </c>
      <c r="B524" s="122">
        <f>IFERROR(IF(DAY($A524)=DAY('F-Ahorro Futuro Decimos'!$H$15),'F-Ahorro Futuro Decimos'!$H$14,0),0)</f>
        <v>0</v>
      </c>
      <c r="C524" s="122">
        <f>IF(A524='F-Ahorro Futuro Decimos'!$H$18,'F-Ahorro Futuro Decimos'!$H$20,0)</f>
        <v>0</v>
      </c>
      <c r="D524" s="122">
        <f t="shared" si="8"/>
        <v>0</v>
      </c>
      <c r="E524" s="121">
        <f>ROUND(D524*'FR_Mantenimiento tasas'!$C$48/360,5)</f>
        <v>0</v>
      </c>
      <c r="F524" s="121">
        <f>ROUND(D524*'FR_Mantenimiento tasas'!$D$48/360,5)</f>
        <v>0</v>
      </c>
    </row>
    <row r="525" spans="1:6">
      <c r="A525" s="123">
        <f>IF(OR(A524='F-Ahorro Futuro Decimos'!$H$16,A524=""),"",IF(A524+1&gt;'F-Ahorro Futuro Decimos'!$H$16,'F-Ahorro Futuro Decimos'!$H$16,A524+1))</f>
        <v>523</v>
      </c>
      <c r="B525" s="122">
        <f>IFERROR(IF(DAY($A525)=DAY('F-Ahorro Futuro Decimos'!$H$15),'F-Ahorro Futuro Decimos'!$H$14,0),0)</f>
        <v>0</v>
      </c>
      <c r="C525" s="122">
        <f>IF(A525='F-Ahorro Futuro Decimos'!$H$18,'F-Ahorro Futuro Decimos'!$H$20,0)</f>
        <v>0</v>
      </c>
      <c r="D525" s="122">
        <f t="shared" si="8"/>
        <v>0</v>
      </c>
      <c r="E525" s="121">
        <f>ROUND(D525*'FR_Mantenimiento tasas'!$C$48/360,5)</f>
        <v>0</v>
      </c>
      <c r="F525" s="121">
        <f>ROUND(D525*'FR_Mantenimiento tasas'!$D$48/360,5)</f>
        <v>0</v>
      </c>
    </row>
    <row r="526" spans="1:6">
      <c r="A526" s="123">
        <f>IF(OR(A525='F-Ahorro Futuro Decimos'!$H$16,A525=""),"",IF(A525+1&gt;'F-Ahorro Futuro Decimos'!$H$16,'F-Ahorro Futuro Decimos'!$H$16,A525+1))</f>
        <v>524</v>
      </c>
      <c r="B526" s="122">
        <f>IFERROR(IF(DAY($A526)=DAY('F-Ahorro Futuro Decimos'!$H$15),'F-Ahorro Futuro Decimos'!$H$14,0),0)</f>
        <v>0</v>
      </c>
      <c r="C526" s="122">
        <f>IF(A526='F-Ahorro Futuro Decimos'!$H$18,'F-Ahorro Futuro Decimos'!$H$20,0)</f>
        <v>0</v>
      </c>
      <c r="D526" s="122">
        <f t="shared" si="8"/>
        <v>0</v>
      </c>
      <c r="E526" s="121">
        <f>ROUND(D526*'FR_Mantenimiento tasas'!$C$48/360,5)</f>
        <v>0</v>
      </c>
      <c r="F526" s="121">
        <f>ROUND(D526*'FR_Mantenimiento tasas'!$D$48/360,5)</f>
        <v>0</v>
      </c>
    </row>
    <row r="527" spans="1:6">
      <c r="A527" s="123">
        <f>IF(OR(A526='F-Ahorro Futuro Decimos'!$H$16,A526=""),"",IF(A526+1&gt;'F-Ahorro Futuro Decimos'!$H$16,'F-Ahorro Futuro Decimos'!$H$16,A526+1))</f>
        <v>525</v>
      </c>
      <c r="B527" s="122">
        <f>IFERROR(IF(DAY($A527)=DAY('F-Ahorro Futuro Decimos'!$H$15),'F-Ahorro Futuro Decimos'!$H$14,0),0)</f>
        <v>0</v>
      </c>
      <c r="C527" s="122">
        <f>IF(A527='F-Ahorro Futuro Decimos'!$H$18,'F-Ahorro Futuro Decimos'!$H$20,0)</f>
        <v>0</v>
      </c>
      <c r="D527" s="122">
        <f t="shared" si="8"/>
        <v>0</v>
      </c>
      <c r="E527" s="121">
        <f>ROUND(D527*'FR_Mantenimiento tasas'!$C$48/360,5)</f>
        <v>0</v>
      </c>
      <c r="F527" s="121">
        <f>ROUND(D527*'FR_Mantenimiento tasas'!$D$48/360,5)</f>
        <v>0</v>
      </c>
    </row>
    <row r="528" spans="1:6">
      <c r="A528" s="123">
        <f>IF(OR(A527='F-Ahorro Futuro Decimos'!$H$16,A527=""),"",IF(A527+1&gt;'F-Ahorro Futuro Decimos'!$H$16,'F-Ahorro Futuro Decimos'!$H$16,A527+1))</f>
        <v>526</v>
      </c>
      <c r="B528" s="122">
        <f>IFERROR(IF(DAY($A528)=DAY('F-Ahorro Futuro Decimos'!$H$15),'F-Ahorro Futuro Decimos'!$H$14,0),0)</f>
        <v>0</v>
      </c>
      <c r="C528" s="122">
        <f>IF(A528='F-Ahorro Futuro Decimos'!$H$18,'F-Ahorro Futuro Decimos'!$H$20,0)</f>
        <v>0</v>
      </c>
      <c r="D528" s="122">
        <f t="shared" si="8"/>
        <v>0</v>
      </c>
      <c r="E528" s="121">
        <f>ROUND(D528*'FR_Mantenimiento tasas'!$C$48/360,5)</f>
        <v>0</v>
      </c>
      <c r="F528" s="121">
        <f>ROUND(D528*'FR_Mantenimiento tasas'!$D$48/360,5)</f>
        <v>0</v>
      </c>
    </row>
    <row r="529" spans="1:6">
      <c r="A529" s="123">
        <f>IF(OR(A528='F-Ahorro Futuro Decimos'!$H$16,A528=""),"",IF(A528+1&gt;'F-Ahorro Futuro Decimos'!$H$16,'F-Ahorro Futuro Decimos'!$H$16,A528+1))</f>
        <v>527</v>
      </c>
      <c r="B529" s="122">
        <f>IFERROR(IF(DAY($A529)=DAY('F-Ahorro Futuro Decimos'!$H$15),'F-Ahorro Futuro Decimos'!$H$14,0),0)</f>
        <v>0</v>
      </c>
      <c r="C529" s="122">
        <f>IF(A529='F-Ahorro Futuro Decimos'!$H$18,'F-Ahorro Futuro Decimos'!$H$20,0)</f>
        <v>0</v>
      </c>
      <c r="D529" s="122">
        <f t="shared" si="8"/>
        <v>0</v>
      </c>
      <c r="E529" s="121">
        <f>ROUND(D529*'FR_Mantenimiento tasas'!$C$48/360,5)</f>
        <v>0</v>
      </c>
      <c r="F529" s="121">
        <f>ROUND(D529*'FR_Mantenimiento tasas'!$D$48/360,5)</f>
        <v>0</v>
      </c>
    </row>
    <row r="530" spans="1:6">
      <c r="A530" s="123">
        <f>IF(OR(A529='F-Ahorro Futuro Decimos'!$H$16,A529=""),"",IF(A529+1&gt;'F-Ahorro Futuro Decimos'!$H$16,'F-Ahorro Futuro Decimos'!$H$16,A529+1))</f>
        <v>528</v>
      </c>
      <c r="B530" s="122">
        <f>IFERROR(IF(DAY($A530)=DAY('F-Ahorro Futuro Decimos'!$H$15),'F-Ahorro Futuro Decimos'!$H$14,0),0)</f>
        <v>0</v>
      </c>
      <c r="C530" s="122">
        <f>IF(A530='F-Ahorro Futuro Decimos'!$H$18,'F-Ahorro Futuro Decimos'!$H$20,0)</f>
        <v>0</v>
      </c>
      <c r="D530" s="122">
        <f t="shared" si="8"/>
        <v>0</v>
      </c>
      <c r="E530" s="121">
        <f>ROUND(D530*'FR_Mantenimiento tasas'!$C$48/360,5)</f>
        <v>0</v>
      </c>
      <c r="F530" s="121">
        <f>ROUND(D530*'FR_Mantenimiento tasas'!$D$48/360,5)</f>
        <v>0</v>
      </c>
    </row>
    <row r="531" spans="1:6">
      <c r="A531" s="123">
        <f>IF(OR(A530='F-Ahorro Futuro Decimos'!$H$16,A530=""),"",IF(A530+1&gt;'F-Ahorro Futuro Decimos'!$H$16,'F-Ahorro Futuro Decimos'!$H$16,A530+1))</f>
        <v>529</v>
      </c>
      <c r="B531" s="122">
        <f>IFERROR(IF(DAY($A531)=DAY('F-Ahorro Futuro Decimos'!$H$15),'F-Ahorro Futuro Decimos'!$H$14,0),0)</f>
        <v>0</v>
      </c>
      <c r="C531" s="122">
        <f>IF(A531='F-Ahorro Futuro Decimos'!$H$18,'F-Ahorro Futuro Decimos'!$H$20,0)</f>
        <v>0</v>
      </c>
      <c r="D531" s="122">
        <f t="shared" si="8"/>
        <v>0</v>
      </c>
      <c r="E531" s="121">
        <f>ROUND(D531*'FR_Mantenimiento tasas'!$C$48/360,5)</f>
        <v>0</v>
      </c>
      <c r="F531" s="121">
        <f>ROUND(D531*'FR_Mantenimiento tasas'!$D$48/360,5)</f>
        <v>0</v>
      </c>
    </row>
    <row r="532" spans="1:6">
      <c r="A532" s="123">
        <f>IF(OR(A531='F-Ahorro Futuro Decimos'!$H$16,A531=""),"",IF(A531+1&gt;'F-Ahorro Futuro Decimos'!$H$16,'F-Ahorro Futuro Decimos'!$H$16,A531+1))</f>
        <v>530</v>
      </c>
      <c r="B532" s="122">
        <f>IFERROR(IF(DAY($A532)=DAY('F-Ahorro Futuro Decimos'!$H$15),'F-Ahorro Futuro Decimos'!$H$14,0),0)</f>
        <v>0</v>
      </c>
      <c r="C532" s="122">
        <f>IF(A532='F-Ahorro Futuro Decimos'!$H$18,'F-Ahorro Futuro Decimos'!$H$20,0)</f>
        <v>0</v>
      </c>
      <c r="D532" s="122">
        <f t="shared" si="8"/>
        <v>0</v>
      </c>
      <c r="E532" s="121">
        <f>ROUND(D532*'FR_Mantenimiento tasas'!$C$48/360,5)</f>
        <v>0</v>
      </c>
      <c r="F532" s="121">
        <f>ROUND(D532*'FR_Mantenimiento tasas'!$D$48/360,5)</f>
        <v>0</v>
      </c>
    </row>
    <row r="533" spans="1:6">
      <c r="A533" s="123">
        <f>IF(OR(A532='F-Ahorro Futuro Decimos'!$H$16,A532=""),"",IF(A532+1&gt;'F-Ahorro Futuro Decimos'!$H$16,'F-Ahorro Futuro Decimos'!$H$16,A532+1))</f>
        <v>531</v>
      </c>
      <c r="B533" s="122">
        <f>IFERROR(IF(DAY($A533)=DAY('F-Ahorro Futuro Decimos'!$H$15),'F-Ahorro Futuro Decimos'!$H$14,0),0)</f>
        <v>0</v>
      </c>
      <c r="C533" s="122">
        <f>IF(A533='F-Ahorro Futuro Decimos'!$H$18,'F-Ahorro Futuro Decimos'!$H$20,0)</f>
        <v>0</v>
      </c>
      <c r="D533" s="122">
        <f t="shared" si="8"/>
        <v>0</v>
      </c>
      <c r="E533" s="121">
        <f>ROUND(D533*'FR_Mantenimiento tasas'!$C$48/360,5)</f>
        <v>0</v>
      </c>
      <c r="F533" s="121">
        <f>ROUND(D533*'FR_Mantenimiento tasas'!$D$48/360,5)</f>
        <v>0</v>
      </c>
    </row>
    <row r="534" spans="1:6">
      <c r="A534" s="123">
        <f>IF(OR(A533='F-Ahorro Futuro Decimos'!$H$16,A533=""),"",IF(A533+1&gt;'F-Ahorro Futuro Decimos'!$H$16,'F-Ahorro Futuro Decimos'!$H$16,A533+1))</f>
        <v>532</v>
      </c>
      <c r="B534" s="122">
        <f>IFERROR(IF(DAY($A534)=DAY('F-Ahorro Futuro Decimos'!$H$15),'F-Ahorro Futuro Decimos'!$H$14,0),0)</f>
        <v>0</v>
      </c>
      <c r="C534" s="122">
        <f>IF(A534='F-Ahorro Futuro Decimos'!$H$18,'F-Ahorro Futuro Decimos'!$H$20,0)</f>
        <v>0</v>
      </c>
      <c r="D534" s="122">
        <f t="shared" si="8"/>
        <v>0</v>
      </c>
      <c r="E534" s="121">
        <f>ROUND(D534*'FR_Mantenimiento tasas'!$C$48/360,5)</f>
        <v>0</v>
      </c>
      <c r="F534" s="121">
        <f>ROUND(D534*'FR_Mantenimiento tasas'!$D$48/360,5)</f>
        <v>0</v>
      </c>
    </row>
    <row r="535" spans="1:6">
      <c r="A535" s="123">
        <f>IF(OR(A534='F-Ahorro Futuro Decimos'!$H$16,A534=""),"",IF(A534+1&gt;'F-Ahorro Futuro Decimos'!$H$16,'F-Ahorro Futuro Decimos'!$H$16,A534+1))</f>
        <v>533</v>
      </c>
      <c r="B535" s="122">
        <f>IFERROR(IF(DAY($A535)=DAY('F-Ahorro Futuro Decimos'!$H$15),'F-Ahorro Futuro Decimos'!$H$14,0),0)</f>
        <v>0</v>
      </c>
      <c r="C535" s="122">
        <f>IF(A535='F-Ahorro Futuro Decimos'!$H$18,'F-Ahorro Futuro Decimos'!$H$20,0)</f>
        <v>0</v>
      </c>
      <c r="D535" s="122">
        <f t="shared" si="8"/>
        <v>0</v>
      </c>
      <c r="E535" s="121">
        <f>ROUND(D535*'FR_Mantenimiento tasas'!$C$48/360,5)</f>
        <v>0</v>
      </c>
      <c r="F535" s="121">
        <f>ROUND(D535*'FR_Mantenimiento tasas'!$D$48/360,5)</f>
        <v>0</v>
      </c>
    </row>
    <row r="536" spans="1:6">
      <c r="A536" s="123">
        <f>IF(OR(A535='F-Ahorro Futuro Decimos'!$H$16,A535=""),"",IF(A535+1&gt;'F-Ahorro Futuro Decimos'!$H$16,'F-Ahorro Futuro Decimos'!$H$16,A535+1))</f>
        <v>534</v>
      </c>
      <c r="B536" s="122">
        <f>IFERROR(IF(DAY($A536)=DAY('F-Ahorro Futuro Decimos'!$H$15),'F-Ahorro Futuro Decimos'!$H$14,0),0)</f>
        <v>0</v>
      </c>
      <c r="C536" s="122">
        <f>IF(A536='F-Ahorro Futuro Decimos'!$H$18,'F-Ahorro Futuro Decimos'!$H$20,0)</f>
        <v>0</v>
      </c>
      <c r="D536" s="122">
        <f t="shared" si="8"/>
        <v>0</v>
      </c>
      <c r="E536" s="121">
        <f>ROUND(D536*'FR_Mantenimiento tasas'!$C$48/360,5)</f>
        <v>0</v>
      </c>
      <c r="F536" s="121">
        <f>ROUND(D536*'FR_Mantenimiento tasas'!$D$48/360,5)</f>
        <v>0</v>
      </c>
    </row>
    <row r="537" spans="1:6">
      <c r="A537" s="123">
        <f>IF(OR(A536='F-Ahorro Futuro Decimos'!$H$16,A536=""),"",IF(A536+1&gt;'F-Ahorro Futuro Decimos'!$H$16,'F-Ahorro Futuro Decimos'!$H$16,A536+1))</f>
        <v>535</v>
      </c>
      <c r="B537" s="122">
        <f>IFERROR(IF(DAY($A537)=DAY('F-Ahorro Futuro Decimos'!$H$15),'F-Ahorro Futuro Decimos'!$H$14,0),0)</f>
        <v>0</v>
      </c>
      <c r="C537" s="122">
        <f>IF(A537='F-Ahorro Futuro Decimos'!$H$18,'F-Ahorro Futuro Decimos'!$H$20,0)</f>
        <v>0</v>
      </c>
      <c r="D537" s="122">
        <f t="shared" si="8"/>
        <v>0</v>
      </c>
      <c r="E537" s="121">
        <f>ROUND(D537*'FR_Mantenimiento tasas'!$C$48/360,5)</f>
        <v>0</v>
      </c>
      <c r="F537" s="121">
        <f>ROUND(D537*'FR_Mantenimiento tasas'!$D$48/360,5)</f>
        <v>0</v>
      </c>
    </row>
    <row r="538" spans="1:6">
      <c r="A538" s="123">
        <f>IF(OR(A537='F-Ahorro Futuro Decimos'!$H$16,A537=""),"",IF(A537+1&gt;'F-Ahorro Futuro Decimos'!$H$16,'F-Ahorro Futuro Decimos'!$H$16,A537+1))</f>
        <v>536</v>
      </c>
      <c r="B538" s="122">
        <f>IFERROR(IF(DAY($A538)=DAY('F-Ahorro Futuro Decimos'!$H$15),'F-Ahorro Futuro Decimos'!$H$14,0),0)</f>
        <v>0</v>
      </c>
      <c r="C538" s="122">
        <f>IF(A538='F-Ahorro Futuro Decimos'!$H$18,'F-Ahorro Futuro Decimos'!$H$20,0)</f>
        <v>0</v>
      </c>
      <c r="D538" s="122">
        <f t="shared" si="8"/>
        <v>0</v>
      </c>
      <c r="E538" s="121">
        <f>ROUND(D538*'FR_Mantenimiento tasas'!$C$48/360,5)</f>
        <v>0</v>
      </c>
      <c r="F538" s="121">
        <f>ROUND(D538*'FR_Mantenimiento tasas'!$D$48/360,5)</f>
        <v>0</v>
      </c>
    </row>
    <row r="539" spans="1:6">
      <c r="A539" s="123">
        <f>IF(OR(A538='F-Ahorro Futuro Decimos'!$H$16,A538=""),"",IF(A538+1&gt;'F-Ahorro Futuro Decimos'!$H$16,'F-Ahorro Futuro Decimos'!$H$16,A538+1))</f>
        <v>537</v>
      </c>
      <c r="B539" s="122">
        <f>IFERROR(IF(DAY($A539)=DAY('F-Ahorro Futuro Decimos'!$H$15),'F-Ahorro Futuro Decimos'!$H$14,0),0)</f>
        <v>0</v>
      </c>
      <c r="C539" s="122">
        <f>IF(A539='F-Ahorro Futuro Decimos'!$H$18,'F-Ahorro Futuro Decimos'!$H$20,0)</f>
        <v>0</v>
      </c>
      <c r="D539" s="122">
        <f t="shared" si="8"/>
        <v>0</v>
      </c>
      <c r="E539" s="121">
        <f>ROUND(D539*'FR_Mantenimiento tasas'!$C$48/360,5)</f>
        <v>0</v>
      </c>
      <c r="F539" s="121">
        <f>ROUND(D539*'FR_Mantenimiento tasas'!$D$48/360,5)</f>
        <v>0</v>
      </c>
    </row>
    <row r="540" spans="1:6">
      <c r="A540" s="123">
        <f>IF(OR(A539='F-Ahorro Futuro Decimos'!$H$16,A539=""),"",IF(A539+1&gt;'F-Ahorro Futuro Decimos'!$H$16,'F-Ahorro Futuro Decimos'!$H$16,A539+1))</f>
        <v>538</v>
      </c>
      <c r="B540" s="122">
        <f>IFERROR(IF(DAY($A540)=DAY('F-Ahorro Futuro Decimos'!$H$15),'F-Ahorro Futuro Decimos'!$H$14,0),0)</f>
        <v>0</v>
      </c>
      <c r="C540" s="122">
        <f>IF(A540='F-Ahorro Futuro Decimos'!$H$18,'F-Ahorro Futuro Decimos'!$H$20,0)</f>
        <v>0</v>
      </c>
      <c r="D540" s="122">
        <f t="shared" si="8"/>
        <v>0</v>
      </c>
      <c r="E540" s="121">
        <f>ROUND(D540*'FR_Mantenimiento tasas'!$C$48/360,5)</f>
        <v>0</v>
      </c>
      <c r="F540" s="121">
        <f>ROUND(D540*'FR_Mantenimiento tasas'!$D$48/360,5)</f>
        <v>0</v>
      </c>
    </row>
    <row r="541" spans="1:6">
      <c r="A541" s="123">
        <f>IF(OR(A540='F-Ahorro Futuro Decimos'!$H$16,A540=""),"",IF(A540+1&gt;'F-Ahorro Futuro Decimos'!$H$16,'F-Ahorro Futuro Decimos'!$H$16,A540+1))</f>
        <v>539</v>
      </c>
      <c r="B541" s="122">
        <f>IFERROR(IF(DAY($A541)=DAY('F-Ahorro Futuro Decimos'!$H$15),'F-Ahorro Futuro Decimos'!$H$14,0),0)</f>
        <v>0</v>
      </c>
      <c r="C541" s="122">
        <f>IF(A541='F-Ahorro Futuro Decimos'!$H$18,'F-Ahorro Futuro Decimos'!$H$20,0)</f>
        <v>0</v>
      </c>
      <c r="D541" s="122">
        <f t="shared" si="8"/>
        <v>0</v>
      </c>
      <c r="E541" s="121">
        <f>ROUND(D541*'FR_Mantenimiento tasas'!$C$48/360,5)</f>
        <v>0</v>
      </c>
      <c r="F541" s="121">
        <f>ROUND(D541*'FR_Mantenimiento tasas'!$D$48/360,5)</f>
        <v>0</v>
      </c>
    </row>
    <row r="542" spans="1:6">
      <c r="A542" s="123">
        <f>IF(OR(A541='F-Ahorro Futuro Decimos'!$H$16,A541=""),"",IF(A541+1&gt;'F-Ahorro Futuro Decimos'!$H$16,'F-Ahorro Futuro Decimos'!$H$16,A541+1))</f>
        <v>540</v>
      </c>
      <c r="B542" s="122">
        <f>IFERROR(IF(DAY($A542)=DAY('F-Ahorro Futuro Decimos'!$H$15),'F-Ahorro Futuro Decimos'!$H$14,0),0)</f>
        <v>0</v>
      </c>
      <c r="C542" s="122">
        <f>IF(A542='F-Ahorro Futuro Decimos'!$H$18,'F-Ahorro Futuro Decimos'!$H$20,0)</f>
        <v>0</v>
      </c>
      <c r="D542" s="122">
        <f t="shared" si="8"/>
        <v>0</v>
      </c>
      <c r="E542" s="121">
        <f>ROUND(D542*'FR_Mantenimiento tasas'!$C$48/360,5)</f>
        <v>0</v>
      </c>
      <c r="F542" s="121">
        <f>ROUND(D542*'FR_Mantenimiento tasas'!$D$48/360,5)</f>
        <v>0</v>
      </c>
    </row>
    <row r="543" spans="1:6">
      <c r="A543" s="123">
        <f>IF(OR(A542='F-Ahorro Futuro Decimos'!$H$16,A542=""),"",IF(A542+1&gt;'F-Ahorro Futuro Decimos'!$H$16,'F-Ahorro Futuro Decimos'!$H$16,A542+1))</f>
        <v>541</v>
      </c>
      <c r="B543" s="122">
        <f>IFERROR(IF(DAY($A543)=DAY('F-Ahorro Futuro Decimos'!$H$15),'F-Ahorro Futuro Decimos'!$H$14,0),0)</f>
        <v>0</v>
      </c>
      <c r="C543" s="122">
        <f>IF(A543='F-Ahorro Futuro Decimos'!$H$18,'F-Ahorro Futuro Decimos'!$H$20,0)</f>
        <v>0</v>
      </c>
      <c r="D543" s="122">
        <f t="shared" si="8"/>
        <v>0</v>
      </c>
      <c r="E543" s="121">
        <f>ROUND(D543*'FR_Mantenimiento tasas'!$C$48/360,5)</f>
        <v>0</v>
      </c>
      <c r="F543" s="121">
        <f>ROUND(D543*'FR_Mantenimiento tasas'!$D$48/360,5)</f>
        <v>0</v>
      </c>
    </row>
    <row r="544" spans="1:6">
      <c r="A544" s="123">
        <f>IF(OR(A543='F-Ahorro Futuro Decimos'!$H$16,A543=""),"",IF(A543+1&gt;'F-Ahorro Futuro Decimos'!$H$16,'F-Ahorro Futuro Decimos'!$H$16,A543+1))</f>
        <v>542</v>
      </c>
      <c r="B544" s="122">
        <f>IFERROR(IF(DAY($A544)=DAY('F-Ahorro Futuro Decimos'!$H$15),'F-Ahorro Futuro Decimos'!$H$14,0),0)</f>
        <v>0</v>
      </c>
      <c r="C544" s="122">
        <f>IF(A544='F-Ahorro Futuro Decimos'!$H$18,'F-Ahorro Futuro Decimos'!$H$20,0)</f>
        <v>0</v>
      </c>
      <c r="D544" s="122">
        <f t="shared" si="8"/>
        <v>0</v>
      </c>
      <c r="E544" s="121">
        <f>ROUND(D544*'FR_Mantenimiento tasas'!$C$48/360,5)</f>
        <v>0</v>
      </c>
      <c r="F544" s="121">
        <f>ROUND(D544*'FR_Mantenimiento tasas'!$D$48/360,5)</f>
        <v>0</v>
      </c>
    </row>
    <row r="545" spans="1:6">
      <c r="A545" s="123">
        <f>IF(OR(A544='F-Ahorro Futuro Decimos'!$H$16,A544=""),"",IF(A544+1&gt;'F-Ahorro Futuro Decimos'!$H$16,'F-Ahorro Futuro Decimos'!$H$16,A544+1))</f>
        <v>543</v>
      </c>
      <c r="B545" s="122">
        <f>IFERROR(IF(DAY($A545)=DAY('F-Ahorro Futuro Decimos'!$H$15),'F-Ahorro Futuro Decimos'!$H$14,0),0)</f>
        <v>0</v>
      </c>
      <c r="C545" s="122">
        <f>IF(A545='F-Ahorro Futuro Decimos'!$H$18,'F-Ahorro Futuro Decimos'!$H$20,0)</f>
        <v>0</v>
      </c>
      <c r="D545" s="122">
        <f t="shared" si="8"/>
        <v>0</v>
      </c>
      <c r="E545" s="121">
        <f>ROUND(D545*'FR_Mantenimiento tasas'!$C$48/360,5)</f>
        <v>0</v>
      </c>
      <c r="F545" s="121">
        <f>ROUND(D545*'FR_Mantenimiento tasas'!$D$48/360,5)</f>
        <v>0</v>
      </c>
    </row>
    <row r="546" spans="1:6">
      <c r="A546" s="123">
        <f>IF(OR(A545='F-Ahorro Futuro Decimos'!$H$16,A545=""),"",IF(A545+1&gt;'F-Ahorro Futuro Decimos'!$H$16,'F-Ahorro Futuro Decimos'!$H$16,A545+1))</f>
        <v>544</v>
      </c>
      <c r="B546" s="122">
        <f>IFERROR(IF(DAY($A546)=DAY('F-Ahorro Futuro Decimos'!$H$15),'F-Ahorro Futuro Decimos'!$H$14,0),0)</f>
        <v>0</v>
      </c>
      <c r="C546" s="122">
        <f>IF(A546='F-Ahorro Futuro Decimos'!$H$18,'F-Ahorro Futuro Decimos'!$H$20,0)</f>
        <v>0</v>
      </c>
      <c r="D546" s="122">
        <f t="shared" si="8"/>
        <v>0</v>
      </c>
      <c r="E546" s="121">
        <f>ROUND(D546*'FR_Mantenimiento tasas'!$C$48/360,5)</f>
        <v>0</v>
      </c>
      <c r="F546" s="121">
        <f>ROUND(D546*'FR_Mantenimiento tasas'!$D$48/360,5)</f>
        <v>0</v>
      </c>
    </row>
    <row r="547" spans="1:6">
      <c r="A547" s="123">
        <f>IF(OR(A546='F-Ahorro Futuro Decimos'!$H$16,A546=""),"",IF(A546+1&gt;'F-Ahorro Futuro Decimos'!$H$16,'F-Ahorro Futuro Decimos'!$H$16,A546+1))</f>
        <v>545</v>
      </c>
      <c r="B547" s="122">
        <f>IFERROR(IF(DAY($A547)=DAY('F-Ahorro Futuro Decimos'!$H$15),'F-Ahorro Futuro Decimos'!$H$14,0),0)</f>
        <v>0</v>
      </c>
      <c r="C547" s="122">
        <f>IF(A547='F-Ahorro Futuro Decimos'!$H$18,'F-Ahorro Futuro Decimos'!$H$20,0)</f>
        <v>0</v>
      </c>
      <c r="D547" s="122">
        <f t="shared" si="8"/>
        <v>0</v>
      </c>
      <c r="E547" s="121">
        <f>ROUND(D547*'FR_Mantenimiento tasas'!$C$48/360,5)</f>
        <v>0</v>
      </c>
      <c r="F547" s="121">
        <f>ROUND(D547*'FR_Mantenimiento tasas'!$D$48/360,5)</f>
        <v>0</v>
      </c>
    </row>
    <row r="548" spans="1:6">
      <c r="A548" s="123">
        <f>IF(OR(A547='F-Ahorro Futuro Decimos'!$H$16,A547=""),"",IF(A547+1&gt;'F-Ahorro Futuro Decimos'!$H$16,'F-Ahorro Futuro Decimos'!$H$16,A547+1))</f>
        <v>546</v>
      </c>
      <c r="B548" s="122">
        <f>IFERROR(IF(DAY($A548)=DAY('F-Ahorro Futuro Decimos'!$H$15),'F-Ahorro Futuro Decimos'!$H$14,0),0)</f>
        <v>0</v>
      </c>
      <c r="C548" s="122">
        <f>IF(A548='F-Ahorro Futuro Decimos'!$H$18,'F-Ahorro Futuro Decimos'!$H$20,0)</f>
        <v>0</v>
      </c>
      <c r="D548" s="122">
        <f t="shared" si="8"/>
        <v>0</v>
      </c>
      <c r="E548" s="121">
        <f>ROUND(D548*'FR_Mantenimiento tasas'!$C$48/360,5)</f>
        <v>0</v>
      </c>
      <c r="F548" s="121">
        <f>ROUND(D548*'FR_Mantenimiento tasas'!$D$48/360,5)</f>
        <v>0</v>
      </c>
    </row>
    <row r="549" spans="1:6">
      <c r="A549" s="123">
        <f>IF(OR(A548='F-Ahorro Futuro Decimos'!$H$16,A548=""),"",IF(A548+1&gt;'F-Ahorro Futuro Decimos'!$H$16,'F-Ahorro Futuro Decimos'!$H$16,A548+1))</f>
        <v>547</v>
      </c>
      <c r="B549" s="122">
        <f>IFERROR(IF(DAY($A549)=DAY('F-Ahorro Futuro Decimos'!$H$15),'F-Ahorro Futuro Decimos'!$H$14,0),0)</f>
        <v>0</v>
      </c>
      <c r="C549" s="122">
        <f>IF(A549='F-Ahorro Futuro Decimos'!$H$18,'F-Ahorro Futuro Decimos'!$H$20,0)</f>
        <v>0</v>
      </c>
      <c r="D549" s="122">
        <f t="shared" si="8"/>
        <v>0</v>
      </c>
      <c r="E549" s="121">
        <f>ROUND(D549*'FR_Mantenimiento tasas'!$C$48/360,5)</f>
        <v>0</v>
      </c>
      <c r="F549" s="121">
        <f>ROUND(D549*'FR_Mantenimiento tasas'!$D$48/360,5)</f>
        <v>0</v>
      </c>
    </row>
    <row r="550" spans="1:6">
      <c r="A550" s="123">
        <f>IF(OR(A549='F-Ahorro Futuro Decimos'!$H$16,A549=""),"",IF(A549+1&gt;'F-Ahorro Futuro Decimos'!$H$16,'F-Ahorro Futuro Decimos'!$H$16,A549+1))</f>
        <v>548</v>
      </c>
      <c r="B550" s="122">
        <f>IFERROR(IF(DAY($A550)=DAY('F-Ahorro Futuro Decimos'!$H$15),'F-Ahorro Futuro Decimos'!$H$14,0),0)</f>
        <v>0</v>
      </c>
      <c r="C550" s="122">
        <f>IF(A550='F-Ahorro Futuro Decimos'!$H$18,'F-Ahorro Futuro Decimos'!$H$20,0)</f>
        <v>0</v>
      </c>
      <c r="D550" s="122">
        <f t="shared" si="8"/>
        <v>0</v>
      </c>
      <c r="E550" s="121">
        <f>ROUND(D550*'FR_Mantenimiento tasas'!$C$48/360,5)</f>
        <v>0</v>
      </c>
      <c r="F550" s="121">
        <f>ROUND(D550*'FR_Mantenimiento tasas'!$D$48/360,5)</f>
        <v>0</v>
      </c>
    </row>
    <row r="551" spans="1:6">
      <c r="A551" s="123">
        <f>IF(OR(A550='F-Ahorro Futuro Decimos'!$H$16,A550=""),"",IF(A550+1&gt;'F-Ahorro Futuro Decimos'!$H$16,'F-Ahorro Futuro Decimos'!$H$16,A550+1))</f>
        <v>549</v>
      </c>
      <c r="B551" s="122">
        <f>IFERROR(IF(DAY($A551)=DAY('F-Ahorro Futuro Decimos'!$H$15),'F-Ahorro Futuro Decimos'!$H$14,0),0)</f>
        <v>0</v>
      </c>
      <c r="C551" s="122">
        <f>IF(A551='F-Ahorro Futuro Decimos'!$H$18,'F-Ahorro Futuro Decimos'!$H$20,0)</f>
        <v>0</v>
      </c>
      <c r="D551" s="122">
        <f t="shared" si="8"/>
        <v>0</v>
      </c>
      <c r="E551" s="121">
        <f>ROUND(D551*'FR_Mantenimiento tasas'!$C$48/360,5)</f>
        <v>0</v>
      </c>
      <c r="F551" s="121">
        <f>ROUND(D551*'FR_Mantenimiento tasas'!$D$48/360,5)</f>
        <v>0</v>
      </c>
    </row>
    <row r="552" spans="1:6">
      <c r="A552" s="123">
        <f>IF(OR(A551='F-Ahorro Futuro Decimos'!$H$16,A551=""),"",IF(A551+1&gt;'F-Ahorro Futuro Decimos'!$H$16,'F-Ahorro Futuro Decimos'!$H$16,A551+1))</f>
        <v>550</v>
      </c>
      <c r="B552" s="122">
        <f>IFERROR(IF(DAY($A552)=DAY('F-Ahorro Futuro Decimos'!$H$15),'F-Ahorro Futuro Decimos'!$H$14,0),0)</f>
        <v>0</v>
      </c>
      <c r="C552" s="122">
        <f>IF(A552='F-Ahorro Futuro Decimos'!$H$18,'F-Ahorro Futuro Decimos'!$H$20,0)</f>
        <v>0</v>
      </c>
      <c r="D552" s="122">
        <f t="shared" si="8"/>
        <v>0</v>
      </c>
      <c r="E552" s="121">
        <f>ROUND(D552*'FR_Mantenimiento tasas'!$C$48/360,5)</f>
        <v>0</v>
      </c>
      <c r="F552" s="121">
        <f>ROUND(D552*'FR_Mantenimiento tasas'!$D$48/360,5)</f>
        <v>0</v>
      </c>
    </row>
    <row r="553" spans="1:6">
      <c r="A553" s="123">
        <f>IF(OR(A552='F-Ahorro Futuro Decimos'!$H$16,A552=""),"",IF(A552+1&gt;'F-Ahorro Futuro Decimos'!$H$16,'F-Ahorro Futuro Decimos'!$H$16,A552+1))</f>
        <v>551</v>
      </c>
      <c r="B553" s="122">
        <f>IFERROR(IF(DAY($A553)=DAY('F-Ahorro Futuro Decimos'!$H$15),'F-Ahorro Futuro Decimos'!$H$14,0),0)</f>
        <v>0</v>
      </c>
      <c r="C553" s="122">
        <f>IF(A553='F-Ahorro Futuro Decimos'!$H$18,'F-Ahorro Futuro Decimos'!$H$20,0)</f>
        <v>0</v>
      </c>
      <c r="D553" s="122">
        <f t="shared" si="8"/>
        <v>0</v>
      </c>
      <c r="E553" s="121">
        <f>ROUND(D553*'FR_Mantenimiento tasas'!$C$48/360,5)</f>
        <v>0</v>
      </c>
      <c r="F553" s="121">
        <f>ROUND(D553*'FR_Mantenimiento tasas'!$D$48/360,5)</f>
        <v>0</v>
      </c>
    </row>
    <row r="554" spans="1:6">
      <c r="A554" s="123">
        <f>IF(OR(A553='F-Ahorro Futuro Decimos'!$H$16,A553=""),"",IF(A553+1&gt;'F-Ahorro Futuro Decimos'!$H$16,'F-Ahorro Futuro Decimos'!$H$16,A553+1))</f>
        <v>552</v>
      </c>
      <c r="B554" s="122">
        <f>IFERROR(IF(DAY($A554)=DAY('F-Ahorro Futuro Decimos'!$H$15),'F-Ahorro Futuro Decimos'!$H$14,0),0)</f>
        <v>0</v>
      </c>
      <c r="C554" s="122">
        <f>IF(A554='F-Ahorro Futuro Decimos'!$H$18,'F-Ahorro Futuro Decimos'!$H$20,0)</f>
        <v>0</v>
      </c>
      <c r="D554" s="122">
        <f t="shared" si="8"/>
        <v>0</v>
      </c>
      <c r="E554" s="121">
        <f>ROUND(D554*'FR_Mantenimiento tasas'!$C$48/360,5)</f>
        <v>0</v>
      </c>
      <c r="F554" s="121">
        <f>ROUND(D554*'FR_Mantenimiento tasas'!$D$48/360,5)</f>
        <v>0</v>
      </c>
    </row>
    <row r="555" spans="1:6">
      <c r="A555" s="123">
        <f>IF(OR(A554='F-Ahorro Futuro Decimos'!$H$16,A554=""),"",IF(A554+1&gt;'F-Ahorro Futuro Decimos'!$H$16,'F-Ahorro Futuro Decimos'!$H$16,A554+1))</f>
        <v>553</v>
      </c>
      <c r="B555" s="122">
        <f>IFERROR(IF(DAY($A555)=DAY('F-Ahorro Futuro Decimos'!$H$15),'F-Ahorro Futuro Decimos'!$H$14,0),0)</f>
        <v>0</v>
      </c>
      <c r="C555" s="122">
        <f>IF(A555='F-Ahorro Futuro Decimos'!$H$18,'F-Ahorro Futuro Decimos'!$H$20,0)</f>
        <v>0</v>
      </c>
      <c r="D555" s="122">
        <f t="shared" si="8"/>
        <v>0</v>
      </c>
      <c r="E555" s="121">
        <f>ROUND(D555*'FR_Mantenimiento tasas'!$C$48/360,5)</f>
        <v>0</v>
      </c>
      <c r="F555" s="121">
        <f>ROUND(D555*'FR_Mantenimiento tasas'!$D$48/360,5)</f>
        <v>0</v>
      </c>
    </row>
    <row r="556" spans="1:6">
      <c r="A556" s="123">
        <f>IF(OR(A555='F-Ahorro Futuro Decimos'!$H$16,A555=""),"",IF(A555+1&gt;'F-Ahorro Futuro Decimos'!$H$16,'F-Ahorro Futuro Decimos'!$H$16,A555+1))</f>
        <v>554</v>
      </c>
      <c r="B556" s="122">
        <f>IFERROR(IF(DAY($A556)=DAY('F-Ahorro Futuro Decimos'!$H$15),'F-Ahorro Futuro Decimos'!$H$14,0),0)</f>
        <v>0</v>
      </c>
      <c r="C556" s="122">
        <f>IF(A556='F-Ahorro Futuro Decimos'!$H$18,'F-Ahorro Futuro Decimos'!$H$20,0)</f>
        <v>0</v>
      </c>
      <c r="D556" s="122">
        <f t="shared" si="8"/>
        <v>0</v>
      </c>
      <c r="E556" s="121">
        <f>ROUND(D556*'FR_Mantenimiento tasas'!$C$48/360,5)</f>
        <v>0</v>
      </c>
      <c r="F556" s="121">
        <f>ROUND(D556*'FR_Mantenimiento tasas'!$D$48/360,5)</f>
        <v>0</v>
      </c>
    </row>
    <row r="557" spans="1:6">
      <c r="A557" s="123">
        <f>IF(OR(A556='F-Ahorro Futuro Decimos'!$H$16,A556=""),"",IF(A556+1&gt;'F-Ahorro Futuro Decimos'!$H$16,'F-Ahorro Futuro Decimos'!$H$16,A556+1))</f>
        <v>555</v>
      </c>
      <c r="B557" s="122">
        <f>IFERROR(IF(DAY($A557)=DAY('F-Ahorro Futuro Decimos'!$H$15),'F-Ahorro Futuro Decimos'!$H$14,0),0)</f>
        <v>0</v>
      </c>
      <c r="C557" s="122">
        <f>IF(A557='F-Ahorro Futuro Decimos'!$H$18,'F-Ahorro Futuro Decimos'!$H$20,0)</f>
        <v>0</v>
      </c>
      <c r="D557" s="122">
        <f t="shared" si="8"/>
        <v>0</v>
      </c>
      <c r="E557" s="121">
        <f>ROUND(D557*'FR_Mantenimiento tasas'!$C$48/360,5)</f>
        <v>0</v>
      </c>
      <c r="F557" s="121">
        <f>ROUND(D557*'FR_Mantenimiento tasas'!$D$48/360,5)</f>
        <v>0</v>
      </c>
    </row>
    <row r="558" spans="1:6">
      <c r="A558" s="123">
        <f>IF(OR(A557='F-Ahorro Futuro Decimos'!$H$16,A557=""),"",IF(A557+1&gt;'F-Ahorro Futuro Decimos'!$H$16,'F-Ahorro Futuro Decimos'!$H$16,A557+1))</f>
        <v>556</v>
      </c>
      <c r="B558" s="122">
        <f>IFERROR(IF(DAY($A558)=DAY('F-Ahorro Futuro Decimos'!$H$15),'F-Ahorro Futuro Decimos'!$H$14,0),0)</f>
        <v>0</v>
      </c>
      <c r="C558" s="122">
        <f>IF(A558='F-Ahorro Futuro Decimos'!$H$18,'F-Ahorro Futuro Decimos'!$H$20,0)</f>
        <v>0</v>
      </c>
      <c r="D558" s="122">
        <f t="shared" si="8"/>
        <v>0</v>
      </c>
      <c r="E558" s="121">
        <f>ROUND(D558*'FR_Mantenimiento tasas'!$C$48/360,5)</f>
        <v>0</v>
      </c>
      <c r="F558" s="121">
        <f>ROUND(D558*'FR_Mantenimiento tasas'!$D$48/360,5)</f>
        <v>0</v>
      </c>
    </row>
    <row r="559" spans="1:6">
      <c r="A559" s="123">
        <f>IF(OR(A558='F-Ahorro Futuro Decimos'!$H$16,A558=""),"",IF(A558+1&gt;'F-Ahorro Futuro Decimos'!$H$16,'F-Ahorro Futuro Decimos'!$H$16,A558+1))</f>
        <v>557</v>
      </c>
      <c r="B559" s="122">
        <f>IFERROR(IF(DAY($A559)=DAY('F-Ahorro Futuro Decimos'!$H$15),'F-Ahorro Futuro Decimos'!$H$14,0),0)</f>
        <v>0</v>
      </c>
      <c r="C559" s="122">
        <f>IF(A559='F-Ahorro Futuro Decimos'!$H$18,'F-Ahorro Futuro Decimos'!$H$20,0)</f>
        <v>0</v>
      </c>
      <c r="D559" s="122">
        <f t="shared" si="8"/>
        <v>0</v>
      </c>
      <c r="E559" s="121">
        <f>ROUND(D559*'FR_Mantenimiento tasas'!$C$48/360,5)</f>
        <v>0</v>
      </c>
      <c r="F559" s="121">
        <f>ROUND(D559*'FR_Mantenimiento tasas'!$D$48/360,5)</f>
        <v>0</v>
      </c>
    </row>
    <row r="560" spans="1:6">
      <c r="A560" s="123">
        <f>IF(OR(A559='F-Ahorro Futuro Decimos'!$H$16,A559=""),"",IF(A559+1&gt;'F-Ahorro Futuro Decimos'!$H$16,'F-Ahorro Futuro Decimos'!$H$16,A559+1))</f>
        <v>558</v>
      </c>
      <c r="B560" s="122">
        <f>IFERROR(IF(DAY($A560)=DAY('F-Ahorro Futuro Decimos'!$H$15),'F-Ahorro Futuro Decimos'!$H$14,0),0)</f>
        <v>0</v>
      </c>
      <c r="C560" s="122">
        <f>IF(A560='F-Ahorro Futuro Decimos'!$H$18,'F-Ahorro Futuro Decimos'!$H$20,0)</f>
        <v>0</v>
      </c>
      <c r="D560" s="122">
        <f t="shared" si="8"/>
        <v>0</v>
      </c>
      <c r="E560" s="121">
        <f>ROUND(D560*'FR_Mantenimiento tasas'!$C$48/360,5)</f>
        <v>0</v>
      </c>
      <c r="F560" s="121">
        <f>ROUND(D560*'FR_Mantenimiento tasas'!$D$48/360,5)</f>
        <v>0</v>
      </c>
    </row>
    <row r="561" spans="1:6">
      <c r="A561" s="123">
        <f>IF(OR(A560='F-Ahorro Futuro Decimos'!$H$16,A560=""),"",IF(A560+1&gt;'F-Ahorro Futuro Decimos'!$H$16,'F-Ahorro Futuro Decimos'!$H$16,A560+1))</f>
        <v>559</v>
      </c>
      <c r="B561" s="122">
        <f>IFERROR(IF(DAY($A561)=DAY('F-Ahorro Futuro Decimos'!$H$15),'F-Ahorro Futuro Decimos'!$H$14,0),0)</f>
        <v>0</v>
      </c>
      <c r="C561" s="122">
        <f>IF(A561='F-Ahorro Futuro Decimos'!$H$18,'F-Ahorro Futuro Decimos'!$H$20,0)</f>
        <v>0</v>
      </c>
      <c r="D561" s="122">
        <f t="shared" si="8"/>
        <v>0</v>
      </c>
      <c r="E561" s="121">
        <f>ROUND(D561*'FR_Mantenimiento tasas'!$C$48/360,5)</f>
        <v>0</v>
      </c>
      <c r="F561" s="121">
        <f>ROUND(D561*'FR_Mantenimiento tasas'!$D$48/360,5)</f>
        <v>0</v>
      </c>
    </row>
    <row r="562" spans="1:6">
      <c r="A562" s="123">
        <f>IF(OR(A561='F-Ahorro Futuro Decimos'!$H$16,A561=""),"",IF(A561+1&gt;'F-Ahorro Futuro Decimos'!$H$16,'F-Ahorro Futuro Decimos'!$H$16,A561+1))</f>
        <v>560</v>
      </c>
      <c r="B562" s="122">
        <f>IFERROR(IF(DAY($A562)=DAY('F-Ahorro Futuro Decimos'!$H$15),'F-Ahorro Futuro Decimos'!$H$14,0),0)</f>
        <v>0</v>
      </c>
      <c r="C562" s="122">
        <f>IF(A562='F-Ahorro Futuro Decimos'!$H$18,'F-Ahorro Futuro Decimos'!$H$20,0)</f>
        <v>0</v>
      </c>
      <c r="D562" s="122">
        <f t="shared" si="8"/>
        <v>0</v>
      </c>
      <c r="E562" s="121">
        <f>ROUND(D562*'FR_Mantenimiento tasas'!$C$48/360,5)</f>
        <v>0</v>
      </c>
      <c r="F562" s="121">
        <f>ROUND(D562*'FR_Mantenimiento tasas'!$D$48/360,5)</f>
        <v>0</v>
      </c>
    </row>
    <row r="563" spans="1:6">
      <c r="A563" s="123">
        <f>IF(OR(A562='F-Ahorro Futuro Decimos'!$H$16,A562=""),"",IF(A562+1&gt;'F-Ahorro Futuro Decimos'!$H$16,'F-Ahorro Futuro Decimos'!$H$16,A562+1))</f>
        <v>561</v>
      </c>
      <c r="B563" s="122">
        <f>IFERROR(IF(DAY($A563)=DAY('F-Ahorro Futuro Decimos'!$H$15),'F-Ahorro Futuro Decimos'!$H$14,0),0)</f>
        <v>0</v>
      </c>
      <c r="C563" s="122">
        <f>IF(A563='F-Ahorro Futuro Decimos'!$H$18,'F-Ahorro Futuro Decimos'!$H$20,0)</f>
        <v>0</v>
      </c>
      <c r="D563" s="122">
        <f t="shared" si="8"/>
        <v>0</v>
      </c>
      <c r="E563" s="121">
        <f>ROUND(D563*'FR_Mantenimiento tasas'!$C$48/360,5)</f>
        <v>0</v>
      </c>
      <c r="F563" s="121">
        <f>ROUND(D563*'FR_Mantenimiento tasas'!$D$48/360,5)</f>
        <v>0</v>
      </c>
    </row>
    <row r="564" spans="1:6">
      <c r="A564" s="123">
        <f>IF(OR(A563='F-Ahorro Futuro Decimos'!$H$16,A563=""),"",IF(A563+1&gt;'F-Ahorro Futuro Decimos'!$H$16,'F-Ahorro Futuro Decimos'!$H$16,A563+1))</f>
        <v>562</v>
      </c>
      <c r="B564" s="122">
        <f>IFERROR(IF(DAY($A564)=DAY('F-Ahorro Futuro Decimos'!$H$15),'F-Ahorro Futuro Decimos'!$H$14,0),0)</f>
        <v>0</v>
      </c>
      <c r="C564" s="122">
        <f>IF(A564='F-Ahorro Futuro Decimos'!$H$18,'F-Ahorro Futuro Decimos'!$H$20,0)</f>
        <v>0</v>
      </c>
      <c r="D564" s="122">
        <f t="shared" si="8"/>
        <v>0</v>
      </c>
      <c r="E564" s="121">
        <f>ROUND(D564*'FR_Mantenimiento tasas'!$C$48/360,5)</f>
        <v>0</v>
      </c>
      <c r="F564" s="121">
        <f>ROUND(D564*'FR_Mantenimiento tasas'!$D$48/360,5)</f>
        <v>0</v>
      </c>
    </row>
    <row r="565" spans="1:6">
      <c r="A565" s="123">
        <f>IF(OR(A564='F-Ahorro Futuro Decimos'!$H$16,A564=""),"",IF(A564+1&gt;'F-Ahorro Futuro Decimos'!$H$16,'F-Ahorro Futuro Decimos'!$H$16,A564+1))</f>
        <v>563</v>
      </c>
      <c r="B565" s="122">
        <f>IFERROR(IF(DAY($A565)=DAY('F-Ahorro Futuro Decimos'!$H$15),'F-Ahorro Futuro Decimos'!$H$14,0),0)</f>
        <v>0</v>
      </c>
      <c r="C565" s="122">
        <f>IF(A565='F-Ahorro Futuro Decimos'!$H$18,'F-Ahorro Futuro Decimos'!$H$20,0)</f>
        <v>0</v>
      </c>
      <c r="D565" s="122">
        <f t="shared" si="8"/>
        <v>0</v>
      </c>
      <c r="E565" s="121">
        <f>ROUND(D565*'FR_Mantenimiento tasas'!$C$48/360,5)</f>
        <v>0</v>
      </c>
      <c r="F565" s="121">
        <f>ROUND(D565*'FR_Mantenimiento tasas'!$D$48/360,5)</f>
        <v>0</v>
      </c>
    </row>
    <row r="566" spans="1:6">
      <c r="A566" s="123">
        <f>IF(OR(A565='F-Ahorro Futuro Decimos'!$H$16,A565=""),"",IF(A565+1&gt;'F-Ahorro Futuro Decimos'!$H$16,'F-Ahorro Futuro Decimos'!$H$16,A565+1))</f>
        <v>564</v>
      </c>
      <c r="B566" s="122">
        <f>IFERROR(IF(DAY($A566)=DAY('F-Ahorro Futuro Decimos'!$H$15),'F-Ahorro Futuro Decimos'!$H$14,0),0)</f>
        <v>0</v>
      </c>
      <c r="C566" s="122">
        <f>IF(A566='F-Ahorro Futuro Decimos'!$H$18,'F-Ahorro Futuro Decimos'!$H$20,0)</f>
        <v>0</v>
      </c>
      <c r="D566" s="122">
        <f t="shared" si="8"/>
        <v>0</v>
      </c>
      <c r="E566" s="121">
        <f>ROUND(D566*'FR_Mantenimiento tasas'!$C$48/360,5)</f>
        <v>0</v>
      </c>
      <c r="F566" s="121">
        <f>ROUND(D566*'FR_Mantenimiento tasas'!$D$48/360,5)</f>
        <v>0</v>
      </c>
    </row>
    <row r="567" spans="1:6">
      <c r="A567" s="123">
        <f>IF(OR(A566='F-Ahorro Futuro Decimos'!$H$16,A566=""),"",IF(A566+1&gt;'F-Ahorro Futuro Decimos'!$H$16,'F-Ahorro Futuro Decimos'!$H$16,A566+1))</f>
        <v>565</v>
      </c>
      <c r="B567" s="122">
        <f>IFERROR(IF(DAY($A567)=DAY('F-Ahorro Futuro Decimos'!$H$15),'F-Ahorro Futuro Decimos'!$H$14,0),0)</f>
        <v>0</v>
      </c>
      <c r="C567" s="122">
        <f>IF(A567='F-Ahorro Futuro Decimos'!$H$18,'F-Ahorro Futuro Decimos'!$H$20,0)</f>
        <v>0</v>
      </c>
      <c r="D567" s="122">
        <f t="shared" si="8"/>
        <v>0</v>
      </c>
      <c r="E567" s="121">
        <f>ROUND(D567*'FR_Mantenimiento tasas'!$C$48/360,5)</f>
        <v>0</v>
      </c>
      <c r="F567" s="121">
        <f>ROUND(D567*'FR_Mantenimiento tasas'!$D$48/360,5)</f>
        <v>0</v>
      </c>
    </row>
    <row r="568" spans="1:6">
      <c r="A568" s="123">
        <f>IF(OR(A567='F-Ahorro Futuro Decimos'!$H$16,A567=""),"",IF(A567+1&gt;'F-Ahorro Futuro Decimos'!$H$16,'F-Ahorro Futuro Decimos'!$H$16,A567+1))</f>
        <v>566</v>
      </c>
      <c r="B568" s="122">
        <f>IFERROR(IF(DAY($A568)=DAY('F-Ahorro Futuro Decimos'!$H$15),'F-Ahorro Futuro Decimos'!$H$14,0),0)</f>
        <v>0</v>
      </c>
      <c r="C568" s="122">
        <f>IF(A568='F-Ahorro Futuro Decimos'!$H$18,'F-Ahorro Futuro Decimos'!$H$20,0)</f>
        <v>0</v>
      </c>
      <c r="D568" s="122">
        <f t="shared" si="8"/>
        <v>0</v>
      </c>
      <c r="E568" s="121">
        <f>ROUND(D568*'FR_Mantenimiento tasas'!$C$48/360,5)</f>
        <v>0</v>
      </c>
      <c r="F568" s="121">
        <f>ROUND(D568*'FR_Mantenimiento tasas'!$D$48/360,5)</f>
        <v>0</v>
      </c>
    </row>
    <row r="569" spans="1:6">
      <c r="A569" s="123">
        <f>IF(OR(A568='F-Ahorro Futuro Decimos'!$H$16,A568=""),"",IF(A568+1&gt;'F-Ahorro Futuro Decimos'!$H$16,'F-Ahorro Futuro Decimos'!$H$16,A568+1))</f>
        <v>567</v>
      </c>
      <c r="B569" s="122">
        <f>IFERROR(IF(DAY($A569)=DAY('F-Ahorro Futuro Decimos'!$H$15),'F-Ahorro Futuro Decimos'!$H$14,0),0)</f>
        <v>0</v>
      </c>
      <c r="C569" s="122">
        <f>IF(A569='F-Ahorro Futuro Decimos'!$H$18,'F-Ahorro Futuro Decimos'!$H$20,0)</f>
        <v>0</v>
      </c>
      <c r="D569" s="122">
        <f t="shared" si="8"/>
        <v>0</v>
      </c>
      <c r="E569" s="121">
        <f>ROUND(D569*'FR_Mantenimiento tasas'!$C$48/360,5)</f>
        <v>0</v>
      </c>
      <c r="F569" s="121">
        <f>ROUND(D569*'FR_Mantenimiento tasas'!$D$48/360,5)</f>
        <v>0</v>
      </c>
    </row>
    <row r="570" spans="1:6">
      <c r="A570" s="123">
        <f>IF(OR(A569='F-Ahorro Futuro Decimos'!$H$16,A569=""),"",IF(A569+1&gt;'F-Ahorro Futuro Decimos'!$H$16,'F-Ahorro Futuro Decimos'!$H$16,A569+1))</f>
        <v>568</v>
      </c>
      <c r="B570" s="122">
        <f>IFERROR(IF(DAY($A570)=DAY('F-Ahorro Futuro Decimos'!$H$15),'F-Ahorro Futuro Decimos'!$H$14,0),0)</f>
        <v>0</v>
      </c>
      <c r="C570" s="122">
        <f>IF(A570='F-Ahorro Futuro Decimos'!$H$18,'F-Ahorro Futuro Decimos'!$H$20,0)</f>
        <v>0</v>
      </c>
      <c r="D570" s="122">
        <f t="shared" si="8"/>
        <v>0</v>
      </c>
      <c r="E570" s="121">
        <f>ROUND(D570*'FR_Mantenimiento tasas'!$C$48/360,5)</f>
        <v>0</v>
      </c>
      <c r="F570" s="121">
        <f>ROUND(D570*'FR_Mantenimiento tasas'!$D$48/360,5)</f>
        <v>0</v>
      </c>
    </row>
    <row r="571" spans="1:6">
      <c r="A571" s="123">
        <f>IF(OR(A570='F-Ahorro Futuro Decimos'!$H$16,A570=""),"",IF(A570+1&gt;'F-Ahorro Futuro Decimos'!$H$16,'F-Ahorro Futuro Decimos'!$H$16,A570+1))</f>
        <v>569</v>
      </c>
      <c r="B571" s="122">
        <f>IFERROR(IF(DAY($A571)=DAY('F-Ahorro Futuro Decimos'!$H$15),'F-Ahorro Futuro Decimos'!$H$14,0),0)</f>
        <v>0</v>
      </c>
      <c r="C571" s="122">
        <f>IF(A571='F-Ahorro Futuro Decimos'!$H$18,'F-Ahorro Futuro Decimos'!$H$20,0)</f>
        <v>0</v>
      </c>
      <c r="D571" s="122">
        <f t="shared" si="8"/>
        <v>0</v>
      </c>
      <c r="E571" s="121">
        <f>ROUND(D571*'FR_Mantenimiento tasas'!$C$48/360,5)</f>
        <v>0</v>
      </c>
      <c r="F571" s="121">
        <f>ROUND(D571*'FR_Mantenimiento tasas'!$D$48/360,5)</f>
        <v>0</v>
      </c>
    </row>
    <row r="572" spans="1:6">
      <c r="A572" s="123">
        <f>IF(OR(A571='F-Ahorro Futuro Decimos'!$H$16,A571=""),"",IF(A571+1&gt;'F-Ahorro Futuro Decimos'!$H$16,'F-Ahorro Futuro Decimos'!$H$16,A571+1))</f>
        <v>570</v>
      </c>
      <c r="B572" s="122">
        <f>IFERROR(IF(DAY($A572)=DAY('F-Ahorro Futuro Decimos'!$H$15),'F-Ahorro Futuro Decimos'!$H$14,0),0)</f>
        <v>0</v>
      </c>
      <c r="C572" s="122">
        <f>IF(A572='F-Ahorro Futuro Decimos'!$H$18,'F-Ahorro Futuro Decimos'!$H$20,0)</f>
        <v>0</v>
      </c>
      <c r="D572" s="122">
        <f t="shared" si="8"/>
        <v>0</v>
      </c>
      <c r="E572" s="121">
        <f>ROUND(D572*'FR_Mantenimiento tasas'!$C$48/360,5)</f>
        <v>0</v>
      </c>
      <c r="F572" s="121">
        <f>ROUND(D572*'FR_Mantenimiento tasas'!$D$48/360,5)</f>
        <v>0</v>
      </c>
    </row>
    <row r="573" spans="1:6">
      <c r="A573" s="123">
        <f>IF(OR(A572='F-Ahorro Futuro Decimos'!$H$16,A572=""),"",IF(A572+1&gt;'F-Ahorro Futuro Decimos'!$H$16,'F-Ahorro Futuro Decimos'!$H$16,A572+1))</f>
        <v>571</v>
      </c>
      <c r="B573" s="122">
        <f>IFERROR(IF(DAY($A573)=DAY('F-Ahorro Futuro Decimos'!$H$15),'F-Ahorro Futuro Decimos'!$H$14,0),0)</f>
        <v>0</v>
      </c>
      <c r="C573" s="122">
        <f>IF(A573='F-Ahorro Futuro Decimos'!$H$18,'F-Ahorro Futuro Decimos'!$H$20,0)</f>
        <v>0</v>
      </c>
      <c r="D573" s="122">
        <f t="shared" si="8"/>
        <v>0</v>
      </c>
      <c r="E573" s="121">
        <f>ROUND(D573*'FR_Mantenimiento tasas'!$C$48/360,5)</f>
        <v>0</v>
      </c>
      <c r="F573" s="121">
        <f>ROUND(D573*'FR_Mantenimiento tasas'!$D$48/360,5)</f>
        <v>0</v>
      </c>
    </row>
    <row r="574" spans="1:6">
      <c r="A574" s="123">
        <f>IF(OR(A573='F-Ahorro Futuro Decimos'!$H$16,A573=""),"",IF(A573+1&gt;'F-Ahorro Futuro Decimos'!$H$16,'F-Ahorro Futuro Decimos'!$H$16,A573+1))</f>
        <v>572</v>
      </c>
      <c r="B574" s="122">
        <f>IFERROR(IF(DAY($A574)=DAY('F-Ahorro Futuro Decimos'!$H$15),'F-Ahorro Futuro Decimos'!$H$14,0),0)</f>
        <v>0</v>
      </c>
      <c r="C574" s="122">
        <f>IF(A574='F-Ahorro Futuro Decimos'!$H$18,'F-Ahorro Futuro Decimos'!$H$20,0)</f>
        <v>0</v>
      </c>
      <c r="D574" s="122">
        <f t="shared" si="8"/>
        <v>0</v>
      </c>
      <c r="E574" s="121">
        <f>ROUND(D574*'FR_Mantenimiento tasas'!$C$48/360,5)</f>
        <v>0</v>
      </c>
      <c r="F574" s="121">
        <f>ROUND(D574*'FR_Mantenimiento tasas'!$D$48/360,5)</f>
        <v>0</v>
      </c>
    </row>
    <row r="575" spans="1:6">
      <c r="A575" s="123">
        <f>IF(OR(A574='F-Ahorro Futuro Decimos'!$H$16,A574=""),"",IF(A574+1&gt;'F-Ahorro Futuro Decimos'!$H$16,'F-Ahorro Futuro Decimos'!$H$16,A574+1))</f>
        <v>573</v>
      </c>
      <c r="B575" s="122">
        <f>IFERROR(IF(DAY($A575)=DAY('F-Ahorro Futuro Decimos'!$H$15),'F-Ahorro Futuro Decimos'!$H$14,0),0)</f>
        <v>0</v>
      </c>
      <c r="C575" s="122">
        <f>IF(A575='F-Ahorro Futuro Decimos'!$H$18,'F-Ahorro Futuro Decimos'!$H$20,0)</f>
        <v>0</v>
      </c>
      <c r="D575" s="122">
        <f t="shared" si="8"/>
        <v>0</v>
      </c>
      <c r="E575" s="121">
        <f>ROUND(D575*'FR_Mantenimiento tasas'!$C$48/360,5)</f>
        <v>0</v>
      </c>
      <c r="F575" s="121">
        <f>ROUND(D575*'FR_Mantenimiento tasas'!$D$48/360,5)</f>
        <v>0</v>
      </c>
    </row>
    <row r="576" spans="1:6">
      <c r="A576" s="123">
        <f>IF(OR(A575='F-Ahorro Futuro Decimos'!$H$16,A575=""),"",IF(A575+1&gt;'F-Ahorro Futuro Decimos'!$H$16,'F-Ahorro Futuro Decimos'!$H$16,A575+1))</f>
        <v>574</v>
      </c>
      <c r="B576" s="122">
        <f>IFERROR(IF(DAY($A576)=DAY('F-Ahorro Futuro Decimos'!$H$15),'F-Ahorro Futuro Decimos'!$H$14,0),0)</f>
        <v>0</v>
      </c>
      <c r="C576" s="122">
        <f>IF(A576='F-Ahorro Futuro Decimos'!$H$18,'F-Ahorro Futuro Decimos'!$H$20,0)</f>
        <v>0</v>
      </c>
      <c r="D576" s="122">
        <f t="shared" si="8"/>
        <v>0</v>
      </c>
      <c r="E576" s="121">
        <f>ROUND(D576*'FR_Mantenimiento tasas'!$C$48/360,5)</f>
        <v>0</v>
      </c>
      <c r="F576" s="121">
        <f>ROUND(D576*'FR_Mantenimiento tasas'!$D$48/360,5)</f>
        <v>0</v>
      </c>
    </row>
    <row r="577" spans="1:6">
      <c r="A577" s="123">
        <f>IF(OR(A576='F-Ahorro Futuro Decimos'!$H$16,A576=""),"",IF(A576+1&gt;'F-Ahorro Futuro Decimos'!$H$16,'F-Ahorro Futuro Decimos'!$H$16,A576+1))</f>
        <v>575</v>
      </c>
      <c r="B577" s="122">
        <f>IFERROR(IF(DAY($A577)=DAY('F-Ahorro Futuro Decimos'!$H$15),'F-Ahorro Futuro Decimos'!$H$14,0),0)</f>
        <v>0</v>
      </c>
      <c r="C577" s="122">
        <f>IF(A577='F-Ahorro Futuro Decimos'!$H$18,'F-Ahorro Futuro Decimos'!$H$20,0)</f>
        <v>0</v>
      </c>
      <c r="D577" s="122">
        <f t="shared" si="8"/>
        <v>0</v>
      </c>
      <c r="E577" s="121">
        <f>ROUND(D577*'FR_Mantenimiento tasas'!$C$48/360,5)</f>
        <v>0</v>
      </c>
      <c r="F577" s="121">
        <f>ROUND(D577*'FR_Mantenimiento tasas'!$D$48/360,5)</f>
        <v>0</v>
      </c>
    </row>
    <row r="578" spans="1:6">
      <c r="A578" s="123">
        <f>IF(OR(A577='F-Ahorro Futuro Decimos'!$H$16,A577=""),"",IF(A577+1&gt;'F-Ahorro Futuro Decimos'!$H$16,'F-Ahorro Futuro Decimos'!$H$16,A577+1))</f>
        <v>576</v>
      </c>
      <c r="B578" s="122">
        <f>IFERROR(IF(DAY($A578)=DAY('F-Ahorro Futuro Decimos'!$H$15),'F-Ahorro Futuro Decimos'!$H$14,0),0)</f>
        <v>0</v>
      </c>
      <c r="C578" s="122">
        <f>IF(A578='F-Ahorro Futuro Decimos'!$H$18,'F-Ahorro Futuro Decimos'!$H$20,0)</f>
        <v>0</v>
      </c>
      <c r="D578" s="122">
        <f t="shared" si="8"/>
        <v>0</v>
      </c>
      <c r="E578" s="121">
        <f>ROUND(D578*'FR_Mantenimiento tasas'!$C$48/360,5)</f>
        <v>0</v>
      </c>
      <c r="F578" s="121">
        <f>ROUND(D578*'FR_Mantenimiento tasas'!$D$48/360,5)</f>
        <v>0</v>
      </c>
    </row>
    <row r="579" spans="1:6">
      <c r="A579" s="123">
        <f>IF(OR(A578='F-Ahorro Futuro Decimos'!$H$16,A578=""),"",IF(A578+1&gt;'F-Ahorro Futuro Decimos'!$H$16,'F-Ahorro Futuro Decimos'!$H$16,A578+1))</f>
        <v>577</v>
      </c>
      <c r="B579" s="122">
        <f>IFERROR(IF(DAY($A579)=DAY('F-Ahorro Futuro Decimos'!$H$15),'F-Ahorro Futuro Decimos'!$H$14,0),0)</f>
        <v>0</v>
      </c>
      <c r="C579" s="122">
        <f>IF(A579='F-Ahorro Futuro Decimos'!$H$18,'F-Ahorro Futuro Decimos'!$H$20,0)</f>
        <v>0</v>
      </c>
      <c r="D579" s="122">
        <f t="shared" si="8"/>
        <v>0</v>
      </c>
      <c r="E579" s="121">
        <f>ROUND(D579*'FR_Mantenimiento tasas'!$C$48/360,5)</f>
        <v>0</v>
      </c>
      <c r="F579" s="121">
        <f>ROUND(D579*'FR_Mantenimiento tasas'!$D$48/360,5)</f>
        <v>0</v>
      </c>
    </row>
    <row r="580" spans="1:6">
      <c r="A580" s="123">
        <f>IF(OR(A579='F-Ahorro Futuro Decimos'!$H$16,A579=""),"",IF(A579+1&gt;'F-Ahorro Futuro Decimos'!$H$16,'F-Ahorro Futuro Decimos'!$H$16,A579+1))</f>
        <v>578</v>
      </c>
      <c r="B580" s="122">
        <f>IFERROR(IF(DAY($A580)=DAY('F-Ahorro Futuro Decimos'!$H$15),'F-Ahorro Futuro Decimos'!$H$14,0),0)</f>
        <v>0</v>
      </c>
      <c r="C580" s="122">
        <f>IF(A580='F-Ahorro Futuro Decimos'!$H$18,'F-Ahorro Futuro Decimos'!$H$20,0)</f>
        <v>0</v>
      </c>
      <c r="D580" s="122">
        <f t="shared" ref="D580:D643" si="9">+B580+D579+E579-C580</f>
        <v>0</v>
      </c>
      <c r="E580" s="121">
        <f>ROUND(D580*'FR_Mantenimiento tasas'!$C$48/360,5)</f>
        <v>0</v>
      </c>
      <c r="F580" s="121">
        <f>ROUND(D580*'FR_Mantenimiento tasas'!$D$48/360,5)</f>
        <v>0</v>
      </c>
    </row>
    <row r="581" spans="1:6">
      <c r="A581" s="123">
        <f>IF(OR(A580='F-Ahorro Futuro Decimos'!$H$16,A580=""),"",IF(A580+1&gt;'F-Ahorro Futuro Decimos'!$H$16,'F-Ahorro Futuro Decimos'!$H$16,A580+1))</f>
        <v>579</v>
      </c>
      <c r="B581" s="122">
        <f>IFERROR(IF(DAY($A581)=DAY('F-Ahorro Futuro Decimos'!$H$15),'F-Ahorro Futuro Decimos'!$H$14,0),0)</f>
        <v>0</v>
      </c>
      <c r="C581" s="122">
        <f>IF(A581='F-Ahorro Futuro Decimos'!$H$18,'F-Ahorro Futuro Decimos'!$H$20,0)</f>
        <v>0</v>
      </c>
      <c r="D581" s="122">
        <f t="shared" si="9"/>
        <v>0</v>
      </c>
      <c r="E581" s="121">
        <f>ROUND(D581*'FR_Mantenimiento tasas'!$C$48/360,5)</f>
        <v>0</v>
      </c>
      <c r="F581" s="121">
        <f>ROUND(D581*'FR_Mantenimiento tasas'!$D$48/360,5)</f>
        <v>0</v>
      </c>
    </row>
    <row r="582" spans="1:6">
      <c r="A582" s="123">
        <f>IF(OR(A581='F-Ahorro Futuro Decimos'!$H$16,A581=""),"",IF(A581+1&gt;'F-Ahorro Futuro Decimos'!$H$16,'F-Ahorro Futuro Decimos'!$H$16,A581+1))</f>
        <v>580</v>
      </c>
      <c r="B582" s="122">
        <f>IFERROR(IF(DAY($A582)=DAY('F-Ahorro Futuro Decimos'!$H$15),'F-Ahorro Futuro Decimos'!$H$14,0),0)</f>
        <v>0</v>
      </c>
      <c r="C582" s="122">
        <f>IF(A582='F-Ahorro Futuro Decimos'!$H$18,'F-Ahorro Futuro Decimos'!$H$20,0)</f>
        <v>0</v>
      </c>
      <c r="D582" s="122">
        <f t="shared" si="9"/>
        <v>0</v>
      </c>
      <c r="E582" s="121">
        <f>ROUND(D582*'FR_Mantenimiento tasas'!$C$48/360,5)</f>
        <v>0</v>
      </c>
      <c r="F582" s="121">
        <f>ROUND(D582*'FR_Mantenimiento tasas'!$D$48/360,5)</f>
        <v>0</v>
      </c>
    </row>
    <row r="583" spans="1:6">
      <c r="A583" s="123">
        <f>IF(OR(A582='F-Ahorro Futuro Decimos'!$H$16,A582=""),"",IF(A582+1&gt;'F-Ahorro Futuro Decimos'!$H$16,'F-Ahorro Futuro Decimos'!$H$16,A582+1))</f>
        <v>581</v>
      </c>
      <c r="B583" s="122">
        <f>IFERROR(IF(DAY($A583)=DAY('F-Ahorro Futuro Decimos'!$H$15),'F-Ahorro Futuro Decimos'!$H$14,0),0)</f>
        <v>0</v>
      </c>
      <c r="C583" s="122">
        <f>IF(A583='F-Ahorro Futuro Decimos'!$H$18,'F-Ahorro Futuro Decimos'!$H$20,0)</f>
        <v>0</v>
      </c>
      <c r="D583" s="122">
        <f t="shared" si="9"/>
        <v>0</v>
      </c>
      <c r="E583" s="121">
        <f>ROUND(D583*'FR_Mantenimiento tasas'!$C$48/360,5)</f>
        <v>0</v>
      </c>
      <c r="F583" s="121">
        <f>ROUND(D583*'FR_Mantenimiento tasas'!$D$48/360,5)</f>
        <v>0</v>
      </c>
    </row>
    <row r="584" spans="1:6">
      <c r="A584" s="123">
        <f>IF(OR(A583='F-Ahorro Futuro Decimos'!$H$16,A583=""),"",IF(A583+1&gt;'F-Ahorro Futuro Decimos'!$H$16,'F-Ahorro Futuro Decimos'!$H$16,A583+1))</f>
        <v>582</v>
      </c>
      <c r="B584" s="122">
        <f>IFERROR(IF(DAY($A584)=DAY('F-Ahorro Futuro Decimos'!$H$15),'F-Ahorro Futuro Decimos'!$H$14,0),0)</f>
        <v>0</v>
      </c>
      <c r="C584" s="122">
        <f>IF(A584='F-Ahorro Futuro Decimos'!$H$18,'F-Ahorro Futuro Decimos'!$H$20,0)</f>
        <v>0</v>
      </c>
      <c r="D584" s="122">
        <f t="shared" si="9"/>
        <v>0</v>
      </c>
      <c r="E584" s="121">
        <f>ROUND(D584*'FR_Mantenimiento tasas'!$C$48/360,5)</f>
        <v>0</v>
      </c>
      <c r="F584" s="121">
        <f>ROUND(D584*'FR_Mantenimiento tasas'!$D$48/360,5)</f>
        <v>0</v>
      </c>
    </row>
    <row r="585" spans="1:6">
      <c r="A585" s="123">
        <f>IF(OR(A584='F-Ahorro Futuro Decimos'!$H$16,A584=""),"",IF(A584+1&gt;'F-Ahorro Futuro Decimos'!$H$16,'F-Ahorro Futuro Decimos'!$H$16,A584+1))</f>
        <v>583</v>
      </c>
      <c r="B585" s="122">
        <f>IFERROR(IF(DAY($A585)=DAY('F-Ahorro Futuro Decimos'!$H$15),'F-Ahorro Futuro Decimos'!$H$14,0),0)</f>
        <v>0</v>
      </c>
      <c r="C585" s="122">
        <f>IF(A585='F-Ahorro Futuro Decimos'!$H$18,'F-Ahorro Futuro Decimos'!$H$20,0)</f>
        <v>0</v>
      </c>
      <c r="D585" s="122">
        <f t="shared" si="9"/>
        <v>0</v>
      </c>
      <c r="E585" s="121">
        <f>ROUND(D585*'FR_Mantenimiento tasas'!$C$48/360,5)</f>
        <v>0</v>
      </c>
      <c r="F585" s="121">
        <f>ROUND(D585*'FR_Mantenimiento tasas'!$D$48/360,5)</f>
        <v>0</v>
      </c>
    </row>
    <row r="586" spans="1:6">
      <c r="A586" s="123">
        <f>IF(OR(A585='F-Ahorro Futuro Decimos'!$H$16,A585=""),"",IF(A585+1&gt;'F-Ahorro Futuro Decimos'!$H$16,'F-Ahorro Futuro Decimos'!$H$16,A585+1))</f>
        <v>584</v>
      </c>
      <c r="B586" s="122">
        <f>IFERROR(IF(DAY($A586)=DAY('F-Ahorro Futuro Decimos'!$H$15),'F-Ahorro Futuro Decimos'!$H$14,0),0)</f>
        <v>0</v>
      </c>
      <c r="C586" s="122">
        <f>IF(A586='F-Ahorro Futuro Decimos'!$H$18,'F-Ahorro Futuro Decimos'!$H$20,0)</f>
        <v>0</v>
      </c>
      <c r="D586" s="122">
        <f t="shared" si="9"/>
        <v>0</v>
      </c>
      <c r="E586" s="121">
        <f>ROUND(D586*'FR_Mantenimiento tasas'!$C$48/360,5)</f>
        <v>0</v>
      </c>
      <c r="F586" s="121">
        <f>ROUND(D586*'FR_Mantenimiento tasas'!$D$48/360,5)</f>
        <v>0</v>
      </c>
    </row>
    <row r="587" spans="1:6">
      <c r="A587" s="123">
        <f>IF(OR(A586='F-Ahorro Futuro Decimos'!$H$16,A586=""),"",IF(A586+1&gt;'F-Ahorro Futuro Decimos'!$H$16,'F-Ahorro Futuro Decimos'!$H$16,A586+1))</f>
        <v>585</v>
      </c>
      <c r="B587" s="122">
        <f>IFERROR(IF(DAY($A587)=DAY('F-Ahorro Futuro Decimos'!$H$15),'F-Ahorro Futuro Decimos'!$H$14,0),0)</f>
        <v>0</v>
      </c>
      <c r="C587" s="122">
        <f>IF(A587='F-Ahorro Futuro Decimos'!$H$18,'F-Ahorro Futuro Decimos'!$H$20,0)</f>
        <v>0</v>
      </c>
      <c r="D587" s="122">
        <f t="shared" si="9"/>
        <v>0</v>
      </c>
      <c r="E587" s="121">
        <f>ROUND(D587*'FR_Mantenimiento tasas'!$C$48/360,5)</f>
        <v>0</v>
      </c>
      <c r="F587" s="121">
        <f>ROUND(D587*'FR_Mantenimiento tasas'!$D$48/360,5)</f>
        <v>0</v>
      </c>
    </row>
    <row r="588" spans="1:6">
      <c r="A588" s="123">
        <f>IF(OR(A587='F-Ahorro Futuro Decimos'!$H$16,A587=""),"",IF(A587+1&gt;'F-Ahorro Futuro Decimos'!$H$16,'F-Ahorro Futuro Decimos'!$H$16,A587+1))</f>
        <v>586</v>
      </c>
      <c r="B588" s="122">
        <f>IFERROR(IF(DAY($A588)=DAY('F-Ahorro Futuro Decimos'!$H$15),'F-Ahorro Futuro Decimos'!$H$14,0),0)</f>
        <v>0</v>
      </c>
      <c r="C588" s="122">
        <f>IF(A588='F-Ahorro Futuro Decimos'!$H$18,'F-Ahorro Futuro Decimos'!$H$20,0)</f>
        <v>0</v>
      </c>
      <c r="D588" s="122">
        <f t="shared" si="9"/>
        <v>0</v>
      </c>
      <c r="E588" s="121">
        <f>ROUND(D588*'FR_Mantenimiento tasas'!$C$48/360,5)</f>
        <v>0</v>
      </c>
      <c r="F588" s="121">
        <f>ROUND(D588*'FR_Mantenimiento tasas'!$D$48/360,5)</f>
        <v>0</v>
      </c>
    </row>
    <row r="589" spans="1:6">
      <c r="A589" s="123">
        <f>IF(OR(A588='F-Ahorro Futuro Decimos'!$H$16,A588=""),"",IF(A588+1&gt;'F-Ahorro Futuro Decimos'!$H$16,'F-Ahorro Futuro Decimos'!$H$16,A588+1))</f>
        <v>587</v>
      </c>
      <c r="B589" s="122">
        <f>IFERROR(IF(DAY($A589)=DAY('F-Ahorro Futuro Decimos'!$H$15),'F-Ahorro Futuro Decimos'!$H$14,0),0)</f>
        <v>0</v>
      </c>
      <c r="C589" s="122">
        <f>IF(A589='F-Ahorro Futuro Decimos'!$H$18,'F-Ahorro Futuro Decimos'!$H$20,0)</f>
        <v>0</v>
      </c>
      <c r="D589" s="122">
        <f t="shared" si="9"/>
        <v>0</v>
      </c>
      <c r="E589" s="121">
        <f>ROUND(D589*'FR_Mantenimiento tasas'!$C$48/360,5)</f>
        <v>0</v>
      </c>
      <c r="F589" s="121">
        <f>ROUND(D589*'FR_Mantenimiento tasas'!$D$48/360,5)</f>
        <v>0</v>
      </c>
    </row>
    <row r="590" spans="1:6">
      <c r="A590" s="123">
        <f>IF(OR(A589='F-Ahorro Futuro Decimos'!$H$16,A589=""),"",IF(A589+1&gt;'F-Ahorro Futuro Decimos'!$H$16,'F-Ahorro Futuro Decimos'!$H$16,A589+1))</f>
        <v>588</v>
      </c>
      <c r="B590" s="122">
        <f>IFERROR(IF(DAY($A590)=DAY('F-Ahorro Futuro Decimos'!$H$15),'F-Ahorro Futuro Decimos'!$H$14,0),0)</f>
        <v>0</v>
      </c>
      <c r="C590" s="122">
        <f>IF(A590='F-Ahorro Futuro Decimos'!$H$18,'F-Ahorro Futuro Decimos'!$H$20,0)</f>
        <v>0</v>
      </c>
      <c r="D590" s="122">
        <f t="shared" si="9"/>
        <v>0</v>
      </c>
      <c r="E590" s="121">
        <f>ROUND(D590*'FR_Mantenimiento tasas'!$C$48/360,5)</f>
        <v>0</v>
      </c>
      <c r="F590" s="121">
        <f>ROUND(D590*'FR_Mantenimiento tasas'!$D$48/360,5)</f>
        <v>0</v>
      </c>
    </row>
    <row r="591" spans="1:6">
      <c r="A591" s="123">
        <f>IF(OR(A590='F-Ahorro Futuro Decimos'!$H$16,A590=""),"",IF(A590+1&gt;'F-Ahorro Futuro Decimos'!$H$16,'F-Ahorro Futuro Decimos'!$H$16,A590+1))</f>
        <v>589</v>
      </c>
      <c r="B591" s="122">
        <f>IFERROR(IF(DAY($A591)=DAY('F-Ahorro Futuro Decimos'!$H$15),'F-Ahorro Futuro Decimos'!$H$14,0),0)</f>
        <v>0</v>
      </c>
      <c r="C591" s="122">
        <f>IF(A591='F-Ahorro Futuro Decimos'!$H$18,'F-Ahorro Futuro Decimos'!$H$20,0)</f>
        <v>0</v>
      </c>
      <c r="D591" s="122">
        <f t="shared" si="9"/>
        <v>0</v>
      </c>
      <c r="E591" s="121">
        <f>ROUND(D591*'FR_Mantenimiento tasas'!$C$48/360,5)</f>
        <v>0</v>
      </c>
      <c r="F591" s="121">
        <f>ROUND(D591*'FR_Mantenimiento tasas'!$D$48/360,5)</f>
        <v>0</v>
      </c>
    </row>
    <row r="592" spans="1:6">
      <c r="A592" s="123">
        <f>IF(OR(A591='F-Ahorro Futuro Decimos'!$H$16,A591=""),"",IF(A591+1&gt;'F-Ahorro Futuro Decimos'!$H$16,'F-Ahorro Futuro Decimos'!$H$16,A591+1))</f>
        <v>590</v>
      </c>
      <c r="B592" s="122">
        <f>IFERROR(IF(DAY($A592)=DAY('F-Ahorro Futuro Decimos'!$H$15),'F-Ahorro Futuro Decimos'!$H$14,0),0)</f>
        <v>0</v>
      </c>
      <c r="C592" s="122">
        <f>IF(A592='F-Ahorro Futuro Decimos'!$H$18,'F-Ahorro Futuro Decimos'!$H$20,0)</f>
        <v>0</v>
      </c>
      <c r="D592" s="122">
        <f t="shared" si="9"/>
        <v>0</v>
      </c>
      <c r="E592" s="121">
        <f>ROUND(D592*'FR_Mantenimiento tasas'!$C$48/360,5)</f>
        <v>0</v>
      </c>
      <c r="F592" s="121">
        <f>ROUND(D592*'FR_Mantenimiento tasas'!$D$48/360,5)</f>
        <v>0</v>
      </c>
    </row>
    <row r="593" spans="1:6">
      <c r="A593" s="123">
        <f>IF(OR(A592='F-Ahorro Futuro Decimos'!$H$16,A592=""),"",IF(A592+1&gt;'F-Ahorro Futuro Decimos'!$H$16,'F-Ahorro Futuro Decimos'!$H$16,A592+1))</f>
        <v>591</v>
      </c>
      <c r="B593" s="122">
        <f>IFERROR(IF(DAY($A593)=DAY('F-Ahorro Futuro Decimos'!$H$15),'F-Ahorro Futuro Decimos'!$H$14,0),0)</f>
        <v>0</v>
      </c>
      <c r="C593" s="122">
        <f>IF(A593='F-Ahorro Futuro Decimos'!$H$18,'F-Ahorro Futuro Decimos'!$H$20,0)</f>
        <v>0</v>
      </c>
      <c r="D593" s="122">
        <f t="shared" si="9"/>
        <v>0</v>
      </c>
      <c r="E593" s="121">
        <f>ROUND(D593*'FR_Mantenimiento tasas'!$C$48/360,5)</f>
        <v>0</v>
      </c>
      <c r="F593" s="121">
        <f>ROUND(D593*'FR_Mantenimiento tasas'!$D$48/360,5)</f>
        <v>0</v>
      </c>
    </row>
    <row r="594" spans="1:6">
      <c r="A594" s="123">
        <f>IF(OR(A593='F-Ahorro Futuro Decimos'!$H$16,A593=""),"",IF(A593+1&gt;'F-Ahorro Futuro Decimos'!$H$16,'F-Ahorro Futuro Decimos'!$H$16,A593+1))</f>
        <v>592</v>
      </c>
      <c r="B594" s="122">
        <f>IFERROR(IF(DAY($A594)=DAY('F-Ahorro Futuro Decimos'!$H$15),'F-Ahorro Futuro Decimos'!$H$14,0),0)</f>
        <v>0</v>
      </c>
      <c r="C594" s="122">
        <f>IF(A594='F-Ahorro Futuro Decimos'!$H$18,'F-Ahorro Futuro Decimos'!$H$20,0)</f>
        <v>0</v>
      </c>
      <c r="D594" s="122">
        <f t="shared" si="9"/>
        <v>0</v>
      </c>
      <c r="E594" s="121">
        <f>ROUND(D594*'FR_Mantenimiento tasas'!$C$48/360,5)</f>
        <v>0</v>
      </c>
      <c r="F594" s="121">
        <f>ROUND(D594*'FR_Mantenimiento tasas'!$D$48/360,5)</f>
        <v>0</v>
      </c>
    </row>
    <row r="595" spans="1:6">
      <c r="A595" s="123">
        <f>IF(OR(A594='F-Ahorro Futuro Decimos'!$H$16,A594=""),"",IF(A594+1&gt;'F-Ahorro Futuro Decimos'!$H$16,'F-Ahorro Futuro Decimos'!$H$16,A594+1))</f>
        <v>593</v>
      </c>
      <c r="B595" s="122">
        <f>IFERROR(IF(DAY($A595)=DAY('F-Ahorro Futuro Decimos'!$H$15),'F-Ahorro Futuro Decimos'!$H$14,0),0)</f>
        <v>0</v>
      </c>
      <c r="C595" s="122">
        <f>IF(A595='F-Ahorro Futuro Decimos'!$H$18,'F-Ahorro Futuro Decimos'!$H$20,0)</f>
        <v>0</v>
      </c>
      <c r="D595" s="122">
        <f t="shared" si="9"/>
        <v>0</v>
      </c>
      <c r="E595" s="121">
        <f>ROUND(D595*'FR_Mantenimiento tasas'!$C$48/360,5)</f>
        <v>0</v>
      </c>
      <c r="F595" s="121">
        <f>ROUND(D595*'FR_Mantenimiento tasas'!$D$48/360,5)</f>
        <v>0</v>
      </c>
    </row>
    <row r="596" spans="1:6">
      <c r="A596" s="123">
        <f>IF(OR(A595='F-Ahorro Futuro Decimos'!$H$16,A595=""),"",IF(A595+1&gt;'F-Ahorro Futuro Decimos'!$H$16,'F-Ahorro Futuro Decimos'!$H$16,A595+1))</f>
        <v>594</v>
      </c>
      <c r="B596" s="122">
        <f>IFERROR(IF(DAY($A596)=DAY('F-Ahorro Futuro Decimos'!$H$15),'F-Ahorro Futuro Decimos'!$H$14,0),0)</f>
        <v>0</v>
      </c>
      <c r="C596" s="122">
        <f>IF(A596='F-Ahorro Futuro Decimos'!$H$18,'F-Ahorro Futuro Decimos'!$H$20,0)</f>
        <v>0</v>
      </c>
      <c r="D596" s="122">
        <f t="shared" si="9"/>
        <v>0</v>
      </c>
      <c r="E596" s="121">
        <f>ROUND(D596*'FR_Mantenimiento tasas'!$C$48/360,5)</f>
        <v>0</v>
      </c>
      <c r="F596" s="121">
        <f>ROUND(D596*'FR_Mantenimiento tasas'!$D$48/360,5)</f>
        <v>0</v>
      </c>
    </row>
    <row r="597" spans="1:6">
      <c r="A597" s="123">
        <f>IF(OR(A596='F-Ahorro Futuro Decimos'!$H$16,A596=""),"",IF(A596+1&gt;'F-Ahorro Futuro Decimos'!$H$16,'F-Ahorro Futuro Decimos'!$H$16,A596+1))</f>
        <v>595</v>
      </c>
      <c r="B597" s="122">
        <f>IFERROR(IF(DAY($A597)=DAY('F-Ahorro Futuro Decimos'!$H$15),'F-Ahorro Futuro Decimos'!$H$14,0),0)</f>
        <v>0</v>
      </c>
      <c r="C597" s="122">
        <f>IF(A597='F-Ahorro Futuro Decimos'!$H$18,'F-Ahorro Futuro Decimos'!$H$20,0)</f>
        <v>0</v>
      </c>
      <c r="D597" s="122">
        <f t="shared" si="9"/>
        <v>0</v>
      </c>
      <c r="E597" s="121">
        <f>ROUND(D597*'FR_Mantenimiento tasas'!$C$48/360,5)</f>
        <v>0</v>
      </c>
      <c r="F597" s="121">
        <f>ROUND(D597*'FR_Mantenimiento tasas'!$D$48/360,5)</f>
        <v>0</v>
      </c>
    </row>
    <row r="598" spans="1:6">
      <c r="A598" s="123">
        <f>IF(OR(A597='F-Ahorro Futuro Decimos'!$H$16,A597=""),"",IF(A597+1&gt;'F-Ahorro Futuro Decimos'!$H$16,'F-Ahorro Futuro Decimos'!$H$16,A597+1))</f>
        <v>596</v>
      </c>
      <c r="B598" s="122">
        <f>IFERROR(IF(DAY($A598)=DAY('F-Ahorro Futuro Decimos'!$H$15),'F-Ahorro Futuro Decimos'!$H$14,0),0)</f>
        <v>0</v>
      </c>
      <c r="C598" s="122">
        <f>IF(A598='F-Ahorro Futuro Decimos'!$H$18,'F-Ahorro Futuro Decimos'!$H$20,0)</f>
        <v>0</v>
      </c>
      <c r="D598" s="122">
        <f t="shared" si="9"/>
        <v>0</v>
      </c>
      <c r="E598" s="121">
        <f>ROUND(D598*'FR_Mantenimiento tasas'!$C$48/360,5)</f>
        <v>0</v>
      </c>
      <c r="F598" s="121">
        <f>ROUND(D598*'FR_Mantenimiento tasas'!$D$48/360,5)</f>
        <v>0</v>
      </c>
    </row>
    <row r="599" spans="1:6">
      <c r="A599" s="123">
        <f>IF(OR(A598='F-Ahorro Futuro Decimos'!$H$16,A598=""),"",IF(A598+1&gt;'F-Ahorro Futuro Decimos'!$H$16,'F-Ahorro Futuro Decimos'!$H$16,A598+1))</f>
        <v>597</v>
      </c>
      <c r="B599" s="122">
        <f>IFERROR(IF(DAY($A599)=DAY('F-Ahorro Futuro Decimos'!$H$15),'F-Ahorro Futuro Decimos'!$H$14,0),0)</f>
        <v>0</v>
      </c>
      <c r="C599" s="122">
        <f>IF(A599='F-Ahorro Futuro Decimos'!$H$18,'F-Ahorro Futuro Decimos'!$H$20,0)</f>
        <v>0</v>
      </c>
      <c r="D599" s="122">
        <f t="shared" si="9"/>
        <v>0</v>
      </c>
      <c r="E599" s="121">
        <f>ROUND(D599*'FR_Mantenimiento tasas'!$C$48/360,5)</f>
        <v>0</v>
      </c>
      <c r="F599" s="121">
        <f>ROUND(D599*'FR_Mantenimiento tasas'!$D$48/360,5)</f>
        <v>0</v>
      </c>
    </row>
    <row r="600" spans="1:6">
      <c r="A600" s="123">
        <f>IF(OR(A599='F-Ahorro Futuro Decimos'!$H$16,A599=""),"",IF(A599+1&gt;'F-Ahorro Futuro Decimos'!$H$16,'F-Ahorro Futuro Decimos'!$H$16,A599+1))</f>
        <v>598</v>
      </c>
      <c r="B600" s="122">
        <f>IFERROR(IF(DAY($A600)=DAY('F-Ahorro Futuro Decimos'!$H$15),'F-Ahorro Futuro Decimos'!$H$14,0),0)</f>
        <v>0</v>
      </c>
      <c r="C600" s="122">
        <f>IF(A600='F-Ahorro Futuro Decimos'!$H$18,'F-Ahorro Futuro Decimos'!$H$20,0)</f>
        <v>0</v>
      </c>
      <c r="D600" s="122">
        <f t="shared" si="9"/>
        <v>0</v>
      </c>
      <c r="E600" s="121">
        <f>ROUND(D600*'FR_Mantenimiento tasas'!$C$48/360,5)</f>
        <v>0</v>
      </c>
      <c r="F600" s="121">
        <f>ROUND(D600*'FR_Mantenimiento tasas'!$D$48/360,5)</f>
        <v>0</v>
      </c>
    </row>
    <row r="601" spans="1:6">
      <c r="A601" s="123">
        <f>IF(OR(A600='F-Ahorro Futuro Decimos'!$H$16,A600=""),"",IF(A600+1&gt;'F-Ahorro Futuro Decimos'!$H$16,'F-Ahorro Futuro Decimos'!$H$16,A600+1))</f>
        <v>599</v>
      </c>
      <c r="B601" s="122">
        <f>IFERROR(IF(DAY($A601)=DAY('F-Ahorro Futuro Decimos'!$H$15),'F-Ahorro Futuro Decimos'!$H$14,0),0)</f>
        <v>0</v>
      </c>
      <c r="C601" s="122">
        <f>IF(A601='F-Ahorro Futuro Decimos'!$H$18,'F-Ahorro Futuro Decimos'!$H$20,0)</f>
        <v>0</v>
      </c>
      <c r="D601" s="122">
        <f t="shared" si="9"/>
        <v>0</v>
      </c>
      <c r="E601" s="121">
        <f>ROUND(D601*'FR_Mantenimiento tasas'!$C$48/360,5)</f>
        <v>0</v>
      </c>
      <c r="F601" s="121">
        <f>ROUND(D601*'FR_Mantenimiento tasas'!$D$48/360,5)</f>
        <v>0</v>
      </c>
    </row>
    <row r="602" spans="1:6">
      <c r="A602" s="123">
        <f>IF(OR(A601='F-Ahorro Futuro Decimos'!$H$16,A601=""),"",IF(A601+1&gt;'F-Ahorro Futuro Decimos'!$H$16,'F-Ahorro Futuro Decimos'!$H$16,A601+1))</f>
        <v>600</v>
      </c>
      <c r="B602" s="122">
        <f>IFERROR(IF(DAY($A602)=DAY('F-Ahorro Futuro Decimos'!$H$15),'F-Ahorro Futuro Decimos'!$H$14,0),0)</f>
        <v>0</v>
      </c>
      <c r="C602" s="122">
        <f>IF(A602='F-Ahorro Futuro Decimos'!$H$18,'F-Ahorro Futuro Decimos'!$H$20,0)</f>
        <v>0</v>
      </c>
      <c r="D602" s="122">
        <f t="shared" si="9"/>
        <v>0</v>
      </c>
      <c r="E602" s="121">
        <f>ROUND(D602*'FR_Mantenimiento tasas'!$C$48/360,5)</f>
        <v>0</v>
      </c>
      <c r="F602" s="121">
        <f>ROUND(D602*'FR_Mantenimiento tasas'!$D$48/360,5)</f>
        <v>0</v>
      </c>
    </row>
    <row r="603" spans="1:6">
      <c r="A603" s="123">
        <f>IF(OR(A602='F-Ahorro Futuro Decimos'!$H$16,A602=""),"",IF(A602+1&gt;'F-Ahorro Futuro Decimos'!$H$16,'F-Ahorro Futuro Decimos'!$H$16,A602+1))</f>
        <v>601</v>
      </c>
      <c r="B603" s="122">
        <f>IFERROR(IF(DAY($A603)=DAY('F-Ahorro Futuro Decimos'!$H$15),'F-Ahorro Futuro Decimos'!$H$14,0),0)</f>
        <v>0</v>
      </c>
      <c r="C603" s="122">
        <f>IF(A603='F-Ahorro Futuro Decimos'!$H$18,'F-Ahorro Futuro Decimos'!$H$20,0)</f>
        <v>0</v>
      </c>
      <c r="D603" s="122">
        <f t="shared" si="9"/>
        <v>0</v>
      </c>
      <c r="E603" s="121">
        <f>ROUND(D603*'FR_Mantenimiento tasas'!$C$48/360,5)</f>
        <v>0</v>
      </c>
      <c r="F603" s="121">
        <f>ROUND(D603*'FR_Mantenimiento tasas'!$D$48/360,5)</f>
        <v>0</v>
      </c>
    </row>
    <row r="604" spans="1:6">
      <c r="A604" s="123">
        <f>IF(OR(A603='F-Ahorro Futuro Decimos'!$H$16,A603=""),"",IF(A603+1&gt;'F-Ahorro Futuro Decimos'!$H$16,'F-Ahorro Futuro Decimos'!$H$16,A603+1))</f>
        <v>602</v>
      </c>
      <c r="B604" s="122">
        <f>IFERROR(IF(DAY($A604)=DAY('F-Ahorro Futuro Decimos'!$H$15),'F-Ahorro Futuro Decimos'!$H$14,0),0)</f>
        <v>0</v>
      </c>
      <c r="C604" s="122">
        <f>IF(A604='F-Ahorro Futuro Decimos'!$H$18,'F-Ahorro Futuro Decimos'!$H$20,0)</f>
        <v>0</v>
      </c>
      <c r="D604" s="122">
        <f t="shared" si="9"/>
        <v>0</v>
      </c>
      <c r="E604" s="121">
        <f>ROUND(D604*'FR_Mantenimiento tasas'!$C$48/360,5)</f>
        <v>0</v>
      </c>
      <c r="F604" s="121">
        <f>ROUND(D604*'FR_Mantenimiento tasas'!$D$48/360,5)</f>
        <v>0</v>
      </c>
    </row>
    <row r="605" spans="1:6">
      <c r="A605" s="123">
        <f>IF(OR(A604='F-Ahorro Futuro Decimos'!$H$16,A604=""),"",IF(A604+1&gt;'F-Ahorro Futuro Decimos'!$H$16,'F-Ahorro Futuro Decimos'!$H$16,A604+1))</f>
        <v>603</v>
      </c>
      <c r="B605" s="122">
        <f>IFERROR(IF(DAY($A605)=DAY('F-Ahorro Futuro Decimos'!$H$15),'F-Ahorro Futuro Decimos'!$H$14,0),0)</f>
        <v>0</v>
      </c>
      <c r="C605" s="122">
        <f>IF(A605='F-Ahorro Futuro Decimos'!$H$18,'F-Ahorro Futuro Decimos'!$H$20,0)</f>
        <v>0</v>
      </c>
      <c r="D605" s="122">
        <f t="shared" si="9"/>
        <v>0</v>
      </c>
      <c r="E605" s="121">
        <f>ROUND(D605*'FR_Mantenimiento tasas'!$C$48/360,5)</f>
        <v>0</v>
      </c>
      <c r="F605" s="121">
        <f>ROUND(D605*'FR_Mantenimiento tasas'!$D$48/360,5)</f>
        <v>0</v>
      </c>
    </row>
    <row r="606" spans="1:6">
      <c r="A606" s="123">
        <f>IF(OR(A605='F-Ahorro Futuro Decimos'!$H$16,A605=""),"",IF(A605+1&gt;'F-Ahorro Futuro Decimos'!$H$16,'F-Ahorro Futuro Decimos'!$H$16,A605+1))</f>
        <v>604</v>
      </c>
      <c r="B606" s="122">
        <f>IFERROR(IF(DAY($A606)=DAY('F-Ahorro Futuro Decimos'!$H$15),'F-Ahorro Futuro Decimos'!$H$14,0),0)</f>
        <v>0</v>
      </c>
      <c r="C606" s="122">
        <f>IF(A606='F-Ahorro Futuro Decimos'!$H$18,'F-Ahorro Futuro Decimos'!$H$20,0)</f>
        <v>0</v>
      </c>
      <c r="D606" s="122">
        <f t="shared" si="9"/>
        <v>0</v>
      </c>
      <c r="E606" s="121">
        <f>ROUND(D606*'FR_Mantenimiento tasas'!$C$48/360,5)</f>
        <v>0</v>
      </c>
      <c r="F606" s="121">
        <f>ROUND(D606*'FR_Mantenimiento tasas'!$D$48/360,5)</f>
        <v>0</v>
      </c>
    </row>
    <row r="607" spans="1:6">
      <c r="A607" s="123">
        <f>IF(OR(A606='F-Ahorro Futuro Decimos'!$H$16,A606=""),"",IF(A606+1&gt;'F-Ahorro Futuro Decimos'!$H$16,'F-Ahorro Futuro Decimos'!$H$16,A606+1))</f>
        <v>605</v>
      </c>
      <c r="B607" s="122">
        <f>IFERROR(IF(DAY($A607)=DAY('F-Ahorro Futuro Decimos'!$H$15),'F-Ahorro Futuro Decimos'!$H$14,0),0)</f>
        <v>0</v>
      </c>
      <c r="C607" s="122">
        <f>IF(A607='F-Ahorro Futuro Decimos'!$H$18,'F-Ahorro Futuro Decimos'!$H$20,0)</f>
        <v>0</v>
      </c>
      <c r="D607" s="122">
        <f t="shared" si="9"/>
        <v>0</v>
      </c>
      <c r="E607" s="121">
        <f>ROUND(D607*'FR_Mantenimiento tasas'!$C$48/360,5)</f>
        <v>0</v>
      </c>
      <c r="F607" s="121">
        <f>ROUND(D607*'FR_Mantenimiento tasas'!$D$48/360,5)</f>
        <v>0</v>
      </c>
    </row>
    <row r="608" spans="1:6">
      <c r="A608" s="123">
        <f>IF(OR(A607='F-Ahorro Futuro Decimos'!$H$16,A607=""),"",IF(A607+1&gt;'F-Ahorro Futuro Decimos'!$H$16,'F-Ahorro Futuro Decimos'!$H$16,A607+1))</f>
        <v>606</v>
      </c>
      <c r="B608" s="122">
        <f>IFERROR(IF(DAY($A608)=DAY('F-Ahorro Futuro Decimos'!$H$15),'F-Ahorro Futuro Decimos'!$H$14,0),0)</f>
        <v>0</v>
      </c>
      <c r="C608" s="122">
        <f>IF(A608='F-Ahorro Futuro Decimos'!$H$18,'F-Ahorro Futuro Decimos'!$H$20,0)</f>
        <v>0</v>
      </c>
      <c r="D608" s="122">
        <f t="shared" si="9"/>
        <v>0</v>
      </c>
      <c r="E608" s="121">
        <f>ROUND(D608*'FR_Mantenimiento tasas'!$C$48/360,5)</f>
        <v>0</v>
      </c>
      <c r="F608" s="121">
        <f>ROUND(D608*'FR_Mantenimiento tasas'!$D$48/360,5)</f>
        <v>0</v>
      </c>
    </row>
    <row r="609" spans="1:6">
      <c r="A609" s="123">
        <f>IF(OR(A608='F-Ahorro Futuro Decimos'!$H$16,A608=""),"",IF(A608+1&gt;'F-Ahorro Futuro Decimos'!$H$16,'F-Ahorro Futuro Decimos'!$H$16,A608+1))</f>
        <v>607</v>
      </c>
      <c r="B609" s="122">
        <f>IFERROR(IF(DAY($A609)=DAY('F-Ahorro Futuro Decimos'!$H$15),'F-Ahorro Futuro Decimos'!$H$14,0),0)</f>
        <v>0</v>
      </c>
      <c r="C609" s="122">
        <f>IF(A609='F-Ahorro Futuro Decimos'!$H$18,'F-Ahorro Futuro Decimos'!$H$20,0)</f>
        <v>0</v>
      </c>
      <c r="D609" s="122">
        <f t="shared" si="9"/>
        <v>0</v>
      </c>
      <c r="E609" s="121">
        <f>ROUND(D609*'FR_Mantenimiento tasas'!$C$48/360,5)</f>
        <v>0</v>
      </c>
      <c r="F609" s="121">
        <f>ROUND(D609*'FR_Mantenimiento tasas'!$D$48/360,5)</f>
        <v>0</v>
      </c>
    </row>
    <row r="610" spans="1:6">
      <c r="A610" s="123">
        <f>IF(OR(A609='F-Ahorro Futuro Decimos'!$H$16,A609=""),"",IF(A609+1&gt;'F-Ahorro Futuro Decimos'!$H$16,'F-Ahorro Futuro Decimos'!$H$16,A609+1))</f>
        <v>608</v>
      </c>
      <c r="B610" s="122">
        <f>IFERROR(IF(DAY($A610)=DAY('F-Ahorro Futuro Decimos'!$H$15),'F-Ahorro Futuro Decimos'!$H$14,0),0)</f>
        <v>0</v>
      </c>
      <c r="C610" s="122">
        <f>IF(A610='F-Ahorro Futuro Decimos'!$H$18,'F-Ahorro Futuro Decimos'!$H$20,0)</f>
        <v>0</v>
      </c>
      <c r="D610" s="122">
        <f t="shared" si="9"/>
        <v>0</v>
      </c>
      <c r="E610" s="121">
        <f>ROUND(D610*'FR_Mantenimiento tasas'!$C$48/360,5)</f>
        <v>0</v>
      </c>
      <c r="F610" s="121">
        <f>ROUND(D610*'FR_Mantenimiento tasas'!$D$48/360,5)</f>
        <v>0</v>
      </c>
    </row>
    <row r="611" spans="1:6">
      <c r="A611" s="123">
        <f>IF(OR(A610='F-Ahorro Futuro Decimos'!$H$16,A610=""),"",IF(A610+1&gt;'F-Ahorro Futuro Decimos'!$H$16,'F-Ahorro Futuro Decimos'!$H$16,A610+1))</f>
        <v>609</v>
      </c>
      <c r="B611" s="122">
        <f>IFERROR(IF(DAY($A611)=DAY('F-Ahorro Futuro Decimos'!$H$15),'F-Ahorro Futuro Decimos'!$H$14,0),0)</f>
        <v>0</v>
      </c>
      <c r="C611" s="122">
        <f>IF(A611='F-Ahorro Futuro Decimos'!$H$18,'F-Ahorro Futuro Decimos'!$H$20,0)</f>
        <v>0</v>
      </c>
      <c r="D611" s="122">
        <f t="shared" si="9"/>
        <v>0</v>
      </c>
      <c r="E611" s="121">
        <f>ROUND(D611*'FR_Mantenimiento tasas'!$C$48/360,5)</f>
        <v>0</v>
      </c>
      <c r="F611" s="121">
        <f>ROUND(D611*'FR_Mantenimiento tasas'!$D$48/360,5)</f>
        <v>0</v>
      </c>
    </row>
    <row r="612" spans="1:6">
      <c r="A612" s="123">
        <f>IF(OR(A611='F-Ahorro Futuro Decimos'!$H$16,A611=""),"",IF(A611+1&gt;'F-Ahorro Futuro Decimos'!$H$16,'F-Ahorro Futuro Decimos'!$H$16,A611+1))</f>
        <v>610</v>
      </c>
      <c r="B612" s="122">
        <f>IFERROR(IF(DAY($A612)=DAY('F-Ahorro Futuro Decimos'!$H$15),'F-Ahorro Futuro Decimos'!$H$14,0),0)</f>
        <v>0</v>
      </c>
      <c r="C612" s="122">
        <f>IF(A612='F-Ahorro Futuro Decimos'!$H$18,'F-Ahorro Futuro Decimos'!$H$20,0)</f>
        <v>0</v>
      </c>
      <c r="D612" s="122">
        <f t="shared" si="9"/>
        <v>0</v>
      </c>
      <c r="E612" s="121">
        <f>ROUND(D612*'FR_Mantenimiento tasas'!$C$48/360,5)</f>
        <v>0</v>
      </c>
      <c r="F612" s="121">
        <f>ROUND(D612*'FR_Mantenimiento tasas'!$D$48/360,5)</f>
        <v>0</v>
      </c>
    </row>
    <row r="613" spans="1:6">
      <c r="A613" s="123">
        <f>IF(OR(A612='F-Ahorro Futuro Decimos'!$H$16,A612=""),"",IF(A612+1&gt;'F-Ahorro Futuro Decimos'!$H$16,'F-Ahorro Futuro Decimos'!$H$16,A612+1))</f>
        <v>611</v>
      </c>
      <c r="B613" s="122">
        <f>IFERROR(IF(DAY($A613)=DAY('F-Ahorro Futuro Decimos'!$H$15),'F-Ahorro Futuro Decimos'!$H$14,0),0)</f>
        <v>0</v>
      </c>
      <c r="C613" s="122">
        <f>IF(A613='F-Ahorro Futuro Decimos'!$H$18,'F-Ahorro Futuro Decimos'!$H$20,0)</f>
        <v>0</v>
      </c>
      <c r="D613" s="122">
        <f t="shared" si="9"/>
        <v>0</v>
      </c>
      <c r="E613" s="121">
        <f>ROUND(D613*'FR_Mantenimiento tasas'!$C$48/360,5)</f>
        <v>0</v>
      </c>
      <c r="F613" s="121">
        <f>ROUND(D613*'FR_Mantenimiento tasas'!$D$48/360,5)</f>
        <v>0</v>
      </c>
    </row>
    <row r="614" spans="1:6">
      <c r="A614" s="123">
        <f>IF(OR(A613='F-Ahorro Futuro Decimos'!$H$16,A613=""),"",IF(A613+1&gt;'F-Ahorro Futuro Decimos'!$H$16,'F-Ahorro Futuro Decimos'!$H$16,A613+1))</f>
        <v>612</v>
      </c>
      <c r="B614" s="122">
        <f>IFERROR(IF(DAY($A614)=DAY('F-Ahorro Futuro Decimos'!$H$15),'F-Ahorro Futuro Decimos'!$H$14,0),0)</f>
        <v>0</v>
      </c>
      <c r="C614" s="122">
        <f>IF(A614='F-Ahorro Futuro Decimos'!$H$18,'F-Ahorro Futuro Decimos'!$H$20,0)</f>
        <v>0</v>
      </c>
      <c r="D614" s="122">
        <f t="shared" si="9"/>
        <v>0</v>
      </c>
      <c r="E614" s="121">
        <f>ROUND(D614*'FR_Mantenimiento tasas'!$C$48/360,5)</f>
        <v>0</v>
      </c>
      <c r="F614" s="121">
        <f>ROUND(D614*'FR_Mantenimiento tasas'!$D$48/360,5)</f>
        <v>0</v>
      </c>
    </row>
    <row r="615" spans="1:6">
      <c r="A615" s="123">
        <f>IF(OR(A614='F-Ahorro Futuro Decimos'!$H$16,A614=""),"",IF(A614+1&gt;'F-Ahorro Futuro Decimos'!$H$16,'F-Ahorro Futuro Decimos'!$H$16,A614+1))</f>
        <v>613</v>
      </c>
      <c r="B615" s="122">
        <f>IFERROR(IF(DAY($A615)=DAY('F-Ahorro Futuro Decimos'!$H$15),'F-Ahorro Futuro Decimos'!$H$14,0),0)</f>
        <v>0</v>
      </c>
      <c r="C615" s="122">
        <f>IF(A615='F-Ahorro Futuro Decimos'!$H$18,'F-Ahorro Futuro Decimos'!$H$20,0)</f>
        <v>0</v>
      </c>
      <c r="D615" s="122">
        <f t="shared" si="9"/>
        <v>0</v>
      </c>
      <c r="E615" s="121">
        <f>ROUND(D615*'FR_Mantenimiento tasas'!$C$48/360,5)</f>
        <v>0</v>
      </c>
      <c r="F615" s="121">
        <f>ROUND(D615*'FR_Mantenimiento tasas'!$D$48/360,5)</f>
        <v>0</v>
      </c>
    </row>
    <row r="616" spans="1:6">
      <c r="A616" s="123">
        <f>IF(OR(A615='F-Ahorro Futuro Decimos'!$H$16,A615=""),"",IF(A615+1&gt;'F-Ahorro Futuro Decimos'!$H$16,'F-Ahorro Futuro Decimos'!$H$16,A615+1))</f>
        <v>614</v>
      </c>
      <c r="B616" s="122">
        <f>IFERROR(IF(DAY($A616)=DAY('F-Ahorro Futuro Decimos'!$H$15),'F-Ahorro Futuro Decimos'!$H$14,0),0)</f>
        <v>0</v>
      </c>
      <c r="C616" s="122">
        <f>IF(A616='F-Ahorro Futuro Decimos'!$H$18,'F-Ahorro Futuro Decimos'!$H$20,0)</f>
        <v>0</v>
      </c>
      <c r="D616" s="122">
        <f t="shared" si="9"/>
        <v>0</v>
      </c>
      <c r="E616" s="121">
        <f>ROUND(D616*'FR_Mantenimiento tasas'!$C$48/360,5)</f>
        <v>0</v>
      </c>
      <c r="F616" s="121">
        <f>ROUND(D616*'FR_Mantenimiento tasas'!$D$48/360,5)</f>
        <v>0</v>
      </c>
    </row>
    <row r="617" spans="1:6">
      <c r="A617" s="123">
        <f>IF(OR(A616='F-Ahorro Futuro Decimos'!$H$16,A616=""),"",IF(A616+1&gt;'F-Ahorro Futuro Decimos'!$H$16,'F-Ahorro Futuro Decimos'!$H$16,A616+1))</f>
        <v>615</v>
      </c>
      <c r="B617" s="122">
        <f>IFERROR(IF(DAY($A617)=DAY('F-Ahorro Futuro Decimos'!$H$15),'F-Ahorro Futuro Decimos'!$H$14,0),0)</f>
        <v>0</v>
      </c>
      <c r="C617" s="122">
        <f>IF(A617='F-Ahorro Futuro Decimos'!$H$18,'F-Ahorro Futuro Decimos'!$H$20,0)</f>
        <v>0</v>
      </c>
      <c r="D617" s="122">
        <f t="shared" si="9"/>
        <v>0</v>
      </c>
      <c r="E617" s="121">
        <f>ROUND(D617*'FR_Mantenimiento tasas'!$C$48/360,5)</f>
        <v>0</v>
      </c>
      <c r="F617" s="121">
        <f>ROUND(D617*'FR_Mantenimiento tasas'!$D$48/360,5)</f>
        <v>0</v>
      </c>
    </row>
    <row r="618" spans="1:6">
      <c r="A618" s="123">
        <f>IF(OR(A617='F-Ahorro Futuro Decimos'!$H$16,A617=""),"",IF(A617+1&gt;'F-Ahorro Futuro Decimos'!$H$16,'F-Ahorro Futuro Decimos'!$H$16,A617+1))</f>
        <v>616</v>
      </c>
      <c r="B618" s="122">
        <f>IFERROR(IF(DAY($A618)=DAY('F-Ahorro Futuro Decimos'!$H$15),'F-Ahorro Futuro Decimos'!$H$14,0),0)</f>
        <v>0</v>
      </c>
      <c r="C618" s="122">
        <f>IF(A618='F-Ahorro Futuro Decimos'!$H$18,'F-Ahorro Futuro Decimos'!$H$20,0)</f>
        <v>0</v>
      </c>
      <c r="D618" s="122">
        <f t="shared" si="9"/>
        <v>0</v>
      </c>
      <c r="E618" s="121">
        <f>ROUND(D618*'FR_Mantenimiento tasas'!$C$48/360,5)</f>
        <v>0</v>
      </c>
      <c r="F618" s="121">
        <f>ROUND(D618*'FR_Mantenimiento tasas'!$D$48/360,5)</f>
        <v>0</v>
      </c>
    </row>
    <row r="619" spans="1:6">
      <c r="A619" s="123">
        <f>IF(OR(A618='F-Ahorro Futuro Decimos'!$H$16,A618=""),"",IF(A618+1&gt;'F-Ahorro Futuro Decimos'!$H$16,'F-Ahorro Futuro Decimos'!$H$16,A618+1))</f>
        <v>617</v>
      </c>
      <c r="B619" s="122">
        <f>IFERROR(IF(DAY($A619)=DAY('F-Ahorro Futuro Decimos'!$H$15),'F-Ahorro Futuro Decimos'!$H$14,0),0)</f>
        <v>0</v>
      </c>
      <c r="C619" s="122">
        <f>IF(A619='F-Ahorro Futuro Decimos'!$H$18,'F-Ahorro Futuro Decimos'!$H$20,0)</f>
        <v>0</v>
      </c>
      <c r="D619" s="122">
        <f t="shared" si="9"/>
        <v>0</v>
      </c>
      <c r="E619" s="121">
        <f>ROUND(D619*'FR_Mantenimiento tasas'!$C$48/360,5)</f>
        <v>0</v>
      </c>
      <c r="F619" s="121">
        <f>ROUND(D619*'FR_Mantenimiento tasas'!$D$48/360,5)</f>
        <v>0</v>
      </c>
    </row>
    <row r="620" spans="1:6">
      <c r="A620" s="123">
        <f>IF(OR(A619='F-Ahorro Futuro Decimos'!$H$16,A619=""),"",IF(A619+1&gt;'F-Ahorro Futuro Decimos'!$H$16,'F-Ahorro Futuro Decimos'!$H$16,A619+1))</f>
        <v>618</v>
      </c>
      <c r="B620" s="122">
        <f>IFERROR(IF(DAY($A620)=DAY('F-Ahorro Futuro Decimos'!$H$15),'F-Ahorro Futuro Decimos'!$H$14,0),0)</f>
        <v>0</v>
      </c>
      <c r="C620" s="122">
        <f>IF(A620='F-Ahorro Futuro Decimos'!$H$18,'F-Ahorro Futuro Decimos'!$H$20,0)</f>
        <v>0</v>
      </c>
      <c r="D620" s="122">
        <f t="shared" si="9"/>
        <v>0</v>
      </c>
      <c r="E620" s="121">
        <f>ROUND(D620*'FR_Mantenimiento tasas'!$C$48/360,5)</f>
        <v>0</v>
      </c>
      <c r="F620" s="121">
        <f>ROUND(D620*'FR_Mantenimiento tasas'!$D$48/360,5)</f>
        <v>0</v>
      </c>
    </row>
    <row r="621" spans="1:6">
      <c r="A621" s="123">
        <f>IF(OR(A620='F-Ahorro Futuro Decimos'!$H$16,A620=""),"",IF(A620+1&gt;'F-Ahorro Futuro Decimos'!$H$16,'F-Ahorro Futuro Decimos'!$H$16,A620+1))</f>
        <v>619</v>
      </c>
      <c r="B621" s="122">
        <f>IFERROR(IF(DAY($A621)=DAY('F-Ahorro Futuro Decimos'!$H$15),'F-Ahorro Futuro Decimos'!$H$14,0),0)</f>
        <v>0</v>
      </c>
      <c r="C621" s="122">
        <f>IF(A621='F-Ahorro Futuro Decimos'!$H$18,'F-Ahorro Futuro Decimos'!$H$20,0)</f>
        <v>0</v>
      </c>
      <c r="D621" s="122">
        <f t="shared" si="9"/>
        <v>0</v>
      </c>
      <c r="E621" s="121">
        <f>ROUND(D621*'FR_Mantenimiento tasas'!$C$48/360,5)</f>
        <v>0</v>
      </c>
      <c r="F621" s="121">
        <f>ROUND(D621*'FR_Mantenimiento tasas'!$D$48/360,5)</f>
        <v>0</v>
      </c>
    </row>
    <row r="622" spans="1:6">
      <c r="A622" s="123">
        <f>IF(OR(A621='F-Ahorro Futuro Decimos'!$H$16,A621=""),"",IF(A621+1&gt;'F-Ahorro Futuro Decimos'!$H$16,'F-Ahorro Futuro Decimos'!$H$16,A621+1))</f>
        <v>620</v>
      </c>
      <c r="B622" s="122">
        <f>IFERROR(IF(DAY($A622)=DAY('F-Ahorro Futuro Decimos'!$H$15),'F-Ahorro Futuro Decimos'!$H$14,0),0)</f>
        <v>0</v>
      </c>
      <c r="C622" s="122">
        <f>IF(A622='F-Ahorro Futuro Decimos'!$H$18,'F-Ahorro Futuro Decimos'!$H$20,0)</f>
        <v>0</v>
      </c>
      <c r="D622" s="122">
        <f t="shared" si="9"/>
        <v>0</v>
      </c>
      <c r="E622" s="121">
        <f>ROUND(D622*'FR_Mantenimiento tasas'!$C$48/360,5)</f>
        <v>0</v>
      </c>
      <c r="F622" s="121">
        <f>ROUND(D622*'FR_Mantenimiento tasas'!$D$48/360,5)</f>
        <v>0</v>
      </c>
    </row>
    <row r="623" spans="1:6">
      <c r="A623" s="123">
        <f>IF(OR(A622='F-Ahorro Futuro Decimos'!$H$16,A622=""),"",IF(A622+1&gt;'F-Ahorro Futuro Decimos'!$H$16,'F-Ahorro Futuro Decimos'!$H$16,A622+1))</f>
        <v>621</v>
      </c>
      <c r="B623" s="122">
        <f>IFERROR(IF(DAY($A623)=DAY('F-Ahorro Futuro Decimos'!$H$15),'F-Ahorro Futuro Decimos'!$H$14,0),0)</f>
        <v>0</v>
      </c>
      <c r="C623" s="122">
        <f>IF(A623='F-Ahorro Futuro Decimos'!$H$18,'F-Ahorro Futuro Decimos'!$H$20,0)</f>
        <v>0</v>
      </c>
      <c r="D623" s="122">
        <f t="shared" si="9"/>
        <v>0</v>
      </c>
      <c r="E623" s="121">
        <f>ROUND(D623*'FR_Mantenimiento tasas'!$C$48/360,5)</f>
        <v>0</v>
      </c>
      <c r="F623" s="121">
        <f>ROUND(D623*'FR_Mantenimiento tasas'!$D$48/360,5)</f>
        <v>0</v>
      </c>
    </row>
    <row r="624" spans="1:6">
      <c r="A624" s="123">
        <f>IF(OR(A623='F-Ahorro Futuro Decimos'!$H$16,A623=""),"",IF(A623+1&gt;'F-Ahorro Futuro Decimos'!$H$16,'F-Ahorro Futuro Decimos'!$H$16,A623+1))</f>
        <v>622</v>
      </c>
      <c r="B624" s="122">
        <f>IFERROR(IF(DAY($A624)=DAY('F-Ahorro Futuro Decimos'!$H$15),'F-Ahorro Futuro Decimos'!$H$14,0),0)</f>
        <v>0</v>
      </c>
      <c r="C624" s="122">
        <f>IF(A624='F-Ahorro Futuro Decimos'!$H$18,'F-Ahorro Futuro Decimos'!$H$20,0)</f>
        <v>0</v>
      </c>
      <c r="D624" s="122">
        <f t="shared" si="9"/>
        <v>0</v>
      </c>
      <c r="E624" s="121">
        <f>ROUND(D624*'FR_Mantenimiento tasas'!$C$48/360,5)</f>
        <v>0</v>
      </c>
      <c r="F624" s="121">
        <f>ROUND(D624*'FR_Mantenimiento tasas'!$D$48/360,5)</f>
        <v>0</v>
      </c>
    </row>
    <row r="625" spans="1:6">
      <c r="A625" s="123">
        <f>IF(OR(A624='F-Ahorro Futuro Decimos'!$H$16,A624=""),"",IF(A624+1&gt;'F-Ahorro Futuro Decimos'!$H$16,'F-Ahorro Futuro Decimos'!$H$16,A624+1))</f>
        <v>623</v>
      </c>
      <c r="B625" s="122">
        <f>IFERROR(IF(DAY($A625)=DAY('F-Ahorro Futuro Decimos'!$H$15),'F-Ahorro Futuro Decimos'!$H$14,0),0)</f>
        <v>0</v>
      </c>
      <c r="C625" s="122">
        <f>IF(A625='F-Ahorro Futuro Decimos'!$H$18,'F-Ahorro Futuro Decimos'!$H$20,0)</f>
        <v>0</v>
      </c>
      <c r="D625" s="122">
        <f t="shared" si="9"/>
        <v>0</v>
      </c>
      <c r="E625" s="121">
        <f>ROUND(D625*'FR_Mantenimiento tasas'!$C$48/360,5)</f>
        <v>0</v>
      </c>
      <c r="F625" s="121">
        <f>ROUND(D625*'FR_Mantenimiento tasas'!$D$48/360,5)</f>
        <v>0</v>
      </c>
    </row>
    <row r="626" spans="1:6">
      <c r="A626" s="123">
        <f>IF(OR(A625='F-Ahorro Futuro Decimos'!$H$16,A625=""),"",IF(A625+1&gt;'F-Ahorro Futuro Decimos'!$H$16,'F-Ahorro Futuro Decimos'!$H$16,A625+1))</f>
        <v>624</v>
      </c>
      <c r="B626" s="122">
        <f>IFERROR(IF(DAY($A626)=DAY('F-Ahorro Futuro Decimos'!$H$15),'F-Ahorro Futuro Decimos'!$H$14,0),0)</f>
        <v>0</v>
      </c>
      <c r="C626" s="122">
        <f>IF(A626='F-Ahorro Futuro Decimos'!$H$18,'F-Ahorro Futuro Decimos'!$H$20,0)</f>
        <v>0</v>
      </c>
      <c r="D626" s="122">
        <f t="shared" si="9"/>
        <v>0</v>
      </c>
      <c r="E626" s="121">
        <f>ROUND(D626*'FR_Mantenimiento tasas'!$C$48/360,5)</f>
        <v>0</v>
      </c>
      <c r="F626" s="121">
        <f>ROUND(D626*'FR_Mantenimiento tasas'!$D$48/360,5)</f>
        <v>0</v>
      </c>
    </row>
    <row r="627" spans="1:6">
      <c r="A627" s="123">
        <f>IF(OR(A626='F-Ahorro Futuro Decimos'!$H$16,A626=""),"",IF(A626+1&gt;'F-Ahorro Futuro Decimos'!$H$16,'F-Ahorro Futuro Decimos'!$H$16,A626+1))</f>
        <v>625</v>
      </c>
      <c r="B627" s="122">
        <f>IFERROR(IF(DAY($A627)=DAY('F-Ahorro Futuro Decimos'!$H$15),'F-Ahorro Futuro Decimos'!$H$14,0),0)</f>
        <v>0</v>
      </c>
      <c r="C627" s="122">
        <f>IF(A627='F-Ahorro Futuro Decimos'!$H$18,'F-Ahorro Futuro Decimos'!$H$20,0)</f>
        <v>0</v>
      </c>
      <c r="D627" s="122">
        <f t="shared" si="9"/>
        <v>0</v>
      </c>
      <c r="E627" s="121">
        <f>ROUND(D627*'FR_Mantenimiento tasas'!$C$48/360,5)</f>
        <v>0</v>
      </c>
      <c r="F627" s="121">
        <f>ROUND(D627*'FR_Mantenimiento tasas'!$D$48/360,5)</f>
        <v>0</v>
      </c>
    </row>
    <row r="628" spans="1:6">
      <c r="A628" s="123">
        <f>IF(OR(A627='F-Ahorro Futuro Decimos'!$H$16,A627=""),"",IF(A627+1&gt;'F-Ahorro Futuro Decimos'!$H$16,'F-Ahorro Futuro Decimos'!$H$16,A627+1))</f>
        <v>626</v>
      </c>
      <c r="B628" s="122">
        <f>IFERROR(IF(DAY($A628)=DAY('F-Ahorro Futuro Decimos'!$H$15),'F-Ahorro Futuro Decimos'!$H$14,0),0)</f>
        <v>0</v>
      </c>
      <c r="C628" s="122">
        <f>IF(A628='F-Ahorro Futuro Decimos'!$H$18,'F-Ahorro Futuro Decimos'!$H$20,0)</f>
        <v>0</v>
      </c>
      <c r="D628" s="122">
        <f t="shared" si="9"/>
        <v>0</v>
      </c>
      <c r="E628" s="121">
        <f>ROUND(D628*'FR_Mantenimiento tasas'!$C$48/360,5)</f>
        <v>0</v>
      </c>
      <c r="F628" s="121">
        <f>ROUND(D628*'FR_Mantenimiento tasas'!$D$48/360,5)</f>
        <v>0</v>
      </c>
    </row>
    <row r="629" spans="1:6">
      <c r="A629" s="123">
        <f>IF(OR(A628='F-Ahorro Futuro Decimos'!$H$16,A628=""),"",IF(A628+1&gt;'F-Ahorro Futuro Decimos'!$H$16,'F-Ahorro Futuro Decimos'!$H$16,A628+1))</f>
        <v>627</v>
      </c>
      <c r="B629" s="122">
        <f>IFERROR(IF(DAY($A629)=DAY('F-Ahorro Futuro Decimos'!$H$15),'F-Ahorro Futuro Decimos'!$H$14,0),0)</f>
        <v>0</v>
      </c>
      <c r="C629" s="122">
        <f>IF(A629='F-Ahorro Futuro Decimos'!$H$18,'F-Ahorro Futuro Decimos'!$H$20,0)</f>
        <v>0</v>
      </c>
      <c r="D629" s="122">
        <f t="shared" si="9"/>
        <v>0</v>
      </c>
      <c r="E629" s="121">
        <f>ROUND(D629*'FR_Mantenimiento tasas'!$C$48/360,5)</f>
        <v>0</v>
      </c>
      <c r="F629" s="121">
        <f>ROUND(D629*'FR_Mantenimiento tasas'!$D$48/360,5)</f>
        <v>0</v>
      </c>
    </row>
    <row r="630" spans="1:6">
      <c r="A630" s="123">
        <f>IF(OR(A629='F-Ahorro Futuro Decimos'!$H$16,A629=""),"",IF(A629+1&gt;'F-Ahorro Futuro Decimos'!$H$16,'F-Ahorro Futuro Decimos'!$H$16,A629+1))</f>
        <v>628</v>
      </c>
      <c r="B630" s="122">
        <f>IFERROR(IF(DAY($A630)=DAY('F-Ahorro Futuro Decimos'!$H$15),'F-Ahorro Futuro Decimos'!$H$14,0),0)</f>
        <v>0</v>
      </c>
      <c r="C630" s="122">
        <f>IF(A630='F-Ahorro Futuro Decimos'!$H$18,'F-Ahorro Futuro Decimos'!$H$20,0)</f>
        <v>0</v>
      </c>
      <c r="D630" s="122">
        <f t="shared" si="9"/>
        <v>0</v>
      </c>
      <c r="E630" s="121">
        <f>ROUND(D630*'FR_Mantenimiento tasas'!$C$48/360,5)</f>
        <v>0</v>
      </c>
      <c r="F630" s="121">
        <f>ROUND(D630*'FR_Mantenimiento tasas'!$D$48/360,5)</f>
        <v>0</v>
      </c>
    </row>
    <row r="631" spans="1:6">
      <c r="A631" s="123">
        <f>IF(OR(A630='F-Ahorro Futuro Decimos'!$H$16,A630=""),"",IF(A630+1&gt;'F-Ahorro Futuro Decimos'!$H$16,'F-Ahorro Futuro Decimos'!$H$16,A630+1))</f>
        <v>629</v>
      </c>
      <c r="B631" s="122">
        <f>IFERROR(IF(DAY($A631)=DAY('F-Ahorro Futuro Decimos'!$H$15),'F-Ahorro Futuro Decimos'!$H$14,0),0)</f>
        <v>0</v>
      </c>
      <c r="C631" s="122">
        <f>IF(A631='F-Ahorro Futuro Decimos'!$H$18,'F-Ahorro Futuro Decimos'!$H$20,0)</f>
        <v>0</v>
      </c>
      <c r="D631" s="122">
        <f t="shared" si="9"/>
        <v>0</v>
      </c>
      <c r="E631" s="121">
        <f>ROUND(D631*'FR_Mantenimiento tasas'!$C$48/360,5)</f>
        <v>0</v>
      </c>
      <c r="F631" s="121">
        <f>ROUND(D631*'FR_Mantenimiento tasas'!$D$48/360,5)</f>
        <v>0</v>
      </c>
    </row>
    <row r="632" spans="1:6">
      <c r="A632" s="123">
        <f>IF(OR(A631='F-Ahorro Futuro Decimos'!$H$16,A631=""),"",IF(A631+1&gt;'F-Ahorro Futuro Decimos'!$H$16,'F-Ahorro Futuro Decimos'!$H$16,A631+1))</f>
        <v>630</v>
      </c>
      <c r="B632" s="122">
        <f>IFERROR(IF(DAY($A632)=DAY('F-Ahorro Futuro Decimos'!$H$15),'F-Ahorro Futuro Decimos'!$H$14,0),0)</f>
        <v>0</v>
      </c>
      <c r="C632" s="122">
        <f>IF(A632='F-Ahorro Futuro Decimos'!$H$18,'F-Ahorro Futuro Decimos'!$H$20,0)</f>
        <v>0</v>
      </c>
      <c r="D632" s="122">
        <f t="shared" si="9"/>
        <v>0</v>
      </c>
      <c r="E632" s="121">
        <f>ROUND(D632*'FR_Mantenimiento tasas'!$C$48/360,5)</f>
        <v>0</v>
      </c>
      <c r="F632" s="121">
        <f>ROUND(D632*'FR_Mantenimiento tasas'!$D$48/360,5)</f>
        <v>0</v>
      </c>
    </row>
    <row r="633" spans="1:6">
      <c r="A633" s="123">
        <f>IF(OR(A632='F-Ahorro Futuro Decimos'!$H$16,A632=""),"",IF(A632+1&gt;'F-Ahorro Futuro Decimos'!$H$16,'F-Ahorro Futuro Decimos'!$H$16,A632+1))</f>
        <v>631</v>
      </c>
      <c r="B633" s="122">
        <f>IFERROR(IF(DAY($A633)=DAY('F-Ahorro Futuro Decimos'!$H$15),'F-Ahorro Futuro Decimos'!$H$14,0),0)</f>
        <v>0</v>
      </c>
      <c r="C633" s="122">
        <f>IF(A633='F-Ahorro Futuro Decimos'!$H$18,'F-Ahorro Futuro Decimos'!$H$20,0)</f>
        <v>0</v>
      </c>
      <c r="D633" s="122">
        <f t="shared" si="9"/>
        <v>0</v>
      </c>
      <c r="E633" s="121">
        <f>ROUND(D633*'FR_Mantenimiento tasas'!$C$48/360,5)</f>
        <v>0</v>
      </c>
      <c r="F633" s="121">
        <f>ROUND(D633*'FR_Mantenimiento tasas'!$D$48/360,5)</f>
        <v>0</v>
      </c>
    </row>
    <row r="634" spans="1:6">
      <c r="A634" s="123">
        <f>IF(OR(A633='F-Ahorro Futuro Decimos'!$H$16,A633=""),"",IF(A633+1&gt;'F-Ahorro Futuro Decimos'!$H$16,'F-Ahorro Futuro Decimos'!$H$16,A633+1))</f>
        <v>632</v>
      </c>
      <c r="B634" s="122">
        <f>IFERROR(IF(DAY($A634)=DAY('F-Ahorro Futuro Decimos'!$H$15),'F-Ahorro Futuro Decimos'!$H$14,0),0)</f>
        <v>0</v>
      </c>
      <c r="C634" s="122">
        <f>IF(A634='F-Ahorro Futuro Decimos'!$H$18,'F-Ahorro Futuro Decimos'!$H$20,0)</f>
        <v>0</v>
      </c>
      <c r="D634" s="122">
        <f t="shared" si="9"/>
        <v>0</v>
      </c>
      <c r="E634" s="121">
        <f>ROUND(D634*'FR_Mantenimiento tasas'!$C$48/360,5)</f>
        <v>0</v>
      </c>
      <c r="F634" s="121">
        <f>ROUND(D634*'FR_Mantenimiento tasas'!$D$48/360,5)</f>
        <v>0</v>
      </c>
    </row>
    <row r="635" spans="1:6">
      <c r="A635" s="123">
        <f>IF(OR(A634='F-Ahorro Futuro Decimos'!$H$16,A634=""),"",IF(A634+1&gt;'F-Ahorro Futuro Decimos'!$H$16,'F-Ahorro Futuro Decimos'!$H$16,A634+1))</f>
        <v>633</v>
      </c>
      <c r="B635" s="122">
        <f>IFERROR(IF(DAY($A635)=DAY('F-Ahorro Futuro Decimos'!$H$15),'F-Ahorro Futuro Decimos'!$H$14,0),0)</f>
        <v>0</v>
      </c>
      <c r="C635" s="122">
        <f>IF(A635='F-Ahorro Futuro Decimos'!$H$18,'F-Ahorro Futuro Decimos'!$H$20,0)</f>
        <v>0</v>
      </c>
      <c r="D635" s="122">
        <f t="shared" si="9"/>
        <v>0</v>
      </c>
      <c r="E635" s="121">
        <f>ROUND(D635*'FR_Mantenimiento tasas'!$C$48/360,5)</f>
        <v>0</v>
      </c>
      <c r="F635" s="121">
        <f>ROUND(D635*'FR_Mantenimiento tasas'!$D$48/360,5)</f>
        <v>0</v>
      </c>
    </row>
    <row r="636" spans="1:6">
      <c r="A636" s="123">
        <f>IF(OR(A635='F-Ahorro Futuro Decimos'!$H$16,A635=""),"",IF(A635+1&gt;'F-Ahorro Futuro Decimos'!$H$16,'F-Ahorro Futuro Decimos'!$H$16,A635+1))</f>
        <v>634</v>
      </c>
      <c r="B636" s="122">
        <f>IFERROR(IF(DAY($A636)=DAY('F-Ahorro Futuro Decimos'!$H$15),'F-Ahorro Futuro Decimos'!$H$14,0),0)</f>
        <v>0</v>
      </c>
      <c r="C636" s="122">
        <f>IF(A636='F-Ahorro Futuro Decimos'!$H$18,'F-Ahorro Futuro Decimos'!$H$20,0)</f>
        <v>0</v>
      </c>
      <c r="D636" s="122">
        <f t="shared" si="9"/>
        <v>0</v>
      </c>
      <c r="E636" s="121">
        <f>ROUND(D636*'FR_Mantenimiento tasas'!$C$48/360,5)</f>
        <v>0</v>
      </c>
      <c r="F636" s="121">
        <f>ROUND(D636*'FR_Mantenimiento tasas'!$D$48/360,5)</f>
        <v>0</v>
      </c>
    </row>
    <row r="637" spans="1:6">
      <c r="A637" s="123">
        <f>IF(OR(A636='F-Ahorro Futuro Decimos'!$H$16,A636=""),"",IF(A636+1&gt;'F-Ahorro Futuro Decimos'!$H$16,'F-Ahorro Futuro Decimos'!$H$16,A636+1))</f>
        <v>635</v>
      </c>
      <c r="B637" s="122">
        <f>IFERROR(IF(DAY($A637)=DAY('F-Ahorro Futuro Decimos'!$H$15),'F-Ahorro Futuro Decimos'!$H$14,0),0)</f>
        <v>0</v>
      </c>
      <c r="C637" s="122">
        <f>IF(A637='F-Ahorro Futuro Decimos'!$H$18,'F-Ahorro Futuro Decimos'!$H$20,0)</f>
        <v>0</v>
      </c>
      <c r="D637" s="122">
        <f t="shared" si="9"/>
        <v>0</v>
      </c>
      <c r="E637" s="121">
        <f>ROUND(D637*'FR_Mantenimiento tasas'!$C$48/360,5)</f>
        <v>0</v>
      </c>
      <c r="F637" s="121">
        <f>ROUND(D637*'FR_Mantenimiento tasas'!$D$48/360,5)</f>
        <v>0</v>
      </c>
    </row>
    <row r="638" spans="1:6">
      <c r="A638" s="123">
        <f>IF(OR(A637='F-Ahorro Futuro Decimos'!$H$16,A637=""),"",IF(A637+1&gt;'F-Ahorro Futuro Decimos'!$H$16,'F-Ahorro Futuro Decimos'!$H$16,A637+1))</f>
        <v>636</v>
      </c>
      <c r="B638" s="122">
        <f>IFERROR(IF(DAY($A638)=DAY('F-Ahorro Futuro Decimos'!$H$15),'F-Ahorro Futuro Decimos'!$H$14,0),0)</f>
        <v>0</v>
      </c>
      <c r="C638" s="122">
        <f>IF(A638='F-Ahorro Futuro Decimos'!$H$18,'F-Ahorro Futuro Decimos'!$H$20,0)</f>
        <v>0</v>
      </c>
      <c r="D638" s="122">
        <f t="shared" si="9"/>
        <v>0</v>
      </c>
      <c r="E638" s="121">
        <f>ROUND(D638*'FR_Mantenimiento tasas'!$C$48/360,5)</f>
        <v>0</v>
      </c>
      <c r="F638" s="121">
        <f>ROUND(D638*'FR_Mantenimiento tasas'!$D$48/360,5)</f>
        <v>0</v>
      </c>
    </row>
    <row r="639" spans="1:6">
      <c r="A639" s="123">
        <f>IF(OR(A638='F-Ahorro Futuro Decimos'!$H$16,A638=""),"",IF(A638+1&gt;'F-Ahorro Futuro Decimos'!$H$16,'F-Ahorro Futuro Decimos'!$H$16,A638+1))</f>
        <v>637</v>
      </c>
      <c r="B639" s="122">
        <f>IFERROR(IF(DAY($A639)=DAY('F-Ahorro Futuro Decimos'!$H$15),'F-Ahorro Futuro Decimos'!$H$14,0),0)</f>
        <v>0</v>
      </c>
      <c r="C639" s="122">
        <f>IF(A639='F-Ahorro Futuro Decimos'!$H$18,'F-Ahorro Futuro Decimos'!$H$20,0)</f>
        <v>0</v>
      </c>
      <c r="D639" s="122">
        <f t="shared" si="9"/>
        <v>0</v>
      </c>
      <c r="E639" s="121">
        <f>ROUND(D639*'FR_Mantenimiento tasas'!$C$48/360,5)</f>
        <v>0</v>
      </c>
      <c r="F639" s="121">
        <f>ROUND(D639*'FR_Mantenimiento tasas'!$D$48/360,5)</f>
        <v>0</v>
      </c>
    </row>
    <row r="640" spans="1:6">
      <c r="A640" s="123">
        <f>IF(OR(A639='F-Ahorro Futuro Decimos'!$H$16,A639=""),"",IF(A639+1&gt;'F-Ahorro Futuro Decimos'!$H$16,'F-Ahorro Futuro Decimos'!$H$16,A639+1))</f>
        <v>638</v>
      </c>
      <c r="B640" s="122">
        <f>IFERROR(IF(DAY($A640)=DAY('F-Ahorro Futuro Decimos'!$H$15),'F-Ahorro Futuro Decimos'!$H$14,0),0)</f>
        <v>0</v>
      </c>
      <c r="C640" s="122">
        <f>IF(A640='F-Ahorro Futuro Decimos'!$H$18,'F-Ahorro Futuro Decimos'!$H$20,0)</f>
        <v>0</v>
      </c>
      <c r="D640" s="122">
        <f t="shared" si="9"/>
        <v>0</v>
      </c>
      <c r="E640" s="121">
        <f>ROUND(D640*'FR_Mantenimiento tasas'!$C$48/360,5)</f>
        <v>0</v>
      </c>
      <c r="F640" s="121">
        <f>ROUND(D640*'FR_Mantenimiento tasas'!$D$48/360,5)</f>
        <v>0</v>
      </c>
    </row>
    <row r="641" spans="1:6">
      <c r="A641" s="123">
        <f>IF(OR(A640='F-Ahorro Futuro Decimos'!$H$16,A640=""),"",IF(A640+1&gt;'F-Ahorro Futuro Decimos'!$H$16,'F-Ahorro Futuro Decimos'!$H$16,A640+1))</f>
        <v>639</v>
      </c>
      <c r="B641" s="122">
        <f>IFERROR(IF(DAY($A641)=DAY('F-Ahorro Futuro Decimos'!$H$15),'F-Ahorro Futuro Decimos'!$H$14,0),0)</f>
        <v>0</v>
      </c>
      <c r="C641" s="122">
        <f>IF(A641='F-Ahorro Futuro Decimos'!$H$18,'F-Ahorro Futuro Decimos'!$H$20,0)</f>
        <v>0</v>
      </c>
      <c r="D641" s="122">
        <f t="shared" si="9"/>
        <v>0</v>
      </c>
      <c r="E641" s="121">
        <f>ROUND(D641*'FR_Mantenimiento tasas'!$C$48/360,5)</f>
        <v>0</v>
      </c>
      <c r="F641" s="121">
        <f>ROUND(D641*'FR_Mantenimiento tasas'!$D$48/360,5)</f>
        <v>0</v>
      </c>
    </row>
    <row r="642" spans="1:6">
      <c r="A642" s="123">
        <f>IF(OR(A641='F-Ahorro Futuro Decimos'!$H$16,A641=""),"",IF(A641+1&gt;'F-Ahorro Futuro Decimos'!$H$16,'F-Ahorro Futuro Decimos'!$H$16,A641+1))</f>
        <v>640</v>
      </c>
      <c r="B642" s="122">
        <f>IFERROR(IF(DAY($A642)=DAY('F-Ahorro Futuro Decimos'!$H$15),'F-Ahorro Futuro Decimos'!$H$14,0),0)</f>
        <v>0</v>
      </c>
      <c r="C642" s="122">
        <f>IF(A642='F-Ahorro Futuro Decimos'!$H$18,'F-Ahorro Futuro Decimos'!$H$20,0)</f>
        <v>0</v>
      </c>
      <c r="D642" s="122">
        <f t="shared" si="9"/>
        <v>0</v>
      </c>
      <c r="E642" s="121">
        <f>ROUND(D642*'FR_Mantenimiento tasas'!$C$48/360,5)</f>
        <v>0</v>
      </c>
      <c r="F642" s="121">
        <f>ROUND(D642*'FR_Mantenimiento tasas'!$D$48/360,5)</f>
        <v>0</v>
      </c>
    </row>
    <row r="643" spans="1:6">
      <c r="A643" s="123">
        <f>IF(OR(A642='F-Ahorro Futuro Decimos'!$H$16,A642=""),"",IF(A642+1&gt;'F-Ahorro Futuro Decimos'!$H$16,'F-Ahorro Futuro Decimos'!$H$16,A642+1))</f>
        <v>641</v>
      </c>
      <c r="B643" s="122">
        <f>IFERROR(IF(DAY($A643)=DAY('F-Ahorro Futuro Decimos'!$H$15),'F-Ahorro Futuro Decimos'!$H$14,0),0)</f>
        <v>0</v>
      </c>
      <c r="C643" s="122">
        <f>IF(A643='F-Ahorro Futuro Decimos'!$H$18,'F-Ahorro Futuro Decimos'!$H$20,0)</f>
        <v>0</v>
      </c>
      <c r="D643" s="122">
        <f t="shared" si="9"/>
        <v>0</v>
      </c>
      <c r="E643" s="121">
        <f>ROUND(D643*'FR_Mantenimiento tasas'!$C$48/360,5)</f>
        <v>0</v>
      </c>
      <c r="F643" s="121">
        <f>ROUND(D643*'FR_Mantenimiento tasas'!$D$48/360,5)</f>
        <v>0</v>
      </c>
    </row>
    <row r="644" spans="1:6">
      <c r="A644" s="123">
        <f>IF(OR(A643='F-Ahorro Futuro Decimos'!$H$16,A643=""),"",IF(A643+1&gt;'F-Ahorro Futuro Decimos'!$H$16,'F-Ahorro Futuro Decimos'!$H$16,A643+1))</f>
        <v>642</v>
      </c>
      <c r="B644" s="122">
        <f>IFERROR(IF(DAY($A644)=DAY('F-Ahorro Futuro Decimos'!$H$15),'F-Ahorro Futuro Decimos'!$H$14,0),0)</f>
        <v>0</v>
      </c>
      <c r="C644" s="122">
        <f>IF(A644='F-Ahorro Futuro Decimos'!$H$18,'F-Ahorro Futuro Decimos'!$H$20,0)</f>
        <v>0</v>
      </c>
      <c r="D644" s="122">
        <f t="shared" ref="D644:D707" si="10">+B644+D643+E643-C644</f>
        <v>0</v>
      </c>
      <c r="E644" s="121">
        <f>ROUND(D644*'FR_Mantenimiento tasas'!$C$48/360,5)</f>
        <v>0</v>
      </c>
      <c r="F644" s="121">
        <f>ROUND(D644*'FR_Mantenimiento tasas'!$D$48/360,5)</f>
        <v>0</v>
      </c>
    </row>
    <row r="645" spans="1:6">
      <c r="A645" s="123">
        <f>IF(OR(A644='F-Ahorro Futuro Decimos'!$H$16,A644=""),"",IF(A644+1&gt;'F-Ahorro Futuro Decimos'!$H$16,'F-Ahorro Futuro Decimos'!$H$16,A644+1))</f>
        <v>643</v>
      </c>
      <c r="B645" s="122">
        <f>IFERROR(IF(DAY($A645)=DAY('F-Ahorro Futuro Decimos'!$H$15),'F-Ahorro Futuro Decimos'!$H$14,0),0)</f>
        <v>0</v>
      </c>
      <c r="C645" s="122">
        <f>IF(A645='F-Ahorro Futuro Decimos'!$H$18,'F-Ahorro Futuro Decimos'!$H$20,0)</f>
        <v>0</v>
      </c>
      <c r="D645" s="122">
        <f t="shared" si="10"/>
        <v>0</v>
      </c>
      <c r="E645" s="121">
        <f>ROUND(D645*'FR_Mantenimiento tasas'!$C$48/360,5)</f>
        <v>0</v>
      </c>
      <c r="F645" s="121">
        <f>ROUND(D645*'FR_Mantenimiento tasas'!$D$48/360,5)</f>
        <v>0</v>
      </c>
    </row>
    <row r="646" spans="1:6">
      <c r="A646" s="123">
        <f>IF(OR(A645='F-Ahorro Futuro Decimos'!$H$16,A645=""),"",IF(A645+1&gt;'F-Ahorro Futuro Decimos'!$H$16,'F-Ahorro Futuro Decimos'!$H$16,A645+1))</f>
        <v>644</v>
      </c>
      <c r="B646" s="122">
        <f>IFERROR(IF(DAY($A646)=DAY('F-Ahorro Futuro Decimos'!$H$15),'F-Ahorro Futuro Decimos'!$H$14,0),0)</f>
        <v>0</v>
      </c>
      <c r="C646" s="122">
        <f>IF(A646='F-Ahorro Futuro Decimos'!$H$18,'F-Ahorro Futuro Decimos'!$H$20,0)</f>
        <v>0</v>
      </c>
      <c r="D646" s="122">
        <f t="shared" si="10"/>
        <v>0</v>
      </c>
      <c r="E646" s="121">
        <f>ROUND(D646*'FR_Mantenimiento tasas'!$C$48/360,5)</f>
        <v>0</v>
      </c>
      <c r="F646" s="121">
        <f>ROUND(D646*'FR_Mantenimiento tasas'!$D$48/360,5)</f>
        <v>0</v>
      </c>
    </row>
    <row r="647" spans="1:6">
      <c r="A647" s="123">
        <f>IF(OR(A646='F-Ahorro Futuro Decimos'!$H$16,A646=""),"",IF(A646+1&gt;'F-Ahorro Futuro Decimos'!$H$16,'F-Ahorro Futuro Decimos'!$H$16,A646+1))</f>
        <v>645</v>
      </c>
      <c r="B647" s="122">
        <f>IFERROR(IF(DAY($A647)=DAY('F-Ahorro Futuro Decimos'!$H$15),'F-Ahorro Futuro Decimos'!$H$14,0),0)</f>
        <v>0</v>
      </c>
      <c r="C647" s="122">
        <f>IF(A647='F-Ahorro Futuro Decimos'!$H$18,'F-Ahorro Futuro Decimos'!$H$20,0)</f>
        <v>0</v>
      </c>
      <c r="D647" s="122">
        <f t="shared" si="10"/>
        <v>0</v>
      </c>
      <c r="E647" s="121">
        <f>ROUND(D647*'FR_Mantenimiento tasas'!$C$48/360,5)</f>
        <v>0</v>
      </c>
      <c r="F647" s="121">
        <f>ROUND(D647*'FR_Mantenimiento tasas'!$D$48/360,5)</f>
        <v>0</v>
      </c>
    </row>
    <row r="648" spans="1:6">
      <c r="A648" s="123">
        <f>IF(OR(A647='F-Ahorro Futuro Decimos'!$H$16,A647=""),"",IF(A647+1&gt;'F-Ahorro Futuro Decimos'!$H$16,'F-Ahorro Futuro Decimos'!$H$16,A647+1))</f>
        <v>646</v>
      </c>
      <c r="B648" s="122">
        <f>IFERROR(IF(DAY($A648)=DAY('F-Ahorro Futuro Decimos'!$H$15),'F-Ahorro Futuro Decimos'!$H$14,0),0)</f>
        <v>0</v>
      </c>
      <c r="C648" s="122">
        <f>IF(A648='F-Ahorro Futuro Decimos'!$H$18,'F-Ahorro Futuro Decimos'!$H$20,0)</f>
        <v>0</v>
      </c>
      <c r="D648" s="122">
        <f t="shared" si="10"/>
        <v>0</v>
      </c>
      <c r="E648" s="121">
        <f>ROUND(D648*'FR_Mantenimiento tasas'!$C$48/360,5)</f>
        <v>0</v>
      </c>
      <c r="F648" s="121">
        <f>ROUND(D648*'FR_Mantenimiento tasas'!$D$48/360,5)</f>
        <v>0</v>
      </c>
    </row>
    <row r="649" spans="1:6">
      <c r="A649" s="123">
        <f>IF(OR(A648='F-Ahorro Futuro Decimos'!$H$16,A648=""),"",IF(A648+1&gt;'F-Ahorro Futuro Decimos'!$H$16,'F-Ahorro Futuro Decimos'!$H$16,A648+1))</f>
        <v>647</v>
      </c>
      <c r="B649" s="122">
        <f>IFERROR(IF(DAY($A649)=DAY('F-Ahorro Futuro Decimos'!$H$15),'F-Ahorro Futuro Decimos'!$H$14,0),0)</f>
        <v>0</v>
      </c>
      <c r="C649" s="122">
        <f>IF(A649='F-Ahorro Futuro Decimos'!$H$18,'F-Ahorro Futuro Decimos'!$H$20,0)</f>
        <v>0</v>
      </c>
      <c r="D649" s="122">
        <f t="shared" si="10"/>
        <v>0</v>
      </c>
      <c r="E649" s="121">
        <f>ROUND(D649*'FR_Mantenimiento tasas'!$C$48/360,5)</f>
        <v>0</v>
      </c>
      <c r="F649" s="121">
        <f>ROUND(D649*'FR_Mantenimiento tasas'!$D$48/360,5)</f>
        <v>0</v>
      </c>
    </row>
    <row r="650" spans="1:6">
      <c r="A650" s="123">
        <f>IF(OR(A649='F-Ahorro Futuro Decimos'!$H$16,A649=""),"",IF(A649+1&gt;'F-Ahorro Futuro Decimos'!$H$16,'F-Ahorro Futuro Decimos'!$H$16,A649+1))</f>
        <v>648</v>
      </c>
      <c r="B650" s="122">
        <f>IFERROR(IF(DAY($A650)=DAY('F-Ahorro Futuro Decimos'!$H$15),'F-Ahorro Futuro Decimos'!$H$14,0),0)</f>
        <v>0</v>
      </c>
      <c r="C650" s="122">
        <f>IF(A650='F-Ahorro Futuro Decimos'!$H$18,'F-Ahorro Futuro Decimos'!$H$20,0)</f>
        <v>0</v>
      </c>
      <c r="D650" s="122">
        <f t="shared" si="10"/>
        <v>0</v>
      </c>
      <c r="E650" s="121">
        <f>ROUND(D650*'FR_Mantenimiento tasas'!$C$48/360,5)</f>
        <v>0</v>
      </c>
      <c r="F650" s="121">
        <f>ROUND(D650*'FR_Mantenimiento tasas'!$D$48/360,5)</f>
        <v>0</v>
      </c>
    </row>
    <row r="651" spans="1:6">
      <c r="A651" s="123">
        <f>IF(OR(A650='F-Ahorro Futuro Decimos'!$H$16,A650=""),"",IF(A650+1&gt;'F-Ahorro Futuro Decimos'!$H$16,'F-Ahorro Futuro Decimos'!$H$16,A650+1))</f>
        <v>649</v>
      </c>
      <c r="B651" s="122">
        <f>IFERROR(IF(DAY($A651)=DAY('F-Ahorro Futuro Decimos'!$H$15),'F-Ahorro Futuro Decimos'!$H$14,0),0)</f>
        <v>0</v>
      </c>
      <c r="C651" s="122">
        <f>IF(A651='F-Ahorro Futuro Decimos'!$H$18,'F-Ahorro Futuro Decimos'!$H$20,0)</f>
        <v>0</v>
      </c>
      <c r="D651" s="122">
        <f t="shared" si="10"/>
        <v>0</v>
      </c>
      <c r="E651" s="121">
        <f>ROUND(D651*'FR_Mantenimiento tasas'!$C$48/360,5)</f>
        <v>0</v>
      </c>
      <c r="F651" s="121">
        <f>ROUND(D651*'FR_Mantenimiento tasas'!$D$48/360,5)</f>
        <v>0</v>
      </c>
    </row>
    <row r="652" spans="1:6">
      <c r="A652" s="123">
        <f>IF(OR(A651='F-Ahorro Futuro Decimos'!$H$16,A651=""),"",IF(A651+1&gt;'F-Ahorro Futuro Decimos'!$H$16,'F-Ahorro Futuro Decimos'!$H$16,A651+1))</f>
        <v>650</v>
      </c>
      <c r="B652" s="122">
        <f>IFERROR(IF(DAY($A652)=DAY('F-Ahorro Futuro Decimos'!$H$15),'F-Ahorro Futuro Decimos'!$H$14,0),0)</f>
        <v>0</v>
      </c>
      <c r="C652" s="122">
        <f>IF(A652='F-Ahorro Futuro Decimos'!$H$18,'F-Ahorro Futuro Decimos'!$H$20,0)</f>
        <v>0</v>
      </c>
      <c r="D652" s="122">
        <f t="shared" si="10"/>
        <v>0</v>
      </c>
      <c r="E652" s="121">
        <f>ROUND(D652*'FR_Mantenimiento tasas'!$C$48/360,5)</f>
        <v>0</v>
      </c>
      <c r="F652" s="121">
        <f>ROUND(D652*'FR_Mantenimiento tasas'!$D$48/360,5)</f>
        <v>0</v>
      </c>
    </row>
    <row r="653" spans="1:6">
      <c r="A653" s="123">
        <f>IF(OR(A652='F-Ahorro Futuro Decimos'!$H$16,A652=""),"",IF(A652+1&gt;'F-Ahorro Futuro Decimos'!$H$16,'F-Ahorro Futuro Decimos'!$H$16,A652+1))</f>
        <v>651</v>
      </c>
      <c r="B653" s="122">
        <f>IFERROR(IF(DAY($A653)=DAY('F-Ahorro Futuro Decimos'!$H$15),'F-Ahorro Futuro Decimos'!$H$14,0),0)</f>
        <v>0</v>
      </c>
      <c r="C653" s="122">
        <f>IF(A653='F-Ahorro Futuro Decimos'!$H$18,'F-Ahorro Futuro Decimos'!$H$20,0)</f>
        <v>0</v>
      </c>
      <c r="D653" s="122">
        <f t="shared" si="10"/>
        <v>0</v>
      </c>
      <c r="E653" s="121">
        <f>ROUND(D653*'FR_Mantenimiento tasas'!$C$48/360,5)</f>
        <v>0</v>
      </c>
      <c r="F653" s="121">
        <f>ROUND(D653*'FR_Mantenimiento tasas'!$D$48/360,5)</f>
        <v>0</v>
      </c>
    </row>
    <row r="654" spans="1:6">
      <c r="A654" s="123">
        <f>IF(OR(A653='F-Ahorro Futuro Decimos'!$H$16,A653=""),"",IF(A653+1&gt;'F-Ahorro Futuro Decimos'!$H$16,'F-Ahorro Futuro Decimos'!$H$16,A653+1))</f>
        <v>652</v>
      </c>
      <c r="B654" s="122">
        <f>IFERROR(IF(DAY($A654)=DAY('F-Ahorro Futuro Decimos'!$H$15),'F-Ahorro Futuro Decimos'!$H$14,0),0)</f>
        <v>0</v>
      </c>
      <c r="C654" s="122">
        <f>IF(A654='F-Ahorro Futuro Decimos'!$H$18,'F-Ahorro Futuro Decimos'!$H$20,0)</f>
        <v>0</v>
      </c>
      <c r="D654" s="122">
        <f t="shared" si="10"/>
        <v>0</v>
      </c>
      <c r="E654" s="121">
        <f>ROUND(D654*'FR_Mantenimiento tasas'!$C$48/360,5)</f>
        <v>0</v>
      </c>
      <c r="F654" s="121">
        <f>ROUND(D654*'FR_Mantenimiento tasas'!$D$48/360,5)</f>
        <v>0</v>
      </c>
    </row>
    <row r="655" spans="1:6">
      <c r="A655" s="123">
        <f>IF(OR(A654='F-Ahorro Futuro Decimos'!$H$16,A654=""),"",IF(A654+1&gt;'F-Ahorro Futuro Decimos'!$H$16,'F-Ahorro Futuro Decimos'!$H$16,A654+1))</f>
        <v>653</v>
      </c>
      <c r="B655" s="122">
        <f>IFERROR(IF(DAY($A655)=DAY('F-Ahorro Futuro Decimos'!$H$15),'F-Ahorro Futuro Decimos'!$H$14,0),0)</f>
        <v>0</v>
      </c>
      <c r="C655" s="122">
        <f>IF(A655='F-Ahorro Futuro Decimos'!$H$18,'F-Ahorro Futuro Decimos'!$H$20,0)</f>
        <v>0</v>
      </c>
      <c r="D655" s="122">
        <f t="shared" si="10"/>
        <v>0</v>
      </c>
      <c r="E655" s="121">
        <f>ROUND(D655*'FR_Mantenimiento tasas'!$C$48/360,5)</f>
        <v>0</v>
      </c>
      <c r="F655" s="121">
        <f>ROUND(D655*'FR_Mantenimiento tasas'!$D$48/360,5)</f>
        <v>0</v>
      </c>
    </row>
    <row r="656" spans="1:6">
      <c r="A656" s="123">
        <f>IF(OR(A655='F-Ahorro Futuro Decimos'!$H$16,A655=""),"",IF(A655+1&gt;'F-Ahorro Futuro Decimos'!$H$16,'F-Ahorro Futuro Decimos'!$H$16,A655+1))</f>
        <v>654</v>
      </c>
      <c r="B656" s="122">
        <f>IFERROR(IF(DAY($A656)=DAY('F-Ahorro Futuro Decimos'!$H$15),'F-Ahorro Futuro Decimos'!$H$14,0),0)</f>
        <v>0</v>
      </c>
      <c r="C656" s="122">
        <f>IF(A656='F-Ahorro Futuro Decimos'!$H$18,'F-Ahorro Futuro Decimos'!$H$20,0)</f>
        <v>0</v>
      </c>
      <c r="D656" s="122">
        <f t="shared" si="10"/>
        <v>0</v>
      </c>
      <c r="E656" s="121">
        <f>ROUND(D656*'FR_Mantenimiento tasas'!$C$48/360,5)</f>
        <v>0</v>
      </c>
      <c r="F656" s="121">
        <f>ROUND(D656*'FR_Mantenimiento tasas'!$D$48/360,5)</f>
        <v>0</v>
      </c>
    </row>
    <row r="657" spans="1:6">
      <c r="A657" s="123">
        <f>IF(OR(A656='F-Ahorro Futuro Decimos'!$H$16,A656=""),"",IF(A656+1&gt;'F-Ahorro Futuro Decimos'!$H$16,'F-Ahorro Futuro Decimos'!$H$16,A656+1))</f>
        <v>655</v>
      </c>
      <c r="B657" s="122">
        <f>IFERROR(IF(DAY($A657)=DAY('F-Ahorro Futuro Decimos'!$H$15),'F-Ahorro Futuro Decimos'!$H$14,0),0)</f>
        <v>0</v>
      </c>
      <c r="C657" s="122">
        <f>IF(A657='F-Ahorro Futuro Decimos'!$H$18,'F-Ahorro Futuro Decimos'!$H$20,0)</f>
        <v>0</v>
      </c>
      <c r="D657" s="122">
        <f t="shared" si="10"/>
        <v>0</v>
      </c>
      <c r="E657" s="121">
        <f>ROUND(D657*'FR_Mantenimiento tasas'!$C$48/360,5)</f>
        <v>0</v>
      </c>
      <c r="F657" s="121">
        <f>ROUND(D657*'FR_Mantenimiento tasas'!$D$48/360,5)</f>
        <v>0</v>
      </c>
    </row>
    <row r="658" spans="1:6">
      <c r="A658" s="123">
        <f>IF(OR(A657='F-Ahorro Futuro Decimos'!$H$16,A657=""),"",IF(A657+1&gt;'F-Ahorro Futuro Decimos'!$H$16,'F-Ahorro Futuro Decimos'!$H$16,A657+1))</f>
        <v>656</v>
      </c>
      <c r="B658" s="122">
        <f>IFERROR(IF(DAY($A658)=DAY('F-Ahorro Futuro Decimos'!$H$15),'F-Ahorro Futuro Decimos'!$H$14,0),0)</f>
        <v>0</v>
      </c>
      <c r="C658" s="122">
        <f>IF(A658='F-Ahorro Futuro Decimos'!$H$18,'F-Ahorro Futuro Decimos'!$H$20,0)</f>
        <v>0</v>
      </c>
      <c r="D658" s="122">
        <f t="shared" si="10"/>
        <v>0</v>
      </c>
      <c r="E658" s="121">
        <f>ROUND(D658*'FR_Mantenimiento tasas'!$C$48/360,5)</f>
        <v>0</v>
      </c>
      <c r="F658" s="121">
        <f>ROUND(D658*'FR_Mantenimiento tasas'!$D$48/360,5)</f>
        <v>0</v>
      </c>
    </row>
    <row r="659" spans="1:6">
      <c r="A659" s="123">
        <f>IF(OR(A658='F-Ahorro Futuro Decimos'!$H$16,A658=""),"",IF(A658+1&gt;'F-Ahorro Futuro Decimos'!$H$16,'F-Ahorro Futuro Decimos'!$H$16,A658+1))</f>
        <v>657</v>
      </c>
      <c r="B659" s="122">
        <f>IFERROR(IF(DAY($A659)=DAY('F-Ahorro Futuro Decimos'!$H$15),'F-Ahorro Futuro Decimos'!$H$14,0),0)</f>
        <v>0</v>
      </c>
      <c r="C659" s="122">
        <f>IF(A659='F-Ahorro Futuro Decimos'!$H$18,'F-Ahorro Futuro Decimos'!$H$20,0)</f>
        <v>0</v>
      </c>
      <c r="D659" s="122">
        <f t="shared" si="10"/>
        <v>0</v>
      </c>
      <c r="E659" s="121">
        <f>ROUND(D659*'FR_Mantenimiento tasas'!$C$48/360,5)</f>
        <v>0</v>
      </c>
      <c r="F659" s="121">
        <f>ROUND(D659*'FR_Mantenimiento tasas'!$D$48/360,5)</f>
        <v>0</v>
      </c>
    </row>
    <row r="660" spans="1:6">
      <c r="A660" s="123">
        <f>IF(OR(A659='F-Ahorro Futuro Decimos'!$H$16,A659=""),"",IF(A659+1&gt;'F-Ahorro Futuro Decimos'!$H$16,'F-Ahorro Futuro Decimos'!$H$16,A659+1))</f>
        <v>658</v>
      </c>
      <c r="B660" s="122">
        <f>IFERROR(IF(DAY($A660)=DAY('F-Ahorro Futuro Decimos'!$H$15),'F-Ahorro Futuro Decimos'!$H$14,0),0)</f>
        <v>0</v>
      </c>
      <c r="C660" s="122">
        <f>IF(A660='F-Ahorro Futuro Decimos'!$H$18,'F-Ahorro Futuro Decimos'!$H$20,0)</f>
        <v>0</v>
      </c>
      <c r="D660" s="122">
        <f t="shared" si="10"/>
        <v>0</v>
      </c>
      <c r="E660" s="121">
        <f>ROUND(D660*'FR_Mantenimiento tasas'!$C$48/360,5)</f>
        <v>0</v>
      </c>
      <c r="F660" s="121">
        <f>ROUND(D660*'FR_Mantenimiento tasas'!$D$48/360,5)</f>
        <v>0</v>
      </c>
    </row>
    <row r="661" spans="1:6">
      <c r="A661" s="123">
        <f>IF(OR(A660='F-Ahorro Futuro Decimos'!$H$16,A660=""),"",IF(A660+1&gt;'F-Ahorro Futuro Decimos'!$H$16,'F-Ahorro Futuro Decimos'!$H$16,A660+1))</f>
        <v>659</v>
      </c>
      <c r="B661" s="122">
        <f>IFERROR(IF(DAY($A661)=DAY('F-Ahorro Futuro Decimos'!$H$15),'F-Ahorro Futuro Decimos'!$H$14,0),0)</f>
        <v>0</v>
      </c>
      <c r="C661" s="122">
        <f>IF(A661='F-Ahorro Futuro Decimos'!$H$18,'F-Ahorro Futuro Decimos'!$H$20,0)</f>
        <v>0</v>
      </c>
      <c r="D661" s="122">
        <f t="shared" si="10"/>
        <v>0</v>
      </c>
      <c r="E661" s="121">
        <f>ROUND(D661*'FR_Mantenimiento tasas'!$C$48/360,5)</f>
        <v>0</v>
      </c>
      <c r="F661" s="121">
        <f>ROUND(D661*'FR_Mantenimiento tasas'!$D$48/360,5)</f>
        <v>0</v>
      </c>
    </row>
    <row r="662" spans="1:6">
      <c r="A662" s="123">
        <f>IF(OR(A661='F-Ahorro Futuro Decimos'!$H$16,A661=""),"",IF(A661+1&gt;'F-Ahorro Futuro Decimos'!$H$16,'F-Ahorro Futuro Decimos'!$H$16,A661+1))</f>
        <v>660</v>
      </c>
      <c r="B662" s="122">
        <f>IFERROR(IF(DAY($A662)=DAY('F-Ahorro Futuro Decimos'!$H$15),'F-Ahorro Futuro Decimos'!$H$14,0),0)</f>
        <v>0</v>
      </c>
      <c r="C662" s="122">
        <f>IF(A662='F-Ahorro Futuro Decimos'!$H$18,'F-Ahorro Futuro Decimos'!$H$20,0)</f>
        <v>0</v>
      </c>
      <c r="D662" s="122">
        <f t="shared" si="10"/>
        <v>0</v>
      </c>
      <c r="E662" s="121">
        <f>ROUND(D662*'FR_Mantenimiento tasas'!$C$48/360,5)</f>
        <v>0</v>
      </c>
      <c r="F662" s="121">
        <f>ROUND(D662*'FR_Mantenimiento tasas'!$D$48/360,5)</f>
        <v>0</v>
      </c>
    </row>
    <row r="663" spans="1:6">
      <c r="A663" s="123">
        <f>IF(OR(A662='F-Ahorro Futuro Decimos'!$H$16,A662=""),"",IF(A662+1&gt;'F-Ahorro Futuro Decimos'!$H$16,'F-Ahorro Futuro Decimos'!$H$16,A662+1))</f>
        <v>661</v>
      </c>
      <c r="B663" s="122">
        <f>IFERROR(IF(DAY($A663)=DAY('F-Ahorro Futuro Decimos'!$H$15),'F-Ahorro Futuro Decimos'!$H$14,0),0)</f>
        <v>0</v>
      </c>
      <c r="C663" s="122">
        <f>IF(A663='F-Ahorro Futuro Decimos'!$H$18,'F-Ahorro Futuro Decimos'!$H$20,0)</f>
        <v>0</v>
      </c>
      <c r="D663" s="122">
        <f t="shared" si="10"/>
        <v>0</v>
      </c>
      <c r="E663" s="121">
        <f>ROUND(D663*'FR_Mantenimiento tasas'!$C$48/360,5)</f>
        <v>0</v>
      </c>
      <c r="F663" s="121">
        <f>ROUND(D663*'FR_Mantenimiento tasas'!$D$48/360,5)</f>
        <v>0</v>
      </c>
    </row>
    <row r="664" spans="1:6">
      <c r="A664" s="123">
        <f>IF(OR(A663='F-Ahorro Futuro Decimos'!$H$16,A663=""),"",IF(A663+1&gt;'F-Ahorro Futuro Decimos'!$H$16,'F-Ahorro Futuro Decimos'!$H$16,A663+1))</f>
        <v>662</v>
      </c>
      <c r="B664" s="122">
        <f>IFERROR(IF(DAY($A664)=DAY('F-Ahorro Futuro Decimos'!$H$15),'F-Ahorro Futuro Decimos'!$H$14,0),0)</f>
        <v>0</v>
      </c>
      <c r="C664" s="122">
        <f>IF(A664='F-Ahorro Futuro Decimos'!$H$18,'F-Ahorro Futuro Decimos'!$H$20,0)</f>
        <v>0</v>
      </c>
      <c r="D664" s="122">
        <f t="shared" si="10"/>
        <v>0</v>
      </c>
      <c r="E664" s="121">
        <f>ROUND(D664*'FR_Mantenimiento tasas'!$C$48/360,5)</f>
        <v>0</v>
      </c>
      <c r="F664" s="121">
        <f>ROUND(D664*'FR_Mantenimiento tasas'!$D$48/360,5)</f>
        <v>0</v>
      </c>
    </row>
    <row r="665" spans="1:6">
      <c r="A665" s="123">
        <f>IF(OR(A664='F-Ahorro Futuro Decimos'!$H$16,A664=""),"",IF(A664+1&gt;'F-Ahorro Futuro Decimos'!$H$16,'F-Ahorro Futuro Decimos'!$H$16,A664+1))</f>
        <v>663</v>
      </c>
      <c r="B665" s="122">
        <f>IFERROR(IF(DAY($A665)=DAY('F-Ahorro Futuro Decimos'!$H$15),'F-Ahorro Futuro Decimos'!$H$14,0),0)</f>
        <v>0</v>
      </c>
      <c r="C665" s="122">
        <f>IF(A665='F-Ahorro Futuro Decimos'!$H$18,'F-Ahorro Futuro Decimos'!$H$20,0)</f>
        <v>0</v>
      </c>
      <c r="D665" s="122">
        <f t="shared" si="10"/>
        <v>0</v>
      </c>
      <c r="E665" s="121">
        <f>ROUND(D665*'FR_Mantenimiento tasas'!$C$48/360,5)</f>
        <v>0</v>
      </c>
      <c r="F665" s="121">
        <f>ROUND(D665*'FR_Mantenimiento tasas'!$D$48/360,5)</f>
        <v>0</v>
      </c>
    </row>
    <row r="666" spans="1:6">
      <c r="A666" s="123">
        <f>IF(OR(A665='F-Ahorro Futuro Decimos'!$H$16,A665=""),"",IF(A665+1&gt;'F-Ahorro Futuro Decimos'!$H$16,'F-Ahorro Futuro Decimos'!$H$16,A665+1))</f>
        <v>664</v>
      </c>
      <c r="B666" s="122">
        <f>IFERROR(IF(DAY($A666)=DAY('F-Ahorro Futuro Decimos'!$H$15),'F-Ahorro Futuro Decimos'!$H$14,0),0)</f>
        <v>0</v>
      </c>
      <c r="C666" s="122">
        <f>IF(A666='F-Ahorro Futuro Decimos'!$H$18,'F-Ahorro Futuro Decimos'!$H$20,0)</f>
        <v>0</v>
      </c>
      <c r="D666" s="122">
        <f t="shared" si="10"/>
        <v>0</v>
      </c>
      <c r="E666" s="121">
        <f>ROUND(D666*'FR_Mantenimiento tasas'!$C$48/360,5)</f>
        <v>0</v>
      </c>
      <c r="F666" s="121">
        <f>ROUND(D666*'FR_Mantenimiento tasas'!$D$48/360,5)</f>
        <v>0</v>
      </c>
    </row>
    <row r="667" spans="1:6">
      <c r="A667" s="123">
        <f>IF(OR(A666='F-Ahorro Futuro Decimos'!$H$16,A666=""),"",IF(A666+1&gt;'F-Ahorro Futuro Decimos'!$H$16,'F-Ahorro Futuro Decimos'!$H$16,A666+1))</f>
        <v>665</v>
      </c>
      <c r="B667" s="122">
        <f>IFERROR(IF(DAY($A667)=DAY('F-Ahorro Futuro Decimos'!$H$15),'F-Ahorro Futuro Decimos'!$H$14,0),0)</f>
        <v>0</v>
      </c>
      <c r="C667" s="122">
        <f>IF(A667='F-Ahorro Futuro Decimos'!$H$18,'F-Ahorro Futuro Decimos'!$H$20,0)</f>
        <v>0</v>
      </c>
      <c r="D667" s="122">
        <f t="shared" si="10"/>
        <v>0</v>
      </c>
      <c r="E667" s="121">
        <f>ROUND(D667*'FR_Mantenimiento tasas'!$C$48/360,5)</f>
        <v>0</v>
      </c>
      <c r="F667" s="121">
        <f>ROUND(D667*'FR_Mantenimiento tasas'!$D$48/360,5)</f>
        <v>0</v>
      </c>
    </row>
    <row r="668" spans="1:6">
      <c r="A668" s="123">
        <f>IF(OR(A667='F-Ahorro Futuro Decimos'!$H$16,A667=""),"",IF(A667+1&gt;'F-Ahorro Futuro Decimos'!$H$16,'F-Ahorro Futuro Decimos'!$H$16,A667+1))</f>
        <v>666</v>
      </c>
      <c r="B668" s="122">
        <f>IFERROR(IF(DAY($A668)=DAY('F-Ahorro Futuro Decimos'!$H$15),'F-Ahorro Futuro Decimos'!$H$14,0),0)</f>
        <v>0</v>
      </c>
      <c r="C668" s="122">
        <f>IF(A668='F-Ahorro Futuro Decimos'!$H$18,'F-Ahorro Futuro Decimos'!$H$20,0)</f>
        <v>0</v>
      </c>
      <c r="D668" s="122">
        <f t="shared" si="10"/>
        <v>0</v>
      </c>
      <c r="E668" s="121">
        <f>ROUND(D668*'FR_Mantenimiento tasas'!$C$48/360,5)</f>
        <v>0</v>
      </c>
      <c r="F668" s="121">
        <f>ROUND(D668*'FR_Mantenimiento tasas'!$D$48/360,5)</f>
        <v>0</v>
      </c>
    </row>
    <row r="669" spans="1:6">
      <c r="A669" s="123">
        <f>IF(OR(A668='F-Ahorro Futuro Decimos'!$H$16,A668=""),"",IF(A668+1&gt;'F-Ahorro Futuro Decimos'!$H$16,'F-Ahorro Futuro Decimos'!$H$16,A668+1))</f>
        <v>667</v>
      </c>
      <c r="B669" s="122">
        <f>IFERROR(IF(DAY($A669)=DAY('F-Ahorro Futuro Decimos'!$H$15),'F-Ahorro Futuro Decimos'!$H$14,0),0)</f>
        <v>0</v>
      </c>
      <c r="C669" s="122">
        <f>IF(A669='F-Ahorro Futuro Decimos'!$H$18,'F-Ahorro Futuro Decimos'!$H$20,0)</f>
        <v>0</v>
      </c>
      <c r="D669" s="122">
        <f t="shared" si="10"/>
        <v>0</v>
      </c>
      <c r="E669" s="121">
        <f>ROUND(D669*'FR_Mantenimiento tasas'!$C$48/360,5)</f>
        <v>0</v>
      </c>
      <c r="F669" s="121">
        <f>ROUND(D669*'FR_Mantenimiento tasas'!$D$48/360,5)</f>
        <v>0</v>
      </c>
    </row>
    <row r="670" spans="1:6">
      <c r="A670" s="123">
        <f>IF(OR(A669='F-Ahorro Futuro Decimos'!$H$16,A669=""),"",IF(A669+1&gt;'F-Ahorro Futuro Decimos'!$H$16,'F-Ahorro Futuro Decimos'!$H$16,A669+1))</f>
        <v>668</v>
      </c>
      <c r="B670" s="122">
        <f>IFERROR(IF(DAY($A670)=DAY('F-Ahorro Futuro Decimos'!$H$15),'F-Ahorro Futuro Decimos'!$H$14,0),0)</f>
        <v>0</v>
      </c>
      <c r="C670" s="122">
        <f>IF(A670='F-Ahorro Futuro Decimos'!$H$18,'F-Ahorro Futuro Decimos'!$H$20,0)</f>
        <v>0</v>
      </c>
      <c r="D670" s="122">
        <f t="shared" si="10"/>
        <v>0</v>
      </c>
      <c r="E670" s="121">
        <f>ROUND(D670*'FR_Mantenimiento tasas'!$C$48/360,5)</f>
        <v>0</v>
      </c>
      <c r="F670" s="121">
        <f>ROUND(D670*'FR_Mantenimiento tasas'!$D$48/360,5)</f>
        <v>0</v>
      </c>
    </row>
    <row r="671" spans="1:6">
      <c r="A671" s="123">
        <f>IF(OR(A670='F-Ahorro Futuro Decimos'!$H$16,A670=""),"",IF(A670+1&gt;'F-Ahorro Futuro Decimos'!$H$16,'F-Ahorro Futuro Decimos'!$H$16,A670+1))</f>
        <v>669</v>
      </c>
      <c r="B671" s="122">
        <f>IFERROR(IF(DAY($A671)=DAY('F-Ahorro Futuro Decimos'!$H$15),'F-Ahorro Futuro Decimos'!$H$14,0),0)</f>
        <v>0</v>
      </c>
      <c r="C671" s="122">
        <f>IF(A671='F-Ahorro Futuro Decimos'!$H$18,'F-Ahorro Futuro Decimos'!$H$20,0)</f>
        <v>0</v>
      </c>
      <c r="D671" s="122">
        <f t="shared" si="10"/>
        <v>0</v>
      </c>
      <c r="E671" s="121">
        <f>ROUND(D671*'FR_Mantenimiento tasas'!$C$48/360,5)</f>
        <v>0</v>
      </c>
      <c r="F671" s="121">
        <f>ROUND(D671*'FR_Mantenimiento tasas'!$D$48/360,5)</f>
        <v>0</v>
      </c>
    </row>
    <row r="672" spans="1:6">
      <c r="A672" s="123">
        <f>IF(OR(A671='F-Ahorro Futuro Decimos'!$H$16,A671=""),"",IF(A671+1&gt;'F-Ahorro Futuro Decimos'!$H$16,'F-Ahorro Futuro Decimos'!$H$16,A671+1))</f>
        <v>670</v>
      </c>
      <c r="B672" s="122">
        <f>IFERROR(IF(DAY($A672)=DAY('F-Ahorro Futuro Decimos'!$H$15),'F-Ahorro Futuro Decimos'!$H$14,0),0)</f>
        <v>0</v>
      </c>
      <c r="C672" s="122">
        <f>IF(A672='F-Ahorro Futuro Decimos'!$H$18,'F-Ahorro Futuro Decimos'!$H$20,0)</f>
        <v>0</v>
      </c>
      <c r="D672" s="122">
        <f t="shared" si="10"/>
        <v>0</v>
      </c>
      <c r="E672" s="121">
        <f>ROUND(D672*'FR_Mantenimiento tasas'!$C$48/360,5)</f>
        <v>0</v>
      </c>
      <c r="F672" s="121">
        <f>ROUND(D672*'FR_Mantenimiento tasas'!$D$48/360,5)</f>
        <v>0</v>
      </c>
    </row>
    <row r="673" spans="1:6">
      <c r="A673" s="123">
        <f>IF(OR(A672='F-Ahorro Futuro Decimos'!$H$16,A672=""),"",IF(A672+1&gt;'F-Ahorro Futuro Decimos'!$H$16,'F-Ahorro Futuro Decimos'!$H$16,A672+1))</f>
        <v>671</v>
      </c>
      <c r="B673" s="122">
        <f>IFERROR(IF(DAY($A673)=DAY('F-Ahorro Futuro Decimos'!$H$15),'F-Ahorro Futuro Decimos'!$H$14,0),0)</f>
        <v>0</v>
      </c>
      <c r="C673" s="122">
        <f>IF(A673='F-Ahorro Futuro Decimos'!$H$18,'F-Ahorro Futuro Decimos'!$H$20,0)</f>
        <v>0</v>
      </c>
      <c r="D673" s="122">
        <f t="shared" si="10"/>
        <v>0</v>
      </c>
      <c r="E673" s="121">
        <f>ROUND(D673*'FR_Mantenimiento tasas'!$C$48/360,5)</f>
        <v>0</v>
      </c>
      <c r="F673" s="121">
        <f>ROUND(D673*'FR_Mantenimiento tasas'!$D$48/360,5)</f>
        <v>0</v>
      </c>
    </row>
    <row r="674" spans="1:6">
      <c r="A674" s="123">
        <f>IF(OR(A673='F-Ahorro Futuro Decimos'!$H$16,A673=""),"",IF(A673+1&gt;'F-Ahorro Futuro Decimos'!$H$16,'F-Ahorro Futuro Decimos'!$H$16,A673+1))</f>
        <v>672</v>
      </c>
      <c r="B674" s="122">
        <f>IFERROR(IF(DAY($A674)=DAY('F-Ahorro Futuro Decimos'!$H$15),'F-Ahorro Futuro Decimos'!$H$14,0),0)</f>
        <v>0</v>
      </c>
      <c r="C674" s="122">
        <f>IF(A674='F-Ahorro Futuro Decimos'!$H$18,'F-Ahorro Futuro Decimos'!$H$20,0)</f>
        <v>0</v>
      </c>
      <c r="D674" s="122">
        <f t="shared" si="10"/>
        <v>0</v>
      </c>
      <c r="E674" s="121">
        <f>ROUND(D674*'FR_Mantenimiento tasas'!$C$48/360,5)</f>
        <v>0</v>
      </c>
      <c r="F674" s="121">
        <f>ROUND(D674*'FR_Mantenimiento tasas'!$D$48/360,5)</f>
        <v>0</v>
      </c>
    </row>
    <row r="675" spans="1:6">
      <c r="A675" s="123">
        <f>IF(OR(A674='F-Ahorro Futuro Decimos'!$H$16,A674=""),"",IF(A674+1&gt;'F-Ahorro Futuro Decimos'!$H$16,'F-Ahorro Futuro Decimos'!$H$16,A674+1))</f>
        <v>673</v>
      </c>
      <c r="B675" s="122">
        <f>IFERROR(IF(DAY($A675)=DAY('F-Ahorro Futuro Decimos'!$H$15),'F-Ahorro Futuro Decimos'!$H$14,0),0)</f>
        <v>0</v>
      </c>
      <c r="C675" s="122">
        <f>IF(A675='F-Ahorro Futuro Decimos'!$H$18,'F-Ahorro Futuro Decimos'!$H$20,0)</f>
        <v>0</v>
      </c>
      <c r="D675" s="122">
        <f t="shared" si="10"/>
        <v>0</v>
      </c>
      <c r="E675" s="121">
        <f>ROUND(D675*'FR_Mantenimiento tasas'!$C$48/360,5)</f>
        <v>0</v>
      </c>
      <c r="F675" s="121">
        <f>ROUND(D675*'FR_Mantenimiento tasas'!$D$48/360,5)</f>
        <v>0</v>
      </c>
    </row>
    <row r="676" spans="1:6">
      <c r="A676" s="123">
        <f>IF(OR(A675='F-Ahorro Futuro Decimos'!$H$16,A675=""),"",IF(A675+1&gt;'F-Ahorro Futuro Decimos'!$H$16,'F-Ahorro Futuro Decimos'!$H$16,A675+1))</f>
        <v>674</v>
      </c>
      <c r="B676" s="122">
        <f>IFERROR(IF(DAY($A676)=DAY('F-Ahorro Futuro Decimos'!$H$15),'F-Ahorro Futuro Decimos'!$H$14,0),0)</f>
        <v>0</v>
      </c>
      <c r="C676" s="122">
        <f>IF(A676='F-Ahorro Futuro Decimos'!$H$18,'F-Ahorro Futuro Decimos'!$H$20,0)</f>
        <v>0</v>
      </c>
      <c r="D676" s="122">
        <f t="shared" si="10"/>
        <v>0</v>
      </c>
      <c r="E676" s="121">
        <f>ROUND(D676*'FR_Mantenimiento tasas'!$C$48/360,5)</f>
        <v>0</v>
      </c>
      <c r="F676" s="121">
        <f>ROUND(D676*'FR_Mantenimiento tasas'!$D$48/360,5)</f>
        <v>0</v>
      </c>
    </row>
    <row r="677" spans="1:6">
      <c r="A677" s="123">
        <f>IF(OR(A676='F-Ahorro Futuro Decimos'!$H$16,A676=""),"",IF(A676+1&gt;'F-Ahorro Futuro Decimos'!$H$16,'F-Ahorro Futuro Decimos'!$H$16,A676+1))</f>
        <v>675</v>
      </c>
      <c r="B677" s="122">
        <f>IFERROR(IF(DAY($A677)=DAY('F-Ahorro Futuro Decimos'!$H$15),'F-Ahorro Futuro Decimos'!$H$14,0),0)</f>
        <v>0</v>
      </c>
      <c r="C677" s="122">
        <f>IF(A677='F-Ahorro Futuro Decimos'!$H$18,'F-Ahorro Futuro Decimos'!$H$20,0)</f>
        <v>0</v>
      </c>
      <c r="D677" s="122">
        <f t="shared" si="10"/>
        <v>0</v>
      </c>
      <c r="E677" s="121">
        <f>ROUND(D677*'FR_Mantenimiento tasas'!$C$48/360,5)</f>
        <v>0</v>
      </c>
      <c r="F677" s="121">
        <f>ROUND(D677*'FR_Mantenimiento tasas'!$D$48/360,5)</f>
        <v>0</v>
      </c>
    </row>
    <row r="678" spans="1:6">
      <c r="A678" s="123">
        <f>IF(OR(A677='F-Ahorro Futuro Decimos'!$H$16,A677=""),"",IF(A677+1&gt;'F-Ahorro Futuro Decimos'!$H$16,'F-Ahorro Futuro Decimos'!$H$16,A677+1))</f>
        <v>676</v>
      </c>
      <c r="B678" s="122">
        <f>IFERROR(IF(DAY($A678)=DAY('F-Ahorro Futuro Decimos'!$H$15),'F-Ahorro Futuro Decimos'!$H$14,0),0)</f>
        <v>0</v>
      </c>
      <c r="C678" s="122">
        <f>IF(A678='F-Ahorro Futuro Decimos'!$H$18,'F-Ahorro Futuro Decimos'!$H$20,0)</f>
        <v>0</v>
      </c>
      <c r="D678" s="122">
        <f t="shared" si="10"/>
        <v>0</v>
      </c>
      <c r="E678" s="121">
        <f>ROUND(D678*'FR_Mantenimiento tasas'!$C$48/360,5)</f>
        <v>0</v>
      </c>
      <c r="F678" s="121">
        <f>ROUND(D678*'FR_Mantenimiento tasas'!$D$48/360,5)</f>
        <v>0</v>
      </c>
    </row>
    <row r="679" spans="1:6">
      <c r="A679" s="123">
        <f>IF(OR(A678='F-Ahorro Futuro Decimos'!$H$16,A678=""),"",IF(A678+1&gt;'F-Ahorro Futuro Decimos'!$H$16,'F-Ahorro Futuro Decimos'!$H$16,A678+1))</f>
        <v>677</v>
      </c>
      <c r="B679" s="122">
        <f>IFERROR(IF(DAY($A679)=DAY('F-Ahorro Futuro Decimos'!$H$15),'F-Ahorro Futuro Decimos'!$H$14,0),0)</f>
        <v>0</v>
      </c>
      <c r="C679" s="122">
        <f>IF(A679='F-Ahorro Futuro Decimos'!$H$18,'F-Ahorro Futuro Decimos'!$H$20,0)</f>
        <v>0</v>
      </c>
      <c r="D679" s="122">
        <f t="shared" si="10"/>
        <v>0</v>
      </c>
      <c r="E679" s="121">
        <f>ROUND(D679*'FR_Mantenimiento tasas'!$C$48/360,5)</f>
        <v>0</v>
      </c>
      <c r="F679" s="121">
        <f>ROUND(D679*'FR_Mantenimiento tasas'!$D$48/360,5)</f>
        <v>0</v>
      </c>
    </row>
    <row r="680" spans="1:6">
      <c r="A680" s="123">
        <f>IF(OR(A679='F-Ahorro Futuro Decimos'!$H$16,A679=""),"",IF(A679+1&gt;'F-Ahorro Futuro Decimos'!$H$16,'F-Ahorro Futuro Decimos'!$H$16,A679+1))</f>
        <v>678</v>
      </c>
      <c r="B680" s="122">
        <f>IFERROR(IF(DAY($A680)=DAY('F-Ahorro Futuro Decimos'!$H$15),'F-Ahorro Futuro Decimos'!$H$14,0),0)</f>
        <v>0</v>
      </c>
      <c r="C680" s="122">
        <f>IF(A680='F-Ahorro Futuro Decimos'!$H$18,'F-Ahorro Futuro Decimos'!$H$20,0)</f>
        <v>0</v>
      </c>
      <c r="D680" s="122">
        <f t="shared" si="10"/>
        <v>0</v>
      </c>
      <c r="E680" s="121">
        <f>ROUND(D680*'FR_Mantenimiento tasas'!$C$48/360,5)</f>
        <v>0</v>
      </c>
      <c r="F680" s="121">
        <f>ROUND(D680*'FR_Mantenimiento tasas'!$D$48/360,5)</f>
        <v>0</v>
      </c>
    </row>
    <row r="681" spans="1:6">
      <c r="A681" s="123">
        <f>IF(OR(A680='F-Ahorro Futuro Decimos'!$H$16,A680=""),"",IF(A680+1&gt;'F-Ahorro Futuro Decimos'!$H$16,'F-Ahorro Futuro Decimos'!$H$16,A680+1))</f>
        <v>679</v>
      </c>
      <c r="B681" s="122">
        <f>IFERROR(IF(DAY($A681)=DAY('F-Ahorro Futuro Decimos'!$H$15),'F-Ahorro Futuro Decimos'!$H$14,0),0)</f>
        <v>0</v>
      </c>
      <c r="C681" s="122">
        <f>IF(A681='F-Ahorro Futuro Decimos'!$H$18,'F-Ahorro Futuro Decimos'!$H$20,0)</f>
        <v>0</v>
      </c>
      <c r="D681" s="122">
        <f t="shared" si="10"/>
        <v>0</v>
      </c>
      <c r="E681" s="121">
        <f>ROUND(D681*'FR_Mantenimiento tasas'!$C$48/360,5)</f>
        <v>0</v>
      </c>
      <c r="F681" s="121">
        <f>ROUND(D681*'FR_Mantenimiento tasas'!$D$48/360,5)</f>
        <v>0</v>
      </c>
    </row>
    <row r="682" spans="1:6">
      <c r="A682" s="123">
        <f>IF(OR(A681='F-Ahorro Futuro Decimos'!$H$16,A681=""),"",IF(A681+1&gt;'F-Ahorro Futuro Decimos'!$H$16,'F-Ahorro Futuro Decimos'!$H$16,A681+1))</f>
        <v>680</v>
      </c>
      <c r="B682" s="122">
        <f>IFERROR(IF(DAY($A682)=DAY('F-Ahorro Futuro Decimos'!$H$15),'F-Ahorro Futuro Decimos'!$H$14,0),0)</f>
        <v>0</v>
      </c>
      <c r="C682" s="122">
        <f>IF(A682='F-Ahorro Futuro Decimos'!$H$18,'F-Ahorro Futuro Decimos'!$H$20,0)</f>
        <v>0</v>
      </c>
      <c r="D682" s="122">
        <f t="shared" si="10"/>
        <v>0</v>
      </c>
      <c r="E682" s="121">
        <f>ROUND(D682*'FR_Mantenimiento tasas'!$C$48/360,5)</f>
        <v>0</v>
      </c>
      <c r="F682" s="121">
        <f>ROUND(D682*'FR_Mantenimiento tasas'!$D$48/360,5)</f>
        <v>0</v>
      </c>
    </row>
    <row r="683" spans="1:6">
      <c r="A683" s="123">
        <f>IF(OR(A682='F-Ahorro Futuro Decimos'!$H$16,A682=""),"",IF(A682+1&gt;'F-Ahorro Futuro Decimos'!$H$16,'F-Ahorro Futuro Decimos'!$H$16,A682+1))</f>
        <v>681</v>
      </c>
      <c r="B683" s="122">
        <f>IFERROR(IF(DAY($A683)=DAY('F-Ahorro Futuro Decimos'!$H$15),'F-Ahorro Futuro Decimos'!$H$14,0),0)</f>
        <v>0</v>
      </c>
      <c r="C683" s="122">
        <f>IF(A683='F-Ahorro Futuro Decimos'!$H$18,'F-Ahorro Futuro Decimos'!$H$20,0)</f>
        <v>0</v>
      </c>
      <c r="D683" s="122">
        <f t="shared" si="10"/>
        <v>0</v>
      </c>
      <c r="E683" s="121">
        <f>ROUND(D683*'FR_Mantenimiento tasas'!$C$48/360,5)</f>
        <v>0</v>
      </c>
      <c r="F683" s="121">
        <f>ROUND(D683*'FR_Mantenimiento tasas'!$D$48/360,5)</f>
        <v>0</v>
      </c>
    </row>
    <row r="684" spans="1:6">
      <c r="A684" s="123">
        <f>IF(OR(A683='F-Ahorro Futuro Decimos'!$H$16,A683=""),"",IF(A683+1&gt;'F-Ahorro Futuro Decimos'!$H$16,'F-Ahorro Futuro Decimos'!$H$16,A683+1))</f>
        <v>682</v>
      </c>
      <c r="B684" s="122">
        <f>IFERROR(IF(DAY($A684)=DAY('F-Ahorro Futuro Decimos'!$H$15),'F-Ahorro Futuro Decimos'!$H$14,0),0)</f>
        <v>0</v>
      </c>
      <c r="C684" s="122">
        <f>IF(A684='F-Ahorro Futuro Decimos'!$H$18,'F-Ahorro Futuro Decimos'!$H$20,0)</f>
        <v>0</v>
      </c>
      <c r="D684" s="122">
        <f t="shared" si="10"/>
        <v>0</v>
      </c>
      <c r="E684" s="121">
        <f>ROUND(D684*'FR_Mantenimiento tasas'!$C$48/360,5)</f>
        <v>0</v>
      </c>
      <c r="F684" s="121">
        <f>ROUND(D684*'FR_Mantenimiento tasas'!$D$48/360,5)</f>
        <v>0</v>
      </c>
    </row>
    <row r="685" spans="1:6">
      <c r="A685" s="123">
        <f>IF(OR(A684='F-Ahorro Futuro Decimos'!$H$16,A684=""),"",IF(A684+1&gt;'F-Ahorro Futuro Decimos'!$H$16,'F-Ahorro Futuro Decimos'!$H$16,A684+1))</f>
        <v>683</v>
      </c>
      <c r="B685" s="122">
        <f>IFERROR(IF(DAY($A685)=DAY('F-Ahorro Futuro Decimos'!$H$15),'F-Ahorro Futuro Decimos'!$H$14,0),0)</f>
        <v>0</v>
      </c>
      <c r="C685" s="122">
        <f>IF(A685='F-Ahorro Futuro Decimos'!$H$18,'F-Ahorro Futuro Decimos'!$H$20,0)</f>
        <v>0</v>
      </c>
      <c r="D685" s="122">
        <f t="shared" si="10"/>
        <v>0</v>
      </c>
      <c r="E685" s="121">
        <f>ROUND(D685*'FR_Mantenimiento tasas'!$C$48/360,5)</f>
        <v>0</v>
      </c>
      <c r="F685" s="121">
        <f>ROUND(D685*'FR_Mantenimiento tasas'!$D$48/360,5)</f>
        <v>0</v>
      </c>
    </row>
    <row r="686" spans="1:6">
      <c r="A686" s="123">
        <f>IF(OR(A685='F-Ahorro Futuro Decimos'!$H$16,A685=""),"",IF(A685+1&gt;'F-Ahorro Futuro Decimos'!$H$16,'F-Ahorro Futuro Decimos'!$H$16,A685+1))</f>
        <v>684</v>
      </c>
      <c r="B686" s="122">
        <f>IFERROR(IF(DAY($A686)=DAY('F-Ahorro Futuro Decimos'!$H$15),'F-Ahorro Futuro Decimos'!$H$14,0),0)</f>
        <v>0</v>
      </c>
      <c r="C686" s="122">
        <f>IF(A686='F-Ahorro Futuro Decimos'!$H$18,'F-Ahorro Futuro Decimos'!$H$20,0)</f>
        <v>0</v>
      </c>
      <c r="D686" s="122">
        <f t="shared" si="10"/>
        <v>0</v>
      </c>
      <c r="E686" s="121">
        <f>ROUND(D686*'FR_Mantenimiento tasas'!$C$48/360,5)</f>
        <v>0</v>
      </c>
      <c r="F686" s="121">
        <f>ROUND(D686*'FR_Mantenimiento tasas'!$D$48/360,5)</f>
        <v>0</v>
      </c>
    </row>
    <row r="687" spans="1:6">
      <c r="A687" s="123">
        <f>IF(OR(A686='F-Ahorro Futuro Decimos'!$H$16,A686=""),"",IF(A686+1&gt;'F-Ahorro Futuro Decimos'!$H$16,'F-Ahorro Futuro Decimos'!$H$16,A686+1))</f>
        <v>685</v>
      </c>
      <c r="B687" s="122">
        <f>IFERROR(IF(DAY($A687)=DAY('F-Ahorro Futuro Decimos'!$H$15),'F-Ahorro Futuro Decimos'!$H$14,0),0)</f>
        <v>0</v>
      </c>
      <c r="C687" s="122">
        <f>IF(A687='F-Ahorro Futuro Decimos'!$H$18,'F-Ahorro Futuro Decimos'!$H$20,0)</f>
        <v>0</v>
      </c>
      <c r="D687" s="122">
        <f t="shared" si="10"/>
        <v>0</v>
      </c>
      <c r="E687" s="121">
        <f>ROUND(D687*'FR_Mantenimiento tasas'!$C$48/360,5)</f>
        <v>0</v>
      </c>
      <c r="F687" s="121">
        <f>ROUND(D687*'FR_Mantenimiento tasas'!$D$48/360,5)</f>
        <v>0</v>
      </c>
    </row>
    <row r="688" spans="1:6">
      <c r="A688" s="123">
        <f>IF(OR(A687='F-Ahorro Futuro Decimos'!$H$16,A687=""),"",IF(A687+1&gt;'F-Ahorro Futuro Decimos'!$H$16,'F-Ahorro Futuro Decimos'!$H$16,A687+1))</f>
        <v>686</v>
      </c>
      <c r="B688" s="122">
        <f>IFERROR(IF(DAY($A688)=DAY('F-Ahorro Futuro Decimos'!$H$15),'F-Ahorro Futuro Decimos'!$H$14,0),0)</f>
        <v>0</v>
      </c>
      <c r="C688" s="122">
        <f>IF(A688='F-Ahorro Futuro Decimos'!$H$18,'F-Ahorro Futuro Decimos'!$H$20,0)</f>
        <v>0</v>
      </c>
      <c r="D688" s="122">
        <f t="shared" si="10"/>
        <v>0</v>
      </c>
      <c r="E688" s="121">
        <f>ROUND(D688*'FR_Mantenimiento tasas'!$C$48/360,5)</f>
        <v>0</v>
      </c>
      <c r="F688" s="121">
        <f>ROUND(D688*'FR_Mantenimiento tasas'!$D$48/360,5)</f>
        <v>0</v>
      </c>
    </row>
    <row r="689" spans="1:6">
      <c r="A689" s="123">
        <f>IF(OR(A688='F-Ahorro Futuro Decimos'!$H$16,A688=""),"",IF(A688+1&gt;'F-Ahorro Futuro Decimos'!$H$16,'F-Ahorro Futuro Decimos'!$H$16,A688+1))</f>
        <v>687</v>
      </c>
      <c r="B689" s="122">
        <f>IFERROR(IF(DAY($A689)=DAY('F-Ahorro Futuro Decimos'!$H$15),'F-Ahorro Futuro Decimos'!$H$14,0),0)</f>
        <v>0</v>
      </c>
      <c r="C689" s="122">
        <f>IF(A689='F-Ahorro Futuro Decimos'!$H$18,'F-Ahorro Futuro Decimos'!$H$20,0)</f>
        <v>0</v>
      </c>
      <c r="D689" s="122">
        <f t="shared" si="10"/>
        <v>0</v>
      </c>
      <c r="E689" s="121">
        <f>ROUND(D689*'FR_Mantenimiento tasas'!$C$48/360,5)</f>
        <v>0</v>
      </c>
      <c r="F689" s="121">
        <f>ROUND(D689*'FR_Mantenimiento tasas'!$D$48/360,5)</f>
        <v>0</v>
      </c>
    </row>
    <row r="690" spans="1:6">
      <c r="A690" s="123">
        <f>IF(OR(A689='F-Ahorro Futuro Decimos'!$H$16,A689=""),"",IF(A689+1&gt;'F-Ahorro Futuro Decimos'!$H$16,'F-Ahorro Futuro Decimos'!$H$16,A689+1))</f>
        <v>688</v>
      </c>
      <c r="B690" s="122">
        <f>IFERROR(IF(DAY($A690)=DAY('F-Ahorro Futuro Decimos'!$H$15),'F-Ahorro Futuro Decimos'!$H$14,0),0)</f>
        <v>0</v>
      </c>
      <c r="C690" s="122">
        <f>IF(A690='F-Ahorro Futuro Decimos'!$H$18,'F-Ahorro Futuro Decimos'!$H$20,0)</f>
        <v>0</v>
      </c>
      <c r="D690" s="122">
        <f t="shared" si="10"/>
        <v>0</v>
      </c>
      <c r="E690" s="121">
        <f>ROUND(D690*'FR_Mantenimiento tasas'!$C$48/360,5)</f>
        <v>0</v>
      </c>
      <c r="F690" s="121">
        <f>ROUND(D690*'FR_Mantenimiento tasas'!$D$48/360,5)</f>
        <v>0</v>
      </c>
    </row>
    <row r="691" spans="1:6">
      <c r="A691" s="123">
        <f>IF(OR(A690='F-Ahorro Futuro Decimos'!$H$16,A690=""),"",IF(A690+1&gt;'F-Ahorro Futuro Decimos'!$H$16,'F-Ahorro Futuro Decimos'!$H$16,A690+1))</f>
        <v>689</v>
      </c>
      <c r="B691" s="122">
        <f>IFERROR(IF(DAY($A691)=DAY('F-Ahorro Futuro Decimos'!$H$15),'F-Ahorro Futuro Decimos'!$H$14,0),0)</f>
        <v>0</v>
      </c>
      <c r="C691" s="122">
        <f>IF(A691='F-Ahorro Futuro Decimos'!$H$18,'F-Ahorro Futuro Decimos'!$H$20,0)</f>
        <v>0</v>
      </c>
      <c r="D691" s="122">
        <f t="shared" si="10"/>
        <v>0</v>
      </c>
      <c r="E691" s="121">
        <f>ROUND(D691*'FR_Mantenimiento tasas'!$C$48/360,5)</f>
        <v>0</v>
      </c>
      <c r="F691" s="121">
        <f>ROUND(D691*'FR_Mantenimiento tasas'!$D$48/360,5)</f>
        <v>0</v>
      </c>
    </row>
    <row r="692" spans="1:6">
      <c r="A692" s="123">
        <f>IF(OR(A691='F-Ahorro Futuro Decimos'!$H$16,A691=""),"",IF(A691+1&gt;'F-Ahorro Futuro Decimos'!$H$16,'F-Ahorro Futuro Decimos'!$H$16,A691+1))</f>
        <v>690</v>
      </c>
      <c r="B692" s="122">
        <f>IFERROR(IF(DAY($A692)=DAY('F-Ahorro Futuro Decimos'!$H$15),'F-Ahorro Futuro Decimos'!$H$14,0),0)</f>
        <v>0</v>
      </c>
      <c r="C692" s="122">
        <f>IF(A692='F-Ahorro Futuro Decimos'!$H$18,'F-Ahorro Futuro Decimos'!$H$20,0)</f>
        <v>0</v>
      </c>
      <c r="D692" s="122">
        <f t="shared" si="10"/>
        <v>0</v>
      </c>
      <c r="E692" s="121">
        <f>ROUND(D692*'FR_Mantenimiento tasas'!$C$48/360,5)</f>
        <v>0</v>
      </c>
      <c r="F692" s="121">
        <f>ROUND(D692*'FR_Mantenimiento tasas'!$D$48/360,5)</f>
        <v>0</v>
      </c>
    </row>
    <row r="693" spans="1:6">
      <c r="A693" s="123">
        <f>IF(OR(A692='F-Ahorro Futuro Decimos'!$H$16,A692=""),"",IF(A692+1&gt;'F-Ahorro Futuro Decimos'!$H$16,'F-Ahorro Futuro Decimos'!$H$16,A692+1))</f>
        <v>691</v>
      </c>
      <c r="B693" s="122">
        <f>IFERROR(IF(DAY($A693)=DAY('F-Ahorro Futuro Decimos'!$H$15),'F-Ahorro Futuro Decimos'!$H$14,0),0)</f>
        <v>0</v>
      </c>
      <c r="C693" s="122">
        <f>IF(A693='F-Ahorro Futuro Decimos'!$H$18,'F-Ahorro Futuro Decimos'!$H$20,0)</f>
        <v>0</v>
      </c>
      <c r="D693" s="122">
        <f t="shared" si="10"/>
        <v>0</v>
      </c>
      <c r="E693" s="121">
        <f>ROUND(D693*'FR_Mantenimiento tasas'!$C$48/360,5)</f>
        <v>0</v>
      </c>
      <c r="F693" s="121">
        <f>ROUND(D693*'FR_Mantenimiento tasas'!$D$48/360,5)</f>
        <v>0</v>
      </c>
    </row>
    <row r="694" spans="1:6">
      <c r="A694" s="123">
        <f>IF(OR(A693='F-Ahorro Futuro Decimos'!$H$16,A693=""),"",IF(A693+1&gt;'F-Ahorro Futuro Decimos'!$H$16,'F-Ahorro Futuro Decimos'!$H$16,A693+1))</f>
        <v>692</v>
      </c>
      <c r="B694" s="122">
        <f>IFERROR(IF(DAY($A694)=DAY('F-Ahorro Futuro Decimos'!$H$15),'F-Ahorro Futuro Decimos'!$H$14,0),0)</f>
        <v>0</v>
      </c>
      <c r="C694" s="122">
        <f>IF(A694='F-Ahorro Futuro Decimos'!$H$18,'F-Ahorro Futuro Decimos'!$H$20,0)</f>
        <v>0</v>
      </c>
      <c r="D694" s="122">
        <f t="shared" si="10"/>
        <v>0</v>
      </c>
      <c r="E694" s="121">
        <f>ROUND(D694*'FR_Mantenimiento tasas'!$C$48/360,5)</f>
        <v>0</v>
      </c>
      <c r="F694" s="121">
        <f>ROUND(D694*'FR_Mantenimiento tasas'!$D$48/360,5)</f>
        <v>0</v>
      </c>
    </row>
    <row r="695" spans="1:6">
      <c r="A695" s="123">
        <f>IF(OR(A694='F-Ahorro Futuro Decimos'!$H$16,A694=""),"",IF(A694+1&gt;'F-Ahorro Futuro Decimos'!$H$16,'F-Ahorro Futuro Decimos'!$H$16,A694+1))</f>
        <v>693</v>
      </c>
      <c r="B695" s="122">
        <f>IFERROR(IF(DAY($A695)=DAY('F-Ahorro Futuro Decimos'!$H$15),'F-Ahorro Futuro Decimos'!$H$14,0),0)</f>
        <v>0</v>
      </c>
      <c r="C695" s="122">
        <f>IF(A695='F-Ahorro Futuro Decimos'!$H$18,'F-Ahorro Futuro Decimos'!$H$20,0)</f>
        <v>0</v>
      </c>
      <c r="D695" s="122">
        <f t="shared" si="10"/>
        <v>0</v>
      </c>
      <c r="E695" s="121">
        <f>ROUND(D695*'FR_Mantenimiento tasas'!$C$48/360,5)</f>
        <v>0</v>
      </c>
      <c r="F695" s="121">
        <f>ROUND(D695*'FR_Mantenimiento tasas'!$D$48/360,5)</f>
        <v>0</v>
      </c>
    </row>
    <row r="696" spans="1:6">
      <c r="A696" s="123">
        <f>IF(OR(A695='F-Ahorro Futuro Decimos'!$H$16,A695=""),"",IF(A695+1&gt;'F-Ahorro Futuro Decimos'!$H$16,'F-Ahorro Futuro Decimos'!$H$16,A695+1))</f>
        <v>694</v>
      </c>
      <c r="B696" s="122">
        <f>IFERROR(IF(DAY($A696)=DAY('F-Ahorro Futuro Decimos'!$H$15),'F-Ahorro Futuro Decimos'!$H$14,0),0)</f>
        <v>0</v>
      </c>
      <c r="C696" s="122">
        <f>IF(A696='F-Ahorro Futuro Decimos'!$H$18,'F-Ahorro Futuro Decimos'!$H$20,0)</f>
        <v>0</v>
      </c>
      <c r="D696" s="122">
        <f t="shared" si="10"/>
        <v>0</v>
      </c>
      <c r="E696" s="121">
        <f>ROUND(D696*'FR_Mantenimiento tasas'!$C$48/360,5)</f>
        <v>0</v>
      </c>
      <c r="F696" s="121">
        <f>ROUND(D696*'FR_Mantenimiento tasas'!$D$48/360,5)</f>
        <v>0</v>
      </c>
    </row>
    <row r="697" spans="1:6">
      <c r="A697" s="123">
        <f>IF(OR(A696='F-Ahorro Futuro Decimos'!$H$16,A696=""),"",IF(A696+1&gt;'F-Ahorro Futuro Decimos'!$H$16,'F-Ahorro Futuro Decimos'!$H$16,A696+1))</f>
        <v>695</v>
      </c>
      <c r="B697" s="122">
        <f>IFERROR(IF(DAY($A697)=DAY('F-Ahorro Futuro Decimos'!$H$15),'F-Ahorro Futuro Decimos'!$H$14,0),0)</f>
        <v>0</v>
      </c>
      <c r="C697" s="122">
        <f>IF(A697='F-Ahorro Futuro Decimos'!$H$18,'F-Ahorro Futuro Decimos'!$H$20,0)</f>
        <v>0</v>
      </c>
      <c r="D697" s="122">
        <f t="shared" si="10"/>
        <v>0</v>
      </c>
      <c r="E697" s="121">
        <f>ROUND(D697*'FR_Mantenimiento tasas'!$C$48/360,5)</f>
        <v>0</v>
      </c>
      <c r="F697" s="121">
        <f>ROUND(D697*'FR_Mantenimiento tasas'!$D$48/360,5)</f>
        <v>0</v>
      </c>
    </row>
    <row r="698" spans="1:6">
      <c r="A698" s="123">
        <f>IF(OR(A697='F-Ahorro Futuro Decimos'!$H$16,A697=""),"",IF(A697+1&gt;'F-Ahorro Futuro Decimos'!$H$16,'F-Ahorro Futuro Decimos'!$H$16,A697+1))</f>
        <v>696</v>
      </c>
      <c r="B698" s="122">
        <f>IFERROR(IF(DAY($A698)=DAY('F-Ahorro Futuro Decimos'!$H$15),'F-Ahorro Futuro Decimos'!$H$14,0),0)</f>
        <v>0</v>
      </c>
      <c r="C698" s="122">
        <f>IF(A698='F-Ahorro Futuro Decimos'!$H$18,'F-Ahorro Futuro Decimos'!$H$20,0)</f>
        <v>0</v>
      </c>
      <c r="D698" s="122">
        <f t="shared" si="10"/>
        <v>0</v>
      </c>
      <c r="E698" s="121">
        <f>ROUND(D698*'FR_Mantenimiento tasas'!$C$48/360,5)</f>
        <v>0</v>
      </c>
      <c r="F698" s="121">
        <f>ROUND(D698*'FR_Mantenimiento tasas'!$D$48/360,5)</f>
        <v>0</v>
      </c>
    </row>
    <row r="699" spans="1:6">
      <c r="A699" s="123">
        <f>IF(OR(A698='F-Ahorro Futuro Decimos'!$H$16,A698=""),"",IF(A698+1&gt;'F-Ahorro Futuro Decimos'!$H$16,'F-Ahorro Futuro Decimos'!$H$16,A698+1))</f>
        <v>697</v>
      </c>
      <c r="B699" s="122">
        <f>IFERROR(IF(DAY($A699)=DAY('F-Ahorro Futuro Decimos'!$H$15),'F-Ahorro Futuro Decimos'!$H$14,0),0)</f>
        <v>0</v>
      </c>
      <c r="C699" s="122">
        <f>IF(A699='F-Ahorro Futuro Decimos'!$H$18,'F-Ahorro Futuro Decimos'!$H$20,0)</f>
        <v>0</v>
      </c>
      <c r="D699" s="122">
        <f t="shared" si="10"/>
        <v>0</v>
      </c>
      <c r="E699" s="121">
        <f>ROUND(D699*'FR_Mantenimiento tasas'!$C$48/360,5)</f>
        <v>0</v>
      </c>
      <c r="F699" s="121">
        <f>ROUND(D699*'FR_Mantenimiento tasas'!$D$48/360,5)</f>
        <v>0</v>
      </c>
    </row>
    <row r="700" spans="1:6">
      <c r="A700" s="123">
        <f>IF(OR(A699='F-Ahorro Futuro Decimos'!$H$16,A699=""),"",IF(A699+1&gt;'F-Ahorro Futuro Decimos'!$H$16,'F-Ahorro Futuro Decimos'!$H$16,A699+1))</f>
        <v>698</v>
      </c>
      <c r="B700" s="122">
        <f>IFERROR(IF(DAY($A700)=DAY('F-Ahorro Futuro Decimos'!$H$15),'F-Ahorro Futuro Decimos'!$H$14,0),0)</f>
        <v>0</v>
      </c>
      <c r="C700" s="122">
        <f>IF(A700='F-Ahorro Futuro Decimos'!$H$18,'F-Ahorro Futuro Decimos'!$H$20,0)</f>
        <v>0</v>
      </c>
      <c r="D700" s="122">
        <f t="shared" si="10"/>
        <v>0</v>
      </c>
      <c r="E700" s="121">
        <f>ROUND(D700*'FR_Mantenimiento tasas'!$C$48/360,5)</f>
        <v>0</v>
      </c>
      <c r="F700" s="121">
        <f>ROUND(D700*'FR_Mantenimiento tasas'!$D$48/360,5)</f>
        <v>0</v>
      </c>
    </row>
    <row r="701" spans="1:6">
      <c r="A701" s="123">
        <f>IF(OR(A700='F-Ahorro Futuro Decimos'!$H$16,A700=""),"",IF(A700+1&gt;'F-Ahorro Futuro Decimos'!$H$16,'F-Ahorro Futuro Decimos'!$H$16,A700+1))</f>
        <v>699</v>
      </c>
      <c r="B701" s="122">
        <f>IFERROR(IF(DAY($A701)=DAY('F-Ahorro Futuro Decimos'!$H$15),'F-Ahorro Futuro Decimos'!$H$14,0),0)</f>
        <v>0</v>
      </c>
      <c r="C701" s="122">
        <f>IF(A701='F-Ahorro Futuro Decimos'!$H$18,'F-Ahorro Futuro Decimos'!$H$20,0)</f>
        <v>0</v>
      </c>
      <c r="D701" s="122">
        <f t="shared" si="10"/>
        <v>0</v>
      </c>
      <c r="E701" s="121">
        <f>ROUND(D701*'FR_Mantenimiento tasas'!$C$48/360,5)</f>
        <v>0</v>
      </c>
      <c r="F701" s="121">
        <f>ROUND(D701*'FR_Mantenimiento tasas'!$D$48/360,5)</f>
        <v>0</v>
      </c>
    </row>
    <row r="702" spans="1:6">
      <c r="A702" s="123">
        <f>IF(OR(A701='F-Ahorro Futuro Decimos'!$H$16,A701=""),"",IF(A701+1&gt;'F-Ahorro Futuro Decimos'!$H$16,'F-Ahorro Futuro Decimos'!$H$16,A701+1))</f>
        <v>700</v>
      </c>
      <c r="B702" s="122">
        <f>IFERROR(IF(DAY($A702)=DAY('F-Ahorro Futuro Decimos'!$H$15),'F-Ahorro Futuro Decimos'!$H$14,0),0)</f>
        <v>0</v>
      </c>
      <c r="C702" s="122">
        <f>IF(A702='F-Ahorro Futuro Decimos'!$H$18,'F-Ahorro Futuro Decimos'!$H$20,0)</f>
        <v>0</v>
      </c>
      <c r="D702" s="122">
        <f t="shared" si="10"/>
        <v>0</v>
      </c>
      <c r="E702" s="121">
        <f>ROUND(D702*'FR_Mantenimiento tasas'!$C$48/360,5)</f>
        <v>0</v>
      </c>
      <c r="F702" s="121">
        <f>ROUND(D702*'FR_Mantenimiento tasas'!$D$48/360,5)</f>
        <v>0</v>
      </c>
    </row>
    <row r="703" spans="1:6">
      <c r="A703" s="123">
        <f>IF(OR(A702='F-Ahorro Futuro Decimos'!$H$16,A702=""),"",IF(A702+1&gt;'F-Ahorro Futuro Decimos'!$H$16,'F-Ahorro Futuro Decimos'!$H$16,A702+1))</f>
        <v>701</v>
      </c>
      <c r="B703" s="122">
        <f>IFERROR(IF(DAY($A703)=DAY('F-Ahorro Futuro Decimos'!$H$15),'F-Ahorro Futuro Decimos'!$H$14,0),0)</f>
        <v>0</v>
      </c>
      <c r="C703" s="122">
        <f>IF(A703='F-Ahorro Futuro Decimos'!$H$18,'F-Ahorro Futuro Decimos'!$H$20,0)</f>
        <v>0</v>
      </c>
      <c r="D703" s="122">
        <f t="shared" si="10"/>
        <v>0</v>
      </c>
      <c r="E703" s="121">
        <f>ROUND(D703*'FR_Mantenimiento tasas'!$C$48/360,5)</f>
        <v>0</v>
      </c>
      <c r="F703" s="121">
        <f>ROUND(D703*'FR_Mantenimiento tasas'!$D$48/360,5)</f>
        <v>0</v>
      </c>
    </row>
    <row r="704" spans="1:6">
      <c r="A704" s="123">
        <f>IF(OR(A703='F-Ahorro Futuro Decimos'!$H$16,A703=""),"",IF(A703+1&gt;'F-Ahorro Futuro Decimos'!$H$16,'F-Ahorro Futuro Decimos'!$H$16,A703+1))</f>
        <v>702</v>
      </c>
      <c r="B704" s="122">
        <f>IFERROR(IF(DAY($A704)=DAY('F-Ahorro Futuro Decimos'!$H$15),'F-Ahorro Futuro Decimos'!$H$14,0),0)</f>
        <v>0</v>
      </c>
      <c r="C704" s="122">
        <f>IF(A704='F-Ahorro Futuro Decimos'!$H$18,'F-Ahorro Futuro Decimos'!$H$20,0)</f>
        <v>0</v>
      </c>
      <c r="D704" s="122">
        <f t="shared" si="10"/>
        <v>0</v>
      </c>
      <c r="E704" s="121">
        <f>ROUND(D704*'FR_Mantenimiento tasas'!$C$48/360,5)</f>
        <v>0</v>
      </c>
      <c r="F704" s="121">
        <f>ROUND(D704*'FR_Mantenimiento tasas'!$D$48/360,5)</f>
        <v>0</v>
      </c>
    </row>
    <row r="705" spans="1:6">
      <c r="A705" s="123">
        <f>IF(OR(A704='F-Ahorro Futuro Decimos'!$H$16,A704=""),"",IF(A704+1&gt;'F-Ahorro Futuro Decimos'!$H$16,'F-Ahorro Futuro Decimos'!$H$16,A704+1))</f>
        <v>703</v>
      </c>
      <c r="B705" s="122">
        <f>IFERROR(IF(DAY($A705)=DAY('F-Ahorro Futuro Decimos'!$H$15),'F-Ahorro Futuro Decimos'!$H$14,0),0)</f>
        <v>0</v>
      </c>
      <c r="C705" s="122">
        <f>IF(A705='F-Ahorro Futuro Decimos'!$H$18,'F-Ahorro Futuro Decimos'!$H$20,0)</f>
        <v>0</v>
      </c>
      <c r="D705" s="122">
        <f t="shared" si="10"/>
        <v>0</v>
      </c>
      <c r="E705" s="121">
        <f>ROUND(D705*'FR_Mantenimiento tasas'!$C$48/360,5)</f>
        <v>0</v>
      </c>
      <c r="F705" s="121">
        <f>ROUND(D705*'FR_Mantenimiento tasas'!$D$48/360,5)</f>
        <v>0</v>
      </c>
    </row>
    <row r="706" spans="1:6">
      <c r="A706" s="123">
        <f>IF(OR(A705='F-Ahorro Futuro Decimos'!$H$16,A705=""),"",IF(A705+1&gt;'F-Ahorro Futuro Decimos'!$H$16,'F-Ahorro Futuro Decimos'!$H$16,A705+1))</f>
        <v>704</v>
      </c>
      <c r="B706" s="122">
        <f>IFERROR(IF(DAY($A706)=DAY('F-Ahorro Futuro Decimos'!$H$15),'F-Ahorro Futuro Decimos'!$H$14,0),0)</f>
        <v>0</v>
      </c>
      <c r="C706" s="122">
        <f>IF(A706='F-Ahorro Futuro Decimos'!$H$18,'F-Ahorro Futuro Decimos'!$H$20,0)</f>
        <v>0</v>
      </c>
      <c r="D706" s="122">
        <f t="shared" si="10"/>
        <v>0</v>
      </c>
      <c r="E706" s="121">
        <f>ROUND(D706*'FR_Mantenimiento tasas'!$C$48/360,5)</f>
        <v>0</v>
      </c>
      <c r="F706" s="121">
        <f>ROUND(D706*'FR_Mantenimiento tasas'!$D$48/360,5)</f>
        <v>0</v>
      </c>
    </row>
    <row r="707" spans="1:6">
      <c r="A707" s="123">
        <f>IF(OR(A706='F-Ahorro Futuro Decimos'!$H$16,A706=""),"",IF(A706+1&gt;'F-Ahorro Futuro Decimos'!$H$16,'F-Ahorro Futuro Decimos'!$H$16,A706+1))</f>
        <v>705</v>
      </c>
      <c r="B707" s="122">
        <f>IFERROR(IF(DAY($A707)=DAY('F-Ahorro Futuro Decimos'!$H$15),'F-Ahorro Futuro Decimos'!$H$14,0),0)</f>
        <v>0</v>
      </c>
      <c r="C707" s="122">
        <f>IF(A707='F-Ahorro Futuro Decimos'!$H$18,'F-Ahorro Futuro Decimos'!$H$20,0)</f>
        <v>0</v>
      </c>
      <c r="D707" s="122">
        <f t="shared" si="10"/>
        <v>0</v>
      </c>
      <c r="E707" s="121">
        <f>ROUND(D707*'FR_Mantenimiento tasas'!$C$48/360,5)</f>
        <v>0</v>
      </c>
      <c r="F707" s="121">
        <f>ROUND(D707*'FR_Mantenimiento tasas'!$D$48/360,5)</f>
        <v>0</v>
      </c>
    </row>
    <row r="708" spans="1:6">
      <c r="A708" s="123">
        <f>IF(OR(A707='F-Ahorro Futuro Decimos'!$H$16,A707=""),"",IF(A707+1&gt;'F-Ahorro Futuro Decimos'!$H$16,'F-Ahorro Futuro Decimos'!$H$16,A707+1))</f>
        <v>706</v>
      </c>
      <c r="B708" s="122">
        <f>IFERROR(IF(DAY($A708)=DAY('F-Ahorro Futuro Decimos'!$H$15),'F-Ahorro Futuro Decimos'!$H$14,0),0)</f>
        <v>0</v>
      </c>
      <c r="C708" s="122">
        <f>IF(A708='F-Ahorro Futuro Decimos'!$H$18,'F-Ahorro Futuro Decimos'!$H$20,0)</f>
        <v>0</v>
      </c>
      <c r="D708" s="122">
        <f t="shared" ref="D708:D771" si="11">+B708+D707+E707-C708</f>
        <v>0</v>
      </c>
      <c r="E708" s="121">
        <f>ROUND(D708*'FR_Mantenimiento tasas'!$C$48/360,5)</f>
        <v>0</v>
      </c>
      <c r="F708" s="121">
        <f>ROUND(D708*'FR_Mantenimiento tasas'!$D$48/360,5)</f>
        <v>0</v>
      </c>
    </row>
    <row r="709" spans="1:6">
      <c r="A709" s="123">
        <f>IF(OR(A708='F-Ahorro Futuro Decimos'!$H$16,A708=""),"",IF(A708+1&gt;'F-Ahorro Futuro Decimos'!$H$16,'F-Ahorro Futuro Decimos'!$H$16,A708+1))</f>
        <v>707</v>
      </c>
      <c r="B709" s="122">
        <f>IFERROR(IF(DAY($A709)=DAY('F-Ahorro Futuro Decimos'!$H$15),'F-Ahorro Futuro Decimos'!$H$14,0),0)</f>
        <v>0</v>
      </c>
      <c r="C709" s="122">
        <f>IF(A709='F-Ahorro Futuro Decimos'!$H$18,'F-Ahorro Futuro Decimos'!$H$20,0)</f>
        <v>0</v>
      </c>
      <c r="D709" s="122">
        <f t="shared" si="11"/>
        <v>0</v>
      </c>
      <c r="E709" s="121">
        <f>ROUND(D709*'FR_Mantenimiento tasas'!$C$48/360,5)</f>
        <v>0</v>
      </c>
      <c r="F709" s="121">
        <f>ROUND(D709*'FR_Mantenimiento tasas'!$D$48/360,5)</f>
        <v>0</v>
      </c>
    </row>
    <row r="710" spans="1:6">
      <c r="A710" s="123">
        <f>IF(OR(A709='F-Ahorro Futuro Decimos'!$H$16,A709=""),"",IF(A709+1&gt;'F-Ahorro Futuro Decimos'!$H$16,'F-Ahorro Futuro Decimos'!$H$16,A709+1))</f>
        <v>708</v>
      </c>
      <c r="B710" s="122">
        <f>IFERROR(IF(DAY($A710)=DAY('F-Ahorro Futuro Decimos'!$H$15),'F-Ahorro Futuro Decimos'!$H$14,0),0)</f>
        <v>0</v>
      </c>
      <c r="C710" s="122">
        <f>IF(A710='F-Ahorro Futuro Decimos'!$H$18,'F-Ahorro Futuro Decimos'!$H$20,0)</f>
        <v>0</v>
      </c>
      <c r="D710" s="122">
        <f t="shared" si="11"/>
        <v>0</v>
      </c>
      <c r="E710" s="121">
        <f>ROUND(D710*'FR_Mantenimiento tasas'!$C$48/360,5)</f>
        <v>0</v>
      </c>
      <c r="F710" s="121">
        <f>ROUND(D710*'FR_Mantenimiento tasas'!$D$48/360,5)</f>
        <v>0</v>
      </c>
    </row>
    <row r="711" spans="1:6">
      <c r="A711" s="123">
        <f>IF(OR(A710='F-Ahorro Futuro Decimos'!$H$16,A710=""),"",IF(A710+1&gt;'F-Ahorro Futuro Decimos'!$H$16,'F-Ahorro Futuro Decimos'!$H$16,A710+1))</f>
        <v>709</v>
      </c>
      <c r="B711" s="122">
        <f>IFERROR(IF(DAY($A711)=DAY('F-Ahorro Futuro Decimos'!$H$15),'F-Ahorro Futuro Decimos'!$H$14,0),0)</f>
        <v>0</v>
      </c>
      <c r="C711" s="122">
        <f>IF(A711='F-Ahorro Futuro Decimos'!$H$18,'F-Ahorro Futuro Decimos'!$H$20,0)</f>
        <v>0</v>
      </c>
      <c r="D711" s="122">
        <f t="shared" si="11"/>
        <v>0</v>
      </c>
      <c r="E711" s="121">
        <f>ROUND(D711*'FR_Mantenimiento tasas'!$C$48/360,5)</f>
        <v>0</v>
      </c>
      <c r="F711" s="121">
        <f>ROUND(D711*'FR_Mantenimiento tasas'!$D$48/360,5)</f>
        <v>0</v>
      </c>
    </row>
    <row r="712" spans="1:6">
      <c r="A712" s="123">
        <f>IF(OR(A711='F-Ahorro Futuro Decimos'!$H$16,A711=""),"",IF(A711+1&gt;'F-Ahorro Futuro Decimos'!$H$16,'F-Ahorro Futuro Decimos'!$H$16,A711+1))</f>
        <v>710</v>
      </c>
      <c r="B712" s="122">
        <f>IFERROR(IF(DAY($A712)=DAY('F-Ahorro Futuro Decimos'!$H$15),'F-Ahorro Futuro Decimos'!$H$14,0),0)</f>
        <v>0</v>
      </c>
      <c r="C712" s="122">
        <f>IF(A712='F-Ahorro Futuro Decimos'!$H$18,'F-Ahorro Futuro Decimos'!$H$20,0)</f>
        <v>0</v>
      </c>
      <c r="D712" s="122">
        <f t="shared" si="11"/>
        <v>0</v>
      </c>
      <c r="E712" s="121">
        <f>ROUND(D712*'FR_Mantenimiento tasas'!$C$48/360,5)</f>
        <v>0</v>
      </c>
      <c r="F712" s="121">
        <f>ROUND(D712*'FR_Mantenimiento tasas'!$D$48/360,5)</f>
        <v>0</v>
      </c>
    </row>
    <row r="713" spans="1:6">
      <c r="A713" s="123">
        <f>IF(OR(A712='F-Ahorro Futuro Decimos'!$H$16,A712=""),"",IF(A712+1&gt;'F-Ahorro Futuro Decimos'!$H$16,'F-Ahorro Futuro Decimos'!$H$16,A712+1))</f>
        <v>711</v>
      </c>
      <c r="B713" s="122">
        <f>IFERROR(IF(DAY($A713)=DAY('F-Ahorro Futuro Decimos'!$H$15),'F-Ahorro Futuro Decimos'!$H$14,0),0)</f>
        <v>0</v>
      </c>
      <c r="C713" s="122">
        <f>IF(A713='F-Ahorro Futuro Decimos'!$H$18,'F-Ahorro Futuro Decimos'!$H$20,0)</f>
        <v>0</v>
      </c>
      <c r="D713" s="122">
        <f t="shared" si="11"/>
        <v>0</v>
      </c>
      <c r="E713" s="121">
        <f>ROUND(D713*'FR_Mantenimiento tasas'!$C$48/360,5)</f>
        <v>0</v>
      </c>
      <c r="F713" s="121">
        <f>ROUND(D713*'FR_Mantenimiento tasas'!$D$48/360,5)</f>
        <v>0</v>
      </c>
    </row>
    <row r="714" spans="1:6">
      <c r="A714" s="123">
        <f>IF(OR(A713='F-Ahorro Futuro Decimos'!$H$16,A713=""),"",IF(A713+1&gt;'F-Ahorro Futuro Decimos'!$H$16,'F-Ahorro Futuro Decimos'!$H$16,A713+1))</f>
        <v>712</v>
      </c>
      <c r="B714" s="122">
        <f>IFERROR(IF(DAY($A714)=DAY('F-Ahorro Futuro Decimos'!$H$15),'F-Ahorro Futuro Decimos'!$H$14,0),0)</f>
        <v>0</v>
      </c>
      <c r="C714" s="122">
        <f>IF(A714='F-Ahorro Futuro Decimos'!$H$18,'F-Ahorro Futuro Decimos'!$H$20,0)</f>
        <v>0</v>
      </c>
      <c r="D714" s="122">
        <f t="shared" si="11"/>
        <v>0</v>
      </c>
      <c r="E714" s="121">
        <f>ROUND(D714*'FR_Mantenimiento tasas'!$C$48/360,5)</f>
        <v>0</v>
      </c>
      <c r="F714" s="121">
        <f>ROUND(D714*'FR_Mantenimiento tasas'!$D$48/360,5)</f>
        <v>0</v>
      </c>
    </row>
    <row r="715" spans="1:6">
      <c r="A715" s="123">
        <f>IF(OR(A714='F-Ahorro Futuro Decimos'!$H$16,A714=""),"",IF(A714+1&gt;'F-Ahorro Futuro Decimos'!$H$16,'F-Ahorro Futuro Decimos'!$H$16,A714+1))</f>
        <v>713</v>
      </c>
      <c r="B715" s="122">
        <f>IFERROR(IF(DAY($A715)=DAY('F-Ahorro Futuro Decimos'!$H$15),'F-Ahorro Futuro Decimos'!$H$14,0),0)</f>
        <v>0</v>
      </c>
      <c r="C715" s="122">
        <f>IF(A715='F-Ahorro Futuro Decimos'!$H$18,'F-Ahorro Futuro Decimos'!$H$20,0)</f>
        <v>0</v>
      </c>
      <c r="D715" s="122">
        <f t="shared" si="11"/>
        <v>0</v>
      </c>
      <c r="E715" s="121">
        <f>ROUND(D715*'FR_Mantenimiento tasas'!$C$48/360,5)</f>
        <v>0</v>
      </c>
      <c r="F715" s="121">
        <f>ROUND(D715*'FR_Mantenimiento tasas'!$D$48/360,5)</f>
        <v>0</v>
      </c>
    </row>
    <row r="716" spans="1:6">
      <c r="A716" s="123">
        <f>IF(OR(A715='F-Ahorro Futuro Decimos'!$H$16,A715=""),"",IF(A715+1&gt;'F-Ahorro Futuro Decimos'!$H$16,'F-Ahorro Futuro Decimos'!$H$16,A715+1))</f>
        <v>714</v>
      </c>
      <c r="B716" s="122">
        <f>IFERROR(IF(DAY($A716)=DAY('F-Ahorro Futuro Decimos'!$H$15),'F-Ahorro Futuro Decimos'!$H$14,0),0)</f>
        <v>0</v>
      </c>
      <c r="C716" s="122">
        <f>IF(A716='F-Ahorro Futuro Decimos'!$H$18,'F-Ahorro Futuro Decimos'!$H$20,0)</f>
        <v>0</v>
      </c>
      <c r="D716" s="122">
        <f t="shared" si="11"/>
        <v>0</v>
      </c>
      <c r="E716" s="121">
        <f>ROUND(D716*'FR_Mantenimiento tasas'!$C$48/360,5)</f>
        <v>0</v>
      </c>
      <c r="F716" s="121">
        <f>ROUND(D716*'FR_Mantenimiento tasas'!$D$48/360,5)</f>
        <v>0</v>
      </c>
    </row>
    <row r="717" spans="1:6">
      <c r="A717" s="123">
        <f>IF(OR(A716='F-Ahorro Futuro Decimos'!$H$16,A716=""),"",IF(A716+1&gt;'F-Ahorro Futuro Decimos'!$H$16,'F-Ahorro Futuro Decimos'!$H$16,A716+1))</f>
        <v>715</v>
      </c>
      <c r="B717" s="122">
        <f>IFERROR(IF(DAY($A717)=DAY('F-Ahorro Futuro Decimos'!$H$15),'F-Ahorro Futuro Decimos'!$H$14,0),0)</f>
        <v>0</v>
      </c>
      <c r="C717" s="122">
        <f>IF(A717='F-Ahorro Futuro Decimos'!$H$18,'F-Ahorro Futuro Decimos'!$H$20,0)</f>
        <v>0</v>
      </c>
      <c r="D717" s="122">
        <f t="shared" si="11"/>
        <v>0</v>
      </c>
      <c r="E717" s="121">
        <f>ROUND(D717*'FR_Mantenimiento tasas'!$C$48/360,5)</f>
        <v>0</v>
      </c>
      <c r="F717" s="121">
        <f>ROUND(D717*'FR_Mantenimiento tasas'!$D$48/360,5)</f>
        <v>0</v>
      </c>
    </row>
    <row r="718" spans="1:6">
      <c r="A718" s="123">
        <f>IF(OR(A717='F-Ahorro Futuro Decimos'!$H$16,A717=""),"",IF(A717+1&gt;'F-Ahorro Futuro Decimos'!$H$16,'F-Ahorro Futuro Decimos'!$H$16,A717+1))</f>
        <v>716</v>
      </c>
      <c r="B718" s="122">
        <f>IFERROR(IF(DAY($A718)=DAY('F-Ahorro Futuro Decimos'!$H$15),'F-Ahorro Futuro Decimos'!$H$14,0),0)</f>
        <v>0</v>
      </c>
      <c r="C718" s="122">
        <f>IF(A718='F-Ahorro Futuro Decimos'!$H$18,'F-Ahorro Futuro Decimos'!$H$20,0)</f>
        <v>0</v>
      </c>
      <c r="D718" s="122">
        <f t="shared" si="11"/>
        <v>0</v>
      </c>
      <c r="E718" s="121">
        <f>ROUND(D718*'FR_Mantenimiento tasas'!$C$48/360,5)</f>
        <v>0</v>
      </c>
      <c r="F718" s="121">
        <f>ROUND(D718*'FR_Mantenimiento tasas'!$D$48/360,5)</f>
        <v>0</v>
      </c>
    </row>
    <row r="719" spans="1:6">
      <c r="A719" s="123">
        <f>IF(OR(A718='F-Ahorro Futuro Decimos'!$H$16,A718=""),"",IF(A718+1&gt;'F-Ahorro Futuro Decimos'!$H$16,'F-Ahorro Futuro Decimos'!$H$16,A718+1))</f>
        <v>717</v>
      </c>
      <c r="B719" s="122">
        <f>IFERROR(IF(DAY($A719)=DAY('F-Ahorro Futuro Decimos'!$H$15),'F-Ahorro Futuro Decimos'!$H$14,0),0)</f>
        <v>0</v>
      </c>
      <c r="C719" s="122">
        <f>IF(A719='F-Ahorro Futuro Decimos'!$H$18,'F-Ahorro Futuro Decimos'!$H$20,0)</f>
        <v>0</v>
      </c>
      <c r="D719" s="122">
        <f t="shared" si="11"/>
        <v>0</v>
      </c>
      <c r="E719" s="121">
        <f>ROUND(D719*'FR_Mantenimiento tasas'!$C$48/360,5)</f>
        <v>0</v>
      </c>
      <c r="F719" s="121">
        <f>ROUND(D719*'FR_Mantenimiento tasas'!$D$48/360,5)</f>
        <v>0</v>
      </c>
    </row>
    <row r="720" spans="1:6">
      <c r="A720" s="123">
        <f>IF(OR(A719='F-Ahorro Futuro Decimos'!$H$16,A719=""),"",IF(A719+1&gt;'F-Ahorro Futuro Decimos'!$H$16,'F-Ahorro Futuro Decimos'!$H$16,A719+1))</f>
        <v>718</v>
      </c>
      <c r="B720" s="122">
        <f>IFERROR(IF(DAY($A720)=DAY('F-Ahorro Futuro Decimos'!$H$15),'F-Ahorro Futuro Decimos'!$H$14,0),0)</f>
        <v>0</v>
      </c>
      <c r="C720" s="122">
        <f>IF(A720='F-Ahorro Futuro Decimos'!$H$18,'F-Ahorro Futuro Decimos'!$H$20,0)</f>
        <v>0</v>
      </c>
      <c r="D720" s="122">
        <f t="shared" si="11"/>
        <v>0</v>
      </c>
      <c r="E720" s="121">
        <f>ROUND(D720*'FR_Mantenimiento tasas'!$C$48/360,5)</f>
        <v>0</v>
      </c>
      <c r="F720" s="121">
        <f>ROUND(D720*'FR_Mantenimiento tasas'!$D$48/360,5)</f>
        <v>0</v>
      </c>
    </row>
    <row r="721" spans="1:6">
      <c r="A721" s="123">
        <f>IF(OR(A720='F-Ahorro Futuro Decimos'!$H$16,A720=""),"",IF(A720+1&gt;'F-Ahorro Futuro Decimos'!$H$16,'F-Ahorro Futuro Decimos'!$H$16,A720+1))</f>
        <v>719</v>
      </c>
      <c r="B721" s="122">
        <f>IFERROR(IF(DAY($A721)=DAY('F-Ahorro Futuro Decimos'!$H$15),'F-Ahorro Futuro Decimos'!$H$14,0),0)</f>
        <v>0</v>
      </c>
      <c r="C721" s="122">
        <f>IF(A721='F-Ahorro Futuro Decimos'!$H$18,'F-Ahorro Futuro Decimos'!$H$20,0)</f>
        <v>0</v>
      </c>
      <c r="D721" s="122">
        <f t="shared" si="11"/>
        <v>0</v>
      </c>
      <c r="E721" s="121">
        <f>ROUND(D721*'FR_Mantenimiento tasas'!$C$48/360,5)</f>
        <v>0</v>
      </c>
      <c r="F721" s="121">
        <f>ROUND(D721*'FR_Mantenimiento tasas'!$D$48/360,5)</f>
        <v>0</v>
      </c>
    </row>
    <row r="722" spans="1:6">
      <c r="A722" s="123">
        <f>IF(OR(A721='F-Ahorro Futuro Decimos'!$H$16,A721=""),"",IF(A721+1&gt;'F-Ahorro Futuro Decimos'!$H$16,'F-Ahorro Futuro Decimos'!$H$16,A721+1))</f>
        <v>720</v>
      </c>
      <c r="B722" s="122">
        <f>IFERROR(IF(DAY($A722)=DAY('F-Ahorro Futuro Decimos'!$H$15),'F-Ahorro Futuro Decimos'!$H$14,0),0)</f>
        <v>0</v>
      </c>
      <c r="C722" s="122">
        <f>IF(A722='F-Ahorro Futuro Decimos'!$H$18,'F-Ahorro Futuro Decimos'!$H$20,0)</f>
        <v>0</v>
      </c>
      <c r="D722" s="122">
        <f t="shared" si="11"/>
        <v>0</v>
      </c>
      <c r="E722" s="121">
        <f>ROUND(D722*'FR_Mantenimiento tasas'!$C$48/360,5)</f>
        <v>0</v>
      </c>
      <c r="F722" s="121">
        <f>ROUND(D722*'FR_Mantenimiento tasas'!$D$48/360,5)</f>
        <v>0</v>
      </c>
    </row>
    <row r="723" spans="1:6">
      <c r="A723" s="123">
        <f>IF(OR(A722='F-Ahorro Futuro Decimos'!$H$16,A722=""),"",IF(A722+1&gt;'F-Ahorro Futuro Decimos'!$H$16,'F-Ahorro Futuro Decimos'!$H$16,A722+1))</f>
        <v>721</v>
      </c>
      <c r="B723" s="122">
        <f>IFERROR(IF(DAY($A723)=DAY('F-Ahorro Futuro Decimos'!$H$15),'F-Ahorro Futuro Decimos'!$H$14,0),0)</f>
        <v>0</v>
      </c>
      <c r="C723" s="122">
        <f>IF(A723='F-Ahorro Futuro Decimos'!$H$18,'F-Ahorro Futuro Decimos'!$H$20,0)</f>
        <v>0</v>
      </c>
      <c r="D723" s="122">
        <f t="shared" si="11"/>
        <v>0</v>
      </c>
      <c r="E723" s="121">
        <f>ROUND(D723*'FR_Mantenimiento tasas'!$C$48/360,5)</f>
        <v>0</v>
      </c>
      <c r="F723" s="121">
        <f>ROUND(D723*'FR_Mantenimiento tasas'!$D$48/360,5)</f>
        <v>0</v>
      </c>
    </row>
    <row r="724" spans="1:6">
      <c r="A724" s="123">
        <f>IF(OR(A723='F-Ahorro Futuro Decimos'!$H$16,A723=""),"",IF(A723+1&gt;'F-Ahorro Futuro Decimos'!$H$16,'F-Ahorro Futuro Decimos'!$H$16,A723+1))</f>
        <v>722</v>
      </c>
      <c r="B724" s="122">
        <f>IFERROR(IF(DAY($A724)=DAY('F-Ahorro Futuro Decimos'!$H$15),'F-Ahorro Futuro Decimos'!$H$14,0),0)</f>
        <v>0</v>
      </c>
      <c r="C724" s="122">
        <f>IF(A724='F-Ahorro Futuro Decimos'!$H$18,'F-Ahorro Futuro Decimos'!$H$20,0)</f>
        <v>0</v>
      </c>
      <c r="D724" s="122">
        <f t="shared" si="11"/>
        <v>0</v>
      </c>
      <c r="E724" s="121">
        <f>ROUND(D724*'FR_Mantenimiento tasas'!$C$48/360,5)</f>
        <v>0</v>
      </c>
      <c r="F724" s="121">
        <f>ROUND(D724*'FR_Mantenimiento tasas'!$D$48/360,5)</f>
        <v>0</v>
      </c>
    </row>
    <row r="725" spans="1:6">
      <c r="A725" s="123">
        <f>IF(OR(A724='F-Ahorro Futuro Decimos'!$H$16,A724=""),"",IF(A724+1&gt;'F-Ahorro Futuro Decimos'!$H$16,'F-Ahorro Futuro Decimos'!$H$16,A724+1))</f>
        <v>723</v>
      </c>
      <c r="B725" s="122">
        <f>IFERROR(IF(DAY($A725)=DAY('F-Ahorro Futuro Decimos'!$H$15),'F-Ahorro Futuro Decimos'!$H$14,0),0)</f>
        <v>0</v>
      </c>
      <c r="C725" s="122">
        <f>IF(A725='F-Ahorro Futuro Decimos'!$H$18,'F-Ahorro Futuro Decimos'!$H$20,0)</f>
        <v>0</v>
      </c>
      <c r="D725" s="122">
        <f t="shared" si="11"/>
        <v>0</v>
      </c>
      <c r="E725" s="121">
        <f>ROUND(D725*'FR_Mantenimiento tasas'!$C$48/360,5)</f>
        <v>0</v>
      </c>
      <c r="F725" s="121">
        <f>ROUND(D725*'FR_Mantenimiento tasas'!$D$48/360,5)</f>
        <v>0</v>
      </c>
    </row>
    <row r="726" spans="1:6">
      <c r="A726" s="123">
        <f>IF(OR(A725='F-Ahorro Futuro Decimos'!$H$16,A725=""),"",IF(A725+1&gt;'F-Ahorro Futuro Decimos'!$H$16,'F-Ahorro Futuro Decimos'!$H$16,A725+1))</f>
        <v>724</v>
      </c>
      <c r="B726" s="122">
        <f>IFERROR(IF(DAY($A726)=DAY('F-Ahorro Futuro Decimos'!$H$15),'F-Ahorro Futuro Decimos'!$H$14,0),0)</f>
        <v>0</v>
      </c>
      <c r="C726" s="122">
        <f>IF(A726='F-Ahorro Futuro Decimos'!$H$18,'F-Ahorro Futuro Decimos'!$H$20,0)</f>
        <v>0</v>
      </c>
      <c r="D726" s="122">
        <f t="shared" si="11"/>
        <v>0</v>
      </c>
      <c r="E726" s="121">
        <f>ROUND(D726*'FR_Mantenimiento tasas'!$C$48/360,5)</f>
        <v>0</v>
      </c>
      <c r="F726" s="121">
        <f>ROUND(D726*'FR_Mantenimiento tasas'!$D$48/360,5)</f>
        <v>0</v>
      </c>
    </row>
    <row r="727" spans="1:6">
      <c r="A727" s="123">
        <f>IF(OR(A726='F-Ahorro Futuro Decimos'!$H$16,A726=""),"",IF(A726+1&gt;'F-Ahorro Futuro Decimos'!$H$16,'F-Ahorro Futuro Decimos'!$H$16,A726+1))</f>
        <v>725</v>
      </c>
      <c r="B727" s="122">
        <f>IFERROR(IF(DAY($A727)=DAY('F-Ahorro Futuro Decimos'!$H$15),'F-Ahorro Futuro Decimos'!$H$14,0),0)</f>
        <v>0</v>
      </c>
      <c r="C727" s="122">
        <f>IF(A727='F-Ahorro Futuro Decimos'!$H$18,'F-Ahorro Futuro Decimos'!$H$20,0)</f>
        <v>0</v>
      </c>
      <c r="D727" s="122">
        <f t="shared" si="11"/>
        <v>0</v>
      </c>
      <c r="E727" s="121">
        <f>ROUND(D727*'FR_Mantenimiento tasas'!$C$48/360,5)</f>
        <v>0</v>
      </c>
      <c r="F727" s="121">
        <f>ROUND(D727*'FR_Mantenimiento tasas'!$D$48/360,5)</f>
        <v>0</v>
      </c>
    </row>
    <row r="728" spans="1:6">
      <c r="A728" s="123">
        <f>IF(OR(A727='F-Ahorro Futuro Decimos'!$H$16,A727=""),"",IF(A727+1&gt;'F-Ahorro Futuro Decimos'!$H$16,'F-Ahorro Futuro Decimos'!$H$16,A727+1))</f>
        <v>726</v>
      </c>
      <c r="B728" s="122">
        <f>IFERROR(IF(DAY($A728)=DAY('F-Ahorro Futuro Decimos'!$H$15),'F-Ahorro Futuro Decimos'!$H$14,0),0)</f>
        <v>0</v>
      </c>
      <c r="C728" s="122">
        <f>IF(A728='F-Ahorro Futuro Decimos'!$H$18,'F-Ahorro Futuro Decimos'!$H$20,0)</f>
        <v>0</v>
      </c>
      <c r="D728" s="122">
        <f t="shared" si="11"/>
        <v>0</v>
      </c>
      <c r="E728" s="121">
        <f>ROUND(D728*'FR_Mantenimiento tasas'!$C$48/360,5)</f>
        <v>0</v>
      </c>
      <c r="F728" s="121">
        <f>ROUND(D728*'FR_Mantenimiento tasas'!$D$48/360,5)</f>
        <v>0</v>
      </c>
    </row>
    <row r="729" spans="1:6">
      <c r="A729" s="123">
        <f>IF(OR(A728='F-Ahorro Futuro Decimos'!$H$16,A728=""),"",IF(A728+1&gt;'F-Ahorro Futuro Decimos'!$H$16,'F-Ahorro Futuro Decimos'!$H$16,A728+1))</f>
        <v>727</v>
      </c>
      <c r="B729" s="122">
        <f>IFERROR(IF(DAY($A729)=DAY('F-Ahorro Futuro Decimos'!$H$15),'F-Ahorro Futuro Decimos'!$H$14,0),0)</f>
        <v>0</v>
      </c>
      <c r="C729" s="122">
        <f>IF(A729='F-Ahorro Futuro Decimos'!$H$18,'F-Ahorro Futuro Decimos'!$H$20,0)</f>
        <v>0</v>
      </c>
      <c r="D729" s="122">
        <f t="shared" si="11"/>
        <v>0</v>
      </c>
      <c r="E729" s="121">
        <f>ROUND(D729*'FR_Mantenimiento tasas'!$C$48/360,5)</f>
        <v>0</v>
      </c>
      <c r="F729" s="121">
        <f>ROUND(D729*'FR_Mantenimiento tasas'!$D$48/360,5)</f>
        <v>0</v>
      </c>
    </row>
    <row r="730" spans="1:6">
      <c r="A730" s="123">
        <f>IF(OR(A729='F-Ahorro Futuro Decimos'!$H$16,A729=""),"",IF(A729+1&gt;'F-Ahorro Futuro Decimos'!$H$16,'F-Ahorro Futuro Decimos'!$H$16,A729+1))</f>
        <v>728</v>
      </c>
      <c r="B730" s="122">
        <f>IFERROR(IF(DAY($A730)=DAY('F-Ahorro Futuro Decimos'!$H$15),'F-Ahorro Futuro Decimos'!$H$14,0),0)</f>
        <v>0</v>
      </c>
      <c r="C730" s="122">
        <f>IF(A730='F-Ahorro Futuro Decimos'!$H$18,'F-Ahorro Futuro Decimos'!$H$20,0)</f>
        <v>0</v>
      </c>
      <c r="D730" s="122">
        <f t="shared" si="11"/>
        <v>0</v>
      </c>
      <c r="E730" s="121">
        <f>ROUND(D730*'FR_Mantenimiento tasas'!$C$48/360,5)</f>
        <v>0</v>
      </c>
      <c r="F730" s="121">
        <f>ROUND(D730*'FR_Mantenimiento tasas'!$D$48/360,5)</f>
        <v>0</v>
      </c>
    </row>
    <row r="731" spans="1:6">
      <c r="A731" s="123">
        <f>IF(OR(A730='F-Ahorro Futuro Decimos'!$H$16,A730=""),"",IF(A730+1&gt;'F-Ahorro Futuro Decimos'!$H$16,'F-Ahorro Futuro Decimos'!$H$16,A730+1))</f>
        <v>729</v>
      </c>
      <c r="B731" s="122">
        <f>IFERROR(IF(DAY($A731)=DAY('F-Ahorro Futuro Decimos'!$H$15),'F-Ahorro Futuro Decimos'!$H$14,0),0)</f>
        <v>0</v>
      </c>
      <c r="C731" s="122">
        <f>IF(A731='F-Ahorro Futuro Decimos'!$H$18,'F-Ahorro Futuro Decimos'!$H$20,0)</f>
        <v>0</v>
      </c>
      <c r="D731" s="122">
        <f t="shared" si="11"/>
        <v>0</v>
      </c>
      <c r="E731" s="121">
        <f>ROUND(D731*'FR_Mantenimiento tasas'!$C$48/360,5)</f>
        <v>0</v>
      </c>
      <c r="F731" s="121">
        <f>ROUND(D731*'FR_Mantenimiento tasas'!$D$48/360,5)</f>
        <v>0</v>
      </c>
    </row>
    <row r="732" spans="1:6">
      <c r="A732" s="123">
        <f>IF(OR(A731='F-Ahorro Futuro Decimos'!$H$16,A731=""),"",IF(A731+1&gt;'F-Ahorro Futuro Decimos'!$H$16,'F-Ahorro Futuro Decimos'!$H$16,A731+1))</f>
        <v>730</v>
      </c>
      <c r="B732" s="122">
        <f>IFERROR(IF(DAY($A732)=DAY('F-Ahorro Futuro Decimos'!$H$15),'F-Ahorro Futuro Decimos'!$H$14,0),0)</f>
        <v>0</v>
      </c>
      <c r="C732" s="122">
        <f>IF(A732='F-Ahorro Futuro Decimos'!$H$18,'F-Ahorro Futuro Decimos'!$H$20,0)</f>
        <v>0</v>
      </c>
      <c r="D732" s="122">
        <f t="shared" si="11"/>
        <v>0</v>
      </c>
      <c r="E732" s="121">
        <f>ROUND(D732*'FR_Mantenimiento tasas'!$C$48/360,5)</f>
        <v>0</v>
      </c>
      <c r="F732" s="121">
        <f>ROUND(D732*'FR_Mantenimiento tasas'!$D$48/360,5)</f>
        <v>0</v>
      </c>
    </row>
    <row r="733" spans="1:6">
      <c r="A733" s="123">
        <f>IF(OR(A732='F-Ahorro Futuro Decimos'!$H$16,A732=""),"",IF(A732+1&gt;'F-Ahorro Futuro Decimos'!$H$16,'F-Ahorro Futuro Decimos'!$H$16,A732+1))</f>
        <v>731</v>
      </c>
      <c r="B733" s="122">
        <f>IFERROR(IF(DAY($A733)=DAY('F-Ahorro Futuro Decimos'!$H$15),'F-Ahorro Futuro Decimos'!$H$14,0),0)</f>
        <v>0</v>
      </c>
      <c r="C733" s="122">
        <f>IF(A733='F-Ahorro Futuro Decimos'!$H$18,'F-Ahorro Futuro Decimos'!$H$20,0)</f>
        <v>0</v>
      </c>
      <c r="D733" s="122">
        <f t="shared" si="11"/>
        <v>0</v>
      </c>
      <c r="E733" s="121">
        <f>ROUND(D733*'FR_Mantenimiento tasas'!$C$48/360,5)</f>
        <v>0</v>
      </c>
      <c r="F733" s="121">
        <f>ROUND(D733*'FR_Mantenimiento tasas'!$D$48/360,5)</f>
        <v>0</v>
      </c>
    </row>
    <row r="734" spans="1:6">
      <c r="A734" s="123">
        <f>IF(OR(A733='F-Ahorro Futuro Decimos'!$H$16,A733=""),"",IF(A733+1&gt;'F-Ahorro Futuro Decimos'!$H$16,'F-Ahorro Futuro Decimos'!$H$16,A733+1))</f>
        <v>732</v>
      </c>
      <c r="B734" s="122">
        <f>IFERROR(IF(DAY($A734)=DAY('F-Ahorro Futuro Decimos'!$H$15),'F-Ahorro Futuro Decimos'!$H$14,0),0)</f>
        <v>0</v>
      </c>
      <c r="C734" s="122">
        <f>IF(A734='F-Ahorro Futuro Decimos'!$H$18,'F-Ahorro Futuro Decimos'!$H$20,0)</f>
        <v>0</v>
      </c>
      <c r="D734" s="122">
        <f t="shared" si="11"/>
        <v>0</v>
      </c>
      <c r="E734" s="121">
        <f>ROUND(D734*'FR_Mantenimiento tasas'!$C$48/360,5)</f>
        <v>0</v>
      </c>
      <c r="F734" s="121">
        <f>ROUND(D734*'FR_Mantenimiento tasas'!$D$48/360,5)</f>
        <v>0</v>
      </c>
    </row>
    <row r="735" spans="1:6">
      <c r="A735" s="123">
        <f>IF(OR(A734='F-Ahorro Futuro Decimos'!$H$16,A734=""),"",IF(A734+1&gt;'F-Ahorro Futuro Decimos'!$H$16,'F-Ahorro Futuro Decimos'!$H$16,A734+1))</f>
        <v>733</v>
      </c>
      <c r="B735" s="122">
        <f>IFERROR(IF(DAY($A735)=DAY('F-Ahorro Futuro Decimos'!$H$15),'F-Ahorro Futuro Decimos'!$H$14,0),0)</f>
        <v>0</v>
      </c>
      <c r="C735" s="122">
        <f>IF(A735='F-Ahorro Futuro Decimos'!$H$18,'F-Ahorro Futuro Decimos'!$H$20,0)</f>
        <v>0</v>
      </c>
      <c r="D735" s="122">
        <f t="shared" si="11"/>
        <v>0</v>
      </c>
      <c r="E735" s="121">
        <f>ROUND(D735*'FR_Mantenimiento tasas'!$C$48/360,5)</f>
        <v>0</v>
      </c>
      <c r="F735" s="121">
        <f>ROUND(D735*'FR_Mantenimiento tasas'!$D$48/360,5)</f>
        <v>0</v>
      </c>
    </row>
    <row r="736" spans="1:6">
      <c r="A736" s="123">
        <f>IF(OR(A735='F-Ahorro Futuro Decimos'!$H$16,A735=""),"",IF(A735+1&gt;'F-Ahorro Futuro Decimos'!$H$16,'F-Ahorro Futuro Decimos'!$H$16,A735+1))</f>
        <v>734</v>
      </c>
      <c r="B736" s="122">
        <f>IFERROR(IF(DAY($A736)=DAY('F-Ahorro Futuro Decimos'!$H$15),'F-Ahorro Futuro Decimos'!$H$14,0),0)</f>
        <v>0</v>
      </c>
      <c r="C736" s="122">
        <f>IF(A736='F-Ahorro Futuro Decimos'!$H$18,'F-Ahorro Futuro Decimos'!$H$20,0)</f>
        <v>0</v>
      </c>
      <c r="D736" s="122">
        <f t="shared" si="11"/>
        <v>0</v>
      </c>
      <c r="E736" s="121">
        <f>ROUND(D736*'FR_Mantenimiento tasas'!$C$48/360,5)</f>
        <v>0</v>
      </c>
      <c r="F736" s="121">
        <f>ROUND(D736*'FR_Mantenimiento tasas'!$D$48/360,5)</f>
        <v>0</v>
      </c>
    </row>
    <row r="737" spans="1:6">
      <c r="A737" s="123">
        <f>IF(OR(A736='F-Ahorro Futuro Decimos'!$H$16,A736=""),"",IF(A736+1&gt;'F-Ahorro Futuro Decimos'!$H$16,'F-Ahorro Futuro Decimos'!$H$16,A736+1))</f>
        <v>735</v>
      </c>
      <c r="B737" s="122">
        <f>IFERROR(IF(DAY($A737)=DAY('F-Ahorro Futuro Decimos'!$H$15),'F-Ahorro Futuro Decimos'!$H$14,0),0)</f>
        <v>0</v>
      </c>
      <c r="C737" s="122">
        <f>IF(A737='F-Ahorro Futuro Decimos'!$H$18,'F-Ahorro Futuro Decimos'!$H$20,0)</f>
        <v>0</v>
      </c>
      <c r="D737" s="122">
        <f t="shared" si="11"/>
        <v>0</v>
      </c>
      <c r="E737" s="121">
        <f>ROUND(D737*'FR_Mantenimiento tasas'!$C$48/360,5)</f>
        <v>0</v>
      </c>
      <c r="F737" s="121">
        <f>ROUND(D737*'FR_Mantenimiento tasas'!$D$48/360,5)</f>
        <v>0</v>
      </c>
    </row>
    <row r="738" spans="1:6">
      <c r="A738" s="123">
        <f>IF(OR(A737='F-Ahorro Futuro Decimos'!$H$16,A737=""),"",IF(A737+1&gt;'F-Ahorro Futuro Decimos'!$H$16,'F-Ahorro Futuro Decimos'!$H$16,A737+1))</f>
        <v>736</v>
      </c>
      <c r="B738" s="122">
        <f>IFERROR(IF(DAY($A738)=DAY('F-Ahorro Futuro Decimos'!$H$15),'F-Ahorro Futuro Decimos'!$H$14,0),0)</f>
        <v>0</v>
      </c>
      <c r="C738" s="122">
        <f>IF(A738='F-Ahorro Futuro Decimos'!$H$18,'F-Ahorro Futuro Decimos'!$H$20,0)</f>
        <v>0</v>
      </c>
      <c r="D738" s="122">
        <f t="shared" si="11"/>
        <v>0</v>
      </c>
      <c r="E738" s="121">
        <f>ROUND(D738*'FR_Mantenimiento tasas'!$C$48/360,5)</f>
        <v>0</v>
      </c>
      <c r="F738" s="121">
        <f>ROUND(D738*'FR_Mantenimiento tasas'!$D$48/360,5)</f>
        <v>0</v>
      </c>
    </row>
    <row r="739" spans="1:6">
      <c r="A739" s="123">
        <f>IF(OR(A738='F-Ahorro Futuro Decimos'!$H$16,A738=""),"",IF(A738+1&gt;'F-Ahorro Futuro Decimos'!$H$16,'F-Ahorro Futuro Decimos'!$H$16,A738+1))</f>
        <v>737</v>
      </c>
      <c r="B739" s="122">
        <f>IFERROR(IF(DAY($A739)=DAY('F-Ahorro Futuro Decimos'!$H$15),'F-Ahorro Futuro Decimos'!$H$14,0),0)</f>
        <v>0</v>
      </c>
      <c r="C739" s="122">
        <f>IF(A739='F-Ahorro Futuro Decimos'!$H$18,'F-Ahorro Futuro Decimos'!$H$20,0)</f>
        <v>0</v>
      </c>
      <c r="D739" s="122">
        <f t="shared" si="11"/>
        <v>0</v>
      </c>
      <c r="E739" s="121">
        <f>ROUND(D739*'FR_Mantenimiento tasas'!$C$48/360,5)</f>
        <v>0</v>
      </c>
      <c r="F739" s="121">
        <f>ROUND(D739*'FR_Mantenimiento tasas'!$D$48/360,5)</f>
        <v>0</v>
      </c>
    </row>
    <row r="740" spans="1:6">
      <c r="A740" s="123">
        <f>IF(OR(A739='F-Ahorro Futuro Decimos'!$H$16,A739=""),"",IF(A739+1&gt;'F-Ahorro Futuro Decimos'!$H$16,'F-Ahorro Futuro Decimos'!$H$16,A739+1))</f>
        <v>738</v>
      </c>
      <c r="B740" s="122">
        <f>IFERROR(IF(DAY($A740)=DAY('F-Ahorro Futuro Decimos'!$H$15),'F-Ahorro Futuro Decimos'!$H$14,0),0)</f>
        <v>0</v>
      </c>
      <c r="C740" s="122">
        <f>IF(A740='F-Ahorro Futuro Decimos'!$H$18,'F-Ahorro Futuro Decimos'!$H$20,0)</f>
        <v>0</v>
      </c>
      <c r="D740" s="122">
        <f t="shared" si="11"/>
        <v>0</v>
      </c>
      <c r="E740" s="121">
        <f>ROUND(D740*'FR_Mantenimiento tasas'!$C$48/360,5)</f>
        <v>0</v>
      </c>
      <c r="F740" s="121">
        <f>ROUND(D740*'FR_Mantenimiento tasas'!$D$48/360,5)</f>
        <v>0</v>
      </c>
    </row>
    <row r="741" spans="1:6">
      <c r="A741" s="123">
        <f>IF(OR(A740='F-Ahorro Futuro Decimos'!$H$16,A740=""),"",IF(A740+1&gt;'F-Ahorro Futuro Decimos'!$H$16,'F-Ahorro Futuro Decimos'!$H$16,A740+1))</f>
        <v>739</v>
      </c>
      <c r="B741" s="122">
        <f>IFERROR(IF(DAY($A741)=DAY('F-Ahorro Futuro Decimos'!$H$15),'F-Ahorro Futuro Decimos'!$H$14,0),0)</f>
        <v>0</v>
      </c>
      <c r="C741" s="122">
        <f>IF(A741='F-Ahorro Futuro Decimos'!$H$18,'F-Ahorro Futuro Decimos'!$H$20,0)</f>
        <v>0</v>
      </c>
      <c r="D741" s="122">
        <f t="shared" si="11"/>
        <v>0</v>
      </c>
      <c r="E741" s="121">
        <f>ROUND(D741*'FR_Mantenimiento tasas'!$C$48/360,5)</f>
        <v>0</v>
      </c>
      <c r="F741" s="121">
        <f>ROUND(D741*'FR_Mantenimiento tasas'!$D$48/360,5)</f>
        <v>0</v>
      </c>
    </row>
    <row r="742" spans="1:6">
      <c r="A742" s="123">
        <f>IF(OR(A741='F-Ahorro Futuro Decimos'!$H$16,A741=""),"",IF(A741+1&gt;'F-Ahorro Futuro Decimos'!$H$16,'F-Ahorro Futuro Decimos'!$H$16,A741+1))</f>
        <v>740</v>
      </c>
      <c r="B742" s="122">
        <f>IFERROR(IF(DAY($A742)=DAY('F-Ahorro Futuro Decimos'!$H$15),'F-Ahorro Futuro Decimos'!$H$14,0),0)</f>
        <v>0</v>
      </c>
      <c r="C742" s="122">
        <f>IF(A742='F-Ahorro Futuro Decimos'!$H$18,'F-Ahorro Futuro Decimos'!$H$20,0)</f>
        <v>0</v>
      </c>
      <c r="D742" s="122">
        <f t="shared" si="11"/>
        <v>0</v>
      </c>
      <c r="E742" s="121">
        <f>ROUND(D742*'FR_Mantenimiento tasas'!$C$48/360,5)</f>
        <v>0</v>
      </c>
      <c r="F742" s="121">
        <f>ROUND(D742*'FR_Mantenimiento tasas'!$D$48/360,5)</f>
        <v>0</v>
      </c>
    </row>
    <row r="743" spans="1:6">
      <c r="A743" s="123">
        <f>IF(OR(A742='F-Ahorro Futuro Decimos'!$H$16,A742=""),"",IF(A742+1&gt;'F-Ahorro Futuro Decimos'!$H$16,'F-Ahorro Futuro Decimos'!$H$16,A742+1))</f>
        <v>741</v>
      </c>
      <c r="B743" s="122">
        <f>IFERROR(IF(DAY($A743)=DAY('F-Ahorro Futuro Decimos'!$H$15),'F-Ahorro Futuro Decimos'!$H$14,0),0)</f>
        <v>0</v>
      </c>
      <c r="C743" s="122">
        <f>IF(A743='F-Ahorro Futuro Decimos'!$H$18,'F-Ahorro Futuro Decimos'!$H$20,0)</f>
        <v>0</v>
      </c>
      <c r="D743" s="122">
        <f t="shared" si="11"/>
        <v>0</v>
      </c>
      <c r="E743" s="121">
        <f>ROUND(D743*'FR_Mantenimiento tasas'!$C$48/360,5)</f>
        <v>0</v>
      </c>
      <c r="F743" s="121">
        <f>ROUND(D743*'FR_Mantenimiento tasas'!$D$48/360,5)</f>
        <v>0</v>
      </c>
    </row>
    <row r="744" spans="1:6">
      <c r="A744" s="123">
        <f>IF(OR(A743='F-Ahorro Futuro Decimos'!$H$16,A743=""),"",IF(A743+1&gt;'F-Ahorro Futuro Decimos'!$H$16,'F-Ahorro Futuro Decimos'!$H$16,A743+1))</f>
        <v>742</v>
      </c>
      <c r="B744" s="122">
        <f>IFERROR(IF(DAY($A744)=DAY('F-Ahorro Futuro Decimos'!$H$15),'F-Ahorro Futuro Decimos'!$H$14,0),0)</f>
        <v>0</v>
      </c>
      <c r="C744" s="122">
        <f>IF(A744='F-Ahorro Futuro Decimos'!$H$18,'F-Ahorro Futuro Decimos'!$H$20,0)</f>
        <v>0</v>
      </c>
      <c r="D744" s="122">
        <f t="shared" si="11"/>
        <v>0</v>
      </c>
      <c r="E744" s="121">
        <f>ROUND(D744*'FR_Mantenimiento tasas'!$C$48/360,5)</f>
        <v>0</v>
      </c>
      <c r="F744" s="121">
        <f>ROUND(D744*'FR_Mantenimiento tasas'!$D$48/360,5)</f>
        <v>0</v>
      </c>
    </row>
    <row r="745" spans="1:6">
      <c r="A745" s="123">
        <f>IF(OR(A744='F-Ahorro Futuro Decimos'!$H$16,A744=""),"",IF(A744+1&gt;'F-Ahorro Futuro Decimos'!$H$16,'F-Ahorro Futuro Decimos'!$H$16,A744+1))</f>
        <v>743</v>
      </c>
      <c r="B745" s="122">
        <f>IFERROR(IF(DAY($A745)=DAY('F-Ahorro Futuro Decimos'!$H$15),'F-Ahorro Futuro Decimos'!$H$14,0),0)</f>
        <v>0</v>
      </c>
      <c r="C745" s="122">
        <f>IF(A745='F-Ahorro Futuro Decimos'!$H$18,'F-Ahorro Futuro Decimos'!$H$20,0)</f>
        <v>0</v>
      </c>
      <c r="D745" s="122">
        <f t="shared" si="11"/>
        <v>0</v>
      </c>
      <c r="E745" s="121">
        <f>ROUND(D745*'FR_Mantenimiento tasas'!$C$48/360,5)</f>
        <v>0</v>
      </c>
      <c r="F745" s="121">
        <f>ROUND(D745*'FR_Mantenimiento tasas'!$D$48/360,5)</f>
        <v>0</v>
      </c>
    </row>
    <row r="746" spans="1:6">
      <c r="A746" s="123">
        <f>IF(OR(A745='F-Ahorro Futuro Decimos'!$H$16,A745=""),"",IF(A745+1&gt;'F-Ahorro Futuro Decimos'!$H$16,'F-Ahorro Futuro Decimos'!$H$16,A745+1))</f>
        <v>744</v>
      </c>
      <c r="B746" s="122">
        <f>IFERROR(IF(DAY($A746)=DAY('F-Ahorro Futuro Decimos'!$H$15),'F-Ahorro Futuro Decimos'!$H$14,0),0)</f>
        <v>0</v>
      </c>
      <c r="C746" s="122">
        <f>IF(A746='F-Ahorro Futuro Decimos'!$H$18,'F-Ahorro Futuro Decimos'!$H$20,0)</f>
        <v>0</v>
      </c>
      <c r="D746" s="122">
        <f t="shared" si="11"/>
        <v>0</v>
      </c>
      <c r="E746" s="121">
        <f>ROUND(D746*'FR_Mantenimiento tasas'!$C$48/360,5)</f>
        <v>0</v>
      </c>
      <c r="F746" s="121">
        <f>ROUND(D746*'FR_Mantenimiento tasas'!$D$48/360,5)</f>
        <v>0</v>
      </c>
    </row>
    <row r="747" spans="1:6">
      <c r="A747" s="123">
        <f>IF(OR(A746='F-Ahorro Futuro Decimos'!$H$16,A746=""),"",IF(A746+1&gt;'F-Ahorro Futuro Decimos'!$H$16,'F-Ahorro Futuro Decimos'!$H$16,A746+1))</f>
        <v>745</v>
      </c>
      <c r="B747" s="122">
        <f>IFERROR(IF(DAY($A747)=DAY('F-Ahorro Futuro Decimos'!$H$15),'F-Ahorro Futuro Decimos'!$H$14,0),0)</f>
        <v>0</v>
      </c>
      <c r="C747" s="122">
        <f>IF(A747='F-Ahorro Futuro Decimos'!$H$18,'F-Ahorro Futuro Decimos'!$H$20,0)</f>
        <v>0</v>
      </c>
      <c r="D747" s="122">
        <f t="shared" si="11"/>
        <v>0</v>
      </c>
      <c r="E747" s="121">
        <f>ROUND(D747*'FR_Mantenimiento tasas'!$C$48/360,5)</f>
        <v>0</v>
      </c>
      <c r="F747" s="121">
        <f>ROUND(D747*'FR_Mantenimiento tasas'!$D$48/360,5)</f>
        <v>0</v>
      </c>
    </row>
    <row r="748" spans="1:6">
      <c r="A748" s="123">
        <f>IF(OR(A747='F-Ahorro Futuro Decimos'!$H$16,A747=""),"",IF(A747+1&gt;'F-Ahorro Futuro Decimos'!$H$16,'F-Ahorro Futuro Decimos'!$H$16,A747+1))</f>
        <v>746</v>
      </c>
      <c r="B748" s="122">
        <f>IFERROR(IF(DAY($A748)=DAY('F-Ahorro Futuro Decimos'!$H$15),'F-Ahorro Futuro Decimos'!$H$14,0),0)</f>
        <v>0</v>
      </c>
      <c r="C748" s="122">
        <f>IF(A748='F-Ahorro Futuro Decimos'!$H$18,'F-Ahorro Futuro Decimos'!$H$20,0)</f>
        <v>0</v>
      </c>
      <c r="D748" s="122">
        <f t="shared" si="11"/>
        <v>0</v>
      </c>
      <c r="E748" s="121">
        <f>ROUND(D748*'FR_Mantenimiento tasas'!$C$48/360,5)</f>
        <v>0</v>
      </c>
      <c r="F748" s="121">
        <f>ROUND(D748*'FR_Mantenimiento tasas'!$D$48/360,5)</f>
        <v>0</v>
      </c>
    </row>
    <row r="749" spans="1:6">
      <c r="A749" s="123">
        <f>IF(OR(A748='F-Ahorro Futuro Decimos'!$H$16,A748=""),"",IF(A748+1&gt;'F-Ahorro Futuro Decimos'!$H$16,'F-Ahorro Futuro Decimos'!$H$16,A748+1))</f>
        <v>747</v>
      </c>
      <c r="B749" s="122">
        <f>IFERROR(IF(DAY($A749)=DAY('F-Ahorro Futuro Decimos'!$H$15),'F-Ahorro Futuro Decimos'!$H$14,0),0)</f>
        <v>0</v>
      </c>
      <c r="C749" s="122">
        <f>IF(A749='F-Ahorro Futuro Decimos'!$H$18,'F-Ahorro Futuro Decimos'!$H$20,0)</f>
        <v>0</v>
      </c>
      <c r="D749" s="122">
        <f t="shared" si="11"/>
        <v>0</v>
      </c>
      <c r="E749" s="121">
        <f>ROUND(D749*'FR_Mantenimiento tasas'!$C$48/360,5)</f>
        <v>0</v>
      </c>
      <c r="F749" s="121">
        <f>ROUND(D749*'FR_Mantenimiento tasas'!$D$48/360,5)</f>
        <v>0</v>
      </c>
    </row>
    <row r="750" spans="1:6">
      <c r="A750" s="123">
        <f>IF(OR(A749='F-Ahorro Futuro Decimos'!$H$16,A749=""),"",IF(A749+1&gt;'F-Ahorro Futuro Decimos'!$H$16,'F-Ahorro Futuro Decimos'!$H$16,A749+1))</f>
        <v>748</v>
      </c>
      <c r="B750" s="122">
        <f>IFERROR(IF(DAY($A750)=DAY('F-Ahorro Futuro Decimos'!$H$15),'F-Ahorro Futuro Decimos'!$H$14,0),0)</f>
        <v>0</v>
      </c>
      <c r="C750" s="122">
        <f>IF(A750='F-Ahorro Futuro Decimos'!$H$18,'F-Ahorro Futuro Decimos'!$H$20,0)</f>
        <v>0</v>
      </c>
      <c r="D750" s="122">
        <f t="shared" si="11"/>
        <v>0</v>
      </c>
      <c r="E750" s="121">
        <f>ROUND(D750*'FR_Mantenimiento tasas'!$C$48/360,5)</f>
        <v>0</v>
      </c>
      <c r="F750" s="121">
        <f>ROUND(D750*'FR_Mantenimiento tasas'!$D$48/360,5)</f>
        <v>0</v>
      </c>
    </row>
    <row r="751" spans="1:6">
      <c r="A751" s="123">
        <f>IF(OR(A750='F-Ahorro Futuro Decimos'!$H$16,A750=""),"",IF(A750+1&gt;'F-Ahorro Futuro Decimos'!$H$16,'F-Ahorro Futuro Decimos'!$H$16,A750+1))</f>
        <v>749</v>
      </c>
      <c r="B751" s="122">
        <f>IFERROR(IF(DAY($A751)=DAY('F-Ahorro Futuro Decimos'!$H$15),'F-Ahorro Futuro Decimos'!$H$14,0),0)</f>
        <v>0</v>
      </c>
      <c r="C751" s="122">
        <f>IF(A751='F-Ahorro Futuro Decimos'!$H$18,'F-Ahorro Futuro Decimos'!$H$20,0)</f>
        <v>0</v>
      </c>
      <c r="D751" s="122">
        <f t="shared" si="11"/>
        <v>0</v>
      </c>
      <c r="E751" s="121">
        <f>ROUND(D751*'FR_Mantenimiento tasas'!$C$48/360,5)</f>
        <v>0</v>
      </c>
      <c r="F751" s="121">
        <f>ROUND(D751*'FR_Mantenimiento tasas'!$D$48/360,5)</f>
        <v>0</v>
      </c>
    </row>
    <row r="752" spans="1:6">
      <c r="A752" s="123">
        <f>IF(OR(A751='F-Ahorro Futuro Decimos'!$H$16,A751=""),"",IF(A751+1&gt;'F-Ahorro Futuro Decimos'!$H$16,'F-Ahorro Futuro Decimos'!$H$16,A751+1))</f>
        <v>750</v>
      </c>
      <c r="B752" s="122">
        <f>IFERROR(IF(DAY($A752)=DAY('F-Ahorro Futuro Decimos'!$H$15),'F-Ahorro Futuro Decimos'!$H$14,0),0)</f>
        <v>0</v>
      </c>
      <c r="C752" s="122">
        <f>IF(A752='F-Ahorro Futuro Decimos'!$H$18,'F-Ahorro Futuro Decimos'!$H$20,0)</f>
        <v>0</v>
      </c>
      <c r="D752" s="122">
        <f t="shared" si="11"/>
        <v>0</v>
      </c>
      <c r="E752" s="121">
        <f>ROUND(D752*'FR_Mantenimiento tasas'!$C$48/360,5)</f>
        <v>0</v>
      </c>
      <c r="F752" s="121">
        <f>ROUND(D752*'FR_Mantenimiento tasas'!$D$48/360,5)</f>
        <v>0</v>
      </c>
    </row>
    <row r="753" spans="1:6">
      <c r="A753" s="123">
        <f>IF(OR(A752='F-Ahorro Futuro Decimos'!$H$16,A752=""),"",IF(A752+1&gt;'F-Ahorro Futuro Decimos'!$H$16,'F-Ahorro Futuro Decimos'!$H$16,A752+1))</f>
        <v>751</v>
      </c>
      <c r="B753" s="122">
        <f>IFERROR(IF(DAY($A753)=DAY('F-Ahorro Futuro Decimos'!$H$15),'F-Ahorro Futuro Decimos'!$H$14,0),0)</f>
        <v>0</v>
      </c>
      <c r="C753" s="122">
        <f>IF(A753='F-Ahorro Futuro Decimos'!$H$18,'F-Ahorro Futuro Decimos'!$H$20,0)</f>
        <v>0</v>
      </c>
      <c r="D753" s="122">
        <f t="shared" si="11"/>
        <v>0</v>
      </c>
      <c r="E753" s="121">
        <f>ROUND(D753*'FR_Mantenimiento tasas'!$C$48/360,5)</f>
        <v>0</v>
      </c>
      <c r="F753" s="121">
        <f>ROUND(D753*'FR_Mantenimiento tasas'!$D$48/360,5)</f>
        <v>0</v>
      </c>
    </row>
    <row r="754" spans="1:6">
      <c r="A754" s="123">
        <f>IF(OR(A753='F-Ahorro Futuro Decimos'!$H$16,A753=""),"",IF(A753+1&gt;'F-Ahorro Futuro Decimos'!$H$16,'F-Ahorro Futuro Decimos'!$H$16,A753+1))</f>
        <v>752</v>
      </c>
      <c r="B754" s="122">
        <f>IFERROR(IF(DAY($A754)=DAY('F-Ahorro Futuro Decimos'!$H$15),'F-Ahorro Futuro Decimos'!$H$14,0),0)</f>
        <v>0</v>
      </c>
      <c r="C754" s="122">
        <f>IF(A754='F-Ahorro Futuro Decimos'!$H$18,'F-Ahorro Futuro Decimos'!$H$20,0)</f>
        <v>0</v>
      </c>
      <c r="D754" s="122">
        <f t="shared" si="11"/>
        <v>0</v>
      </c>
      <c r="E754" s="121">
        <f>ROUND(D754*'FR_Mantenimiento tasas'!$C$48/360,5)</f>
        <v>0</v>
      </c>
      <c r="F754" s="121">
        <f>ROUND(D754*'FR_Mantenimiento tasas'!$D$48/360,5)</f>
        <v>0</v>
      </c>
    </row>
    <row r="755" spans="1:6">
      <c r="A755" s="123">
        <f>IF(OR(A754='F-Ahorro Futuro Decimos'!$H$16,A754=""),"",IF(A754+1&gt;'F-Ahorro Futuro Decimos'!$H$16,'F-Ahorro Futuro Decimos'!$H$16,A754+1))</f>
        <v>753</v>
      </c>
      <c r="B755" s="122">
        <f>IFERROR(IF(DAY($A755)=DAY('F-Ahorro Futuro Decimos'!$H$15),'F-Ahorro Futuro Decimos'!$H$14,0),0)</f>
        <v>0</v>
      </c>
      <c r="C755" s="122">
        <f>IF(A755='F-Ahorro Futuro Decimos'!$H$18,'F-Ahorro Futuro Decimos'!$H$20,0)</f>
        <v>0</v>
      </c>
      <c r="D755" s="122">
        <f t="shared" si="11"/>
        <v>0</v>
      </c>
      <c r="E755" s="121">
        <f>ROUND(D755*'FR_Mantenimiento tasas'!$C$48/360,5)</f>
        <v>0</v>
      </c>
      <c r="F755" s="121">
        <f>ROUND(D755*'FR_Mantenimiento tasas'!$D$48/360,5)</f>
        <v>0</v>
      </c>
    </row>
    <row r="756" spans="1:6">
      <c r="A756" s="123">
        <f>IF(OR(A755='F-Ahorro Futuro Decimos'!$H$16,A755=""),"",IF(A755+1&gt;'F-Ahorro Futuro Decimos'!$H$16,'F-Ahorro Futuro Decimos'!$H$16,A755+1))</f>
        <v>754</v>
      </c>
      <c r="B756" s="122">
        <f>IFERROR(IF(DAY($A756)=DAY('F-Ahorro Futuro Decimos'!$H$15),'F-Ahorro Futuro Decimos'!$H$14,0),0)</f>
        <v>0</v>
      </c>
      <c r="C756" s="122">
        <f>IF(A756='F-Ahorro Futuro Decimos'!$H$18,'F-Ahorro Futuro Decimos'!$H$20,0)</f>
        <v>0</v>
      </c>
      <c r="D756" s="122">
        <f t="shared" si="11"/>
        <v>0</v>
      </c>
      <c r="E756" s="121">
        <f>ROUND(D756*'FR_Mantenimiento tasas'!$C$48/360,5)</f>
        <v>0</v>
      </c>
      <c r="F756" s="121">
        <f>ROUND(D756*'FR_Mantenimiento tasas'!$D$48/360,5)</f>
        <v>0</v>
      </c>
    </row>
    <row r="757" spans="1:6">
      <c r="A757" s="123">
        <f>IF(OR(A756='F-Ahorro Futuro Decimos'!$H$16,A756=""),"",IF(A756+1&gt;'F-Ahorro Futuro Decimos'!$H$16,'F-Ahorro Futuro Decimos'!$H$16,A756+1))</f>
        <v>755</v>
      </c>
      <c r="B757" s="122">
        <f>IFERROR(IF(DAY($A757)=DAY('F-Ahorro Futuro Decimos'!$H$15),'F-Ahorro Futuro Decimos'!$H$14,0),0)</f>
        <v>0</v>
      </c>
      <c r="C757" s="122">
        <f>IF(A757='F-Ahorro Futuro Decimos'!$H$18,'F-Ahorro Futuro Decimos'!$H$20,0)</f>
        <v>0</v>
      </c>
      <c r="D757" s="122">
        <f t="shared" si="11"/>
        <v>0</v>
      </c>
      <c r="E757" s="121">
        <f>ROUND(D757*'FR_Mantenimiento tasas'!$C$48/360,5)</f>
        <v>0</v>
      </c>
      <c r="F757" s="121">
        <f>ROUND(D757*'FR_Mantenimiento tasas'!$D$48/360,5)</f>
        <v>0</v>
      </c>
    </row>
    <row r="758" spans="1:6">
      <c r="A758" s="123">
        <f>IF(OR(A757='F-Ahorro Futuro Decimos'!$H$16,A757=""),"",IF(A757+1&gt;'F-Ahorro Futuro Decimos'!$H$16,'F-Ahorro Futuro Decimos'!$H$16,A757+1))</f>
        <v>756</v>
      </c>
      <c r="B758" s="122">
        <f>IFERROR(IF(DAY($A758)=DAY('F-Ahorro Futuro Decimos'!$H$15),'F-Ahorro Futuro Decimos'!$H$14,0),0)</f>
        <v>0</v>
      </c>
      <c r="C758" s="122">
        <f>IF(A758='F-Ahorro Futuro Decimos'!$H$18,'F-Ahorro Futuro Decimos'!$H$20,0)</f>
        <v>0</v>
      </c>
      <c r="D758" s="122">
        <f t="shared" si="11"/>
        <v>0</v>
      </c>
      <c r="E758" s="121">
        <f>ROUND(D758*'FR_Mantenimiento tasas'!$C$48/360,5)</f>
        <v>0</v>
      </c>
      <c r="F758" s="121">
        <f>ROUND(D758*'FR_Mantenimiento tasas'!$D$48/360,5)</f>
        <v>0</v>
      </c>
    </row>
    <row r="759" spans="1:6">
      <c r="A759" s="123">
        <f>IF(OR(A758='F-Ahorro Futuro Decimos'!$H$16,A758=""),"",IF(A758+1&gt;'F-Ahorro Futuro Decimos'!$H$16,'F-Ahorro Futuro Decimos'!$H$16,A758+1))</f>
        <v>757</v>
      </c>
      <c r="B759" s="122">
        <f>IFERROR(IF(DAY($A759)=DAY('F-Ahorro Futuro Decimos'!$H$15),'F-Ahorro Futuro Decimos'!$H$14,0),0)</f>
        <v>0</v>
      </c>
      <c r="C759" s="122">
        <f>IF(A759='F-Ahorro Futuro Decimos'!$H$18,'F-Ahorro Futuro Decimos'!$H$20,0)</f>
        <v>0</v>
      </c>
      <c r="D759" s="122">
        <f t="shared" si="11"/>
        <v>0</v>
      </c>
      <c r="E759" s="121">
        <f>ROUND(D759*'FR_Mantenimiento tasas'!$C$48/360,5)</f>
        <v>0</v>
      </c>
      <c r="F759" s="121">
        <f>ROUND(D759*'FR_Mantenimiento tasas'!$D$48/360,5)</f>
        <v>0</v>
      </c>
    </row>
    <row r="760" spans="1:6">
      <c r="A760" s="123">
        <f>IF(OR(A759='F-Ahorro Futuro Decimos'!$H$16,A759=""),"",IF(A759+1&gt;'F-Ahorro Futuro Decimos'!$H$16,'F-Ahorro Futuro Decimos'!$H$16,A759+1))</f>
        <v>758</v>
      </c>
      <c r="B760" s="122">
        <f>IFERROR(IF(DAY($A760)=DAY('F-Ahorro Futuro Decimos'!$H$15),'F-Ahorro Futuro Decimos'!$H$14,0),0)</f>
        <v>0</v>
      </c>
      <c r="C760" s="122">
        <f>IF(A760='F-Ahorro Futuro Decimos'!$H$18,'F-Ahorro Futuro Decimos'!$H$20,0)</f>
        <v>0</v>
      </c>
      <c r="D760" s="122">
        <f t="shared" si="11"/>
        <v>0</v>
      </c>
      <c r="E760" s="121">
        <f>ROUND(D760*'FR_Mantenimiento tasas'!$C$48/360,5)</f>
        <v>0</v>
      </c>
      <c r="F760" s="121">
        <f>ROUND(D760*'FR_Mantenimiento tasas'!$D$48/360,5)</f>
        <v>0</v>
      </c>
    </row>
    <row r="761" spans="1:6">
      <c r="A761" s="123">
        <f>IF(OR(A760='F-Ahorro Futuro Decimos'!$H$16,A760=""),"",IF(A760+1&gt;'F-Ahorro Futuro Decimos'!$H$16,'F-Ahorro Futuro Decimos'!$H$16,A760+1))</f>
        <v>759</v>
      </c>
      <c r="B761" s="122">
        <f>IFERROR(IF(DAY($A761)=DAY('F-Ahorro Futuro Decimos'!$H$15),'F-Ahorro Futuro Decimos'!$H$14,0),0)</f>
        <v>0</v>
      </c>
      <c r="C761" s="122">
        <f>IF(A761='F-Ahorro Futuro Decimos'!$H$18,'F-Ahorro Futuro Decimos'!$H$20,0)</f>
        <v>0</v>
      </c>
      <c r="D761" s="122">
        <f t="shared" si="11"/>
        <v>0</v>
      </c>
      <c r="E761" s="121">
        <f>ROUND(D761*'FR_Mantenimiento tasas'!$C$48/360,5)</f>
        <v>0</v>
      </c>
      <c r="F761" s="121">
        <f>ROUND(D761*'FR_Mantenimiento tasas'!$D$48/360,5)</f>
        <v>0</v>
      </c>
    </row>
    <row r="762" spans="1:6">
      <c r="A762" s="123">
        <f>IF(OR(A761='F-Ahorro Futuro Decimos'!$H$16,A761=""),"",IF(A761+1&gt;'F-Ahorro Futuro Decimos'!$H$16,'F-Ahorro Futuro Decimos'!$H$16,A761+1))</f>
        <v>760</v>
      </c>
      <c r="B762" s="122">
        <f>IFERROR(IF(DAY($A762)=DAY('F-Ahorro Futuro Decimos'!$H$15),'F-Ahorro Futuro Decimos'!$H$14,0),0)</f>
        <v>0</v>
      </c>
      <c r="C762" s="122">
        <f>IF(A762='F-Ahorro Futuro Decimos'!$H$18,'F-Ahorro Futuro Decimos'!$H$20,0)</f>
        <v>0</v>
      </c>
      <c r="D762" s="122">
        <f t="shared" si="11"/>
        <v>0</v>
      </c>
      <c r="E762" s="121">
        <f>ROUND(D762*'FR_Mantenimiento tasas'!$C$48/360,5)</f>
        <v>0</v>
      </c>
      <c r="F762" s="121">
        <f>ROUND(D762*'FR_Mantenimiento tasas'!$D$48/360,5)</f>
        <v>0</v>
      </c>
    </row>
    <row r="763" spans="1:6">
      <c r="A763" s="123">
        <f>IF(OR(A762='F-Ahorro Futuro Decimos'!$H$16,A762=""),"",IF(A762+1&gt;'F-Ahorro Futuro Decimos'!$H$16,'F-Ahorro Futuro Decimos'!$H$16,A762+1))</f>
        <v>761</v>
      </c>
      <c r="B763" s="122">
        <f>IFERROR(IF(DAY($A763)=DAY('F-Ahorro Futuro Decimos'!$H$15),'F-Ahorro Futuro Decimos'!$H$14,0),0)</f>
        <v>0</v>
      </c>
      <c r="C763" s="122">
        <f>IF(A763='F-Ahorro Futuro Decimos'!$H$18,'F-Ahorro Futuro Decimos'!$H$20,0)</f>
        <v>0</v>
      </c>
      <c r="D763" s="122">
        <f t="shared" si="11"/>
        <v>0</v>
      </c>
      <c r="E763" s="121">
        <f>ROUND(D763*'FR_Mantenimiento tasas'!$C$48/360,5)</f>
        <v>0</v>
      </c>
      <c r="F763" s="121">
        <f>ROUND(D763*'FR_Mantenimiento tasas'!$D$48/360,5)</f>
        <v>0</v>
      </c>
    </row>
    <row r="764" spans="1:6">
      <c r="A764" s="123">
        <f>IF(OR(A763='F-Ahorro Futuro Decimos'!$H$16,A763=""),"",IF(A763+1&gt;'F-Ahorro Futuro Decimos'!$H$16,'F-Ahorro Futuro Decimos'!$H$16,A763+1))</f>
        <v>762</v>
      </c>
      <c r="B764" s="122">
        <f>IFERROR(IF(DAY($A764)=DAY('F-Ahorro Futuro Decimos'!$H$15),'F-Ahorro Futuro Decimos'!$H$14,0),0)</f>
        <v>0</v>
      </c>
      <c r="C764" s="122">
        <f>IF(A764='F-Ahorro Futuro Decimos'!$H$18,'F-Ahorro Futuro Decimos'!$H$20,0)</f>
        <v>0</v>
      </c>
      <c r="D764" s="122">
        <f t="shared" si="11"/>
        <v>0</v>
      </c>
      <c r="E764" s="121">
        <f>ROUND(D764*'FR_Mantenimiento tasas'!$C$48/360,5)</f>
        <v>0</v>
      </c>
      <c r="F764" s="121">
        <f>ROUND(D764*'FR_Mantenimiento tasas'!$D$48/360,5)</f>
        <v>0</v>
      </c>
    </row>
    <row r="765" spans="1:6">
      <c r="A765" s="123">
        <f>IF(OR(A764='F-Ahorro Futuro Decimos'!$H$16,A764=""),"",IF(A764+1&gt;'F-Ahorro Futuro Decimos'!$H$16,'F-Ahorro Futuro Decimos'!$H$16,A764+1))</f>
        <v>763</v>
      </c>
      <c r="B765" s="122">
        <f>IFERROR(IF(DAY($A765)=DAY('F-Ahorro Futuro Decimos'!$H$15),'F-Ahorro Futuro Decimos'!$H$14,0),0)</f>
        <v>0</v>
      </c>
      <c r="C765" s="122">
        <f>IF(A765='F-Ahorro Futuro Decimos'!$H$18,'F-Ahorro Futuro Decimos'!$H$20,0)</f>
        <v>0</v>
      </c>
      <c r="D765" s="122">
        <f t="shared" si="11"/>
        <v>0</v>
      </c>
      <c r="E765" s="121">
        <f>ROUND(D765*'FR_Mantenimiento tasas'!$C$48/360,5)</f>
        <v>0</v>
      </c>
      <c r="F765" s="121">
        <f>ROUND(D765*'FR_Mantenimiento tasas'!$D$48/360,5)</f>
        <v>0</v>
      </c>
    </row>
    <row r="766" spans="1:6">
      <c r="A766" s="123">
        <f>IF(OR(A765='F-Ahorro Futuro Decimos'!$H$16,A765=""),"",IF(A765+1&gt;'F-Ahorro Futuro Decimos'!$H$16,'F-Ahorro Futuro Decimos'!$H$16,A765+1))</f>
        <v>764</v>
      </c>
      <c r="B766" s="122">
        <f>IFERROR(IF(DAY($A766)=DAY('F-Ahorro Futuro Decimos'!$H$15),'F-Ahorro Futuro Decimos'!$H$14,0),0)</f>
        <v>0</v>
      </c>
      <c r="C766" s="122">
        <f>IF(A766='F-Ahorro Futuro Decimos'!$H$18,'F-Ahorro Futuro Decimos'!$H$20,0)</f>
        <v>0</v>
      </c>
      <c r="D766" s="122">
        <f t="shared" si="11"/>
        <v>0</v>
      </c>
      <c r="E766" s="121">
        <f>ROUND(D766*'FR_Mantenimiento tasas'!$C$48/360,5)</f>
        <v>0</v>
      </c>
      <c r="F766" s="121">
        <f>ROUND(D766*'FR_Mantenimiento tasas'!$D$48/360,5)</f>
        <v>0</v>
      </c>
    </row>
    <row r="767" spans="1:6">
      <c r="A767" s="123">
        <f>IF(OR(A766='F-Ahorro Futuro Decimos'!$H$16,A766=""),"",IF(A766+1&gt;'F-Ahorro Futuro Decimos'!$H$16,'F-Ahorro Futuro Decimos'!$H$16,A766+1))</f>
        <v>765</v>
      </c>
      <c r="B767" s="122">
        <f>IFERROR(IF(DAY($A767)=DAY('F-Ahorro Futuro Decimos'!$H$15),'F-Ahorro Futuro Decimos'!$H$14,0),0)</f>
        <v>0</v>
      </c>
      <c r="C767" s="122">
        <f>IF(A767='F-Ahorro Futuro Decimos'!$H$18,'F-Ahorro Futuro Decimos'!$H$20,0)</f>
        <v>0</v>
      </c>
      <c r="D767" s="122">
        <f t="shared" si="11"/>
        <v>0</v>
      </c>
      <c r="E767" s="121">
        <f>ROUND(D767*'FR_Mantenimiento tasas'!$C$48/360,5)</f>
        <v>0</v>
      </c>
      <c r="F767" s="121">
        <f>ROUND(D767*'FR_Mantenimiento tasas'!$D$48/360,5)</f>
        <v>0</v>
      </c>
    </row>
    <row r="768" spans="1:6">
      <c r="A768" s="123">
        <f>IF(OR(A767='F-Ahorro Futuro Decimos'!$H$16,A767=""),"",IF(A767+1&gt;'F-Ahorro Futuro Decimos'!$H$16,'F-Ahorro Futuro Decimos'!$H$16,A767+1))</f>
        <v>766</v>
      </c>
      <c r="B768" s="122">
        <f>IFERROR(IF(DAY($A768)=DAY('F-Ahorro Futuro Decimos'!$H$15),'F-Ahorro Futuro Decimos'!$H$14,0),0)</f>
        <v>0</v>
      </c>
      <c r="C768" s="122">
        <f>IF(A768='F-Ahorro Futuro Decimos'!$H$18,'F-Ahorro Futuro Decimos'!$H$20,0)</f>
        <v>0</v>
      </c>
      <c r="D768" s="122">
        <f t="shared" si="11"/>
        <v>0</v>
      </c>
      <c r="E768" s="121">
        <f>ROUND(D768*'FR_Mantenimiento tasas'!$C$48/360,5)</f>
        <v>0</v>
      </c>
      <c r="F768" s="121">
        <f>ROUND(D768*'FR_Mantenimiento tasas'!$D$48/360,5)</f>
        <v>0</v>
      </c>
    </row>
    <row r="769" spans="1:6">
      <c r="A769" s="123">
        <f>IF(OR(A768='F-Ahorro Futuro Decimos'!$H$16,A768=""),"",IF(A768+1&gt;'F-Ahorro Futuro Decimos'!$H$16,'F-Ahorro Futuro Decimos'!$H$16,A768+1))</f>
        <v>767</v>
      </c>
      <c r="B769" s="122">
        <f>IFERROR(IF(DAY($A769)=DAY('F-Ahorro Futuro Decimos'!$H$15),'F-Ahorro Futuro Decimos'!$H$14,0),0)</f>
        <v>0</v>
      </c>
      <c r="C769" s="122">
        <f>IF(A769='F-Ahorro Futuro Decimos'!$H$18,'F-Ahorro Futuro Decimos'!$H$20,0)</f>
        <v>0</v>
      </c>
      <c r="D769" s="122">
        <f t="shared" si="11"/>
        <v>0</v>
      </c>
      <c r="E769" s="121">
        <f>ROUND(D769*'FR_Mantenimiento tasas'!$C$48/360,5)</f>
        <v>0</v>
      </c>
      <c r="F769" s="121">
        <f>ROUND(D769*'FR_Mantenimiento tasas'!$D$48/360,5)</f>
        <v>0</v>
      </c>
    </row>
    <row r="770" spans="1:6">
      <c r="A770" s="123">
        <f>IF(OR(A769='F-Ahorro Futuro Decimos'!$H$16,A769=""),"",IF(A769+1&gt;'F-Ahorro Futuro Decimos'!$H$16,'F-Ahorro Futuro Decimos'!$H$16,A769+1))</f>
        <v>768</v>
      </c>
      <c r="B770" s="122">
        <f>IFERROR(IF(DAY($A770)=DAY('F-Ahorro Futuro Decimos'!$H$15),'F-Ahorro Futuro Decimos'!$H$14,0),0)</f>
        <v>0</v>
      </c>
      <c r="C770" s="122">
        <f>IF(A770='F-Ahorro Futuro Decimos'!$H$18,'F-Ahorro Futuro Decimos'!$H$20,0)</f>
        <v>0</v>
      </c>
      <c r="D770" s="122">
        <f t="shared" si="11"/>
        <v>0</v>
      </c>
      <c r="E770" s="121">
        <f>ROUND(D770*'FR_Mantenimiento tasas'!$C$48/360,5)</f>
        <v>0</v>
      </c>
      <c r="F770" s="121">
        <f>ROUND(D770*'FR_Mantenimiento tasas'!$D$48/360,5)</f>
        <v>0</v>
      </c>
    </row>
    <row r="771" spans="1:6">
      <c r="A771" s="123">
        <f>IF(OR(A770='F-Ahorro Futuro Decimos'!$H$16,A770=""),"",IF(A770+1&gt;'F-Ahorro Futuro Decimos'!$H$16,'F-Ahorro Futuro Decimos'!$H$16,A770+1))</f>
        <v>769</v>
      </c>
      <c r="B771" s="122">
        <f>IFERROR(IF(DAY($A771)=DAY('F-Ahorro Futuro Decimos'!$H$15),'F-Ahorro Futuro Decimos'!$H$14,0),0)</f>
        <v>0</v>
      </c>
      <c r="C771" s="122">
        <f>IF(A771='F-Ahorro Futuro Decimos'!$H$18,'F-Ahorro Futuro Decimos'!$H$20,0)</f>
        <v>0</v>
      </c>
      <c r="D771" s="122">
        <f t="shared" si="11"/>
        <v>0</v>
      </c>
      <c r="E771" s="121">
        <f>ROUND(D771*'FR_Mantenimiento tasas'!$C$48/360,5)</f>
        <v>0</v>
      </c>
      <c r="F771" s="121">
        <f>ROUND(D771*'FR_Mantenimiento tasas'!$D$48/360,5)</f>
        <v>0</v>
      </c>
    </row>
    <row r="772" spans="1:6">
      <c r="A772" s="123">
        <f>IF(OR(A771='F-Ahorro Futuro Decimos'!$H$16,A771=""),"",IF(A771+1&gt;'F-Ahorro Futuro Decimos'!$H$16,'F-Ahorro Futuro Decimos'!$H$16,A771+1))</f>
        <v>770</v>
      </c>
      <c r="B772" s="122">
        <f>IFERROR(IF(DAY($A772)=DAY('F-Ahorro Futuro Decimos'!$H$15),'F-Ahorro Futuro Decimos'!$H$14,0),0)</f>
        <v>0</v>
      </c>
      <c r="C772" s="122">
        <f>IF(A772='F-Ahorro Futuro Decimos'!$H$18,'F-Ahorro Futuro Decimos'!$H$20,0)</f>
        <v>0</v>
      </c>
      <c r="D772" s="122">
        <f t="shared" ref="D772:D835" si="12">+B772+D771+E771-C772</f>
        <v>0</v>
      </c>
      <c r="E772" s="121">
        <f>ROUND(D772*'FR_Mantenimiento tasas'!$C$48/360,5)</f>
        <v>0</v>
      </c>
      <c r="F772" s="121">
        <f>ROUND(D772*'FR_Mantenimiento tasas'!$D$48/360,5)</f>
        <v>0</v>
      </c>
    </row>
    <row r="773" spans="1:6">
      <c r="A773" s="123">
        <f>IF(OR(A772='F-Ahorro Futuro Decimos'!$H$16,A772=""),"",IF(A772+1&gt;'F-Ahorro Futuro Decimos'!$H$16,'F-Ahorro Futuro Decimos'!$H$16,A772+1))</f>
        <v>771</v>
      </c>
      <c r="B773" s="122">
        <f>IFERROR(IF(DAY($A773)=DAY('F-Ahorro Futuro Decimos'!$H$15),'F-Ahorro Futuro Decimos'!$H$14,0),0)</f>
        <v>0</v>
      </c>
      <c r="C773" s="122">
        <f>IF(A773='F-Ahorro Futuro Decimos'!$H$18,'F-Ahorro Futuro Decimos'!$H$20,0)</f>
        <v>0</v>
      </c>
      <c r="D773" s="122">
        <f t="shared" si="12"/>
        <v>0</v>
      </c>
      <c r="E773" s="121">
        <f>ROUND(D773*'FR_Mantenimiento tasas'!$C$48/360,5)</f>
        <v>0</v>
      </c>
      <c r="F773" s="121">
        <f>ROUND(D773*'FR_Mantenimiento tasas'!$D$48/360,5)</f>
        <v>0</v>
      </c>
    </row>
    <row r="774" spans="1:6">
      <c r="A774" s="123">
        <f>IF(OR(A773='F-Ahorro Futuro Decimos'!$H$16,A773=""),"",IF(A773+1&gt;'F-Ahorro Futuro Decimos'!$H$16,'F-Ahorro Futuro Decimos'!$H$16,A773+1))</f>
        <v>772</v>
      </c>
      <c r="B774" s="122">
        <f>IFERROR(IF(DAY($A774)=DAY('F-Ahorro Futuro Decimos'!$H$15),'F-Ahorro Futuro Decimos'!$H$14,0),0)</f>
        <v>0</v>
      </c>
      <c r="C774" s="122">
        <f>IF(A774='F-Ahorro Futuro Decimos'!$H$18,'F-Ahorro Futuro Decimos'!$H$20,0)</f>
        <v>0</v>
      </c>
      <c r="D774" s="122">
        <f t="shared" si="12"/>
        <v>0</v>
      </c>
      <c r="E774" s="121">
        <f>ROUND(D774*'FR_Mantenimiento tasas'!$C$48/360,5)</f>
        <v>0</v>
      </c>
      <c r="F774" s="121">
        <f>ROUND(D774*'FR_Mantenimiento tasas'!$D$48/360,5)</f>
        <v>0</v>
      </c>
    </row>
    <row r="775" spans="1:6">
      <c r="A775" s="123">
        <f>IF(OR(A774='F-Ahorro Futuro Decimos'!$H$16,A774=""),"",IF(A774+1&gt;'F-Ahorro Futuro Decimos'!$H$16,'F-Ahorro Futuro Decimos'!$H$16,A774+1))</f>
        <v>773</v>
      </c>
      <c r="B775" s="122">
        <f>IFERROR(IF(DAY($A775)=DAY('F-Ahorro Futuro Decimos'!$H$15),'F-Ahorro Futuro Decimos'!$H$14,0),0)</f>
        <v>0</v>
      </c>
      <c r="C775" s="122">
        <f>IF(A775='F-Ahorro Futuro Decimos'!$H$18,'F-Ahorro Futuro Decimos'!$H$20,0)</f>
        <v>0</v>
      </c>
      <c r="D775" s="122">
        <f t="shared" si="12"/>
        <v>0</v>
      </c>
      <c r="E775" s="121">
        <f>ROUND(D775*'FR_Mantenimiento tasas'!$C$48/360,5)</f>
        <v>0</v>
      </c>
      <c r="F775" s="121">
        <f>ROUND(D775*'FR_Mantenimiento tasas'!$D$48/360,5)</f>
        <v>0</v>
      </c>
    </row>
    <row r="776" spans="1:6">
      <c r="A776" s="123">
        <f>IF(OR(A775='F-Ahorro Futuro Decimos'!$H$16,A775=""),"",IF(A775+1&gt;'F-Ahorro Futuro Decimos'!$H$16,'F-Ahorro Futuro Decimos'!$H$16,A775+1))</f>
        <v>774</v>
      </c>
      <c r="B776" s="122">
        <f>IFERROR(IF(DAY($A776)=DAY('F-Ahorro Futuro Decimos'!$H$15),'F-Ahorro Futuro Decimos'!$H$14,0),0)</f>
        <v>0</v>
      </c>
      <c r="C776" s="122">
        <f>IF(A776='F-Ahorro Futuro Decimos'!$H$18,'F-Ahorro Futuro Decimos'!$H$20,0)</f>
        <v>0</v>
      </c>
      <c r="D776" s="122">
        <f t="shared" si="12"/>
        <v>0</v>
      </c>
      <c r="E776" s="121">
        <f>ROUND(D776*'FR_Mantenimiento tasas'!$C$48/360,5)</f>
        <v>0</v>
      </c>
      <c r="F776" s="121">
        <f>ROUND(D776*'FR_Mantenimiento tasas'!$D$48/360,5)</f>
        <v>0</v>
      </c>
    </row>
    <row r="777" spans="1:6">
      <c r="A777" s="123">
        <f>IF(OR(A776='F-Ahorro Futuro Decimos'!$H$16,A776=""),"",IF(A776+1&gt;'F-Ahorro Futuro Decimos'!$H$16,'F-Ahorro Futuro Decimos'!$H$16,A776+1))</f>
        <v>775</v>
      </c>
      <c r="B777" s="122">
        <f>IFERROR(IF(DAY($A777)=DAY('F-Ahorro Futuro Decimos'!$H$15),'F-Ahorro Futuro Decimos'!$H$14,0),0)</f>
        <v>0</v>
      </c>
      <c r="C777" s="122">
        <f>IF(A777='F-Ahorro Futuro Decimos'!$H$18,'F-Ahorro Futuro Decimos'!$H$20,0)</f>
        <v>0</v>
      </c>
      <c r="D777" s="122">
        <f t="shared" si="12"/>
        <v>0</v>
      </c>
      <c r="E777" s="121">
        <f>ROUND(D777*'FR_Mantenimiento tasas'!$C$48/360,5)</f>
        <v>0</v>
      </c>
      <c r="F777" s="121">
        <f>ROUND(D777*'FR_Mantenimiento tasas'!$D$48/360,5)</f>
        <v>0</v>
      </c>
    </row>
    <row r="778" spans="1:6">
      <c r="A778" s="123">
        <f>IF(OR(A777='F-Ahorro Futuro Decimos'!$H$16,A777=""),"",IF(A777+1&gt;'F-Ahorro Futuro Decimos'!$H$16,'F-Ahorro Futuro Decimos'!$H$16,A777+1))</f>
        <v>776</v>
      </c>
      <c r="B778" s="122">
        <f>IFERROR(IF(DAY($A778)=DAY('F-Ahorro Futuro Decimos'!$H$15),'F-Ahorro Futuro Decimos'!$H$14,0),0)</f>
        <v>0</v>
      </c>
      <c r="C778" s="122">
        <f>IF(A778='F-Ahorro Futuro Decimos'!$H$18,'F-Ahorro Futuro Decimos'!$H$20,0)</f>
        <v>0</v>
      </c>
      <c r="D778" s="122">
        <f t="shared" si="12"/>
        <v>0</v>
      </c>
      <c r="E778" s="121">
        <f>ROUND(D778*'FR_Mantenimiento tasas'!$C$48/360,5)</f>
        <v>0</v>
      </c>
      <c r="F778" s="121">
        <f>ROUND(D778*'FR_Mantenimiento tasas'!$D$48/360,5)</f>
        <v>0</v>
      </c>
    </row>
    <row r="779" spans="1:6">
      <c r="A779" s="123">
        <f>IF(OR(A778='F-Ahorro Futuro Decimos'!$H$16,A778=""),"",IF(A778+1&gt;'F-Ahorro Futuro Decimos'!$H$16,'F-Ahorro Futuro Decimos'!$H$16,A778+1))</f>
        <v>777</v>
      </c>
      <c r="B779" s="122">
        <f>IFERROR(IF(DAY($A779)=DAY('F-Ahorro Futuro Decimos'!$H$15),'F-Ahorro Futuro Decimos'!$H$14,0),0)</f>
        <v>0</v>
      </c>
      <c r="C779" s="122">
        <f>IF(A779='F-Ahorro Futuro Decimos'!$H$18,'F-Ahorro Futuro Decimos'!$H$20,0)</f>
        <v>0</v>
      </c>
      <c r="D779" s="122">
        <f t="shared" si="12"/>
        <v>0</v>
      </c>
      <c r="E779" s="121">
        <f>ROUND(D779*'FR_Mantenimiento tasas'!$C$48/360,5)</f>
        <v>0</v>
      </c>
      <c r="F779" s="121">
        <f>ROUND(D779*'FR_Mantenimiento tasas'!$D$48/360,5)</f>
        <v>0</v>
      </c>
    </row>
    <row r="780" spans="1:6">
      <c r="A780" s="123">
        <f>IF(OR(A779='F-Ahorro Futuro Decimos'!$H$16,A779=""),"",IF(A779+1&gt;'F-Ahorro Futuro Decimos'!$H$16,'F-Ahorro Futuro Decimos'!$H$16,A779+1))</f>
        <v>778</v>
      </c>
      <c r="B780" s="122">
        <f>IFERROR(IF(DAY($A780)=DAY('F-Ahorro Futuro Decimos'!$H$15),'F-Ahorro Futuro Decimos'!$H$14,0),0)</f>
        <v>0</v>
      </c>
      <c r="C780" s="122">
        <f>IF(A780='F-Ahorro Futuro Decimos'!$H$18,'F-Ahorro Futuro Decimos'!$H$20,0)</f>
        <v>0</v>
      </c>
      <c r="D780" s="122">
        <f t="shared" si="12"/>
        <v>0</v>
      </c>
      <c r="E780" s="121">
        <f>ROUND(D780*'FR_Mantenimiento tasas'!$C$48/360,5)</f>
        <v>0</v>
      </c>
      <c r="F780" s="121">
        <f>ROUND(D780*'FR_Mantenimiento tasas'!$D$48/360,5)</f>
        <v>0</v>
      </c>
    </row>
    <row r="781" spans="1:6">
      <c r="A781" s="123">
        <f>IF(OR(A780='F-Ahorro Futuro Decimos'!$H$16,A780=""),"",IF(A780+1&gt;'F-Ahorro Futuro Decimos'!$H$16,'F-Ahorro Futuro Decimos'!$H$16,A780+1))</f>
        <v>779</v>
      </c>
      <c r="B781" s="122">
        <f>IFERROR(IF(DAY($A781)=DAY('F-Ahorro Futuro Decimos'!$H$15),'F-Ahorro Futuro Decimos'!$H$14,0),0)</f>
        <v>0</v>
      </c>
      <c r="C781" s="122">
        <f>IF(A781='F-Ahorro Futuro Decimos'!$H$18,'F-Ahorro Futuro Decimos'!$H$20,0)</f>
        <v>0</v>
      </c>
      <c r="D781" s="122">
        <f t="shared" si="12"/>
        <v>0</v>
      </c>
      <c r="E781" s="121">
        <f>ROUND(D781*'FR_Mantenimiento tasas'!$C$48/360,5)</f>
        <v>0</v>
      </c>
      <c r="F781" s="121">
        <f>ROUND(D781*'FR_Mantenimiento tasas'!$D$48/360,5)</f>
        <v>0</v>
      </c>
    </row>
    <row r="782" spans="1:6">
      <c r="A782" s="123">
        <f>IF(OR(A781='F-Ahorro Futuro Decimos'!$H$16,A781=""),"",IF(A781+1&gt;'F-Ahorro Futuro Decimos'!$H$16,'F-Ahorro Futuro Decimos'!$H$16,A781+1))</f>
        <v>780</v>
      </c>
      <c r="B782" s="122">
        <f>IFERROR(IF(DAY($A782)=DAY('F-Ahorro Futuro Decimos'!$H$15),'F-Ahorro Futuro Decimos'!$H$14,0),0)</f>
        <v>0</v>
      </c>
      <c r="C782" s="122">
        <f>IF(A782='F-Ahorro Futuro Decimos'!$H$18,'F-Ahorro Futuro Decimos'!$H$20,0)</f>
        <v>0</v>
      </c>
      <c r="D782" s="122">
        <f t="shared" si="12"/>
        <v>0</v>
      </c>
      <c r="E782" s="121">
        <f>ROUND(D782*'FR_Mantenimiento tasas'!$C$48/360,5)</f>
        <v>0</v>
      </c>
      <c r="F782" s="121">
        <f>ROUND(D782*'FR_Mantenimiento tasas'!$D$48/360,5)</f>
        <v>0</v>
      </c>
    </row>
    <row r="783" spans="1:6">
      <c r="A783" s="123">
        <f>IF(OR(A782='F-Ahorro Futuro Decimos'!$H$16,A782=""),"",IF(A782+1&gt;'F-Ahorro Futuro Decimos'!$H$16,'F-Ahorro Futuro Decimos'!$H$16,A782+1))</f>
        <v>781</v>
      </c>
      <c r="B783" s="122">
        <f>IFERROR(IF(DAY($A783)=DAY('F-Ahorro Futuro Decimos'!$H$15),'F-Ahorro Futuro Decimos'!$H$14,0),0)</f>
        <v>0</v>
      </c>
      <c r="C783" s="122">
        <f>IF(A783='F-Ahorro Futuro Decimos'!$H$18,'F-Ahorro Futuro Decimos'!$H$20,0)</f>
        <v>0</v>
      </c>
      <c r="D783" s="122">
        <f t="shared" si="12"/>
        <v>0</v>
      </c>
      <c r="E783" s="121">
        <f>ROUND(D783*'FR_Mantenimiento tasas'!$C$48/360,5)</f>
        <v>0</v>
      </c>
      <c r="F783" s="121">
        <f>ROUND(D783*'FR_Mantenimiento tasas'!$D$48/360,5)</f>
        <v>0</v>
      </c>
    </row>
    <row r="784" spans="1:6">
      <c r="A784" s="123">
        <f>IF(OR(A783='F-Ahorro Futuro Decimos'!$H$16,A783=""),"",IF(A783+1&gt;'F-Ahorro Futuro Decimos'!$H$16,'F-Ahorro Futuro Decimos'!$H$16,A783+1))</f>
        <v>782</v>
      </c>
      <c r="B784" s="122">
        <f>IFERROR(IF(DAY($A784)=DAY('F-Ahorro Futuro Decimos'!$H$15),'F-Ahorro Futuro Decimos'!$H$14,0),0)</f>
        <v>0</v>
      </c>
      <c r="C784" s="122">
        <f>IF(A784='F-Ahorro Futuro Decimos'!$H$18,'F-Ahorro Futuro Decimos'!$H$20,0)</f>
        <v>0</v>
      </c>
      <c r="D784" s="122">
        <f t="shared" si="12"/>
        <v>0</v>
      </c>
      <c r="E784" s="121">
        <f>ROUND(D784*'FR_Mantenimiento tasas'!$C$48/360,5)</f>
        <v>0</v>
      </c>
      <c r="F784" s="121">
        <f>ROUND(D784*'FR_Mantenimiento tasas'!$D$48/360,5)</f>
        <v>0</v>
      </c>
    </row>
    <row r="785" spans="1:6">
      <c r="A785" s="123">
        <f>IF(OR(A784='F-Ahorro Futuro Decimos'!$H$16,A784=""),"",IF(A784+1&gt;'F-Ahorro Futuro Decimos'!$H$16,'F-Ahorro Futuro Decimos'!$H$16,A784+1))</f>
        <v>783</v>
      </c>
      <c r="B785" s="122">
        <f>IFERROR(IF(DAY($A785)=DAY('F-Ahorro Futuro Decimos'!$H$15),'F-Ahorro Futuro Decimos'!$H$14,0),0)</f>
        <v>0</v>
      </c>
      <c r="C785" s="122">
        <f>IF(A785='F-Ahorro Futuro Decimos'!$H$18,'F-Ahorro Futuro Decimos'!$H$20,0)</f>
        <v>0</v>
      </c>
      <c r="D785" s="122">
        <f t="shared" si="12"/>
        <v>0</v>
      </c>
      <c r="E785" s="121">
        <f>ROUND(D785*'FR_Mantenimiento tasas'!$C$48/360,5)</f>
        <v>0</v>
      </c>
      <c r="F785" s="121">
        <f>ROUND(D785*'FR_Mantenimiento tasas'!$D$48/360,5)</f>
        <v>0</v>
      </c>
    </row>
    <row r="786" spans="1:6">
      <c r="A786" s="123">
        <f>IF(OR(A785='F-Ahorro Futuro Decimos'!$H$16,A785=""),"",IF(A785+1&gt;'F-Ahorro Futuro Decimos'!$H$16,'F-Ahorro Futuro Decimos'!$H$16,A785+1))</f>
        <v>784</v>
      </c>
      <c r="B786" s="122">
        <f>IFERROR(IF(DAY($A786)=DAY('F-Ahorro Futuro Decimos'!$H$15),'F-Ahorro Futuro Decimos'!$H$14,0),0)</f>
        <v>0</v>
      </c>
      <c r="C786" s="122">
        <f>IF(A786='F-Ahorro Futuro Decimos'!$H$18,'F-Ahorro Futuro Decimos'!$H$20,0)</f>
        <v>0</v>
      </c>
      <c r="D786" s="122">
        <f t="shared" si="12"/>
        <v>0</v>
      </c>
      <c r="E786" s="121">
        <f>ROUND(D786*'FR_Mantenimiento tasas'!$C$48/360,5)</f>
        <v>0</v>
      </c>
      <c r="F786" s="121">
        <f>ROUND(D786*'FR_Mantenimiento tasas'!$D$48/360,5)</f>
        <v>0</v>
      </c>
    </row>
    <row r="787" spans="1:6">
      <c r="A787" s="123">
        <f>IF(OR(A786='F-Ahorro Futuro Decimos'!$H$16,A786=""),"",IF(A786+1&gt;'F-Ahorro Futuro Decimos'!$H$16,'F-Ahorro Futuro Decimos'!$H$16,A786+1))</f>
        <v>785</v>
      </c>
      <c r="B787" s="122">
        <f>IFERROR(IF(DAY($A787)=DAY('F-Ahorro Futuro Decimos'!$H$15),'F-Ahorro Futuro Decimos'!$H$14,0),0)</f>
        <v>0</v>
      </c>
      <c r="C787" s="122">
        <f>IF(A787='F-Ahorro Futuro Decimos'!$H$18,'F-Ahorro Futuro Decimos'!$H$20,0)</f>
        <v>0</v>
      </c>
      <c r="D787" s="122">
        <f t="shared" si="12"/>
        <v>0</v>
      </c>
      <c r="E787" s="121">
        <f>ROUND(D787*'FR_Mantenimiento tasas'!$C$48/360,5)</f>
        <v>0</v>
      </c>
      <c r="F787" s="121">
        <f>ROUND(D787*'FR_Mantenimiento tasas'!$D$48/360,5)</f>
        <v>0</v>
      </c>
    </row>
    <row r="788" spans="1:6">
      <c r="A788" s="123">
        <f>IF(OR(A787='F-Ahorro Futuro Decimos'!$H$16,A787=""),"",IF(A787+1&gt;'F-Ahorro Futuro Decimos'!$H$16,'F-Ahorro Futuro Decimos'!$H$16,A787+1))</f>
        <v>786</v>
      </c>
      <c r="B788" s="122">
        <f>IFERROR(IF(DAY($A788)=DAY('F-Ahorro Futuro Decimos'!$H$15),'F-Ahorro Futuro Decimos'!$H$14,0),0)</f>
        <v>0</v>
      </c>
      <c r="C788" s="122">
        <f>IF(A788='F-Ahorro Futuro Decimos'!$H$18,'F-Ahorro Futuro Decimos'!$H$20,0)</f>
        <v>0</v>
      </c>
      <c r="D788" s="122">
        <f t="shared" si="12"/>
        <v>0</v>
      </c>
      <c r="E788" s="121">
        <f>ROUND(D788*'FR_Mantenimiento tasas'!$C$48/360,5)</f>
        <v>0</v>
      </c>
      <c r="F788" s="121">
        <f>ROUND(D788*'FR_Mantenimiento tasas'!$D$48/360,5)</f>
        <v>0</v>
      </c>
    </row>
    <row r="789" spans="1:6">
      <c r="A789" s="123">
        <f>IF(OR(A788='F-Ahorro Futuro Decimos'!$H$16,A788=""),"",IF(A788+1&gt;'F-Ahorro Futuro Decimos'!$H$16,'F-Ahorro Futuro Decimos'!$H$16,A788+1))</f>
        <v>787</v>
      </c>
      <c r="B789" s="122">
        <f>IFERROR(IF(DAY($A789)=DAY('F-Ahorro Futuro Decimos'!$H$15),'F-Ahorro Futuro Decimos'!$H$14,0),0)</f>
        <v>0</v>
      </c>
      <c r="C789" s="122">
        <f>IF(A789='F-Ahorro Futuro Decimos'!$H$18,'F-Ahorro Futuro Decimos'!$H$20,0)</f>
        <v>0</v>
      </c>
      <c r="D789" s="122">
        <f t="shared" si="12"/>
        <v>0</v>
      </c>
      <c r="E789" s="121">
        <f>ROUND(D789*'FR_Mantenimiento tasas'!$C$48/360,5)</f>
        <v>0</v>
      </c>
      <c r="F789" s="121">
        <f>ROUND(D789*'FR_Mantenimiento tasas'!$D$48/360,5)</f>
        <v>0</v>
      </c>
    </row>
    <row r="790" spans="1:6">
      <c r="A790" s="123">
        <f>IF(OR(A789='F-Ahorro Futuro Decimos'!$H$16,A789=""),"",IF(A789+1&gt;'F-Ahorro Futuro Decimos'!$H$16,'F-Ahorro Futuro Decimos'!$H$16,A789+1))</f>
        <v>788</v>
      </c>
      <c r="B790" s="122">
        <f>IFERROR(IF(DAY($A790)=DAY('F-Ahorro Futuro Decimos'!$H$15),'F-Ahorro Futuro Decimos'!$H$14,0),0)</f>
        <v>0</v>
      </c>
      <c r="C790" s="122">
        <f>IF(A790='F-Ahorro Futuro Decimos'!$H$18,'F-Ahorro Futuro Decimos'!$H$20,0)</f>
        <v>0</v>
      </c>
      <c r="D790" s="122">
        <f t="shared" si="12"/>
        <v>0</v>
      </c>
      <c r="E790" s="121">
        <f>ROUND(D790*'FR_Mantenimiento tasas'!$C$48/360,5)</f>
        <v>0</v>
      </c>
      <c r="F790" s="121">
        <f>ROUND(D790*'FR_Mantenimiento tasas'!$D$48/360,5)</f>
        <v>0</v>
      </c>
    </row>
    <row r="791" spans="1:6">
      <c r="A791" s="123">
        <f>IF(OR(A790='F-Ahorro Futuro Decimos'!$H$16,A790=""),"",IF(A790+1&gt;'F-Ahorro Futuro Decimos'!$H$16,'F-Ahorro Futuro Decimos'!$H$16,A790+1))</f>
        <v>789</v>
      </c>
      <c r="B791" s="122">
        <f>IFERROR(IF(DAY($A791)=DAY('F-Ahorro Futuro Decimos'!$H$15),'F-Ahorro Futuro Decimos'!$H$14,0),0)</f>
        <v>0</v>
      </c>
      <c r="C791" s="122">
        <f>IF(A791='F-Ahorro Futuro Decimos'!$H$18,'F-Ahorro Futuro Decimos'!$H$20,0)</f>
        <v>0</v>
      </c>
      <c r="D791" s="122">
        <f t="shared" si="12"/>
        <v>0</v>
      </c>
      <c r="E791" s="121">
        <f>ROUND(D791*'FR_Mantenimiento tasas'!$C$48/360,5)</f>
        <v>0</v>
      </c>
      <c r="F791" s="121">
        <f>ROUND(D791*'FR_Mantenimiento tasas'!$D$48/360,5)</f>
        <v>0</v>
      </c>
    </row>
    <row r="792" spans="1:6">
      <c r="A792" s="123">
        <f>IF(OR(A791='F-Ahorro Futuro Decimos'!$H$16,A791=""),"",IF(A791+1&gt;'F-Ahorro Futuro Decimos'!$H$16,'F-Ahorro Futuro Decimos'!$H$16,A791+1))</f>
        <v>790</v>
      </c>
      <c r="B792" s="122">
        <f>IFERROR(IF(DAY($A792)=DAY('F-Ahorro Futuro Decimos'!$H$15),'F-Ahorro Futuro Decimos'!$H$14,0),0)</f>
        <v>0</v>
      </c>
      <c r="C792" s="122">
        <f>IF(A792='F-Ahorro Futuro Decimos'!$H$18,'F-Ahorro Futuro Decimos'!$H$20,0)</f>
        <v>0</v>
      </c>
      <c r="D792" s="122">
        <f t="shared" si="12"/>
        <v>0</v>
      </c>
      <c r="E792" s="121">
        <f>ROUND(D792*'FR_Mantenimiento tasas'!$C$48/360,5)</f>
        <v>0</v>
      </c>
      <c r="F792" s="121">
        <f>ROUND(D792*'FR_Mantenimiento tasas'!$D$48/360,5)</f>
        <v>0</v>
      </c>
    </row>
    <row r="793" spans="1:6">
      <c r="A793" s="123">
        <f>IF(OR(A792='F-Ahorro Futuro Decimos'!$H$16,A792=""),"",IF(A792+1&gt;'F-Ahorro Futuro Decimos'!$H$16,'F-Ahorro Futuro Decimos'!$H$16,A792+1))</f>
        <v>791</v>
      </c>
      <c r="B793" s="122">
        <f>IFERROR(IF(DAY($A793)=DAY('F-Ahorro Futuro Decimos'!$H$15),'F-Ahorro Futuro Decimos'!$H$14,0),0)</f>
        <v>0</v>
      </c>
      <c r="C793" s="122">
        <f>IF(A793='F-Ahorro Futuro Decimos'!$H$18,'F-Ahorro Futuro Decimos'!$H$20,0)</f>
        <v>0</v>
      </c>
      <c r="D793" s="122">
        <f t="shared" si="12"/>
        <v>0</v>
      </c>
      <c r="E793" s="121">
        <f>ROUND(D793*'FR_Mantenimiento tasas'!$C$48/360,5)</f>
        <v>0</v>
      </c>
      <c r="F793" s="121">
        <f>ROUND(D793*'FR_Mantenimiento tasas'!$D$48/360,5)</f>
        <v>0</v>
      </c>
    </row>
    <row r="794" spans="1:6">
      <c r="A794" s="123">
        <f>IF(OR(A793='F-Ahorro Futuro Decimos'!$H$16,A793=""),"",IF(A793+1&gt;'F-Ahorro Futuro Decimos'!$H$16,'F-Ahorro Futuro Decimos'!$H$16,A793+1))</f>
        <v>792</v>
      </c>
      <c r="B794" s="122">
        <f>IFERROR(IF(DAY($A794)=DAY('F-Ahorro Futuro Decimos'!$H$15),'F-Ahorro Futuro Decimos'!$H$14,0),0)</f>
        <v>0</v>
      </c>
      <c r="C794" s="122">
        <f>IF(A794='F-Ahorro Futuro Decimos'!$H$18,'F-Ahorro Futuro Decimos'!$H$20,0)</f>
        <v>0</v>
      </c>
      <c r="D794" s="122">
        <f t="shared" si="12"/>
        <v>0</v>
      </c>
      <c r="E794" s="121">
        <f>ROUND(D794*'FR_Mantenimiento tasas'!$C$48/360,5)</f>
        <v>0</v>
      </c>
      <c r="F794" s="121">
        <f>ROUND(D794*'FR_Mantenimiento tasas'!$D$48/360,5)</f>
        <v>0</v>
      </c>
    </row>
    <row r="795" spans="1:6">
      <c r="A795" s="123">
        <f>IF(OR(A794='F-Ahorro Futuro Decimos'!$H$16,A794=""),"",IF(A794+1&gt;'F-Ahorro Futuro Decimos'!$H$16,'F-Ahorro Futuro Decimos'!$H$16,A794+1))</f>
        <v>793</v>
      </c>
      <c r="B795" s="122">
        <f>IFERROR(IF(DAY($A795)=DAY('F-Ahorro Futuro Decimos'!$H$15),'F-Ahorro Futuro Decimos'!$H$14,0),0)</f>
        <v>0</v>
      </c>
      <c r="C795" s="122">
        <f>IF(A795='F-Ahorro Futuro Decimos'!$H$18,'F-Ahorro Futuro Decimos'!$H$20,0)</f>
        <v>0</v>
      </c>
      <c r="D795" s="122">
        <f t="shared" si="12"/>
        <v>0</v>
      </c>
      <c r="E795" s="121">
        <f>ROUND(D795*'FR_Mantenimiento tasas'!$C$48/360,5)</f>
        <v>0</v>
      </c>
      <c r="F795" s="121">
        <f>ROUND(D795*'FR_Mantenimiento tasas'!$D$48/360,5)</f>
        <v>0</v>
      </c>
    </row>
    <row r="796" spans="1:6">
      <c r="A796" s="123">
        <f>IF(OR(A795='F-Ahorro Futuro Decimos'!$H$16,A795=""),"",IF(A795+1&gt;'F-Ahorro Futuro Decimos'!$H$16,'F-Ahorro Futuro Decimos'!$H$16,A795+1))</f>
        <v>794</v>
      </c>
      <c r="B796" s="122">
        <f>IFERROR(IF(DAY($A796)=DAY('F-Ahorro Futuro Decimos'!$H$15),'F-Ahorro Futuro Decimos'!$H$14,0),0)</f>
        <v>0</v>
      </c>
      <c r="C796" s="122">
        <f>IF(A796='F-Ahorro Futuro Decimos'!$H$18,'F-Ahorro Futuro Decimos'!$H$20,0)</f>
        <v>0</v>
      </c>
      <c r="D796" s="122">
        <f t="shared" si="12"/>
        <v>0</v>
      </c>
      <c r="E796" s="121">
        <f>ROUND(D796*'FR_Mantenimiento tasas'!$C$48/360,5)</f>
        <v>0</v>
      </c>
      <c r="F796" s="121">
        <f>ROUND(D796*'FR_Mantenimiento tasas'!$D$48/360,5)</f>
        <v>0</v>
      </c>
    </row>
    <row r="797" spans="1:6">
      <c r="A797" s="123">
        <f>IF(OR(A796='F-Ahorro Futuro Decimos'!$H$16,A796=""),"",IF(A796+1&gt;'F-Ahorro Futuro Decimos'!$H$16,'F-Ahorro Futuro Decimos'!$H$16,A796+1))</f>
        <v>795</v>
      </c>
      <c r="B797" s="122">
        <f>IFERROR(IF(DAY($A797)=DAY('F-Ahorro Futuro Decimos'!$H$15),'F-Ahorro Futuro Decimos'!$H$14,0),0)</f>
        <v>0</v>
      </c>
      <c r="C797" s="122">
        <f>IF(A797='F-Ahorro Futuro Decimos'!$H$18,'F-Ahorro Futuro Decimos'!$H$20,0)</f>
        <v>0</v>
      </c>
      <c r="D797" s="122">
        <f t="shared" si="12"/>
        <v>0</v>
      </c>
      <c r="E797" s="121">
        <f>ROUND(D797*'FR_Mantenimiento tasas'!$C$48/360,5)</f>
        <v>0</v>
      </c>
      <c r="F797" s="121">
        <f>ROUND(D797*'FR_Mantenimiento tasas'!$D$48/360,5)</f>
        <v>0</v>
      </c>
    </row>
    <row r="798" spans="1:6">
      <c r="A798" s="123">
        <f>IF(OR(A797='F-Ahorro Futuro Decimos'!$H$16,A797=""),"",IF(A797+1&gt;'F-Ahorro Futuro Decimos'!$H$16,'F-Ahorro Futuro Decimos'!$H$16,A797+1))</f>
        <v>796</v>
      </c>
      <c r="B798" s="122">
        <f>IFERROR(IF(DAY($A798)=DAY('F-Ahorro Futuro Decimos'!$H$15),'F-Ahorro Futuro Decimos'!$H$14,0),0)</f>
        <v>0</v>
      </c>
      <c r="C798" s="122">
        <f>IF(A798='F-Ahorro Futuro Decimos'!$H$18,'F-Ahorro Futuro Decimos'!$H$20,0)</f>
        <v>0</v>
      </c>
      <c r="D798" s="122">
        <f t="shared" si="12"/>
        <v>0</v>
      </c>
      <c r="E798" s="121">
        <f>ROUND(D798*'FR_Mantenimiento tasas'!$C$48/360,5)</f>
        <v>0</v>
      </c>
      <c r="F798" s="121">
        <f>ROUND(D798*'FR_Mantenimiento tasas'!$D$48/360,5)</f>
        <v>0</v>
      </c>
    </row>
    <row r="799" spans="1:6">
      <c r="A799" s="123">
        <f>IF(OR(A798='F-Ahorro Futuro Decimos'!$H$16,A798=""),"",IF(A798+1&gt;'F-Ahorro Futuro Decimos'!$H$16,'F-Ahorro Futuro Decimos'!$H$16,A798+1))</f>
        <v>797</v>
      </c>
      <c r="B799" s="122">
        <f>IFERROR(IF(DAY($A799)=DAY('F-Ahorro Futuro Decimos'!$H$15),'F-Ahorro Futuro Decimos'!$H$14,0),0)</f>
        <v>0</v>
      </c>
      <c r="C799" s="122">
        <f>IF(A799='F-Ahorro Futuro Decimos'!$H$18,'F-Ahorro Futuro Decimos'!$H$20,0)</f>
        <v>0</v>
      </c>
      <c r="D799" s="122">
        <f t="shared" si="12"/>
        <v>0</v>
      </c>
      <c r="E799" s="121">
        <f>ROUND(D799*'FR_Mantenimiento tasas'!$C$48/360,5)</f>
        <v>0</v>
      </c>
      <c r="F799" s="121">
        <f>ROUND(D799*'FR_Mantenimiento tasas'!$D$48/360,5)</f>
        <v>0</v>
      </c>
    </row>
    <row r="800" spans="1:6">
      <c r="A800" s="123">
        <f>IF(OR(A799='F-Ahorro Futuro Decimos'!$H$16,A799=""),"",IF(A799+1&gt;'F-Ahorro Futuro Decimos'!$H$16,'F-Ahorro Futuro Decimos'!$H$16,A799+1))</f>
        <v>798</v>
      </c>
      <c r="B800" s="122">
        <f>IFERROR(IF(DAY($A800)=DAY('F-Ahorro Futuro Decimos'!$H$15),'F-Ahorro Futuro Decimos'!$H$14,0),0)</f>
        <v>0</v>
      </c>
      <c r="C800" s="122">
        <f>IF(A800='F-Ahorro Futuro Decimos'!$H$18,'F-Ahorro Futuro Decimos'!$H$20,0)</f>
        <v>0</v>
      </c>
      <c r="D800" s="122">
        <f t="shared" si="12"/>
        <v>0</v>
      </c>
      <c r="E800" s="121">
        <f>ROUND(D800*'FR_Mantenimiento tasas'!$C$48/360,5)</f>
        <v>0</v>
      </c>
      <c r="F800" s="121">
        <f>ROUND(D800*'FR_Mantenimiento tasas'!$D$48/360,5)</f>
        <v>0</v>
      </c>
    </row>
    <row r="801" spans="1:6">
      <c r="A801" s="123">
        <f>IF(OR(A800='F-Ahorro Futuro Decimos'!$H$16,A800=""),"",IF(A800+1&gt;'F-Ahorro Futuro Decimos'!$H$16,'F-Ahorro Futuro Decimos'!$H$16,A800+1))</f>
        <v>799</v>
      </c>
      <c r="B801" s="122">
        <f>IFERROR(IF(DAY($A801)=DAY('F-Ahorro Futuro Decimos'!$H$15),'F-Ahorro Futuro Decimos'!$H$14,0),0)</f>
        <v>0</v>
      </c>
      <c r="C801" s="122">
        <f>IF(A801='F-Ahorro Futuro Decimos'!$H$18,'F-Ahorro Futuro Decimos'!$H$20,0)</f>
        <v>0</v>
      </c>
      <c r="D801" s="122">
        <f t="shared" si="12"/>
        <v>0</v>
      </c>
      <c r="E801" s="121">
        <f>ROUND(D801*'FR_Mantenimiento tasas'!$C$48/360,5)</f>
        <v>0</v>
      </c>
      <c r="F801" s="121">
        <f>ROUND(D801*'FR_Mantenimiento tasas'!$D$48/360,5)</f>
        <v>0</v>
      </c>
    </row>
    <row r="802" spans="1:6">
      <c r="A802" s="123">
        <f>IF(OR(A801='F-Ahorro Futuro Decimos'!$H$16,A801=""),"",IF(A801+1&gt;'F-Ahorro Futuro Decimos'!$H$16,'F-Ahorro Futuro Decimos'!$H$16,A801+1))</f>
        <v>800</v>
      </c>
      <c r="B802" s="122">
        <f>IFERROR(IF(DAY($A802)=DAY('F-Ahorro Futuro Decimos'!$H$15),'F-Ahorro Futuro Decimos'!$H$14,0),0)</f>
        <v>0</v>
      </c>
      <c r="C802" s="122">
        <f>IF(A802='F-Ahorro Futuro Decimos'!$H$18,'F-Ahorro Futuro Decimos'!$H$20,0)</f>
        <v>0</v>
      </c>
      <c r="D802" s="122">
        <f t="shared" si="12"/>
        <v>0</v>
      </c>
      <c r="E802" s="121">
        <f>ROUND(D802*'FR_Mantenimiento tasas'!$C$48/360,5)</f>
        <v>0</v>
      </c>
      <c r="F802" s="121">
        <f>ROUND(D802*'FR_Mantenimiento tasas'!$D$48/360,5)</f>
        <v>0</v>
      </c>
    </row>
    <row r="803" spans="1:6">
      <c r="A803" s="123">
        <f>IF(OR(A802='F-Ahorro Futuro Decimos'!$H$16,A802=""),"",IF(A802+1&gt;'F-Ahorro Futuro Decimos'!$H$16,'F-Ahorro Futuro Decimos'!$H$16,A802+1))</f>
        <v>801</v>
      </c>
      <c r="B803" s="122">
        <f>IFERROR(IF(DAY($A803)=DAY('F-Ahorro Futuro Decimos'!$H$15),'F-Ahorro Futuro Decimos'!$H$14,0),0)</f>
        <v>0</v>
      </c>
      <c r="C803" s="122">
        <f>IF(A803='F-Ahorro Futuro Decimos'!$H$18,'F-Ahorro Futuro Decimos'!$H$20,0)</f>
        <v>0</v>
      </c>
      <c r="D803" s="122">
        <f t="shared" si="12"/>
        <v>0</v>
      </c>
      <c r="E803" s="121">
        <f>ROUND(D803*'FR_Mantenimiento tasas'!$C$48/360,5)</f>
        <v>0</v>
      </c>
      <c r="F803" s="121">
        <f>ROUND(D803*'FR_Mantenimiento tasas'!$D$48/360,5)</f>
        <v>0</v>
      </c>
    </row>
    <row r="804" spans="1:6">
      <c r="A804" s="123">
        <f>IF(OR(A803='F-Ahorro Futuro Decimos'!$H$16,A803=""),"",IF(A803+1&gt;'F-Ahorro Futuro Decimos'!$H$16,'F-Ahorro Futuro Decimos'!$H$16,A803+1))</f>
        <v>802</v>
      </c>
      <c r="B804" s="122">
        <f>IFERROR(IF(DAY($A804)=DAY('F-Ahorro Futuro Decimos'!$H$15),'F-Ahorro Futuro Decimos'!$H$14,0),0)</f>
        <v>0</v>
      </c>
      <c r="C804" s="122">
        <f>IF(A804='F-Ahorro Futuro Decimos'!$H$18,'F-Ahorro Futuro Decimos'!$H$20,0)</f>
        <v>0</v>
      </c>
      <c r="D804" s="122">
        <f t="shared" si="12"/>
        <v>0</v>
      </c>
      <c r="E804" s="121">
        <f>ROUND(D804*'FR_Mantenimiento tasas'!$C$48/360,5)</f>
        <v>0</v>
      </c>
      <c r="F804" s="121">
        <f>ROUND(D804*'FR_Mantenimiento tasas'!$D$48/360,5)</f>
        <v>0</v>
      </c>
    </row>
    <row r="805" spans="1:6">
      <c r="A805" s="123">
        <f>IF(OR(A804='F-Ahorro Futuro Decimos'!$H$16,A804=""),"",IF(A804+1&gt;'F-Ahorro Futuro Decimos'!$H$16,'F-Ahorro Futuro Decimos'!$H$16,A804+1))</f>
        <v>803</v>
      </c>
      <c r="B805" s="122">
        <f>IFERROR(IF(DAY($A805)=DAY('F-Ahorro Futuro Decimos'!$H$15),'F-Ahorro Futuro Decimos'!$H$14,0),0)</f>
        <v>0</v>
      </c>
      <c r="C805" s="122">
        <f>IF(A805='F-Ahorro Futuro Decimos'!$H$18,'F-Ahorro Futuro Decimos'!$H$20,0)</f>
        <v>0</v>
      </c>
      <c r="D805" s="122">
        <f t="shared" si="12"/>
        <v>0</v>
      </c>
      <c r="E805" s="121">
        <f>ROUND(D805*'FR_Mantenimiento tasas'!$C$48/360,5)</f>
        <v>0</v>
      </c>
      <c r="F805" s="121">
        <f>ROUND(D805*'FR_Mantenimiento tasas'!$D$48/360,5)</f>
        <v>0</v>
      </c>
    </row>
    <row r="806" spans="1:6">
      <c r="A806" s="123">
        <f>IF(OR(A805='F-Ahorro Futuro Decimos'!$H$16,A805=""),"",IF(A805+1&gt;'F-Ahorro Futuro Decimos'!$H$16,'F-Ahorro Futuro Decimos'!$H$16,A805+1))</f>
        <v>804</v>
      </c>
      <c r="B806" s="122">
        <f>IFERROR(IF(DAY($A806)=DAY('F-Ahorro Futuro Decimos'!$H$15),'F-Ahorro Futuro Decimos'!$H$14,0),0)</f>
        <v>0</v>
      </c>
      <c r="C806" s="122">
        <f>IF(A806='F-Ahorro Futuro Decimos'!$H$18,'F-Ahorro Futuro Decimos'!$H$20,0)</f>
        <v>0</v>
      </c>
      <c r="D806" s="122">
        <f t="shared" si="12"/>
        <v>0</v>
      </c>
      <c r="E806" s="121">
        <f>ROUND(D806*'FR_Mantenimiento tasas'!$C$48/360,5)</f>
        <v>0</v>
      </c>
      <c r="F806" s="121">
        <f>ROUND(D806*'FR_Mantenimiento tasas'!$D$48/360,5)</f>
        <v>0</v>
      </c>
    </row>
    <row r="807" spans="1:6">
      <c r="A807" s="123">
        <f>IF(OR(A806='F-Ahorro Futuro Decimos'!$H$16,A806=""),"",IF(A806+1&gt;'F-Ahorro Futuro Decimos'!$H$16,'F-Ahorro Futuro Decimos'!$H$16,A806+1))</f>
        <v>805</v>
      </c>
      <c r="B807" s="122">
        <f>IFERROR(IF(DAY($A807)=DAY('F-Ahorro Futuro Decimos'!$H$15),'F-Ahorro Futuro Decimos'!$H$14,0),0)</f>
        <v>0</v>
      </c>
      <c r="C807" s="122">
        <f>IF(A807='F-Ahorro Futuro Decimos'!$H$18,'F-Ahorro Futuro Decimos'!$H$20,0)</f>
        <v>0</v>
      </c>
      <c r="D807" s="122">
        <f t="shared" si="12"/>
        <v>0</v>
      </c>
      <c r="E807" s="121">
        <f>ROUND(D807*'FR_Mantenimiento tasas'!$C$48/360,5)</f>
        <v>0</v>
      </c>
      <c r="F807" s="121">
        <f>ROUND(D807*'FR_Mantenimiento tasas'!$D$48/360,5)</f>
        <v>0</v>
      </c>
    </row>
    <row r="808" spans="1:6">
      <c r="A808" s="123">
        <f>IF(OR(A807='F-Ahorro Futuro Decimos'!$H$16,A807=""),"",IF(A807+1&gt;'F-Ahorro Futuro Decimos'!$H$16,'F-Ahorro Futuro Decimos'!$H$16,A807+1))</f>
        <v>806</v>
      </c>
      <c r="B808" s="122">
        <f>IFERROR(IF(DAY($A808)=DAY('F-Ahorro Futuro Decimos'!$H$15),'F-Ahorro Futuro Decimos'!$H$14,0),0)</f>
        <v>0</v>
      </c>
      <c r="C808" s="122">
        <f>IF(A808='F-Ahorro Futuro Decimos'!$H$18,'F-Ahorro Futuro Decimos'!$H$20,0)</f>
        <v>0</v>
      </c>
      <c r="D808" s="122">
        <f t="shared" si="12"/>
        <v>0</v>
      </c>
      <c r="E808" s="121">
        <f>ROUND(D808*'FR_Mantenimiento tasas'!$C$48/360,5)</f>
        <v>0</v>
      </c>
      <c r="F808" s="121">
        <f>ROUND(D808*'FR_Mantenimiento tasas'!$D$48/360,5)</f>
        <v>0</v>
      </c>
    </row>
    <row r="809" spans="1:6">
      <c r="A809" s="123">
        <f>IF(OR(A808='F-Ahorro Futuro Decimos'!$H$16,A808=""),"",IF(A808+1&gt;'F-Ahorro Futuro Decimos'!$H$16,'F-Ahorro Futuro Decimos'!$H$16,A808+1))</f>
        <v>807</v>
      </c>
      <c r="B809" s="122">
        <f>IFERROR(IF(DAY($A809)=DAY('F-Ahorro Futuro Decimos'!$H$15),'F-Ahorro Futuro Decimos'!$H$14,0),0)</f>
        <v>0</v>
      </c>
      <c r="C809" s="122">
        <f>IF(A809='F-Ahorro Futuro Decimos'!$H$18,'F-Ahorro Futuro Decimos'!$H$20,0)</f>
        <v>0</v>
      </c>
      <c r="D809" s="122">
        <f t="shared" si="12"/>
        <v>0</v>
      </c>
      <c r="E809" s="121">
        <f>ROUND(D809*'FR_Mantenimiento tasas'!$C$48/360,5)</f>
        <v>0</v>
      </c>
      <c r="F809" s="121">
        <f>ROUND(D809*'FR_Mantenimiento tasas'!$D$48/360,5)</f>
        <v>0</v>
      </c>
    </row>
    <row r="810" spans="1:6">
      <c r="A810" s="123">
        <f>IF(OR(A809='F-Ahorro Futuro Decimos'!$H$16,A809=""),"",IF(A809+1&gt;'F-Ahorro Futuro Decimos'!$H$16,'F-Ahorro Futuro Decimos'!$H$16,A809+1))</f>
        <v>808</v>
      </c>
      <c r="B810" s="122">
        <f>IFERROR(IF(DAY($A810)=DAY('F-Ahorro Futuro Decimos'!$H$15),'F-Ahorro Futuro Decimos'!$H$14,0),0)</f>
        <v>0</v>
      </c>
      <c r="C810" s="122">
        <f>IF(A810='F-Ahorro Futuro Decimos'!$H$18,'F-Ahorro Futuro Decimos'!$H$20,0)</f>
        <v>0</v>
      </c>
      <c r="D810" s="122">
        <f t="shared" si="12"/>
        <v>0</v>
      </c>
      <c r="E810" s="121">
        <f>ROUND(D810*'FR_Mantenimiento tasas'!$C$48/360,5)</f>
        <v>0</v>
      </c>
      <c r="F810" s="121">
        <f>ROUND(D810*'FR_Mantenimiento tasas'!$D$48/360,5)</f>
        <v>0</v>
      </c>
    </row>
    <row r="811" spans="1:6">
      <c r="A811" s="123">
        <f>IF(OR(A810='F-Ahorro Futuro Decimos'!$H$16,A810=""),"",IF(A810+1&gt;'F-Ahorro Futuro Decimos'!$H$16,'F-Ahorro Futuro Decimos'!$H$16,A810+1))</f>
        <v>809</v>
      </c>
      <c r="B811" s="122">
        <f>IFERROR(IF(DAY($A811)=DAY('F-Ahorro Futuro Decimos'!$H$15),'F-Ahorro Futuro Decimos'!$H$14,0),0)</f>
        <v>0</v>
      </c>
      <c r="C811" s="122">
        <f>IF(A811='F-Ahorro Futuro Decimos'!$H$18,'F-Ahorro Futuro Decimos'!$H$20,0)</f>
        <v>0</v>
      </c>
      <c r="D811" s="122">
        <f t="shared" si="12"/>
        <v>0</v>
      </c>
      <c r="E811" s="121">
        <f>ROUND(D811*'FR_Mantenimiento tasas'!$C$48/360,5)</f>
        <v>0</v>
      </c>
      <c r="F811" s="121">
        <f>ROUND(D811*'FR_Mantenimiento tasas'!$D$48/360,5)</f>
        <v>0</v>
      </c>
    </row>
    <row r="812" spans="1:6">
      <c r="A812" s="123">
        <f>IF(OR(A811='F-Ahorro Futuro Decimos'!$H$16,A811=""),"",IF(A811+1&gt;'F-Ahorro Futuro Decimos'!$H$16,'F-Ahorro Futuro Decimos'!$H$16,A811+1))</f>
        <v>810</v>
      </c>
      <c r="B812" s="122">
        <f>IFERROR(IF(DAY($A812)=DAY('F-Ahorro Futuro Decimos'!$H$15),'F-Ahorro Futuro Decimos'!$H$14,0),0)</f>
        <v>0</v>
      </c>
      <c r="C812" s="122">
        <f>IF(A812='F-Ahorro Futuro Decimos'!$H$18,'F-Ahorro Futuro Decimos'!$H$20,0)</f>
        <v>0</v>
      </c>
      <c r="D812" s="122">
        <f t="shared" si="12"/>
        <v>0</v>
      </c>
      <c r="E812" s="121">
        <f>ROUND(D812*'FR_Mantenimiento tasas'!$C$48/360,5)</f>
        <v>0</v>
      </c>
      <c r="F812" s="121">
        <f>ROUND(D812*'FR_Mantenimiento tasas'!$D$48/360,5)</f>
        <v>0</v>
      </c>
    </row>
    <row r="813" spans="1:6">
      <c r="A813" s="123">
        <f>IF(OR(A812='F-Ahorro Futuro Decimos'!$H$16,A812=""),"",IF(A812+1&gt;'F-Ahorro Futuro Decimos'!$H$16,'F-Ahorro Futuro Decimos'!$H$16,A812+1))</f>
        <v>811</v>
      </c>
      <c r="B813" s="122">
        <f>IFERROR(IF(DAY($A813)=DAY('F-Ahorro Futuro Decimos'!$H$15),'F-Ahorro Futuro Decimos'!$H$14,0),0)</f>
        <v>0</v>
      </c>
      <c r="C813" s="122">
        <f>IF(A813='F-Ahorro Futuro Decimos'!$H$18,'F-Ahorro Futuro Decimos'!$H$20,0)</f>
        <v>0</v>
      </c>
      <c r="D813" s="122">
        <f t="shared" si="12"/>
        <v>0</v>
      </c>
      <c r="E813" s="121">
        <f>ROUND(D813*'FR_Mantenimiento tasas'!$C$48/360,5)</f>
        <v>0</v>
      </c>
      <c r="F813" s="121">
        <f>ROUND(D813*'FR_Mantenimiento tasas'!$D$48/360,5)</f>
        <v>0</v>
      </c>
    </row>
    <row r="814" spans="1:6">
      <c r="A814" s="123">
        <f>IF(OR(A813='F-Ahorro Futuro Decimos'!$H$16,A813=""),"",IF(A813+1&gt;'F-Ahorro Futuro Decimos'!$H$16,'F-Ahorro Futuro Decimos'!$H$16,A813+1))</f>
        <v>812</v>
      </c>
      <c r="B814" s="122">
        <f>IFERROR(IF(DAY($A814)=DAY('F-Ahorro Futuro Decimos'!$H$15),'F-Ahorro Futuro Decimos'!$H$14,0),0)</f>
        <v>0</v>
      </c>
      <c r="C814" s="122">
        <f>IF(A814='F-Ahorro Futuro Decimos'!$H$18,'F-Ahorro Futuro Decimos'!$H$20,0)</f>
        <v>0</v>
      </c>
      <c r="D814" s="122">
        <f t="shared" si="12"/>
        <v>0</v>
      </c>
      <c r="E814" s="121">
        <f>ROUND(D814*'FR_Mantenimiento tasas'!$C$48/360,5)</f>
        <v>0</v>
      </c>
      <c r="F814" s="121">
        <f>ROUND(D814*'FR_Mantenimiento tasas'!$D$48/360,5)</f>
        <v>0</v>
      </c>
    </row>
    <row r="815" spans="1:6">
      <c r="A815" s="123">
        <f>IF(OR(A814='F-Ahorro Futuro Decimos'!$H$16,A814=""),"",IF(A814+1&gt;'F-Ahorro Futuro Decimos'!$H$16,'F-Ahorro Futuro Decimos'!$H$16,A814+1))</f>
        <v>813</v>
      </c>
      <c r="B815" s="122">
        <f>IFERROR(IF(DAY($A815)=DAY('F-Ahorro Futuro Decimos'!$H$15),'F-Ahorro Futuro Decimos'!$H$14,0),0)</f>
        <v>0</v>
      </c>
      <c r="C815" s="122">
        <f>IF(A815='F-Ahorro Futuro Decimos'!$H$18,'F-Ahorro Futuro Decimos'!$H$20,0)</f>
        <v>0</v>
      </c>
      <c r="D815" s="122">
        <f t="shared" si="12"/>
        <v>0</v>
      </c>
      <c r="E815" s="121">
        <f>ROUND(D815*'FR_Mantenimiento tasas'!$C$48/360,5)</f>
        <v>0</v>
      </c>
      <c r="F815" s="121">
        <f>ROUND(D815*'FR_Mantenimiento tasas'!$D$48/360,5)</f>
        <v>0</v>
      </c>
    </row>
    <row r="816" spans="1:6">
      <c r="A816" s="123">
        <f>IF(OR(A815='F-Ahorro Futuro Decimos'!$H$16,A815=""),"",IF(A815+1&gt;'F-Ahorro Futuro Decimos'!$H$16,'F-Ahorro Futuro Decimos'!$H$16,A815+1))</f>
        <v>814</v>
      </c>
      <c r="B816" s="122">
        <f>IFERROR(IF(DAY($A816)=DAY('F-Ahorro Futuro Decimos'!$H$15),'F-Ahorro Futuro Decimos'!$H$14,0),0)</f>
        <v>0</v>
      </c>
      <c r="C816" s="122">
        <f>IF(A816='F-Ahorro Futuro Decimos'!$H$18,'F-Ahorro Futuro Decimos'!$H$20,0)</f>
        <v>0</v>
      </c>
      <c r="D816" s="122">
        <f t="shared" si="12"/>
        <v>0</v>
      </c>
      <c r="E816" s="121">
        <f>ROUND(D816*'FR_Mantenimiento tasas'!$C$48/360,5)</f>
        <v>0</v>
      </c>
      <c r="F816" s="121">
        <f>ROUND(D816*'FR_Mantenimiento tasas'!$D$48/360,5)</f>
        <v>0</v>
      </c>
    </row>
    <row r="817" spans="1:6">
      <c r="A817" s="123">
        <f>IF(OR(A816='F-Ahorro Futuro Decimos'!$H$16,A816=""),"",IF(A816+1&gt;'F-Ahorro Futuro Decimos'!$H$16,'F-Ahorro Futuro Decimos'!$H$16,A816+1))</f>
        <v>815</v>
      </c>
      <c r="B817" s="122">
        <f>IFERROR(IF(DAY($A817)=DAY('F-Ahorro Futuro Decimos'!$H$15),'F-Ahorro Futuro Decimos'!$H$14,0),0)</f>
        <v>0</v>
      </c>
      <c r="C817" s="122">
        <f>IF(A817='F-Ahorro Futuro Decimos'!$H$18,'F-Ahorro Futuro Decimos'!$H$20,0)</f>
        <v>0</v>
      </c>
      <c r="D817" s="122">
        <f t="shared" si="12"/>
        <v>0</v>
      </c>
      <c r="E817" s="121">
        <f>ROUND(D817*'FR_Mantenimiento tasas'!$C$48/360,5)</f>
        <v>0</v>
      </c>
      <c r="F817" s="121">
        <f>ROUND(D817*'FR_Mantenimiento tasas'!$D$48/360,5)</f>
        <v>0</v>
      </c>
    </row>
    <row r="818" spans="1:6">
      <c r="A818" s="123">
        <f>IF(OR(A817='F-Ahorro Futuro Decimos'!$H$16,A817=""),"",IF(A817+1&gt;'F-Ahorro Futuro Decimos'!$H$16,'F-Ahorro Futuro Decimos'!$H$16,A817+1))</f>
        <v>816</v>
      </c>
      <c r="B818" s="122">
        <f>IFERROR(IF(DAY($A818)=DAY('F-Ahorro Futuro Decimos'!$H$15),'F-Ahorro Futuro Decimos'!$H$14,0),0)</f>
        <v>0</v>
      </c>
      <c r="C818" s="122">
        <f>IF(A818='F-Ahorro Futuro Decimos'!$H$18,'F-Ahorro Futuro Decimos'!$H$20,0)</f>
        <v>0</v>
      </c>
      <c r="D818" s="122">
        <f t="shared" si="12"/>
        <v>0</v>
      </c>
      <c r="E818" s="121">
        <f>ROUND(D818*'FR_Mantenimiento tasas'!$C$48/360,5)</f>
        <v>0</v>
      </c>
      <c r="F818" s="121">
        <f>ROUND(D818*'FR_Mantenimiento tasas'!$D$48/360,5)</f>
        <v>0</v>
      </c>
    </row>
    <row r="819" spans="1:6">
      <c r="A819" s="123">
        <f>IF(OR(A818='F-Ahorro Futuro Decimos'!$H$16,A818=""),"",IF(A818+1&gt;'F-Ahorro Futuro Decimos'!$H$16,'F-Ahorro Futuro Decimos'!$H$16,A818+1))</f>
        <v>817</v>
      </c>
      <c r="B819" s="122">
        <f>IFERROR(IF(DAY($A819)=DAY('F-Ahorro Futuro Decimos'!$H$15),'F-Ahorro Futuro Decimos'!$H$14,0),0)</f>
        <v>0</v>
      </c>
      <c r="C819" s="122">
        <f>IF(A819='F-Ahorro Futuro Decimos'!$H$18,'F-Ahorro Futuro Decimos'!$H$20,0)</f>
        <v>0</v>
      </c>
      <c r="D819" s="122">
        <f t="shared" si="12"/>
        <v>0</v>
      </c>
      <c r="E819" s="121">
        <f>ROUND(D819*'FR_Mantenimiento tasas'!$C$48/360,5)</f>
        <v>0</v>
      </c>
      <c r="F819" s="121">
        <f>ROUND(D819*'FR_Mantenimiento tasas'!$D$48/360,5)</f>
        <v>0</v>
      </c>
    </row>
    <row r="820" spans="1:6">
      <c r="A820" s="123">
        <f>IF(OR(A819='F-Ahorro Futuro Decimos'!$H$16,A819=""),"",IF(A819+1&gt;'F-Ahorro Futuro Decimos'!$H$16,'F-Ahorro Futuro Decimos'!$H$16,A819+1))</f>
        <v>818</v>
      </c>
      <c r="B820" s="122">
        <f>IFERROR(IF(DAY($A820)=DAY('F-Ahorro Futuro Decimos'!$H$15),'F-Ahorro Futuro Decimos'!$H$14,0),0)</f>
        <v>0</v>
      </c>
      <c r="C820" s="122">
        <f>IF(A820='F-Ahorro Futuro Decimos'!$H$18,'F-Ahorro Futuro Decimos'!$H$20,0)</f>
        <v>0</v>
      </c>
      <c r="D820" s="122">
        <f t="shared" si="12"/>
        <v>0</v>
      </c>
      <c r="E820" s="121">
        <f>ROUND(D820*'FR_Mantenimiento tasas'!$C$48/360,5)</f>
        <v>0</v>
      </c>
      <c r="F820" s="121">
        <f>ROUND(D820*'FR_Mantenimiento tasas'!$D$48/360,5)</f>
        <v>0</v>
      </c>
    </row>
    <row r="821" spans="1:6">
      <c r="A821" s="123">
        <f>IF(OR(A820='F-Ahorro Futuro Decimos'!$H$16,A820=""),"",IF(A820+1&gt;'F-Ahorro Futuro Decimos'!$H$16,'F-Ahorro Futuro Decimos'!$H$16,A820+1))</f>
        <v>819</v>
      </c>
      <c r="B821" s="122">
        <f>IFERROR(IF(DAY($A821)=DAY('F-Ahorro Futuro Decimos'!$H$15),'F-Ahorro Futuro Decimos'!$H$14,0),0)</f>
        <v>0</v>
      </c>
      <c r="C821" s="122">
        <f>IF(A821='F-Ahorro Futuro Decimos'!$H$18,'F-Ahorro Futuro Decimos'!$H$20,0)</f>
        <v>0</v>
      </c>
      <c r="D821" s="122">
        <f t="shared" si="12"/>
        <v>0</v>
      </c>
      <c r="E821" s="121">
        <f>ROUND(D821*'FR_Mantenimiento tasas'!$C$48/360,5)</f>
        <v>0</v>
      </c>
      <c r="F821" s="121">
        <f>ROUND(D821*'FR_Mantenimiento tasas'!$D$48/360,5)</f>
        <v>0</v>
      </c>
    </row>
    <row r="822" spans="1:6">
      <c r="A822" s="123">
        <f>IF(OR(A821='F-Ahorro Futuro Decimos'!$H$16,A821=""),"",IF(A821+1&gt;'F-Ahorro Futuro Decimos'!$H$16,'F-Ahorro Futuro Decimos'!$H$16,A821+1))</f>
        <v>820</v>
      </c>
      <c r="B822" s="122">
        <f>IFERROR(IF(DAY($A822)=DAY('F-Ahorro Futuro Decimos'!$H$15),'F-Ahorro Futuro Decimos'!$H$14,0),0)</f>
        <v>0</v>
      </c>
      <c r="C822" s="122">
        <f>IF(A822='F-Ahorro Futuro Decimos'!$H$18,'F-Ahorro Futuro Decimos'!$H$20,0)</f>
        <v>0</v>
      </c>
      <c r="D822" s="122">
        <f t="shared" si="12"/>
        <v>0</v>
      </c>
      <c r="E822" s="121">
        <f>ROUND(D822*'FR_Mantenimiento tasas'!$C$48/360,5)</f>
        <v>0</v>
      </c>
      <c r="F822" s="121">
        <f>ROUND(D822*'FR_Mantenimiento tasas'!$D$48/360,5)</f>
        <v>0</v>
      </c>
    </row>
    <row r="823" spans="1:6">
      <c r="A823" s="123">
        <f>IF(OR(A822='F-Ahorro Futuro Decimos'!$H$16,A822=""),"",IF(A822+1&gt;'F-Ahorro Futuro Decimos'!$H$16,'F-Ahorro Futuro Decimos'!$H$16,A822+1))</f>
        <v>821</v>
      </c>
      <c r="B823" s="122">
        <f>IFERROR(IF(DAY($A823)=DAY('F-Ahorro Futuro Decimos'!$H$15),'F-Ahorro Futuro Decimos'!$H$14,0),0)</f>
        <v>0</v>
      </c>
      <c r="C823" s="122">
        <f>IF(A823='F-Ahorro Futuro Decimos'!$H$18,'F-Ahorro Futuro Decimos'!$H$20,0)</f>
        <v>0</v>
      </c>
      <c r="D823" s="122">
        <f t="shared" si="12"/>
        <v>0</v>
      </c>
      <c r="E823" s="121">
        <f>ROUND(D823*'FR_Mantenimiento tasas'!$C$48/360,5)</f>
        <v>0</v>
      </c>
      <c r="F823" s="121">
        <f>ROUND(D823*'FR_Mantenimiento tasas'!$D$48/360,5)</f>
        <v>0</v>
      </c>
    </row>
    <row r="824" spans="1:6">
      <c r="A824" s="123">
        <f>IF(OR(A823='F-Ahorro Futuro Decimos'!$H$16,A823=""),"",IF(A823+1&gt;'F-Ahorro Futuro Decimos'!$H$16,'F-Ahorro Futuro Decimos'!$H$16,A823+1))</f>
        <v>822</v>
      </c>
      <c r="B824" s="122">
        <f>IFERROR(IF(DAY($A824)=DAY('F-Ahorro Futuro Decimos'!$H$15),'F-Ahorro Futuro Decimos'!$H$14,0),0)</f>
        <v>0</v>
      </c>
      <c r="C824" s="122">
        <f>IF(A824='F-Ahorro Futuro Decimos'!$H$18,'F-Ahorro Futuro Decimos'!$H$20,0)</f>
        <v>0</v>
      </c>
      <c r="D824" s="122">
        <f t="shared" si="12"/>
        <v>0</v>
      </c>
      <c r="E824" s="121">
        <f>ROUND(D824*'FR_Mantenimiento tasas'!$C$48/360,5)</f>
        <v>0</v>
      </c>
      <c r="F824" s="121">
        <f>ROUND(D824*'FR_Mantenimiento tasas'!$D$48/360,5)</f>
        <v>0</v>
      </c>
    </row>
    <row r="825" spans="1:6">
      <c r="A825" s="123">
        <f>IF(OR(A824='F-Ahorro Futuro Decimos'!$H$16,A824=""),"",IF(A824+1&gt;'F-Ahorro Futuro Decimos'!$H$16,'F-Ahorro Futuro Decimos'!$H$16,A824+1))</f>
        <v>823</v>
      </c>
      <c r="B825" s="122">
        <f>IFERROR(IF(DAY($A825)=DAY('F-Ahorro Futuro Decimos'!$H$15),'F-Ahorro Futuro Decimos'!$H$14,0),0)</f>
        <v>0</v>
      </c>
      <c r="C825" s="122">
        <f>IF(A825='F-Ahorro Futuro Decimos'!$H$18,'F-Ahorro Futuro Decimos'!$H$20,0)</f>
        <v>0</v>
      </c>
      <c r="D825" s="122">
        <f t="shared" si="12"/>
        <v>0</v>
      </c>
      <c r="E825" s="121">
        <f>ROUND(D825*'FR_Mantenimiento tasas'!$C$48/360,5)</f>
        <v>0</v>
      </c>
      <c r="F825" s="121">
        <f>ROUND(D825*'FR_Mantenimiento tasas'!$D$48/360,5)</f>
        <v>0</v>
      </c>
    </row>
    <row r="826" spans="1:6">
      <c r="A826" s="123">
        <f>IF(OR(A825='F-Ahorro Futuro Decimos'!$H$16,A825=""),"",IF(A825+1&gt;'F-Ahorro Futuro Decimos'!$H$16,'F-Ahorro Futuro Decimos'!$H$16,A825+1))</f>
        <v>824</v>
      </c>
      <c r="B826" s="122">
        <f>IFERROR(IF(DAY($A826)=DAY('F-Ahorro Futuro Decimos'!$H$15),'F-Ahorro Futuro Decimos'!$H$14,0),0)</f>
        <v>0</v>
      </c>
      <c r="C826" s="122">
        <f>IF(A826='F-Ahorro Futuro Decimos'!$H$18,'F-Ahorro Futuro Decimos'!$H$20,0)</f>
        <v>0</v>
      </c>
      <c r="D826" s="122">
        <f t="shared" si="12"/>
        <v>0</v>
      </c>
      <c r="E826" s="121">
        <f>ROUND(D826*'FR_Mantenimiento tasas'!$C$48/360,5)</f>
        <v>0</v>
      </c>
      <c r="F826" s="121">
        <f>ROUND(D826*'FR_Mantenimiento tasas'!$D$48/360,5)</f>
        <v>0</v>
      </c>
    </row>
    <row r="827" spans="1:6">
      <c r="A827" s="123">
        <f>IF(OR(A826='F-Ahorro Futuro Decimos'!$H$16,A826=""),"",IF(A826+1&gt;'F-Ahorro Futuro Decimos'!$H$16,'F-Ahorro Futuro Decimos'!$H$16,A826+1))</f>
        <v>825</v>
      </c>
      <c r="B827" s="122">
        <f>IFERROR(IF(DAY($A827)=DAY('F-Ahorro Futuro Decimos'!$H$15),'F-Ahorro Futuro Decimos'!$H$14,0),0)</f>
        <v>0</v>
      </c>
      <c r="C827" s="122">
        <f>IF(A827='F-Ahorro Futuro Decimos'!$H$18,'F-Ahorro Futuro Decimos'!$H$20,0)</f>
        <v>0</v>
      </c>
      <c r="D827" s="122">
        <f t="shared" si="12"/>
        <v>0</v>
      </c>
      <c r="E827" s="121">
        <f>ROUND(D827*'FR_Mantenimiento tasas'!$C$48/360,5)</f>
        <v>0</v>
      </c>
      <c r="F827" s="121">
        <f>ROUND(D827*'FR_Mantenimiento tasas'!$D$48/360,5)</f>
        <v>0</v>
      </c>
    </row>
    <row r="828" spans="1:6">
      <c r="A828" s="123">
        <f>IF(OR(A827='F-Ahorro Futuro Decimos'!$H$16,A827=""),"",IF(A827+1&gt;'F-Ahorro Futuro Decimos'!$H$16,'F-Ahorro Futuro Decimos'!$H$16,A827+1))</f>
        <v>826</v>
      </c>
      <c r="B828" s="122">
        <f>IFERROR(IF(DAY($A828)=DAY('F-Ahorro Futuro Decimos'!$H$15),'F-Ahorro Futuro Decimos'!$H$14,0),0)</f>
        <v>0</v>
      </c>
      <c r="C828" s="122">
        <f>IF(A828='F-Ahorro Futuro Decimos'!$H$18,'F-Ahorro Futuro Decimos'!$H$20,0)</f>
        <v>0</v>
      </c>
      <c r="D828" s="122">
        <f t="shared" si="12"/>
        <v>0</v>
      </c>
      <c r="E828" s="121">
        <f>ROUND(D828*'FR_Mantenimiento tasas'!$C$48/360,5)</f>
        <v>0</v>
      </c>
      <c r="F828" s="121">
        <f>ROUND(D828*'FR_Mantenimiento tasas'!$D$48/360,5)</f>
        <v>0</v>
      </c>
    </row>
    <row r="829" spans="1:6">
      <c r="A829" s="123">
        <f>IF(OR(A828='F-Ahorro Futuro Decimos'!$H$16,A828=""),"",IF(A828+1&gt;'F-Ahorro Futuro Decimos'!$H$16,'F-Ahorro Futuro Decimos'!$H$16,A828+1))</f>
        <v>827</v>
      </c>
      <c r="B829" s="122">
        <f>IFERROR(IF(DAY($A829)=DAY('F-Ahorro Futuro Decimos'!$H$15),'F-Ahorro Futuro Decimos'!$H$14,0),0)</f>
        <v>0</v>
      </c>
      <c r="C829" s="122">
        <f>IF(A829='F-Ahorro Futuro Decimos'!$H$18,'F-Ahorro Futuro Decimos'!$H$20,0)</f>
        <v>0</v>
      </c>
      <c r="D829" s="122">
        <f t="shared" si="12"/>
        <v>0</v>
      </c>
      <c r="E829" s="121">
        <f>ROUND(D829*'FR_Mantenimiento tasas'!$C$48/360,5)</f>
        <v>0</v>
      </c>
      <c r="F829" s="121">
        <f>ROUND(D829*'FR_Mantenimiento tasas'!$D$48/360,5)</f>
        <v>0</v>
      </c>
    </row>
    <row r="830" spans="1:6">
      <c r="A830" s="123">
        <f>IF(OR(A829='F-Ahorro Futuro Decimos'!$H$16,A829=""),"",IF(A829+1&gt;'F-Ahorro Futuro Decimos'!$H$16,'F-Ahorro Futuro Decimos'!$H$16,A829+1))</f>
        <v>828</v>
      </c>
      <c r="B830" s="122">
        <f>IFERROR(IF(DAY($A830)=DAY('F-Ahorro Futuro Decimos'!$H$15),'F-Ahorro Futuro Decimos'!$H$14,0),0)</f>
        <v>0</v>
      </c>
      <c r="C830" s="122">
        <f>IF(A830='F-Ahorro Futuro Decimos'!$H$18,'F-Ahorro Futuro Decimos'!$H$20,0)</f>
        <v>0</v>
      </c>
      <c r="D830" s="122">
        <f t="shared" si="12"/>
        <v>0</v>
      </c>
      <c r="E830" s="121">
        <f>ROUND(D830*'FR_Mantenimiento tasas'!$C$48/360,5)</f>
        <v>0</v>
      </c>
      <c r="F830" s="121">
        <f>ROUND(D830*'FR_Mantenimiento tasas'!$D$48/360,5)</f>
        <v>0</v>
      </c>
    </row>
    <row r="831" spans="1:6">
      <c r="A831" s="123">
        <f>IF(OR(A830='F-Ahorro Futuro Decimos'!$H$16,A830=""),"",IF(A830+1&gt;'F-Ahorro Futuro Decimos'!$H$16,'F-Ahorro Futuro Decimos'!$H$16,A830+1))</f>
        <v>829</v>
      </c>
      <c r="B831" s="122">
        <f>IFERROR(IF(DAY($A831)=DAY('F-Ahorro Futuro Decimos'!$H$15),'F-Ahorro Futuro Decimos'!$H$14,0),0)</f>
        <v>0</v>
      </c>
      <c r="C831" s="122">
        <f>IF(A831='F-Ahorro Futuro Decimos'!$H$18,'F-Ahorro Futuro Decimos'!$H$20,0)</f>
        <v>0</v>
      </c>
      <c r="D831" s="122">
        <f t="shared" si="12"/>
        <v>0</v>
      </c>
      <c r="E831" s="121">
        <f>ROUND(D831*'FR_Mantenimiento tasas'!$C$48/360,5)</f>
        <v>0</v>
      </c>
      <c r="F831" s="121">
        <f>ROUND(D831*'FR_Mantenimiento tasas'!$D$48/360,5)</f>
        <v>0</v>
      </c>
    </row>
    <row r="832" spans="1:6">
      <c r="A832" s="123">
        <f>IF(OR(A831='F-Ahorro Futuro Decimos'!$H$16,A831=""),"",IF(A831+1&gt;'F-Ahorro Futuro Decimos'!$H$16,'F-Ahorro Futuro Decimos'!$H$16,A831+1))</f>
        <v>830</v>
      </c>
      <c r="B832" s="122">
        <f>IFERROR(IF(DAY($A832)=DAY('F-Ahorro Futuro Decimos'!$H$15),'F-Ahorro Futuro Decimos'!$H$14,0),0)</f>
        <v>0</v>
      </c>
      <c r="C832" s="122">
        <f>IF(A832='F-Ahorro Futuro Decimos'!$H$18,'F-Ahorro Futuro Decimos'!$H$20,0)</f>
        <v>0</v>
      </c>
      <c r="D832" s="122">
        <f t="shared" si="12"/>
        <v>0</v>
      </c>
      <c r="E832" s="121">
        <f>ROUND(D832*'FR_Mantenimiento tasas'!$C$48/360,5)</f>
        <v>0</v>
      </c>
      <c r="F832" s="121">
        <f>ROUND(D832*'FR_Mantenimiento tasas'!$D$48/360,5)</f>
        <v>0</v>
      </c>
    </row>
    <row r="833" spans="1:6">
      <c r="A833" s="123">
        <f>IF(OR(A832='F-Ahorro Futuro Decimos'!$H$16,A832=""),"",IF(A832+1&gt;'F-Ahorro Futuro Decimos'!$H$16,'F-Ahorro Futuro Decimos'!$H$16,A832+1))</f>
        <v>831</v>
      </c>
      <c r="B833" s="122">
        <f>IFERROR(IF(DAY($A833)=DAY('F-Ahorro Futuro Decimos'!$H$15),'F-Ahorro Futuro Decimos'!$H$14,0),0)</f>
        <v>0</v>
      </c>
      <c r="C833" s="122">
        <f>IF(A833='F-Ahorro Futuro Decimos'!$H$18,'F-Ahorro Futuro Decimos'!$H$20,0)</f>
        <v>0</v>
      </c>
      <c r="D833" s="122">
        <f t="shared" si="12"/>
        <v>0</v>
      </c>
      <c r="E833" s="121">
        <f>ROUND(D833*'FR_Mantenimiento tasas'!$C$48/360,5)</f>
        <v>0</v>
      </c>
      <c r="F833" s="121">
        <f>ROUND(D833*'FR_Mantenimiento tasas'!$D$48/360,5)</f>
        <v>0</v>
      </c>
    </row>
    <row r="834" spans="1:6">
      <c r="A834" s="123">
        <f>IF(OR(A833='F-Ahorro Futuro Decimos'!$H$16,A833=""),"",IF(A833+1&gt;'F-Ahorro Futuro Decimos'!$H$16,'F-Ahorro Futuro Decimos'!$H$16,A833+1))</f>
        <v>832</v>
      </c>
      <c r="B834" s="122">
        <f>IFERROR(IF(DAY($A834)=DAY('F-Ahorro Futuro Decimos'!$H$15),'F-Ahorro Futuro Decimos'!$H$14,0),0)</f>
        <v>0</v>
      </c>
      <c r="C834" s="122">
        <f>IF(A834='F-Ahorro Futuro Decimos'!$H$18,'F-Ahorro Futuro Decimos'!$H$20,0)</f>
        <v>0</v>
      </c>
      <c r="D834" s="122">
        <f t="shared" si="12"/>
        <v>0</v>
      </c>
      <c r="E834" s="121">
        <f>ROUND(D834*'FR_Mantenimiento tasas'!$C$48/360,5)</f>
        <v>0</v>
      </c>
      <c r="F834" s="121">
        <f>ROUND(D834*'FR_Mantenimiento tasas'!$D$48/360,5)</f>
        <v>0</v>
      </c>
    </row>
    <row r="835" spans="1:6">
      <c r="A835" s="123">
        <f>IF(OR(A834='F-Ahorro Futuro Decimos'!$H$16,A834=""),"",IF(A834+1&gt;'F-Ahorro Futuro Decimos'!$H$16,'F-Ahorro Futuro Decimos'!$H$16,A834+1))</f>
        <v>833</v>
      </c>
      <c r="B835" s="122">
        <f>IFERROR(IF(DAY($A835)=DAY('F-Ahorro Futuro Decimos'!$H$15),'F-Ahorro Futuro Decimos'!$H$14,0),0)</f>
        <v>0</v>
      </c>
      <c r="C835" s="122">
        <f>IF(A835='F-Ahorro Futuro Decimos'!$H$18,'F-Ahorro Futuro Decimos'!$H$20,0)</f>
        <v>0</v>
      </c>
      <c r="D835" s="122">
        <f t="shared" si="12"/>
        <v>0</v>
      </c>
      <c r="E835" s="121">
        <f>ROUND(D835*'FR_Mantenimiento tasas'!$C$48/360,5)</f>
        <v>0</v>
      </c>
      <c r="F835" s="121">
        <f>ROUND(D835*'FR_Mantenimiento tasas'!$D$48/360,5)</f>
        <v>0</v>
      </c>
    </row>
    <row r="836" spans="1:6">
      <c r="A836" s="123">
        <f>IF(OR(A835='F-Ahorro Futuro Decimos'!$H$16,A835=""),"",IF(A835+1&gt;'F-Ahorro Futuro Decimos'!$H$16,'F-Ahorro Futuro Decimos'!$H$16,A835+1))</f>
        <v>834</v>
      </c>
      <c r="B836" s="122">
        <f>IFERROR(IF(DAY($A836)=DAY('F-Ahorro Futuro Decimos'!$H$15),'F-Ahorro Futuro Decimos'!$H$14,0),0)</f>
        <v>0</v>
      </c>
      <c r="C836" s="122">
        <f>IF(A836='F-Ahorro Futuro Decimos'!$H$18,'F-Ahorro Futuro Decimos'!$H$20,0)</f>
        <v>0</v>
      </c>
      <c r="D836" s="122">
        <f t="shared" ref="D836:D899" si="13">+B836+D835+E835-C836</f>
        <v>0</v>
      </c>
      <c r="E836" s="121">
        <f>ROUND(D836*'FR_Mantenimiento tasas'!$C$48/360,5)</f>
        <v>0</v>
      </c>
      <c r="F836" s="121">
        <f>ROUND(D836*'FR_Mantenimiento tasas'!$D$48/360,5)</f>
        <v>0</v>
      </c>
    </row>
    <row r="837" spans="1:6">
      <c r="A837" s="123">
        <f>IF(OR(A836='F-Ahorro Futuro Decimos'!$H$16,A836=""),"",IF(A836+1&gt;'F-Ahorro Futuro Decimos'!$H$16,'F-Ahorro Futuro Decimos'!$H$16,A836+1))</f>
        <v>835</v>
      </c>
      <c r="B837" s="122">
        <f>IFERROR(IF(DAY($A837)=DAY('F-Ahorro Futuro Decimos'!$H$15),'F-Ahorro Futuro Decimos'!$H$14,0),0)</f>
        <v>0</v>
      </c>
      <c r="C837" s="122">
        <f>IF(A837='F-Ahorro Futuro Decimos'!$H$18,'F-Ahorro Futuro Decimos'!$H$20,0)</f>
        <v>0</v>
      </c>
      <c r="D837" s="122">
        <f t="shared" si="13"/>
        <v>0</v>
      </c>
      <c r="E837" s="121">
        <f>ROUND(D837*'FR_Mantenimiento tasas'!$C$48/360,5)</f>
        <v>0</v>
      </c>
      <c r="F837" s="121">
        <f>ROUND(D837*'FR_Mantenimiento tasas'!$D$48/360,5)</f>
        <v>0</v>
      </c>
    </row>
    <row r="838" spans="1:6">
      <c r="A838" s="123">
        <f>IF(OR(A837='F-Ahorro Futuro Decimos'!$H$16,A837=""),"",IF(A837+1&gt;'F-Ahorro Futuro Decimos'!$H$16,'F-Ahorro Futuro Decimos'!$H$16,A837+1))</f>
        <v>836</v>
      </c>
      <c r="B838" s="122">
        <f>IFERROR(IF(DAY($A838)=DAY('F-Ahorro Futuro Decimos'!$H$15),'F-Ahorro Futuro Decimos'!$H$14,0),0)</f>
        <v>0</v>
      </c>
      <c r="C838" s="122">
        <f>IF(A838='F-Ahorro Futuro Decimos'!$H$18,'F-Ahorro Futuro Decimos'!$H$20,0)</f>
        <v>0</v>
      </c>
      <c r="D838" s="122">
        <f t="shared" si="13"/>
        <v>0</v>
      </c>
      <c r="E838" s="121">
        <f>ROUND(D838*'FR_Mantenimiento tasas'!$C$48/360,5)</f>
        <v>0</v>
      </c>
      <c r="F838" s="121">
        <f>ROUND(D838*'FR_Mantenimiento tasas'!$D$48/360,5)</f>
        <v>0</v>
      </c>
    </row>
    <row r="839" spans="1:6">
      <c r="A839" s="123">
        <f>IF(OR(A838='F-Ahorro Futuro Decimos'!$H$16,A838=""),"",IF(A838+1&gt;'F-Ahorro Futuro Decimos'!$H$16,'F-Ahorro Futuro Decimos'!$H$16,A838+1))</f>
        <v>837</v>
      </c>
      <c r="B839" s="122">
        <f>IFERROR(IF(DAY($A839)=DAY('F-Ahorro Futuro Decimos'!$H$15),'F-Ahorro Futuro Decimos'!$H$14,0),0)</f>
        <v>0</v>
      </c>
      <c r="C839" s="122">
        <f>IF(A839='F-Ahorro Futuro Decimos'!$H$18,'F-Ahorro Futuro Decimos'!$H$20,0)</f>
        <v>0</v>
      </c>
      <c r="D839" s="122">
        <f t="shared" si="13"/>
        <v>0</v>
      </c>
      <c r="E839" s="121">
        <f>ROUND(D839*'FR_Mantenimiento tasas'!$C$48/360,5)</f>
        <v>0</v>
      </c>
      <c r="F839" s="121">
        <f>ROUND(D839*'FR_Mantenimiento tasas'!$D$48/360,5)</f>
        <v>0</v>
      </c>
    </row>
    <row r="840" spans="1:6">
      <c r="A840" s="123">
        <f>IF(OR(A839='F-Ahorro Futuro Decimos'!$H$16,A839=""),"",IF(A839+1&gt;'F-Ahorro Futuro Decimos'!$H$16,'F-Ahorro Futuro Decimos'!$H$16,A839+1))</f>
        <v>838</v>
      </c>
      <c r="B840" s="122">
        <f>IFERROR(IF(DAY($A840)=DAY('F-Ahorro Futuro Decimos'!$H$15),'F-Ahorro Futuro Decimos'!$H$14,0),0)</f>
        <v>0</v>
      </c>
      <c r="C840" s="122">
        <f>IF(A840='F-Ahorro Futuro Decimos'!$H$18,'F-Ahorro Futuro Decimos'!$H$20,0)</f>
        <v>0</v>
      </c>
      <c r="D840" s="122">
        <f t="shared" si="13"/>
        <v>0</v>
      </c>
      <c r="E840" s="121">
        <f>ROUND(D840*'FR_Mantenimiento tasas'!$C$48/360,5)</f>
        <v>0</v>
      </c>
      <c r="F840" s="121">
        <f>ROUND(D840*'FR_Mantenimiento tasas'!$D$48/360,5)</f>
        <v>0</v>
      </c>
    </row>
    <row r="841" spans="1:6">
      <c r="A841" s="123">
        <f>IF(OR(A840='F-Ahorro Futuro Decimos'!$H$16,A840=""),"",IF(A840+1&gt;'F-Ahorro Futuro Decimos'!$H$16,'F-Ahorro Futuro Decimos'!$H$16,A840+1))</f>
        <v>839</v>
      </c>
      <c r="B841" s="122">
        <f>IFERROR(IF(DAY($A841)=DAY('F-Ahorro Futuro Decimos'!$H$15),'F-Ahorro Futuro Decimos'!$H$14,0),0)</f>
        <v>0</v>
      </c>
      <c r="C841" s="122">
        <f>IF(A841='F-Ahorro Futuro Decimos'!$H$18,'F-Ahorro Futuro Decimos'!$H$20,0)</f>
        <v>0</v>
      </c>
      <c r="D841" s="122">
        <f t="shared" si="13"/>
        <v>0</v>
      </c>
      <c r="E841" s="121">
        <f>ROUND(D841*'FR_Mantenimiento tasas'!$C$48/360,5)</f>
        <v>0</v>
      </c>
      <c r="F841" s="121">
        <f>ROUND(D841*'FR_Mantenimiento tasas'!$D$48/360,5)</f>
        <v>0</v>
      </c>
    </row>
    <row r="842" spans="1:6">
      <c r="A842" s="123">
        <f>IF(OR(A841='F-Ahorro Futuro Decimos'!$H$16,A841=""),"",IF(A841+1&gt;'F-Ahorro Futuro Decimos'!$H$16,'F-Ahorro Futuro Decimos'!$H$16,A841+1))</f>
        <v>840</v>
      </c>
      <c r="B842" s="122">
        <f>IFERROR(IF(DAY($A842)=DAY('F-Ahorro Futuro Decimos'!$H$15),'F-Ahorro Futuro Decimos'!$H$14,0),0)</f>
        <v>0</v>
      </c>
      <c r="C842" s="122">
        <f>IF(A842='F-Ahorro Futuro Decimos'!$H$18,'F-Ahorro Futuro Decimos'!$H$20,0)</f>
        <v>0</v>
      </c>
      <c r="D842" s="122">
        <f t="shared" si="13"/>
        <v>0</v>
      </c>
      <c r="E842" s="121">
        <f>ROUND(D842*'FR_Mantenimiento tasas'!$C$48/360,5)</f>
        <v>0</v>
      </c>
      <c r="F842" s="121">
        <f>ROUND(D842*'FR_Mantenimiento tasas'!$D$48/360,5)</f>
        <v>0</v>
      </c>
    </row>
    <row r="843" spans="1:6">
      <c r="A843" s="123">
        <f>IF(OR(A842='F-Ahorro Futuro Decimos'!$H$16,A842=""),"",IF(A842+1&gt;'F-Ahorro Futuro Decimos'!$H$16,'F-Ahorro Futuro Decimos'!$H$16,A842+1))</f>
        <v>841</v>
      </c>
      <c r="B843" s="122">
        <f>IFERROR(IF(DAY($A843)=DAY('F-Ahorro Futuro Decimos'!$H$15),'F-Ahorro Futuro Decimos'!$H$14,0),0)</f>
        <v>0</v>
      </c>
      <c r="C843" s="122">
        <f>IF(A843='F-Ahorro Futuro Decimos'!$H$18,'F-Ahorro Futuro Decimos'!$H$20,0)</f>
        <v>0</v>
      </c>
      <c r="D843" s="122">
        <f t="shared" si="13"/>
        <v>0</v>
      </c>
      <c r="E843" s="121">
        <f>ROUND(D843*'FR_Mantenimiento tasas'!$C$48/360,5)</f>
        <v>0</v>
      </c>
      <c r="F843" s="121">
        <f>ROUND(D843*'FR_Mantenimiento tasas'!$D$48/360,5)</f>
        <v>0</v>
      </c>
    </row>
    <row r="844" spans="1:6">
      <c r="A844" s="123">
        <f>IF(OR(A843='F-Ahorro Futuro Decimos'!$H$16,A843=""),"",IF(A843+1&gt;'F-Ahorro Futuro Decimos'!$H$16,'F-Ahorro Futuro Decimos'!$H$16,A843+1))</f>
        <v>842</v>
      </c>
      <c r="B844" s="122">
        <f>IFERROR(IF(DAY($A844)=DAY('F-Ahorro Futuro Decimos'!$H$15),'F-Ahorro Futuro Decimos'!$H$14,0),0)</f>
        <v>0</v>
      </c>
      <c r="C844" s="122">
        <f>IF(A844='F-Ahorro Futuro Decimos'!$H$18,'F-Ahorro Futuro Decimos'!$H$20,0)</f>
        <v>0</v>
      </c>
      <c r="D844" s="122">
        <f t="shared" si="13"/>
        <v>0</v>
      </c>
      <c r="E844" s="121">
        <f>ROUND(D844*'FR_Mantenimiento tasas'!$C$48/360,5)</f>
        <v>0</v>
      </c>
      <c r="F844" s="121">
        <f>ROUND(D844*'FR_Mantenimiento tasas'!$D$48/360,5)</f>
        <v>0</v>
      </c>
    </row>
    <row r="845" spans="1:6">
      <c r="A845" s="123">
        <f>IF(OR(A844='F-Ahorro Futuro Decimos'!$H$16,A844=""),"",IF(A844+1&gt;'F-Ahorro Futuro Decimos'!$H$16,'F-Ahorro Futuro Decimos'!$H$16,A844+1))</f>
        <v>843</v>
      </c>
      <c r="B845" s="122">
        <f>IFERROR(IF(DAY($A845)=DAY('F-Ahorro Futuro Decimos'!$H$15),'F-Ahorro Futuro Decimos'!$H$14,0),0)</f>
        <v>0</v>
      </c>
      <c r="C845" s="122">
        <f>IF(A845='F-Ahorro Futuro Decimos'!$H$18,'F-Ahorro Futuro Decimos'!$H$20,0)</f>
        <v>0</v>
      </c>
      <c r="D845" s="122">
        <f t="shared" si="13"/>
        <v>0</v>
      </c>
      <c r="E845" s="121">
        <f>ROUND(D845*'FR_Mantenimiento tasas'!$C$48/360,5)</f>
        <v>0</v>
      </c>
      <c r="F845" s="121">
        <f>ROUND(D845*'FR_Mantenimiento tasas'!$D$48/360,5)</f>
        <v>0</v>
      </c>
    </row>
    <row r="846" spans="1:6">
      <c r="A846" s="123">
        <f>IF(OR(A845='F-Ahorro Futuro Decimos'!$H$16,A845=""),"",IF(A845+1&gt;'F-Ahorro Futuro Decimos'!$H$16,'F-Ahorro Futuro Decimos'!$H$16,A845+1))</f>
        <v>844</v>
      </c>
      <c r="B846" s="122">
        <f>IFERROR(IF(DAY($A846)=DAY('F-Ahorro Futuro Decimos'!$H$15),'F-Ahorro Futuro Decimos'!$H$14,0),0)</f>
        <v>0</v>
      </c>
      <c r="C846" s="122">
        <f>IF(A846='F-Ahorro Futuro Decimos'!$H$18,'F-Ahorro Futuro Decimos'!$H$20,0)</f>
        <v>0</v>
      </c>
      <c r="D846" s="122">
        <f t="shared" si="13"/>
        <v>0</v>
      </c>
      <c r="E846" s="121">
        <f>ROUND(D846*'FR_Mantenimiento tasas'!$C$48/360,5)</f>
        <v>0</v>
      </c>
      <c r="F846" s="121">
        <f>ROUND(D846*'FR_Mantenimiento tasas'!$D$48/360,5)</f>
        <v>0</v>
      </c>
    </row>
    <row r="847" spans="1:6">
      <c r="A847" s="123">
        <f>IF(OR(A846='F-Ahorro Futuro Decimos'!$H$16,A846=""),"",IF(A846+1&gt;'F-Ahorro Futuro Decimos'!$H$16,'F-Ahorro Futuro Decimos'!$H$16,A846+1))</f>
        <v>845</v>
      </c>
      <c r="B847" s="122">
        <f>IFERROR(IF(DAY($A847)=DAY('F-Ahorro Futuro Decimos'!$H$15),'F-Ahorro Futuro Decimos'!$H$14,0),0)</f>
        <v>0</v>
      </c>
      <c r="C847" s="122">
        <f>IF(A847='F-Ahorro Futuro Decimos'!$H$18,'F-Ahorro Futuro Decimos'!$H$20,0)</f>
        <v>0</v>
      </c>
      <c r="D847" s="122">
        <f t="shared" si="13"/>
        <v>0</v>
      </c>
      <c r="E847" s="121">
        <f>ROUND(D847*'FR_Mantenimiento tasas'!$C$48/360,5)</f>
        <v>0</v>
      </c>
      <c r="F847" s="121">
        <f>ROUND(D847*'FR_Mantenimiento tasas'!$D$48/360,5)</f>
        <v>0</v>
      </c>
    </row>
    <row r="848" spans="1:6">
      <c r="A848" s="123">
        <f>IF(OR(A847='F-Ahorro Futuro Decimos'!$H$16,A847=""),"",IF(A847+1&gt;'F-Ahorro Futuro Decimos'!$H$16,'F-Ahorro Futuro Decimos'!$H$16,A847+1))</f>
        <v>846</v>
      </c>
      <c r="B848" s="122">
        <f>IFERROR(IF(DAY($A848)=DAY('F-Ahorro Futuro Decimos'!$H$15),'F-Ahorro Futuro Decimos'!$H$14,0),0)</f>
        <v>0</v>
      </c>
      <c r="C848" s="122">
        <f>IF(A848='F-Ahorro Futuro Decimos'!$H$18,'F-Ahorro Futuro Decimos'!$H$20,0)</f>
        <v>0</v>
      </c>
      <c r="D848" s="122">
        <f t="shared" si="13"/>
        <v>0</v>
      </c>
      <c r="E848" s="121">
        <f>ROUND(D848*'FR_Mantenimiento tasas'!$C$48/360,5)</f>
        <v>0</v>
      </c>
      <c r="F848" s="121">
        <f>ROUND(D848*'FR_Mantenimiento tasas'!$D$48/360,5)</f>
        <v>0</v>
      </c>
    </row>
    <row r="849" spans="1:6">
      <c r="A849" s="123">
        <f>IF(OR(A848='F-Ahorro Futuro Decimos'!$H$16,A848=""),"",IF(A848+1&gt;'F-Ahorro Futuro Decimos'!$H$16,'F-Ahorro Futuro Decimos'!$H$16,A848+1))</f>
        <v>847</v>
      </c>
      <c r="B849" s="122">
        <f>IFERROR(IF(DAY($A849)=DAY('F-Ahorro Futuro Decimos'!$H$15),'F-Ahorro Futuro Decimos'!$H$14,0),0)</f>
        <v>0</v>
      </c>
      <c r="C849" s="122">
        <f>IF(A849='F-Ahorro Futuro Decimos'!$H$18,'F-Ahorro Futuro Decimos'!$H$20,0)</f>
        <v>0</v>
      </c>
      <c r="D849" s="122">
        <f t="shared" si="13"/>
        <v>0</v>
      </c>
      <c r="E849" s="121">
        <f>ROUND(D849*'FR_Mantenimiento tasas'!$C$48/360,5)</f>
        <v>0</v>
      </c>
      <c r="F849" s="121">
        <f>ROUND(D849*'FR_Mantenimiento tasas'!$D$48/360,5)</f>
        <v>0</v>
      </c>
    </row>
    <row r="850" spans="1:6">
      <c r="A850" s="123">
        <f>IF(OR(A849='F-Ahorro Futuro Decimos'!$H$16,A849=""),"",IF(A849+1&gt;'F-Ahorro Futuro Decimos'!$H$16,'F-Ahorro Futuro Decimos'!$H$16,A849+1))</f>
        <v>848</v>
      </c>
      <c r="B850" s="122">
        <f>IFERROR(IF(DAY($A850)=DAY('F-Ahorro Futuro Decimos'!$H$15),'F-Ahorro Futuro Decimos'!$H$14,0),0)</f>
        <v>0</v>
      </c>
      <c r="C850" s="122">
        <f>IF(A850='F-Ahorro Futuro Decimos'!$H$18,'F-Ahorro Futuro Decimos'!$H$20,0)</f>
        <v>0</v>
      </c>
      <c r="D850" s="122">
        <f t="shared" si="13"/>
        <v>0</v>
      </c>
      <c r="E850" s="121">
        <f>ROUND(D850*'FR_Mantenimiento tasas'!$C$48/360,5)</f>
        <v>0</v>
      </c>
      <c r="F850" s="121">
        <f>ROUND(D850*'FR_Mantenimiento tasas'!$D$48/360,5)</f>
        <v>0</v>
      </c>
    </row>
    <row r="851" spans="1:6">
      <c r="A851" s="123">
        <f>IF(OR(A850='F-Ahorro Futuro Decimos'!$H$16,A850=""),"",IF(A850+1&gt;'F-Ahorro Futuro Decimos'!$H$16,'F-Ahorro Futuro Decimos'!$H$16,A850+1))</f>
        <v>849</v>
      </c>
      <c r="B851" s="122">
        <f>IFERROR(IF(DAY($A851)=DAY('F-Ahorro Futuro Decimos'!$H$15),'F-Ahorro Futuro Decimos'!$H$14,0),0)</f>
        <v>0</v>
      </c>
      <c r="C851" s="122">
        <f>IF(A851='F-Ahorro Futuro Decimos'!$H$18,'F-Ahorro Futuro Decimos'!$H$20,0)</f>
        <v>0</v>
      </c>
      <c r="D851" s="122">
        <f t="shared" si="13"/>
        <v>0</v>
      </c>
      <c r="E851" s="121">
        <f>ROUND(D851*'FR_Mantenimiento tasas'!$C$48/360,5)</f>
        <v>0</v>
      </c>
      <c r="F851" s="121">
        <f>ROUND(D851*'FR_Mantenimiento tasas'!$D$48/360,5)</f>
        <v>0</v>
      </c>
    </row>
    <row r="852" spans="1:6">
      <c r="A852" s="123">
        <f>IF(OR(A851='F-Ahorro Futuro Decimos'!$H$16,A851=""),"",IF(A851+1&gt;'F-Ahorro Futuro Decimos'!$H$16,'F-Ahorro Futuro Decimos'!$H$16,A851+1))</f>
        <v>850</v>
      </c>
      <c r="B852" s="122">
        <f>IFERROR(IF(DAY($A852)=DAY('F-Ahorro Futuro Decimos'!$H$15),'F-Ahorro Futuro Decimos'!$H$14,0),0)</f>
        <v>0</v>
      </c>
      <c r="C852" s="122">
        <f>IF(A852='F-Ahorro Futuro Decimos'!$H$18,'F-Ahorro Futuro Decimos'!$H$20,0)</f>
        <v>0</v>
      </c>
      <c r="D852" s="122">
        <f t="shared" si="13"/>
        <v>0</v>
      </c>
      <c r="E852" s="121">
        <f>ROUND(D852*'FR_Mantenimiento tasas'!$C$48/360,5)</f>
        <v>0</v>
      </c>
      <c r="F852" s="121">
        <f>ROUND(D852*'FR_Mantenimiento tasas'!$D$48/360,5)</f>
        <v>0</v>
      </c>
    </row>
    <row r="853" spans="1:6">
      <c r="A853" s="123">
        <f>IF(OR(A852='F-Ahorro Futuro Decimos'!$H$16,A852=""),"",IF(A852+1&gt;'F-Ahorro Futuro Decimos'!$H$16,'F-Ahorro Futuro Decimos'!$H$16,A852+1))</f>
        <v>851</v>
      </c>
      <c r="B853" s="122">
        <f>IFERROR(IF(DAY($A853)=DAY('F-Ahorro Futuro Decimos'!$H$15),'F-Ahorro Futuro Decimos'!$H$14,0),0)</f>
        <v>0</v>
      </c>
      <c r="C853" s="122">
        <f>IF(A853='F-Ahorro Futuro Decimos'!$H$18,'F-Ahorro Futuro Decimos'!$H$20,0)</f>
        <v>0</v>
      </c>
      <c r="D853" s="122">
        <f t="shared" si="13"/>
        <v>0</v>
      </c>
      <c r="E853" s="121">
        <f>ROUND(D853*'FR_Mantenimiento tasas'!$C$48/360,5)</f>
        <v>0</v>
      </c>
      <c r="F853" s="121">
        <f>ROUND(D853*'FR_Mantenimiento tasas'!$D$48/360,5)</f>
        <v>0</v>
      </c>
    </row>
    <row r="854" spans="1:6">
      <c r="A854" s="123">
        <f>IF(OR(A853='F-Ahorro Futuro Decimos'!$H$16,A853=""),"",IF(A853+1&gt;'F-Ahorro Futuro Decimos'!$H$16,'F-Ahorro Futuro Decimos'!$H$16,A853+1))</f>
        <v>852</v>
      </c>
      <c r="B854" s="122">
        <f>IFERROR(IF(DAY($A854)=DAY('F-Ahorro Futuro Decimos'!$H$15),'F-Ahorro Futuro Decimos'!$H$14,0),0)</f>
        <v>0</v>
      </c>
      <c r="C854" s="122">
        <f>IF(A854='F-Ahorro Futuro Decimos'!$H$18,'F-Ahorro Futuro Decimos'!$H$20,0)</f>
        <v>0</v>
      </c>
      <c r="D854" s="122">
        <f t="shared" si="13"/>
        <v>0</v>
      </c>
      <c r="E854" s="121">
        <f>ROUND(D854*'FR_Mantenimiento tasas'!$C$48/360,5)</f>
        <v>0</v>
      </c>
      <c r="F854" s="121">
        <f>ROUND(D854*'FR_Mantenimiento tasas'!$D$48/360,5)</f>
        <v>0</v>
      </c>
    </row>
    <row r="855" spans="1:6">
      <c r="A855" s="123">
        <f>IF(OR(A854='F-Ahorro Futuro Decimos'!$H$16,A854=""),"",IF(A854+1&gt;'F-Ahorro Futuro Decimos'!$H$16,'F-Ahorro Futuro Decimos'!$H$16,A854+1))</f>
        <v>853</v>
      </c>
      <c r="B855" s="122">
        <f>IFERROR(IF(DAY($A855)=DAY('F-Ahorro Futuro Decimos'!$H$15),'F-Ahorro Futuro Decimos'!$H$14,0),0)</f>
        <v>0</v>
      </c>
      <c r="C855" s="122">
        <f>IF(A855='F-Ahorro Futuro Decimos'!$H$18,'F-Ahorro Futuro Decimos'!$H$20,0)</f>
        <v>0</v>
      </c>
      <c r="D855" s="122">
        <f t="shared" si="13"/>
        <v>0</v>
      </c>
      <c r="E855" s="121">
        <f>ROUND(D855*'FR_Mantenimiento tasas'!$C$48/360,5)</f>
        <v>0</v>
      </c>
      <c r="F855" s="121">
        <f>ROUND(D855*'FR_Mantenimiento tasas'!$D$48/360,5)</f>
        <v>0</v>
      </c>
    </row>
    <row r="856" spans="1:6">
      <c r="A856" s="123">
        <f>IF(OR(A855='F-Ahorro Futuro Decimos'!$H$16,A855=""),"",IF(A855+1&gt;'F-Ahorro Futuro Decimos'!$H$16,'F-Ahorro Futuro Decimos'!$H$16,A855+1))</f>
        <v>854</v>
      </c>
      <c r="B856" s="122">
        <f>IFERROR(IF(DAY($A856)=DAY('F-Ahorro Futuro Decimos'!$H$15),'F-Ahorro Futuro Decimos'!$H$14,0),0)</f>
        <v>0</v>
      </c>
      <c r="C856" s="122">
        <f>IF(A856='F-Ahorro Futuro Decimos'!$H$18,'F-Ahorro Futuro Decimos'!$H$20,0)</f>
        <v>0</v>
      </c>
      <c r="D856" s="122">
        <f t="shared" si="13"/>
        <v>0</v>
      </c>
      <c r="E856" s="121">
        <f>ROUND(D856*'FR_Mantenimiento tasas'!$C$48/360,5)</f>
        <v>0</v>
      </c>
      <c r="F856" s="121">
        <f>ROUND(D856*'FR_Mantenimiento tasas'!$D$48/360,5)</f>
        <v>0</v>
      </c>
    </row>
    <row r="857" spans="1:6">
      <c r="A857" s="123">
        <f>IF(OR(A856='F-Ahorro Futuro Decimos'!$H$16,A856=""),"",IF(A856+1&gt;'F-Ahorro Futuro Decimos'!$H$16,'F-Ahorro Futuro Decimos'!$H$16,A856+1))</f>
        <v>855</v>
      </c>
      <c r="B857" s="122">
        <f>IFERROR(IF(DAY($A857)=DAY('F-Ahorro Futuro Decimos'!$H$15),'F-Ahorro Futuro Decimos'!$H$14,0),0)</f>
        <v>0</v>
      </c>
      <c r="C857" s="122">
        <f>IF(A857='F-Ahorro Futuro Decimos'!$H$18,'F-Ahorro Futuro Decimos'!$H$20,0)</f>
        <v>0</v>
      </c>
      <c r="D857" s="122">
        <f t="shared" si="13"/>
        <v>0</v>
      </c>
      <c r="E857" s="121">
        <f>ROUND(D857*'FR_Mantenimiento tasas'!$C$48/360,5)</f>
        <v>0</v>
      </c>
      <c r="F857" s="121">
        <f>ROUND(D857*'FR_Mantenimiento tasas'!$D$48/360,5)</f>
        <v>0</v>
      </c>
    </row>
    <row r="858" spans="1:6">
      <c r="A858" s="123">
        <f>IF(OR(A857='F-Ahorro Futuro Decimos'!$H$16,A857=""),"",IF(A857+1&gt;'F-Ahorro Futuro Decimos'!$H$16,'F-Ahorro Futuro Decimos'!$H$16,A857+1))</f>
        <v>856</v>
      </c>
      <c r="B858" s="122">
        <f>IFERROR(IF(DAY($A858)=DAY('F-Ahorro Futuro Decimos'!$H$15),'F-Ahorro Futuro Decimos'!$H$14,0),0)</f>
        <v>0</v>
      </c>
      <c r="C858" s="122">
        <f>IF(A858='F-Ahorro Futuro Decimos'!$H$18,'F-Ahorro Futuro Decimos'!$H$20,0)</f>
        <v>0</v>
      </c>
      <c r="D858" s="122">
        <f t="shared" si="13"/>
        <v>0</v>
      </c>
      <c r="E858" s="121">
        <f>ROUND(D858*'FR_Mantenimiento tasas'!$C$48/360,5)</f>
        <v>0</v>
      </c>
      <c r="F858" s="121">
        <f>ROUND(D858*'FR_Mantenimiento tasas'!$D$48/360,5)</f>
        <v>0</v>
      </c>
    </row>
    <row r="859" spans="1:6">
      <c r="A859" s="123">
        <f>IF(OR(A858='F-Ahorro Futuro Decimos'!$H$16,A858=""),"",IF(A858+1&gt;'F-Ahorro Futuro Decimos'!$H$16,'F-Ahorro Futuro Decimos'!$H$16,A858+1))</f>
        <v>857</v>
      </c>
      <c r="B859" s="122">
        <f>IFERROR(IF(DAY($A859)=DAY('F-Ahorro Futuro Decimos'!$H$15),'F-Ahorro Futuro Decimos'!$H$14,0),0)</f>
        <v>0</v>
      </c>
      <c r="C859" s="122">
        <f>IF(A859='F-Ahorro Futuro Decimos'!$H$18,'F-Ahorro Futuro Decimos'!$H$20,0)</f>
        <v>0</v>
      </c>
      <c r="D859" s="122">
        <f t="shared" si="13"/>
        <v>0</v>
      </c>
      <c r="E859" s="121">
        <f>ROUND(D859*'FR_Mantenimiento tasas'!$C$48/360,5)</f>
        <v>0</v>
      </c>
      <c r="F859" s="121">
        <f>ROUND(D859*'FR_Mantenimiento tasas'!$D$48/360,5)</f>
        <v>0</v>
      </c>
    </row>
    <row r="860" spans="1:6">
      <c r="A860" s="123">
        <f>IF(OR(A859='F-Ahorro Futuro Decimos'!$H$16,A859=""),"",IF(A859+1&gt;'F-Ahorro Futuro Decimos'!$H$16,'F-Ahorro Futuro Decimos'!$H$16,A859+1))</f>
        <v>858</v>
      </c>
      <c r="B860" s="122">
        <f>IFERROR(IF(DAY($A860)=DAY('F-Ahorro Futuro Decimos'!$H$15),'F-Ahorro Futuro Decimos'!$H$14,0),0)</f>
        <v>0</v>
      </c>
      <c r="C860" s="122">
        <f>IF(A860='F-Ahorro Futuro Decimos'!$H$18,'F-Ahorro Futuro Decimos'!$H$20,0)</f>
        <v>0</v>
      </c>
      <c r="D860" s="122">
        <f t="shared" si="13"/>
        <v>0</v>
      </c>
      <c r="E860" s="121">
        <f>ROUND(D860*'FR_Mantenimiento tasas'!$C$48/360,5)</f>
        <v>0</v>
      </c>
      <c r="F860" s="121">
        <f>ROUND(D860*'FR_Mantenimiento tasas'!$D$48/360,5)</f>
        <v>0</v>
      </c>
    </row>
    <row r="861" spans="1:6">
      <c r="A861" s="123">
        <f>IF(OR(A860='F-Ahorro Futuro Decimos'!$H$16,A860=""),"",IF(A860+1&gt;'F-Ahorro Futuro Decimos'!$H$16,'F-Ahorro Futuro Decimos'!$H$16,A860+1))</f>
        <v>859</v>
      </c>
      <c r="B861" s="122">
        <f>IFERROR(IF(DAY($A861)=DAY('F-Ahorro Futuro Decimos'!$H$15),'F-Ahorro Futuro Decimos'!$H$14,0),0)</f>
        <v>0</v>
      </c>
      <c r="C861" s="122">
        <f>IF(A861='F-Ahorro Futuro Decimos'!$H$18,'F-Ahorro Futuro Decimos'!$H$20,0)</f>
        <v>0</v>
      </c>
      <c r="D861" s="122">
        <f t="shared" si="13"/>
        <v>0</v>
      </c>
      <c r="E861" s="121">
        <f>ROUND(D861*'FR_Mantenimiento tasas'!$C$48/360,5)</f>
        <v>0</v>
      </c>
      <c r="F861" s="121">
        <f>ROUND(D861*'FR_Mantenimiento tasas'!$D$48/360,5)</f>
        <v>0</v>
      </c>
    </row>
    <row r="862" spans="1:6">
      <c r="A862" s="123">
        <f>IF(OR(A861='F-Ahorro Futuro Decimos'!$H$16,A861=""),"",IF(A861+1&gt;'F-Ahorro Futuro Decimos'!$H$16,'F-Ahorro Futuro Decimos'!$H$16,A861+1))</f>
        <v>860</v>
      </c>
      <c r="B862" s="122">
        <f>IFERROR(IF(DAY($A862)=DAY('F-Ahorro Futuro Decimos'!$H$15),'F-Ahorro Futuro Decimos'!$H$14,0),0)</f>
        <v>0</v>
      </c>
      <c r="C862" s="122">
        <f>IF(A862='F-Ahorro Futuro Decimos'!$H$18,'F-Ahorro Futuro Decimos'!$H$20,0)</f>
        <v>0</v>
      </c>
      <c r="D862" s="122">
        <f t="shared" si="13"/>
        <v>0</v>
      </c>
      <c r="E862" s="121">
        <f>ROUND(D862*'FR_Mantenimiento tasas'!$C$48/360,5)</f>
        <v>0</v>
      </c>
      <c r="F862" s="121">
        <f>ROUND(D862*'FR_Mantenimiento tasas'!$D$48/360,5)</f>
        <v>0</v>
      </c>
    </row>
    <row r="863" spans="1:6">
      <c r="A863" s="123">
        <f>IF(OR(A862='F-Ahorro Futuro Decimos'!$H$16,A862=""),"",IF(A862+1&gt;'F-Ahorro Futuro Decimos'!$H$16,'F-Ahorro Futuro Decimos'!$H$16,A862+1))</f>
        <v>861</v>
      </c>
      <c r="B863" s="122">
        <f>IFERROR(IF(DAY($A863)=DAY('F-Ahorro Futuro Decimos'!$H$15),'F-Ahorro Futuro Decimos'!$H$14,0),0)</f>
        <v>0</v>
      </c>
      <c r="C863" s="122">
        <f>IF(A863='F-Ahorro Futuro Decimos'!$H$18,'F-Ahorro Futuro Decimos'!$H$20,0)</f>
        <v>0</v>
      </c>
      <c r="D863" s="122">
        <f t="shared" si="13"/>
        <v>0</v>
      </c>
      <c r="E863" s="121">
        <f>ROUND(D863*'FR_Mantenimiento tasas'!$C$48/360,5)</f>
        <v>0</v>
      </c>
      <c r="F863" s="121">
        <f>ROUND(D863*'FR_Mantenimiento tasas'!$D$48/360,5)</f>
        <v>0</v>
      </c>
    </row>
    <row r="864" spans="1:6">
      <c r="A864" s="123">
        <f>IF(OR(A863='F-Ahorro Futuro Decimos'!$H$16,A863=""),"",IF(A863+1&gt;'F-Ahorro Futuro Decimos'!$H$16,'F-Ahorro Futuro Decimos'!$H$16,A863+1))</f>
        <v>862</v>
      </c>
      <c r="B864" s="122">
        <f>IFERROR(IF(DAY($A864)=DAY('F-Ahorro Futuro Decimos'!$H$15),'F-Ahorro Futuro Decimos'!$H$14,0),0)</f>
        <v>0</v>
      </c>
      <c r="C864" s="122">
        <f>IF(A864='F-Ahorro Futuro Decimos'!$H$18,'F-Ahorro Futuro Decimos'!$H$20,0)</f>
        <v>0</v>
      </c>
      <c r="D864" s="122">
        <f t="shared" si="13"/>
        <v>0</v>
      </c>
      <c r="E864" s="121">
        <f>ROUND(D864*'FR_Mantenimiento tasas'!$C$48/360,5)</f>
        <v>0</v>
      </c>
      <c r="F864" s="121">
        <f>ROUND(D864*'FR_Mantenimiento tasas'!$D$48/360,5)</f>
        <v>0</v>
      </c>
    </row>
    <row r="865" spans="1:6">
      <c r="A865" s="123">
        <f>IF(OR(A864='F-Ahorro Futuro Decimos'!$H$16,A864=""),"",IF(A864+1&gt;'F-Ahorro Futuro Decimos'!$H$16,'F-Ahorro Futuro Decimos'!$H$16,A864+1))</f>
        <v>863</v>
      </c>
      <c r="B865" s="122">
        <f>IFERROR(IF(DAY($A865)=DAY('F-Ahorro Futuro Decimos'!$H$15),'F-Ahorro Futuro Decimos'!$H$14,0),0)</f>
        <v>0</v>
      </c>
      <c r="C865" s="122">
        <f>IF(A865='F-Ahorro Futuro Decimos'!$H$18,'F-Ahorro Futuro Decimos'!$H$20,0)</f>
        <v>0</v>
      </c>
      <c r="D865" s="122">
        <f t="shared" si="13"/>
        <v>0</v>
      </c>
      <c r="E865" s="121">
        <f>ROUND(D865*'FR_Mantenimiento tasas'!$C$48/360,5)</f>
        <v>0</v>
      </c>
      <c r="F865" s="121">
        <f>ROUND(D865*'FR_Mantenimiento tasas'!$D$48/360,5)</f>
        <v>0</v>
      </c>
    </row>
    <row r="866" spans="1:6">
      <c r="A866" s="123">
        <f>IF(OR(A865='F-Ahorro Futuro Decimos'!$H$16,A865=""),"",IF(A865+1&gt;'F-Ahorro Futuro Decimos'!$H$16,'F-Ahorro Futuro Decimos'!$H$16,A865+1))</f>
        <v>864</v>
      </c>
      <c r="B866" s="122">
        <f>IFERROR(IF(DAY($A866)=DAY('F-Ahorro Futuro Decimos'!$H$15),'F-Ahorro Futuro Decimos'!$H$14,0),0)</f>
        <v>0</v>
      </c>
      <c r="C866" s="122">
        <f>IF(A866='F-Ahorro Futuro Decimos'!$H$18,'F-Ahorro Futuro Decimos'!$H$20,0)</f>
        <v>0</v>
      </c>
      <c r="D866" s="122">
        <f t="shared" si="13"/>
        <v>0</v>
      </c>
      <c r="E866" s="121">
        <f>ROUND(D866*'FR_Mantenimiento tasas'!$C$48/360,5)</f>
        <v>0</v>
      </c>
      <c r="F866" s="121">
        <f>ROUND(D866*'FR_Mantenimiento tasas'!$D$48/360,5)</f>
        <v>0</v>
      </c>
    </row>
    <row r="867" spans="1:6">
      <c r="A867" s="123">
        <f>IF(OR(A866='F-Ahorro Futuro Decimos'!$H$16,A866=""),"",IF(A866+1&gt;'F-Ahorro Futuro Decimos'!$H$16,'F-Ahorro Futuro Decimos'!$H$16,A866+1))</f>
        <v>865</v>
      </c>
      <c r="B867" s="122">
        <f>IFERROR(IF(DAY($A867)=DAY('F-Ahorro Futuro Decimos'!$H$15),'F-Ahorro Futuro Decimos'!$H$14,0),0)</f>
        <v>0</v>
      </c>
      <c r="C867" s="122">
        <f>IF(A867='F-Ahorro Futuro Decimos'!$H$18,'F-Ahorro Futuro Decimos'!$H$20,0)</f>
        <v>0</v>
      </c>
      <c r="D867" s="122">
        <f t="shared" si="13"/>
        <v>0</v>
      </c>
      <c r="E867" s="121">
        <f>ROUND(D867*'FR_Mantenimiento tasas'!$C$48/360,5)</f>
        <v>0</v>
      </c>
      <c r="F867" s="121">
        <f>ROUND(D867*'FR_Mantenimiento tasas'!$D$48/360,5)</f>
        <v>0</v>
      </c>
    </row>
    <row r="868" spans="1:6">
      <c r="A868" s="123">
        <f>IF(OR(A867='F-Ahorro Futuro Decimos'!$H$16,A867=""),"",IF(A867+1&gt;'F-Ahorro Futuro Decimos'!$H$16,'F-Ahorro Futuro Decimos'!$H$16,A867+1))</f>
        <v>866</v>
      </c>
      <c r="B868" s="122">
        <f>IFERROR(IF(DAY($A868)=DAY('F-Ahorro Futuro Decimos'!$H$15),'F-Ahorro Futuro Decimos'!$H$14,0),0)</f>
        <v>0</v>
      </c>
      <c r="C868" s="122">
        <f>IF(A868='F-Ahorro Futuro Decimos'!$H$18,'F-Ahorro Futuro Decimos'!$H$20,0)</f>
        <v>0</v>
      </c>
      <c r="D868" s="122">
        <f t="shared" si="13"/>
        <v>0</v>
      </c>
      <c r="E868" s="121">
        <f>ROUND(D868*'FR_Mantenimiento tasas'!$C$48/360,5)</f>
        <v>0</v>
      </c>
      <c r="F868" s="121">
        <f>ROUND(D868*'FR_Mantenimiento tasas'!$D$48/360,5)</f>
        <v>0</v>
      </c>
    </row>
    <row r="869" spans="1:6">
      <c r="A869" s="123">
        <f>IF(OR(A868='F-Ahorro Futuro Decimos'!$H$16,A868=""),"",IF(A868+1&gt;'F-Ahorro Futuro Decimos'!$H$16,'F-Ahorro Futuro Decimos'!$H$16,A868+1))</f>
        <v>867</v>
      </c>
      <c r="B869" s="122">
        <f>IFERROR(IF(DAY($A869)=DAY('F-Ahorro Futuro Decimos'!$H$15),'F-Ahorro Futuro Decimos'!$H$14,0),0)</f>
        <v>0</v>
      </c>
      <c r="C869" s="122">
        <f>IF(A869='F-Ahorro Futuro Decimos'!$H$18,'F-Ahorro Futuro Decimos'!$H$20,0)</f>
        <v>0</v>
      </c>
      <c r="D869" s="122">
        <f t="shared" si="13"/>
        <v>0</v>
      </c>
      <c r="E869" s="121">
        <f>ROUND(D869*'FR_Mantenimiento tasas'!$C$48/360,5)</f>
        <v>0</v>
      </c>
      <c r="F869" s="121">
        <f>ROUND(D869*'FR_Mantenimiento tasas'!$D$48/360,5)</f>
        <v>0</v>
      </c>
    </row>
    <row r="870" spans="1:6">
      <c r="A870" s="123">
        <f>IF(OR(A869='F-Ahorro Futuro Decimos'!$H$16,A869=""),"",IF(A869+1&gt;'F-Ahorro Futuro Decimos'!$H$16,'F-Ahorro Futuro Decimos'!$H$16,A869+1))</f>
        <v>868</v>
      </c>
      <c r="B870" s="122">
        <f>IFERROR(IF(DAY($A870)=DAY('F-Ahorro Futuro Decimos'!$H$15),'F-Ahorro Futuro Decimos'!$H$14,0),0)</f>
        <v>0</v>
      </c>
      <c r="C870" s="122">
        <f>IF(A870='F-Ahorro Futuro Decimos'!$H$18,'F-Ahorro Futuro Decimos'!$H$20,0)</f>
        <v>0</v>
      </c>
      <c r="D870" s="122">
        <f t="shared" si="13"/>
        <v>0</v>
      </c>
      <c r="E870" s="121">
        <f>ROUND(D870*'FR_Mantenimiento tasas'!$C$48/360,5)</f>
        <v>0</v>
      </c>
      <c r="F870" s="121">
        <f>ROUND(D870*'FR_Mantenimiento tasas'!$D$48/360,5)</f>
        <v>0</v>
      </c>
    </row>
    <row r="871" spans="1:6">
      <c r="A871" s="123">
        <f>IF(OR(A870='F-Ahorro Futuro Decimos'!$H$16,A870=""),"",IF(A870+1&gt;'F-Ahorro Futuro Decimos'!$H$16,'F-Ahorro Futuro Decimos'!$H$16,A870+1))</f>
        <v>869</v>
      </c>
      <c r="B871" s="122">
        <f>IFERROR(IF(DAY($A871)=DAY('F-Ahorro Futuro Decimos'!$H$15),'F-Ahorro Futuro Decimos'!$H$14,0),0)</f>
        <v>0</v>
      </c>
      <c r="C871" s="122">
        <f>IF(A871='F-Ahorro Futuro Decimos'!$H$18,'F-Ahorro Futuro Decimos'!$H$20,0)</f>
        <v>0</v>
      </c>
      <c r="D871" s="122">
        <f t="shared" si="13"/>
        <v>0</v>
      </c>
      <c r="E871" s="121">
        <f>ROUND(D871*'FR_Mantenimiento tasas'!$C$48/360,5)</f>
        <v>0</v>
      </c>
      <c r="F871" s="121">
        <f>ROUND(D871*'FR_Mantenimiento tasas'!$D$48/360,5)</f>
        <v>0</v>
      </c>
    </row>
    <row r="872" spans="1:6">
      <c r="A872" s="123">
        <f>IF(OR(A871='F-Ahorro Futuro Decimos'!$H$16,A871=""),"",IF(A871+1&gt;'F-Ahorro Futuro Decimos'!$H$16,'F-Ahorro Futuro Decimos'!$H$16,A871+1))</f>
        <v>870</v>
      </c>
      <c r="B872" s="122">
        <f>IFERROR(IF(DAY($A872)=DAY('F-Ahorro Futuro Decimos'!$H$15),'F-Ahorro Futuro Decimos'!$H$14,0),0)</f>
        <v>0</v>
      </c>
      <c r="C872" s="122">
        <f>IF(A872='F-Ahorro Futuro Decimos'!$H$18,'F-Ahorro Futuro Decimos'!$H$20,0)</f>
        <v>0</v>
      </c>
      <c r="D872" s="122">
        <f t="shared" si="13"/>
        <v>0</v>
      </c>
      <c r="E872" s="121">
        <f>ROUND(D872*'FR_Mantenimiento tasas'!$C$48/360,5)</f>
        <v>0</v>
      </c>
      <c r="F872" s="121">
        <f>ROUND(D872*'FR_Mantenimiento tasas'!$D$48/360,5)</f>
        <v>0</v>
      </c>
    </row>
    <row r="873" spans="1:6">
      <c r="A873" s="123">
        <f>IF(OR(A872='F-Ahorro Futuro Decimos'!$H$16,A872=""),"",IF(A872+1&gt;'F-Ahorro Futuro Decimos'!$H$16,'F-Ahorro Futuro Decimos'!$H$16,A872+1))</f>
        <v>871</v>
      </c>
      <c r="B873" s="122">
        <f>IFERROR(IF(DAY($A873)=DAY('F-Ahorro Futuro Decimos'!$H$15),'F-Ahorro Futuro Decimos'!$H$14,0),0)</f>
        <v>0</v>
      </c>
      <c r="C873" s="122">
        <f>IF(A873='F-Ahorro Futuro Decimos'!$H$18,'F-Ahorro Futuro Decimos'!$H$20,0)</f>
        <v>0</v>
      </c>
      <c r="D873" s="122">
        <f t="shared" si="13"/>
        <v>0</v>
      </c>
      <c r="E873" s="121">
        <f>ROUND(D873*'FR_Mantenimiento tasas'!$C$48/360,5)</f>
        <v>0</v>
      </c>
      <c r="F873" s="121">
        <f>ROUND(D873*'FR_Mantenimiento tasas'!$D$48/360,5)</f>
        <v>0</v>
      </c>
    </row>
    <row r="874" spans="1:6">
      <c r="A874" s="123">
        <f>IF(OR(A873='F-Ahorro Futuro Decimos'!$H$16,A873=""),"",IF(A873+1&gt;'F-Ahorro Futuro Decimos'!$H$16,'F-Ahorro Futuro Decimos'!$H$16,A873+1))</f>
        <v>872</v>
      </c>
      <c r="B874" s="122">
        <f>IFERROR(IF(DAY($A874)=DAY('F-Ahorro Futuro Decimos'!$H$15),'F-Ahorro Futuro Decimos'!$H$14,0),0)</f>
        <v>0</v>
      </c>
      <c r="C874" s="122">
        <f>IF(A874='F-Ahorro Futuro Decimos'!$H$18,'F-Ahorro Futuro Decimos'!$H$20,0)</f>
        <v>0</v>
      </c>
      <c r="D874" s="122">
        <f t="shared" si="13"/>
        <v>0</v>
      </c>
      <c r="E874" s="121">
        <f>ROUND(D874*'FR_Mantenimiento tasas'!$C$48/360,5)</f>
        <v>0</v>
      </c>
      <c r="F874" s="121">
        <f>ROUND(D874*'FR_Mantenimiento tasas'!$D$48/360,5)</f>
        <v>0</v>
      </c>
    </row>
    <row r="875" spans="1:6">
      <c r="A875" s="123">
        <f>IF(OR(A874='F-Ahorro Futuro Decimos'!$H$16,A874=""),"",IF(A874+1&gt;'F-Ahorro Futuro Decimos'!$H$16,'F-Ahorro Futuro Decimos'!$H$16,A874+1))</f>
        <v>873</v>
      </c>
      <c r="B875" s="122">
        <f>IFERROR(IF(DAY($A875)=DAY('F-Ahorro Futuro Decimos'!$H$15),'F-Ahorro Futuro Decimos'!$H$14,0),0)</f>
        <v>0</v>
      </c>
      <c r="C875" s="122">
        <f>IF(A875='F-Ahorro Futuro Decimos'!$H$18,'F-Ahorro Futuro Decimos'!$H$20,0)</f>
        <v>0</v>
      </c>
      <c r="D875" s="122">
        <f t="shared" si="13"/>
        <v>0</v>
      </c>
      <c r="E875" s="121">
        <f>ROUND(D875*'FR_Mantenimiento tasas'!$C$48/360,5)</f>
        <v>0</v>
      </c>
      <c r="F875" s="121">
        <f>ROUND(D875*'FR_Mantenimiento tasas'!$D$48/360,5)</f>
        <v>0</v>
      </c>
    </row>
    <row r="876" spans="1:6">
      <c r="A876" s="123">
        <f>IF(OR(A875='F-Ahorro Futuro Decimos'!$H$16,A875=""),"",IF(A875+1&gt;'F-Ahorro Futuro Decimos'!$H$16,'F-Ahorro Futuro Decimos'!$H$16,A875+1))</f>
        <v>874</v>
      </c>
      <c r="B876" s="122">
        <f>IFERROR(IF(DAY($A876)=DAY('F-Ahorro Futuro Decimos'!$H$15),'F-Ahorro Futuro Decimos'!$H$14,0),0)</f>
        <v>0</v>
      </c>
      <c r="C876" s="122">
        <f>IF(A876='F-Ahorro Futuro Decimos'!$H$18,'F-Ahorro Futuro Decimos'!$H$20,0)</f>
        <v>0</v>
      </c>
      <c r="D876" s="122">
        <f t="shared" si="13"/>
        <v>0</v>
      </c>
      <c r="E876" s="121">
        <f>ROUND(D876*'FR_Mantenimiento tasas'!$C$48/360,5)</f>
        <v>0</v>
      </c>
      <c r="F876" s="121">
        <f>ROUND(D876*'FR_Mantenimiento tasas'!$D$48/360,5)</f>
        <v>0</v>
      </c>
    </row>
    <row r="877" spans="1:6">
      <c r="A877" s="123">
        <f>IF(OR(A876='F-Ahorro Futuro Decimos'!$H$16,A876=""),"",IF(A876+1&gt;'F-Ahorro Futuro Decimos'!$H$16,'F-Ahorro Futuro Decimos'!$H$16,A876+1))</f>
        <v>875</v>
      </c>
      <c r="B877" s="122">
        <f>IFERROR(IF(DAY($A877)=DAY('F-Ahorro Futuro Decimos'!$H$15),'F-Ahorro Futuro Decimos'!$H$14,0),0)</f>
        <v>0</v>
      </c>
      <c r="C877" s="122">
        <f>IF(A877='F-Ahorro Futuro Decimos'!$H$18,'F-Ahorro Futuro Decimos'!$H$20,0)</f>
        <v>0</v>
      </c>
      <c r="D877" s="122">
        <f t="shared" si="13"/>
        <v>0</v>
      </c>
      <c r="E877" s="121">
        <f>ROUND(D877*'FR_Mantenimiento tasas'!$C$48/360,5)</f>
        <v>0</v>
      </c>
      <c r="F877" s="121">
        <f>ROUND(D877*'FR_Mantenimiento tasas'!$D$48/360,5)</f>
        <v>0</v>
      </c>
    </row>
    <row r="878" spans="1:6">
      <c r="A878" s="123">
        <f>IF(OR(A877='F-Ahorro Futuro Decimos'!$H$16,A877=""),"",IF(A877+1&gt;'F-Ahorro Futuro Decimos'!$H$16,'F-Ahorro Futuro Decimos'!$H$16,A877+1))</f>
        <v>876</v>
      </c>
      <c r="B878" s="122">
        <f>IFERROR(IF(DAY($A878)=DAY('F-Ahorro Futuro Decimos'!$H$15),'F-Ahorro Futuro Decimos'!$H$14,0),0)</f>
        <v>0</v>
      </c>
      <c r="C878" s="122">
        <f>IF(A878='F-Ahorro Futuro Decimos'!$H$18,'F-Ahorro Futuro Decimos'!$H$20,0)</f>
        <v>0</v>
      </c>
      <c r="D878" s="122">
        <f t="shared" si="13"/>
        <v>0</v>
      </c>
      <c r="E878" s="121">
        <f>ROUND(D878*'FR_Mantenimiento tasas'!$C$48/360,5)</f>
        <v>0</v>
      </c>
      <c r="F878" s="121">
        <f>ROUND(D878*'FR_Mantenimiento tasas'!$D$48/360,5)</f>
        <v>0</v>
      </c>
    </row>
    <row r="879" spans="1:6">
      <c r="A879" s="123">
        <f>IF(OR(A878='F-Ahorro Futuro Decimos'!$H$16,A878=""),"",IF(A878+1&gt;'F-Ahorro Futuro Decimos'!$H$16,'F-Ahorro Futuro Decimos'!$H$16,A878+1))</f>
        <v>877</v>
      </c>
      <c r="B879" s="122">
        <f>IFERROR(IF(DAY($A879)=DAY('F-Ahorro Futuro Decimos'!$H$15),'F-Ahorro Futuro Decimos'!$H$14,0),0)</f>
        <v>0</v>
      </c>
      <c r="C879" s="122">
        <f>IF(A879='F-Ahorro Futuro Decimos'!$H$18,'F-Ahorro Futuro Decimos'!$H$20,0)</f>
        <v>0</v>
      </c>
      <c r="D879" s="122">
        <f t="shared" si="13"/>
        <v>0</v>
      </c>
      <c r="E879" s="121">
        <f>ROUND(D879*'FR_Mantenimiento tasas'!$C$48/360,5)</f>
        <v>0</v>
      </c>
      <c r="F879" s="121">
        <f>ROUND(D879*'FR_Mantenimiento tasas'!$D$48/360,5)</f>
        <v>0</v>
      </c>
    </row>
    <row r="880" spans="1:6">
      <c r="A880" s="123">
        <f>IF(OR(A879='F-Ahorro Futuro Decimos'!$H$16,A879=""),"",IF(A879+1&gt;'F-Ahorro Futuro Decimos'!$H$16,'F-Ahorro Futuro Decimos'!$H$16,A879+1))</f>
        <v>878</v>
      </c>
      <c r="B880" s="122">
        <f>IFERROR(IF(DAY($A880)=DAY('F-Ahorro Futuro Decimos'!$H$15),'F-Ahorro Futuro Decimos'!$H$14,0),0)</f>
        <v>0</v>
      </c>
      <c r="C880" s="122">
        <f>IF(A880='F-Ahorro Futuro Decimos'!$H$18,'F-Ahorro Futuro Decimos'!$H$20,0)</f>
        <v>0</v>
      </c>
      <c r="D880" s="122">
        <f t="shared" si="13"/>
        <v>0</v>
      </c>
      <c r="E880" s="121">
        <f>ROUND(D880*'FR_Mantenimiento tasas'!$C$48/360,5)</f>
        <v>0</v>
      </c>
      <c r="F880" s="121">
        <f>ROUND(D880*'FR_Mantenimiento tasas'!$D$48/360,5)</f>
        <v>0</v>
      </c>
    </row>
    <row r="881" spans="1:6">
      <c r="A881" s="123">
        <f>IF(OR(A880='F-Ahorro Futuro Decimos'!$H$16,A880=""),"",IF(A880+1&gt;'F-Ahorro Futuro Decimos'!$H$16,'F-Ahorro Futuro Decimos'!$H$16,A880+1))</f>
        <v>879</v>
      </c>
      <c r="B881" s="122">
        <f>IFERROR(IF(DAY($A881)=DAY('F-Ahorro Futuro Decimos'!$H$15),'F-Ahorro Futuro Decimos'!$H$14,0),0)</f>
        <v>0</v>
      </c>
      <c r="C881" s="122">
        <f>IF(A881='F-Ahorro Futuro Decimos'!$H$18,'F-Ahorro Futuro Decimos'!$H$20,0)</f>
        <v>0</v>
      </c>
      <c r="D881" s="122">
        <f t="shared" si="13"/>
        <v>0</v>
      </c>
      <c r="E881" s="121">
        <f>ROUND(D881*'FR_Mantenimiento tasas'!$C$48/360,5)</f>
        <v>0</v>
      </c>
      <c r="F881" s="121">
        <f>ROUND(D881*'FR_Mantenimiento tasas'!$D$48/360,5)</f>
        <v>0</v>
      </c>
    </row>
    <row r="882" spans="1:6">
      <c r="A882" s="123">
        <f>IF(OR(A881='F-Ahorro Futuro Decimos'!$H$16,A881=""),"",IF(A881+1&gt;'F-Ahorro Futuro Decimos'!$H$16,'F-Ahorro Futuro Decimos'!$H$16,A881+1))</f>
        <v>880</v>
      </c>
      <c r="B882" s="122">
        <f>IFERROR(IF(DAY($A882)=DAY('F-Ahorro Futuro Decimos'!$H$15),'F-Ahorro Futuro Decimos'!$H$14,0),0)</f>
        <v>0</v>
      </c>
      <c r="C882" s="122">
        <f>IF(A882='F-Ahorro Futuro Decimos'!$H$18,'F-Ahorro Futuro Decimos'!$H$20,0)</f>
        <v>0</v>
      </c>
      <c r="D882" s="122">
        <f t="shared" si="13"/>
        <v>0</v>
      </c>
      <c r="E882" s="121">
        <f>ROUND(D882*'FR_Mantenimiento tasas'!$C$48/360,5)</f>
        <v>0</v>
      </c>
      <c r="F882" s="121">
        <f>ROUND(D882*'FR_Mantenimiento tasas'!$D$48/360,5)</f>
        <v>0</v>
      </c>
    </row>
    <row r="883" spans="1:6">
      <c r="A883" s="123">
        <f>IF(OR(A882='F-Ahorro Futuro Decimos'!$H$16,A882=""),"",IF(A882+1&gt;'F-Ahorro Futuro Decimos'!$H$16,'F-Ahorro Futuro Decimos'!$H$16,A882+1))</f>
        <v>881</v>
      </c>
      <c r="B883" s="122">
        <f>IFERROR(IF(DAY($A883)=DAY('F-Ahorro Futuro Decimos'!$H$15),'F-Ahorro Futuro Decimos'!$H$14,0),0)</f>
        <v>0</v>
      </c>
      <c r="C883" s="122">
        <f>IF(A883='F-Ahorro Futuro Decimos'!$H$18,'F-Ahorro Futuro Decimos'!$H$20,0)</f>
        <v>0</v>
      </c>
      <c r="D883" s="122">
        <f t="shared" si="13"/>
        <v>0</v>
      </c>
      <c r="E883" s="121">
        <f>ROUND(D883*'FR_Mantenimiento tasas'!$C$48/360,5)</f>
        <v>0</v>
      </c>
      <c r="F883" s="121">
        <f>ROUND(D883*'FR_Mantenimiento tasas'!$D$48/360,5)</f>
        <v>0</v>
      </c>
    </row>
    <row r="884" spans="1:6">
      <c r="A884" s="123">
        <f>IF(OR(A883='F-Ahorro Futuro Decimos'!$H$16,A883=""),"",IF(A883+1&gt;'F-Ahorro Futuro Decimos'!$H$16,'F-Ahorro Futuro Decimos'!$H$16,A883+1))</f>
        <v>882</v>
      </c>
      <c r="B884" s="122">
        <f>IFERROR(IF(DAY($A884)=DAY('F-Ahorro Futuro Decimos'!$H$15),'F-Ahorro Futuro Decimos'!$H$14,0),0)</f>
        <v>0</v>
      </c>
      <c r="C884" s="122">
        <f>IF(A884='F-Ahorro Futuro Decimos'!$H$18,'F-Ahorro Futuro Decimos'!$H$20,0)</f>
        <v>0</v>
      </c>
      <c r="D884" s="122">
        <f t="shared" si="13"/>
        <v>0</v>
      </c>
      <c r="E884" s="121">
        <f>ROUND(D884*'FR_Mantenimiento tasas'!$C$48/360,5)</f>
        <v>0</v>
      </c>
      <c r="F884" s="121">
        <f>ROUND(D884*'FR_Mantenimiento tasas'!$D$48/360,5)</f>
        <v>0</v>
      </c>
    </row>
    <row r="885" spans="1:6">
      <c r="A885" s="123">
        <f>IF(OR(A884='F-Ahorro Futuro Decimos'!$H$16,A884=""),"",IF(A884+1&gt;'F-Ahorro Futuro Decimos'!$H$16,'F-Ahorro Futuro Decimos'!$H$16,A884+1))</f>
        <v>883</v>
      </c>
      <c r="B885" s="122">
        <f>IFERROR(IF(DAY($A885)=DAY('F-Ahorro Futuro Decimos'!$H$15),'F-Ahorro Futuro Decimos'!$H$14,0),0)</f>
        <v>0</v>
      </c>
      <c r="C885" s="122">
        <f>IF(A885='F-Ahorro Futuro Decimos'!$H$18,'F-Ahorro Futuro Decimos'!$H$20,0)</f>
        <v>0</v>
      </c>
      <c r="D885" s="122">
        <f t="shared" si="13"/>
        <v>0</v>
      </c>
      <c r="E885" s="121">
        <f>ROUND(D885*'FR_Mantenimiento tasas'!$C$48/360,5)</f>
        <v>0</v>
      </c>
      <c r="F885" s="121">
        <f>ROUND(D885*'FR_Mantenimiento tasas'!$D$48/360,5)</f>
        <v>0</v>
      </c>
    </row>
    <row r="886" spans="1:6">
      <c r="A886" s="123">
        <f>IF(OR(A885='F-Ahorro Futuro Decimos'!$H$16,A885=""),"",IF(A885+1&gt;'F-Ahorro Futuro Decimos'!$H$16,'F-Ahorro Futuro Decimos'!$H$16,A885+1))</f>
        <v>884</v>
      </c>
      <c r="B886" s="122">
        <f>IFERROR(IF(DAY($A886)=DAY('F-Ahorro Futuro Decimos'!$H$15),'F-Ahorro Futuro Decimos'!$H$14,0),0)</f>
        <v>0</v>
      </c>
      <c r="C886" s="122">
        <f>IF(A886='F-Ahorro Futuro Decimos'!$H$18,'F-Ahorro Futuro Decimos'!$H$20,0)</f>
        <v>0</v>
      </c>
      <c r="D886" s="122">
        <f t="shared" si="13"/>
        <v>0</v>
      </c>
      <c r="E886" s="121">
        <f>ROUND(D886*'FR_Mantenimiento tasas'!$C$48/360,5)</f>
        <v>0</v>
      </c>
      <c r="F886" s="121">
        <f>ROUND(D886*'FR_Mantenimiento tasas'!$D$48/360,5)</f>
        <v>0</v>
      </c>
    </row>
    <row r="887" spans="1:6">
      <c r="A887" s="123">
        <f>IF(OR(A886='F-Ahorro Futuro Decimos'!$H$16,A886=""),"",IF(A886+1&gt;'F-Ahorro Futuro Decimos'!$H$16,'F-Ahorro Futuro Decimos'!$H$16,A886+1))</f>
        <v>885</v>
      </c>
      <c r="B887" s="122">
        <f>IFERROR(IF(DAY($A887)=DAY('F-Ahorro Futuro Decimos'!$H$15),'F-Ahorro Futuro Decimos'!$H$14,0),0)</f>
        <v>0</v>
      </c>
      <c r="C887" s="122">
        <f>IF(A887='F-Ahorro Futuro Decimos'!$H$18,'F-Ahorro Futuro Decimos'!$H$20,0)</f>
        <v>0</v>
      </c>
      <c r="D887" s="122">
        <f t="shared" si="13"/>
        <v>0</v>
      </c>
      <c r="E887" s="121">
        <f>ROUND(D887*'FR_Mantenimiento tasas'!$C$48/360,5)</f>
        <v>0</v>
      </c>
      <c r="F887" s="121">
        <f>ROUND(D887*'FR_Mantenimiento tasas'!$D$48/360,5)</f>
        <v>0</v>
      </c>
    </row>
    <row r="888" spans="1:6">
      <c r="A888" s="123">
        <f>IF(OR(A887='F-Ahorro Futuro Decimos'!$H$16,A887=""),"",IF(A887+1&gt;'F-Ahorro Futuro Decimos'!$H$16,'F-Ahorro Futuro Decimos'!$H$16,A887+1))</f>
        <v>886</v>
      </c>
      <c r="B888" s="122">
        <f>IFERROR(IF(DAY($A888)=DAY('F-Ahorro Futuro Decimos'!$H$15),'F-Ahorro Futuro Decimos'!$H$14,0),0)</f>
        <v>0</v>
      </c>
      <c r="C888" s="122">
        <f>IF(A888='F-Ahorro Futuro Decimos'!$H$18,'F-Ahorro Futuro Decimos'!$H$20,0)</f>
        <v>0</v>
      </c>
      <c r="D888" s="122">
        <f t="shared" si="13"/>
        <v>0</v>
      </c>
      <c r="E888" s="121">
        <f>ROUND(D888*'FR_Mantenimiento tasas'!$C$48/360,5)</f>
        <v>0</v>
      </c>
      <c r="F888" s="121">
        <f>ROUND(D888*'FR_Mantenimiento tasas'!$D$48/360,5)</f>
        <v>0</v>
      </c>
    </row>
    <row r="889" spans="1:6">
      <c r="A889" s="123">
        <f>IF(OR(A888='F-Ahorro Futuro Decimos'!$H$16,A888=""),"",IF(A888+1&gt;'F-Ahorro Futuro Decimos'!$H$16,'F-Ahorro Futuro Decimos'!$H$16,A888+1))</f>
        <v>887</v>
      </c>
      <c r="B889" s="122">
        <f>IFERROR(IF(DAY($A889)=DAY('F-Ahorro Futuro Decimos'!$H$15),'F-Ahorro Futuro Decimos'!$H$14,0),0)</f>
        <v>0</v>
      </c>
      <c r="C889" s="122">
        <f>IF(A889='F-Ahorro Futuro Decimos'!$H$18,'F-Ahorro Futuro Decimos'!$H$20,0)</f>
        <v>0</v>
      </c>
      <c r="D889" s="122">
        <f t="shared" si="13"/>
        <v>0</v>
      </c>
      <c r="E889" s="121">
        <f>ROUND(D889*'FR_Mantenimiento tasas'!$C$48/360,5)</f>
        <v>0</v>
      </c>
      <c r="F889" s="121">
        <f>ROUND(D889*'FR_Mantenimiento tasas'!$D$48/360,5)</f>
        <v>0</v>
      </c>
    </row>
    <row r="890" spans="1:6">
      <c r="A890" s="123">
        <f>IF(OR(A889='F-Ahorro Futuro Decimos'!$H$16,A889=""),"",IF(A889+1&gt;'F-Ahorro Futuro Decimos'!$H$16,'F-Ahorro Futuro Decimos'!$H$16,A889+1))</f>
        <v>888</v>
      </c>
      <c r="B890" s="122">
        <f>IFERROR(IF(DAY($A890)=DAY('F-Ahorro Futuro Decimos'!$H$15),'F-Ahorro Futuro Decimos'!$H$14,0),0)</f>
        <v>0</v>
      </c>
      <c r="C890" s="122">
        <f>IF(A890='F-Ahorro Futuro Decimos'!$H$18,'F-Ahorro Futuro Decimos'!$H$20,0)</f>
        <v>0</v>
      </c>
      <c r="D890" s="122">
        <f t="shared" si="13"/>
        <v>0</v>
      </c>
      <c r="E890" s="121">
        <f>ROUND(D890*'FR_Mantenimiento tasas'!$C$48/360,5)</f>
        <v>0</v>
      </c>
      <c r="F890" s="121">
        <f>ROUND(D890*'FR_Mantenimiento tasas'!$D$48/360,5)</f>
        <v>0</v>
      </c>
    </row>
    <row r="891" spans="1:6">
      <c r="A891" s="123">
        <f>IF(OR(A890='F-Ahorro Futuro Decimos'!$H$16,A890=""),"",IF(A890+1&gt;'F-Ahorro Futuro Decimos'!$H$16,'F-Ahorro Futuro Decimos'!$H$16,A890+1))</f>
        <v>889</v>
      </c>
      <c r="B891" s="122">
        <f>IFERROR(IF(DAY($A891)=DAY('F-Ahorro Futuro Decimos'!$H$15),'F-Ahorro Futuro Decimos'!$H$14,0),0)</f>
        <v>0</v>
      </c>
      <c r="C891" s="122">
        <f>IF(A891='F-Ahorro Futuro Decimos'!$H$18,'F-Ahorro Futuro Decimos'!$H$20,0)</f>
        <v>0</v>
      </c>
      <c r="D891" s="122">
        <f t="shared" si="13"/>
        <v>0</v>
      </c>
      <c r="E891" s="121">
        <f>ROUND(D891*'FR_Mantenimiento tasas'!$C$48/360,5)</f>
        <v>0</v>
      </c>
      <c r="F891" s="121">
        <f>ROUND(D891*'FR_Mantenimiento tasas'!$D$48/360,5)</f>
        <v>0</v>
      </c>
    </row>
    <row r="892" spans="1:6">
      <c r="A892" s="123">
        <f>IF(OR(A891='F-Ahorro Futuro Decimos'!$H$16,A891=""),"",IF(A891+1&gt;'F-Ahorro Futuro Decimos'!$H$16,'F-Ahorro Futuro Decimos'!$H$16,A891+1))</f>
        <v>890</v>
      </c>
      <c r="B892" s="122">
        <f>IFERROR(IF(DAY($A892)=DAY('F-Ahorro Futuro Decimos'!$H$15),'F-Ahorro Futuro Decimos'!$H$14,0),0)</f>
        <v>0</v>
      </c>
      <c r="C892" s="122">
        <f>IF(A892='F-Ahorro Futuro Decimos'!$H$18,'F-Ahorro Futuro Decimos'!$H$20,0)</f>
        <v>0</v>
      </c>
      <c r="D892" s="122">
        <f t="shared" si="13"/>
        <v>0</v>
      </c>
      <c r="E892" s="121">
        <f>ROUND(D892*'FR_Mantenimiento tasas'!$C$48/360,5)</f>
        <v>0</v>
      </c>
      <c r="F892" s="121">
        <f>ROUND(D892*'FR_Mantenimiento tasas'!$D$48/360,5)</f>
        <v>0</v>
      </c>
    </row>
    <row r="893" spans="1:6">
      <c r="A893" s="123">
        <f>IF(OR(A892='F-Ahorro Futuro Decimos'!$H$16,A892=""),"",IF(A892+1&gt;'F-Ahorro Futuro Decimos'!$H$16,'F-Ahorro Futuro Decimos'!$H$16,A892+1))</f>
        <v>891</v>
      </c>
      <c r="B893" s="122">
        <f>IFERROR(IF(DAY($A893)=DAY('F-Ahorro Futuro Decimos'!$H$15),'F-Ahorro Futuro Decimos'!$H$14,0),0)</f>
        <v>0</v>
      </c>
      <c r="C893" s="122">
        <f>IF(A893='F-Ahorro Futuro Decimos'!$H$18,'F-Ahorro Futuro Decimos'!$H$20,0)</f>
        <v>0</v>
      </c>
      <c r="D893" s="122">
        <f t="shared" si="13"/>
        <v>0</v>
      </c>
      <c r="E893" s="121">
        <f>ROUND(D893*'FR_Mantenimiento tasas'!$C$48/360,5)</f>
        <v>0</v>
      </c>
      <c r="F893" s="121">
        <f>ROUND(D893*'FR_Mantenimiento tasas'!$D$48/360,5)</f>
        <v>0</v>
      </c>
    </row>
    <row r="894" spans="1:6">
      <c r="A894" s="123">
        <f>IF(OR(A893='F-Ahorro Futuro Decimos'!$H$16,A893=""),"",IF(A893+1&gt;'F-Ahorro Futuro Decimos'!$H$16,'F-Ahorro Futuro Decimos'!$H$16,A893+1))</f>
        <v>892</v>
      </c>
      <c r="B894" s="122">
        <f>IFERROR(IF(DAY($A894)=DAY('F-Ahorro Futuro Decimos'!$H$15),'F-Ahorro Futuro Decimos'!$H$14,0),0)</f>
        <v>0</v>
      </c>
      <c r="C894" s="122">
        <f>IF(A894='F-Ahorro Futuro Decimos'!$H$18,'F-Ahorro Futuro Decimos'!$H$20,0)</f>
        <v>0</v>
      </c>
      <c r="D894" s="122">
        <f t="shared" si="13"/>
        <v>0</v>
      </c>
      <c r="E894" s="121">
        <f>ROUND(D894*'FR_Mantenimiento tasas'!$C$48/360,5)</f>
        <v>0</v>
      </c>
      <c r="F894" s="121">
        <f>ROUND(D894*'FR_Mantenimiento tasas'!$D$48/360,5)</f>
        <v>0</v>
      </c>
    </row>
    <row r="895" spans="1:6">
      <c r="A895" s="123">
        <f>IF(OR(A894='F-Ahorro Futuro Decimos'!$H$16,A894=""),"",IF(A894+1&gt;'F-Ahorro Futuro Decimos'!$H$16,'F-Ahorro Futuro Decimos'!$H$16,A894+1))</f>
        <v>893</v>
      </c>
      <c r="B895" s="122">
        <f>IFERROR(IF(DAY($A895)=DAY('F-Ahorro Futuro Decimos'!$H$15),'F-Ahorro Futuro Decimos'!$H$14,0),0)</f>
        <v>0</v>
      </c>
      <c r="C895" s="122">
        <f>IF(A895='F-Ahorro Futuro Decimos'!$H$18,'F-Ahorro Futuro Decimos'!$H$20,0)</f>
        <v>0</v>
      </c>
      <c r="D895" s="122">
        <f t="shared" si="13"/>
        <v>0</v>
      </c>
      <c r="E895" s="121">
        <f>ROUND(D895*'FR_Mantenimiento tasas'!$C$48/360,5)</f>
        <v>0</v>
      </c>
      <c r="F895" s="121">
        <f>ROUND(D895*'FR_Mantenimiento tasas'!$D$48/360,5)</f>
        <v>0</v>
      </c>
    </row>
    <row r="896" spans="1:6">
      <c r="A896" s="123">
        <f>IF(OR(A895='F-Ahorro Futuro Decimos'!$H$16,A895=""),"",IF(A895+1&gt;'F-Ahorro Futuro Decimos'!$H$16,'F-Ahorro Futuro Decimos'!$H$16,A895+1))</f>
        <v>894</v>
      </c>
      <c r="B896" s="122">
        <f>IFERROR(IF(DAY($A896)=DAY('F-Ahorro Futuro Decimos'!$H$15),'F-Ahorro Futuro Decimos'!$H$14,0),0)</f>
        <v>0</v>
      </c>
      <c r="C896" s="122">
        <f>IF(A896='F-Ahorro Futuro Decimos'!$H$18,'F-Ahorro Futuro Decimos'!$H$20,0)</f>
        <v>0</v>
      </c>
      <c r="D896" s="122">
        <f t="shared" si="13"/>
        <v>0</v>
      </c>
      <c r="E896" s="121">
        <f>ROUND(D896*'FR_Mantenimiento tasas'!$C$48/360,5)</f>
        <v>0</v>
      </c>
      <c r="F896" s="121">
        <f>ROUND(D896*'FR_Mantenimiento tasas'!$D$48/360,5)</f>
        <v>0</v>
      </c>
    </row>
    <row r="897" spans="1:6">
      <c r="A897" s="123">
        <f>IF(OR(A896='F-Ahorro Futuro Decimos'!$H$16,A896=""),"",IF(A896+1&gt;'F-Ahorro Futuro Decimos'!$H$16,'F-Ahorro Futuro Decimos'!$H$16,A896+1))</f>
        <v>895</v>
      </c>
      <c r="B897" s="122">
        <f>IFERROR(IF(DAY($A897)=DAY('F-Ahorro Futuro Decimos'!$H$15),'F-Ahorro Futuro Decimos'!$H$14,0),0)</f>
        <v>0</v>
      </c>
      <c r="C897" s="122">
        <f>IF(A897='F-Ahorro Futuro Decimos'!$H$18,'F-Ahorro Futuro Decimos'!$H$20,0)</f>
        <v>0</v>
      </c>
      <c r="D897" s="122">
        <f t="shared" si="13"/>
        <v>0</v>
      </c>
      <c r="E897" s="121">
        <f>ROUND(D897*'FR_Mantenimiento tasas'!$C$48/360,5)</f>
        <v>0</v>
      </c>
      <c r="F897" s="121">
        <f>ROUND(D897*'FR_Mantenimiento tasas'!$D$48/360,5)</f>
        <v>0</v>
      </c>
    </row>
    <row r="898" spans="1:6">
      <c r="A898" s="123">
        <f>IF(OR(A897='F-Ahorro Futuro Decimos'!$H$16,A897=""),"",IF(A897+1&gt;'F-Ahorro Futuro Decimos'!$H$16,'F-Ahorro Futuro Decimos'!$H$16,A897+1))</f>
        <v>896</v>
      </c>
      <c r="B898" s="122">
        <f>IFERROR(IF(DAY($A898)=DAY('F-Ahorro Futuro Decimos'!$H$15),'F-Ahorro Futuro Decimos'!$H$14,0),0)</f>
        <v>0</v>
      </c>
      <c r="C898" s="122">
        <f>IF(A898='F-Ahorro Futuro Decimos'!$H$18,'F-Ahorro Futuro Decimos'!$H$20,0)</f>
        <v>0</v>
      </c>
      <c r="D898" s="122">
        <f t="shared" si="13"/>
        <v>0</v>
      </c>
      <c r="E898" s="121">
        <f>ROUND(D898*'FR_Mantenimiento tasas'!$C$48/360,5)</f>
        <v>0</v>
      </c>
      <c r="F898" s="121">
        <f>ROUND(D898*'FR_Mantenimiento tasas'!$D$48/360,5)</f>
        <v>0</v>
      </c>
    </row>
    <row r="899" spans="1:6">
      <c r="A899" s="123">
        <f>IF(OR(A898='F-Ahorro Futuro Decimos'!$H$16,A898=""),"",IF(A898+1&gt;'F-Ahorro Futuro Decimos'!$H$16,'F-Ahorro Futuro Decimos'!$H$16,A898+1))</f>
        <v>897</v>
      </c>
      <c r="B899" s="122">
        <f>IFERROR(IF(DAY($A899)=DAY('F-Ahorro Futuro Decimos'!$H$15),'F-Ahorro Futuro Decimos'!$H$14,0),0)</f>
        <v>0</v>
      </c>
      <c r="C899" s="122">
        <f>IF(A899='F-Ahorro Futuro Decimos'!$H$18,'F-Ahorro Futuro Decimos'!$H$20,0)</f>
        <v>0</v>
      </c>
      <c r="D899" s="122">
        <f t="shared" si="13"/>
        <v>0</v>
      </c>
      <c r="E899" s="121">
        <f>ROUND(D899*'FR_Mantenimiento tasas'!$C$48/360,5)</f>
        <v>0</v>
      </c>
      <c r="F899" s="121">
        <f>ROUND(D899*'FR_Mantenimiento tasas'!$D$48/360,5)</f>
        <v>0</v>
      </c>
    </row>
    <row r="900" spans="1:6">
      <c r="A900" s="123">
        <f>IF(OR(A899='F-Ahorro Futuro Decimos'!$H$16,A899=""),"",IF(A899+1&gt;'F-Ahorro Futuro Decimos'!$H$16,'F-Ahorro Futuro Decimos'!$H$16,A899+1))</f>
        <v>898</v>
      </c>
      <c r="B900" s="122">
        <f>IFERROR(IF(DAY($A900)=DAY('F-Ahorro Futuro Decimos'!$H$15),'F-Ahorro Futuro Decimos'!$H$14,0),0)</f>
        <v>0</v>
      </c>
      <c r="C900" s="122">
        <f>IF(A900='F-Ahorro Futuro Decimos'!$H$18,'F-Ahorro Futuro Decimos'!$H$20,0)</f>
        <v>0</v>
      </c>
      <c r="D900" s="122">
        <f t="shared" ref="D900:D963" si="14">+B900+D899+E899-C900</f>
        <v>0</v>
      </c>
      <c r="E900" s="121">
        <f>ROUND(D900*'FR_Mantenimiento tasas'!$C$48/360,5)</f>
        <v>0</v>
      </c>
      <c r="F900" s="121">
        <f>ROUND(D900*'FR_Mantenimiento tasas'!$D$48/360,5)</f>
        <v>0</v>
      </c>
    </row>
    <row r="901" spans="1:6">
      <c r="A901" s="123">
        <f>IF(OR(A900='F-Ahorro Futuro Decimos'!$H$16,A900=""),"",IF(A900+1&gt;'F-Ahorro Futuro Decimos'!$H$16,'F-Ahorro Futuro Decimos'!$H$16,A900+1))</f>
        <v>899</v>
      </c>
      <c r="B901" s="122">
        <f>IFERROR(IF(DAY($A901)=DAY('F-Ahorro Futuro Decimos'!$H$15),'F-Ahorro Futuro Decimos'!$H$14,0),0)</f>
        <v>0</v>
      </c>
      <c r="C901" s="122">
        <f>IF(A901='F-Ahorro Futuro Decimos'!$H$18,'F-Ahorro Futuro Decimos'!$H$20,0)</f>
        <v>0</v>
      </c>
      <c r="D901" s="122">
        <f t="shared" si="14"/>
        <v>0</v>
      </c>
      <c r="E901" s="121">
        <f>ROUND(D901*'FR_Mantenimiento tasas'!$C$48/360,5)</f>
        <v>0</v>
      </c>
      <c r="F901" s="121">
        <f>ROUND(D901*'FR_Mantenimiento tasas'!$D$48/360,5)</f>
        <v>0</v>
      </c>
    </row>
    <row r="902" spans="1:6">
      <c r="A902" s="123">
        <f>IF(OR(A901='F-Ahorro Futuro Decimos'!$H$16,A901=""),"",IF(A901+1&gt;'F-Ahorro Futuro Decimos'!$H$16,'F-Ahorro Futuro Decimos'!$H$16,A901+1))</f>
        <v>900</v>
      </c>
      <c r="B902" s="122">
        <f>IFERROR(IF(DAY($A902)=DAY('F-Ahorro Futuro Decimos'!$H$15),'F-Ahorro Futuro Decimos'!$H$14,0),0)</f>
        <v>0</v>
      </c>
      <c r="C902" s="122">
        <f>IF(A902='F-Ahorro Futuro Decimos'!$H$18,'F-Ahorro Futuro Decimos'!$H$20,0)</f>
        <v>0</v>
      </c>
      <c r="D902" s="122">
        <f t="shared" si="14"/>
        <v>0</v>
      </c>
      <c r="E902" s="121">
        <f>ROUND(D902*'FR_Mantenimiento tasas'!$C$48/360,5)</f>
        <v>0</v>
      </c>
      <c r="F902" s="121">
        <f>ROUND(D902*'FR_Mantenimiento tasas'!$D$48/360,5)</f>
        <v>0</v>
      </c>
    </row>
    <row r="903" spans="1:6">
      <c r="A903" s="123">
        <f>IF(OR(A902='F-Ahorro Futuro Decimos'!$H$16,A902=""),"",IF(A902+1&gt;'F-Ahorro Futuro Decimos'!$H$16,'F-Ahorro Futuro Decimos'!$H$16,A902+1))</f>
        <v>901</v>
      </c>
      <c r="B903" s="122">
        <f>IFERROR(IF(DAY($A903)=DAY('F-Ahorro Futuro Decimos'!$H$15),'F-Ahorro Futuro Decimos'!$H$14,0),0)</f>
        <v>0</v>
      </c>
      <c r="C903" s="122">
        <f>IF(A903='F-Ahorro Futuro Decimos'!$H$18,'F-Ahorro Futuro Decimos'!$H$20,0)</f>
        <v>0</v>
      </c>
      <c r="D903" s="122">
        <f t="shared" si="14"/>
        <v>0</v>
      </c>
      <c r="E903" s="121">
        <f>ROUND(D903*'FR_Mantenimiento tasas'!$C$48/360,5)</f>
        <v>0</v>
      </c>
      <c r="F903" s="121">
        <f>ROUND(D903*'FR_Mantenimiento tasas'!$D$48/360,5)</f>
        <v>0</v>
      </c>
    </row>
    <row r="904" spans="1:6">
      <c r="A904" s="123">
        <f>IF(OR(A903='F-Ahorro Futuro Decimos'!$H$16,A903=""),"",IF(A903+1&gt;'F-Ahorro Futuro Decimos'!$H$16,'F-Ahorro Futuro Decimos'!$H$16,A903+1))</f>
        <v>902</v>
      </c>
      <c r="B904" s="122">
        <f>IFERROR(IF(DAY($A904)=DAY('F-Ahorro Futuro Decimos'!$H$15),'F-Ahorro Futuro Decimos'!$H$14,0),0)</f>
        <v>0</v>
      </c>
      <c r="C904" s="122">
        <f>IF(A904='F-Ahorro Futuro Decimos'!$H$18,'F-Ahorro Futuro Decimos'!$H$20,0)</f>
        <v>0</v>
      </c>
      <c r="D904" s="122">
        <f t="shared" si="14"/>
        <v>0</v>
      </c>
      <c r="E904" s="121">
        <f>ROUND(D904*'FR_Mantenimiento tasas'!$C$48/360,5)</f>
        <v>0</v>
      </c>
      <c r="F904" s="121">
        <f>ROUND(D904*'FR_Mantenimiento tasas'!$D$48/360,5)</f>
        <v>0</v>
      </c>
    </row>
    <row r="905" spans="1:6">
      <c r="A905" s="123">
        <f>IF(OR(A904='F-Ahorro Futuro Decimos'!$H$16,A904=""),"",IF(A904+1&gt;'F-Ahorro Futuro Decimos'!$H$16,'F-Ahorro Futuro Decimos'!$H$16,A904+1))</f>
        <v>903</v>
      </c>
      <c r="B905" s="122">
        <f>IFERROR(IF(DAY($A905)=DAY('F-Ahorro Futuro Decimos'!$H$15),'F-Ahorro Futuro Decimos'!$H$14,0),0)</f>
        <v>0</v>
      </c>
      <c r="C905" s="122">
        <f>IF(A905='F-Ahorro Futuro Decimos'!$H$18,'F-Ahorro Futuro Decimos'!$H$20,0)</f>
        <v>0</v>
      </c>
      <c r="D905" s="122">
        <f t="shared" si="14"/>
        <v>0</v>
      </c>
      <c r="E905" s="121">
        <f>ROUND(D905*'FR_Mantenimiento tasas'!$C$48/360,5)</f>
        <v>0</v>
      </c>
      <c r="F905" s="121">
        <f>ROUND(D905*'FR_Mantenimiento tasas'!$D$48/360,5)</f>
        <v>0</v>
      </c>
    </row>
    <row r="906" spans="1:6">
      <c r="A906" s="123">
        <f>IF(OR(A905='F-Ahorro Futuro Decimos'!$H$16,A905=""),"",IF(A905+1&gt;'F-Ahorro Futuro Decimos'!$H$16,'F-Ahorro Futuro Decimos'!$H$16,A905+1))</f>
        <v>904</v>
      </c>
      <c r="B906" s="122">
        <f>IFERROR(IF(DAY($A906)=DAY('F-Ahorro Futuro Decimos'!$H$15),'F-Ahorro Futuro Decimos'!$H$14,0),0)</f>
        <v>0</v>
      </c>
      <c r="C906" s="122">
        <f>IF(A906='F-Ahorro Futuro Decimos'!$H$18,'F-Ahorro Futuro Decimos'!$H$20,0)</f>
        <v>0</v>
      </c>
      <c r="D906" s="122">
        <f t="shared" si="14"/>
        <v>0</v>
      </c>
      <c r="E906" s="121">
        <f>ROUND(D906*'FR_Mantenimiento tasas'!$C$48/360,5)</f>
        <v>0</v>
      </c>
      <c r="F906" s="121">
        <f>ROUND(D906*'FR_Mantenimiento tasas'!$D$48/360,5)</f>
        <v>0</v>
      </c>
    </row>
    <row r="907" spans="1:6">
      <c r="A907" s="123">
        <f>IF(OR(A906='F-Ahorro Futuro Decimos'!$H$16,A906=""),"",IF(A906+1&gt;'F-Ahorro Futuro Decimos'!$H$16,'F-Ahorro Futuro Decimos'!$H$16,A906+1))</f>
        <v>905</v>
      </c>
      <c r="B907" s="122">
        <f>IFERROR(IF(DAY($A907)=DAY('F-Ahorro Futuro Decimos'!$H$15),'F-Ahorro Futuro Decimos'!$H$14,0),0)</f>
        <v>0</v>
      </c>
      <c r="C907" s="122">
        <f>IF(A907='F-Ahorro Futuro Decimos'!$H$18,'F-Ahorro Futuro Decimos'!$H$20,0)</f>
        <v>0</v>
      </c>
      <c r="D907" s="122">
        <f t="shared" si="14"/>
        <v>0</v>
      </c>
      <c r="E907" s="121">
        <f>ROUND(D907*'FR_Mantenimiento tasas'!$C$48/360,5)</f>
        <v>0</v>
      </c>
      <c r="F907" s="121">
        <f>ROUND(D907*'FR_Mantenimiento tasas'!$D$48/360,5)</f>
        <v>0</v>
      </c>
    </row>
    <row r="908" spans="1:6">
      <c r="A908" s="123">
        <f>IF(OR(A907='F-Ahorro Futuro Decimos'!$H$16,A907=""),"",IF(A907+1&gt;'F-Ahorro Futuro Decimos'!$H$16,'F-Ahorro Futuro Decimos'!$H$16,A907+1))</f>
        <v>906</v>
      </c>
      <c r="B908" s="122">
        <f>IFERROR(IF(DAY($A908)=DAY('F-Ahorro Futuro Decimos'!$H$15),'F-Ahorro Futuro Decimos'!$H$14,0),0)</f>
        <v>0</v>
      </c>
      <c r="C908" s="122">
        <f>IF(A908='F-Ahorro Futuro Decimos'!$H$18,'F-Ahorro Futuro Decimos'!$H$20,0)</f>
        <v>0</v>
      </c>
      <c r="D908" s="122">
        <f t="shared" si="14"/>
        <v>0</v>
      </c>
      <c r="E908" s="121">
        <f>ROUND(D908*'FR_Mantenimiento tasas'!$C$48/360,5)</f>
        <v>0</v>
      </c>
      <c r="F908" s="121">
        <f>ROUND(D908*'FR_Mantenimiento tasas'!$D$48/360,5)</f>
        <v>0</v>
      </c>
    </row>
    <row r="909" spans="1:6">
      <c r="A909" s="123">
        <f>IF(OR(A908='F-Ahorro Futuro Decimos'!$H$16,A908=""),"",IF(A908+1&gt;'F-Ahorro Futuro Decimos'!$H$16,'F-Ahorro Futuro Decimos'!$H$16,A908+1))</f>
        <v>907</v>
      </c>
      <c r="B909" s="122">
        <f>IFERROR(IF(DAY($A909)=DAY('F-Ahorro Futuro Decimos'!$H$15),'F-Ahorro Futuro Decimos'!$H$14,0),0)</f>
        <v>0</v>
      </c>
      <c r="C909" s="122">
        <f>IF(A909='F-Ahorro Futuro Decimos'!$H$18,'F-Ahorro Futuro Decimos'!$H$20,0)</f>
        <v>0</v>
      </c>
      <c r="D909" s="122">
        <f t="shared" si="14"/>
        <v>0</v>
      </c>
      <c r="E909" s="121">
        <f>ROUND(D909*'FR_Mantenimiento tasas'!$C$48/360,5)</f>
        <v>0</v>
      </c>
      <c r="F909" s="121">
        <f>ROUND(D909*'FR_Mantenimiento tasas'!$D$48/360,5)</f>
        <v>0</v>
      </c>
    </row>
    <row r="910" spans="1:6">
      <c r="A910" s="123">
        <f>IF(OR(A909='F-Ahorro Futuro Decimos'!$H$16,A909=""),"",IF(A909+1&gt;'F-Ahorro Futuro Decimos'!$H$16,'F-Ahorro Futuro Decimos'!$H$16,A909+1))</f>
        <v>908</v>
      </c>
      <c r="B910" s="122">
        <f>IFERROR(IF(DAY($A910)=DAY('F-Ahorro Futuro Decimos'!$H$15),'F-Ahorro Futuro Decimos'!$H$14,0),0)</f>
        <v>0</v>
      </c>
      <c r="C910" s="122">
        <f>IF(A910='F-Ahorro Futuro Decimos'!$H$18,'F-Ahorro Futuro Decimos'!$H$20,0)</f>
        <v>0</v>
      </c>
      <c r="D910" s="122">
        <f t="shared" si="14"/>
        <v>0</v>
      </c>
      <c r="E910" s="121">
        <f>ROUND(D910*'FR_Mantenimiento tasas'!$C$48/360,5)</f>
        <v>0</v>
      </c>
      <c r="F910" s="121">
        <f>ROUND(D910*'FR_Mantenimiento tasas'!$D$48/360,5)</f>
        <v>0</v>
      </c>
    </row>
    <row r="911" spans="1:6">
      <c r="A911" s="123">
        <f>IF(OR(A910='F-Ahorro Futuro Decimos'!$H$16,A910=""),"",IF(A910+1&gt;'F-Ahorro Futuro Decimos'!$H$16,'F-Ahorro Futuro Decimos'!$H$16,A910+1))</f>
        <v>909</v>
      </c>
      <c r="B911" s="122">
        <f>IFERROR(IF(DAY($A911)=DAY('F-Ahorro Futuro Decimos'!$H$15),'F-Ahorro Futuro Decimos'!$H$14,0),0)</f>
        <v>0</v>
      </c>
      <c r="C911" s="122">
        <f>IF(A911='F-Ahorro Futuro Decimos'!$H$18,'F-Ahorro Futuro Decimos'!$H$20,0)</f>
        <v>0</v>
      </c>
      <c r="D911" s="122">
        <f t="shared" si="14"/>
        <v>0</v>
      </c>
      <c r="E911" s="121">
        <f>ROUND(D911*'FR_Mantenimiento tasas'!$C$48/360,5)</f>
        <v>0</v>
      </c>
      <c r="F911" s="121">
        <f>ROUND(D911*'FR_Mantenimiento tasas'!$D$48/360,5)</f>
        <v>0</v>
      </c>
    </row>
    <row r="912" spans="1:6">
      <c r="A912" s="123">
        <f>IF(OR(A911='F-Ahorro Futuro Decimos'!$H$16,A911=""),"",IF(A911+1&gt;'F-Ahorro Futuro Decimos'!$H$16,'F-Ahorro Futuro Decimos'!$H$16,A911+1))</f>
        <v>910</v>
      </c>
      <c r="B912" s="122">
        <f>IFERROR(IF(DAY($A912)=DAY('F-Ahorro Futuro Decimos'!$H$15),'F-Ahorro Futuro Decimos'!$H$14,0),0)</f>
        <v>0</v>
      </c>
      <c r="C912" s="122">
        <f>IF(A912='F-Ahorro Futuro Decimos'!$H$18,'F-Ahorro Futuro Decimos'!$H$20,0)</f>
        <v>0</v>
      </c>
      <c r="D912" s="122">
        <f t="shared" si="14"/>
        <v>0</v>
      </c>
      <c r="E912" s="121">
        <f>ROUND(D912*'FR_Mantenimiento tasas'!$C$48/360,5)</f>
        <v>0</v>
      </c>
      <c r="F912" s="121">
        <f>ROUND(D912*'FR_Mantenimiento tasas'!$D$48/360,5)</f>
        <v>0</v>
      </c>
    </row>
    <row r="913" spans="1:6">
      <c r="A913" s="123">
        <f>IF(OR(A912='F-Ahorro Futuro Decimos'!$H$16,A912=""),"",IF(A912+1&gt;'F-Ahorro Futuro Decimos'!$H$16,'F-Ahorro Futuro Decimos'!$H$16,A912+1))</f>
        <v>911</v>
      </c>
      <c r="B913" s="122">
        <f>IFERROR(IF(DAY($A913)=DAY('F-Ahorro Futuro Decimos'!$H$15),'F-Ahorro Futuro Decimos'!$H$14,0),0)</f>
        <v>0</v>
      </c>
      <c r="C913" s="122">
        <f>IF(A913='F-Ahorro Futuro Decimos'!$H$18,'F-Ahorro Futuro Decimos'!$H$20,0)</f>
        <v>0</v>
      </c>
      <c r="D913" s="122">
        <f t="shared" si="14"/>
        <v>0</v>
      </c>
      <c r="E913" s="121">
        <f>ROUND(D913*'FR_Mantenimiento tasas'!$C$48/360,5)</f>
        <v>0</v>
      </c>
      <c r="F913" s="121">
        <f>ROUND(D913*'FR_Mantenimiento tasas'!$D$48/360,5)</f>
        <v>0</v>
      </c>
    </row>
    <row r="914" spans="1:6">
      <c r="A914" s="123">
        <f>IF(OR(A913='F-Ahorro Futuro Decimos'!$H$16,A913=""),"",IF(A913+1&gt;'F-Ahorro Futuro Decimos'!$H$16,'F-Ahorro Futuro Decimos'!$H$16,A913+1))</f>
        <v>912</v>
      </c>
      <c r="B914" s="122">
        <f>IFERROR(IF(DAY($A914)=DAY('F-Ahorro Futuro Decimos'!$H$15),'F-Ahorro Futuro Decimos'!$H$14,0),0)</f>
        <v>0</v>
      </c>
      <c r="C914" s="122">
        <f>IF(A914='F-Ahorro Futuro Decimos'!$H$18,'F-Ahorro Futuro Decimos'!$H$20,0)</f>
        <v>0</v>
      </c>
      <c r="D914" s="122">
        <f t="shared" si="14"/>
        <v>0</v>
      </c>
      <c r="E914" s="121">
        <f>ROUND(D914*'FR_Mantenimiento tasas'!$C$48/360,5)</f>
        <v>0</v>
      </c>
      <c r="F914" s="121">
        <f>ROUND(D914*'FR_Mantenimiento tasas'!$D$48/360,5)</f>
        <v>0</v>
      </c>
    </row>
    <row r="915" spans="1:6">
      <c r="A915" s="123">
        <f>IF(OR(A914='F-Ahorro Futuro Decimos'!$H$16,A914=""),"",IF(A914+1&gt;'F-Ahorro Futuro Decimos'!$H$16,'F-Ahorro Futuro Decimos'!$H$16,A914+1))</f>
        <v>913</v>
      </c>
      <c r="B915" s="122">
        <f>IFERROR(IF(DAY($A915)=DAY('F-Ahorro Futuro Decimos'!$H$15),'F-Ahorro Futuro Decimos'!$H$14,0),0)</f>
        <v>0</v>
      </c>
      <c r="C915" s="122">
        <f>IF(A915='F-Ahorro Futuro Decimos'!$H$18,'F-Ahorro Futuro Decimos'!$H$20,0)</f>
        <v>0</v>
      </c>
      <c r="D915" s="122">
        <f t="shared" si="14"/>
        <v>0</v>
      </c>
      <c r="E915" s="121">
        <f>ROUND(D915*'FR_Mantenimiento tasas'!$C$48/360,5)</f>
        <v>0</v>
      </c>
      <c r="F915" s="121">
        <f>ROUND(D915*'FR_Mantenimiento tasas'!$D$48/360,5)</f>
        <v>0</v>
      </c>
    </row>
    <row r="916" spans="1:6">
      <c r="A916" s="123">
        <f>IF(OR(A915='F-Ahorro Futuro Decimos'!$H$16,A915=""),"",IF(A915+1&gt;'F-Ahorro Futuro Decimos'!$H$16,'F-Ahorro Futuro Decimos'!$H$16,A915+1))</f>
        <v>914</v>
      </c>
      <c r="B916" s="122">
        <f>IFERROR(IF(DAY($A916)=DAY('F-Ahorro Futuro Decimos'!$H$15),'F-Ahorro Futuro Decimos'!$H$14,0),0)</f>
        <v>0</v>
      </c>
      <c r="C916" s="122">
        <f>IF(A916='F-Ahorro Futuro Decimos'!$H$18,'F-Ahorro Futuro Decimos'!$H$20,0)</f>
        <v>0</v>
      </c>
      <c r="D916" s="122">
        <f t="shared" si="14"/>
        <v>0</v>
      </c>
      <c r="E916" s="121">
        <f>ROUND(D916*'FR_Mantenimiento tasas'!$C$48/360,5)</f>
        <v>0</v>
      </c>
      <c r="F916" s="121">
        <f>ROUND(D916*'FR_Mantenimiento tasas'!$D$48/360,5)</f>
        <v>0</v>
      </c>
    </row>
    <row r="917" spans="1:6">
      <c r="A917" s="123">
        <f>IF(OR(A916='F-Ahorro Futuro Decimos'!$H$16,A916=""),"",IF(A916+1&gt;'F-Ahorro Futuro Decimos'!$H$16,'F-Ahorro Futuro Decimos'!$H$16,A916+1))</f>
        <v>915</v>
      </c>
      <c r="B917" s="122">
        <f>IFERROR(IF(DAY($A917)=DAY('F-Ahorro Futuro Decimos'!$H$15),'F-Ahorro Futuro Decimos'!$H$14,0),0)</f>
        <v>0</v>
      </c>
      <c r="C917" s="122">
        <f>IF(A917='F-Ahorro Futuro Decimos'!$H$18,'F-Ahorro Futuro Decimos'!$H$20,0)</f>
        <v>0</v>
      </c>
      <c r="D917" s="122">
        <f t="shared" si="14"/>
        <v>0</v>
      </c>
      <c r="E917" s="121">
        <f>ROUND(D917*'FR_Mantenimiento tasas'!$C$48/360,5)</f>
        <v>0</v>
      </c>
      <c r="F917" s="121">
        <f>ROUND(D917*'FR_Mantenimiento tasas'!$D$48/360,5)</f>
        <v>0</v>
      </c>
    </row>
    <row r="918" spans="1:6">
      <c r="A918" s="123">
        <f>IF(OR(A917='F-Ahorro Futuro Decimos'!$H$16,A917=""),"",IF(A917+1&gt;'F-Ahorro Futuro Decimos'!$H$16,'F-Ahorro Futuro Decimos'!$H$16,A917+1))</f>
        <v>916</v>
      </c>
      <c r="B918" s="122">
        <f>IFERROR(IF(DAY($A918)=DAY('F-Ahorro Futuro Decimos'!$H$15),'F-Ahorro Futuro Decimos'!$H$14,0),0)</f>
        <v>0</v>
      </c>
      <c r="C918" s="122">
        <f>IF(A918='F-Ahorro Futuro Decimos'!$H$18,'F-Ahorro Futuro Decimos'!$H$20,0)</f>
        <v>0</v>
      </c>
      <c r="D918" s="122">
        <f t="shared" si="14"/>
        <v>0</v>
      </c>
      <c r="E918" s="121">
        <f>ROUND(D918*'FR_Mantenimiento tasas'!$C$48/360,5)</f>
        <v>0</v>
      </c>
      <c r="F918" s="121">
        <f>ROUND(D918*'FR_Mantenimiento tasas'!$D$48/360,5)</f>
        <v>0</v>
      </c>
    </row>
    <row r="919" spans="1:6">
      <c r="A919" s="123">
        <f>IF(OR(A918='F-Ahorro Futuro Decimos'!$H$16,A918=""),"",IF(A918+1&gt;'F-Ahorro Futuro Decimos'!$H$16,'F-Ahorro Futuro Decimos'!$H$16,A918+1))</f>
        <v>917</v>
      </c>
      <c r="B919" s="122">
        <f>IFERROR(IF(DAY($A919)=DAY('F-Ahorro Futuro Decimos'!$H$15),'F-Ahorro Futuro Decimos'!$H$14,0),0)</f>
        <v>0</v>
      </c>
      <c r="C919" s="122">
        <f>IF(A919='F-Ahorro Futuro Decimos'!$H$18,'F-Ahorro Futuro Decimos'!$H$20,0)</f>
        <v>0</v>
      </c>
      <c r="D919" s="122">
        <f t="shared" si="14"/>
        <v>0</v>
      </c>
      <c r="E919" s="121">
        <f>ROUND(D919*'FR_Mantenimiento tasas'!$C$48/360,5)</f>
        <v>0</v>
      </c>
      <c r="F919" s="121">
        <f>ROUND(D919*'FR_Mantenimiento tasas'!$D$48/360,5)</f>
        <v>0</v>
      </c>
    </row>
    <row r="920" spans="1:6">
      <c r="A920" s="123">
        <f>IF(OR(A919='F-Ahorro Futuro Decimos'!$H$16,A919=""),"",IF(A919+1&gt;'F-Ahorro Futuro Decimos'!$H$16,'F-Ahorro Futuro Decimos'!$H$16,A919+1))</f>
        <v>918</v>
      </c>
      <c r="B920" s="122">
        <f>IFERROR(IF(DAY($A920)=DAY('F-Ahorro Futuro Decimos'!$H$15),'F-Ahorro Futuro Decimos'!$H$14,0),0)</f>
        <v>0</v>
      </c>
      <c r="C920" s="122">
        <f>IF(A920='F-Ahorro Futuro Decimos'!$H$18,'F-Ahorro Futuro Decimos'!$H$20,0)</f>
        <v>0</v>
      </c>
      <c r="D920" s="122">
        <f t="shared" si="14"/>
        <v>0</v>
      </c>
      <c r="E920" s="121">
        <f>ROUND(D920*'FR_Mantenimiento tasas'!$C$48/360,5)</f>
        <v>0</v>
      </c>
      <c r="F920" s="121">
        <f>ROUND(D920*'FR_Mantenimiento tasas'!$D$48/360,5)</f>
        <v>0</v>
      </c>
    </row>
    <row r="921" spans="1:6">
      <c r="A921" s="123">
        <f>IF(OR(A920='F-Ahorro Futuro Decimos'!$H$16,A920=""),"",IF(A920+1&gt;'F-Ahorro Futuro Decimos'!$H$16,'F-Ahorro Futuro Decimos'!$H$16,A920+1))</f>
        <v>919</v>
      </c>
      <c r="B921" s="122">
        <f>IFERROR(IF(DAY($A921)=DAY('F-Ahorro Futuro Decimos'!$H$15),'F-Ahorro Futuro Decimos'!$H$14,0),0)</f>
        <v>0</v>
      </c>
      <c r="C921" s="122">
        <f>IF(A921='F-Ahorro Futuro Decimos'!$H$18,'F-Ahorro Futuro Decimos'!$H$20,0)</f>
        <v>0</v>
      </c>
      <c r="D921" s="122">
        <f t="shared" si="14"/>
        <v>0</v>
      </c>
      <c r="E921" s="121">
        <f>ROUND(D921*'FR_Mantenimiento tasas'!$C$48/360,5)</f>
        <v>0</v>
      </c>
      <c r="F921" s="121">
        <f>ROUND(D921*'FR_Mantenimiento tasas'!$D$48/360,5)</f>
        <v>0</v>
      </c>
    </row>
    <row r="922" spans="1:6">
      <c r="A922" s="123">
        <f>IF(OR(A921='F-Ahorro Futuro Decimos'!$H$16,A921=""),"",IF(A921+1&gt;'F-Ahorro Futuro Decimos'!$H$16,'F-Ahorro Futuro Decimos'!$H$16,A921+1))</f>
        <v>920</v>
      </c>
      <c r="B922" s="122">
        <f>IFERROR(IF(DAY($A922)=DAY('F-Ahorro Futuro Decimos'!$H$15),'F-Ahorro Futuro Decimos'!$H$14,0),0)</f>
        <v>0</v>
      </c>
      <c r="C922" s="122">
        <f>IF(A922='F-Ahorro Futuro Decimos'!$H$18,'F-Ahorro Futuro Decimos'!$H$20,0)</f>
        <v>0</v>
      </c>
      <c r="D922" s="122">
        <f t="shared" si="14"/>
        <v>0</v>
      </c>
      <c r="E922" s="121">
        <f>ROUND(D922*'FR_Mantenimiento tasas'!$C$48/360,5)</f>
        <v>0</v>
      </c>
      <c r="F922" s="121">
        <f>ROUND(D922*'FR_Mantenimiento tasas'!$D$48/360,5)</f>
        <v>0</v>
      </c>
    </row>
    <row r="923" spans="1:6">
      <c r="A923" s="123">
        <f>IF(OR(A922='F-Ahorro Futuro Decimos'!$H$16,A922=""),"",IF(A922+1&gt;'F-Ahorro Futuro Decimos'!$H$16,'F-Ahorro Futuro Decimos'!$H$16,A922+1))</f>
        <v>921</v>
      </c>
      <c r="B923" s="122">
        <f>IFERROR(IF(DAY($A923)=DAY('F-Ahorro Futuro Decimos'!$H$15),'F-Ahorro Futuro Decimos'!$H$14,0),0)</f>
        <v>0</v>
      </c>
      <c r="C923" s="122">
        <f>IF(A923='F-Ahorro Futuro Decimos'!$H$18,'F-Ahorro Futuro Decimos'!$H$20,0)</f>
        <v>0</v>
      </c>
      <c r="D923" s="122">
        <f t="shared" si="14"/>
        <v>0</v>
      </c>
      <c r="E923" s="121">
        <f>ROUND(D923*'FR_Mantenimiento tasas'!$C$48/360,5)</f>
        <v>0</v>
      </c>
      <c r="F923" s="121">
        <f>ROUND(D923*'FR_Mantenimiento tasas'!$D$48/360,5)</f>
        <v>0</v>
      </c>
    </row>
    <row r="924" spans="1:6">
      <c r="A924" s="123">
        <f>IF(OR(A923='F-Ahorro Futuro Decimos'!$H$16,A923=""),"",IF(A923+1&gt;'F-Ahorro Futuro Decimos'!$H$16,'F-Ahorro Futuro Decimos'!$H$16,A923+1))</f>
        <v>922</v>
      </c>
      <c r="B924" s="122">
        <f>IFERROR(IF(DAY($A924)=DAY('F-Ahorro Futuro Decimos'!$H$15),'F-Ahorro Futuro Decimos'!$H$14,0),0)</f>
        <v>0</v>
      </c>
      <c r="C924" s="122">
        <f>IF(A924='F-Ahorro Futuro Decimos'!$H$18,'F-Ahorro Futuro Decimos'!$H$20,0)</f>
        <v>0</v>
      </c>
      <c r="D924" s="122">
        <f t="shared" si="14"/>
        <v>0</v>
      </c>
      <c r="E924" s="121">
        <f>ROUND(D924*'FR_Mantenimiento tasas'!$C$48/360,5)</f>
        <v>0</v>
      </c>
      <c r="F924" s="121">
        <f>ROUND(D924*'FR_Mantenimiento tasas'!$D$48/360,5)</f>
        <v>0</v>
      </c>
    </row>
    <row r="925" spans="1:6">
      <c r="A925" s="123">
        <f>IF(OR(A924='F-Ahorro Futuro Decimos'!$H$16,A924=""),"",IF(A924+1&gt;'F-Ahorro Futuro Decimos'!$H$16,'F-Ahorro Futuro Decimos'!$H$16,A924+1))</f>
        <v>923</v>
      </c>
      <c r="B925" s="122">
        <f>IFERROR(IF(DAY($A925)=DAY('F-Ahorro Futuro Decimos'!$H$15),'F-Ahorro Futuro Decimos'!$H$14,0),0)</f>
        <v>0</v>
      </c>
      <c r="C925" s="122">
        <f>IF(A925='F-Ahorro Futuro Decimos'!$H$18,'F-Ahorro Futuro Decimos'!$H$20,0)</f>
        <v>0</v>
      </c>
      <c r="D925" s="122">
        <f t="shared" si="14"/>
        <v>0</v>
      </c>
      <c r="E925" s="121">
        <f>ROUND(D925*'FR_Mantenimiento tasas'!$C$48/360,5)</f>
        <v>0</v>
      </c>
      <c r="F925" s="121">
        <f>ROUND(D925*'FR_Mantenimiento tasas'!$D$48/360,5)</f>
        <v>0</v>
      </c>
    </row>
    <row r="926" spans="1:6">
      <c r="A926" s="123">
        <f>IF(OR(A925='F-Ahorro Futuro Decimos'!$H$16,A925=""),"",IF(A925+1&gt;'F-Ahorro Futuro Decimos'!$H$16,'F-Ahorro Futuro Decimos'!$H$16,A925+1))</f>
        <v>924</v>
      </c>
      <c r="B926" s="122">
        <f>IFERROR(IF(DAY($A926)=DAY('F-Ahorro Futuro Decimos'!$H$15),'F-Ahorro Futuro Decimos'!$H$14,0),0)</f>
        <v>0</v>
      </c>
      <c r="C926" s="122">
        <f>IF(A926='F-Ahorro Futuro Decimos'!$H$18,'F-Ahorro Futuro Decimos'!$H$20,0)</f>
        <v>0</v>
      </c>
      <c r="D926" s="122">
        <f t="shared" si="14"/>
        <v>0</v>
      </c>
      <c r="E926" s="121">
        <f>ROUND(D926*'FR_Mantenimiento tasas'!$C$48/360,5)</f>
        <v>0</v>
      </c>
      <c r="F926" s="121">
        <f>ROUND(D926*'FR_Mantenimiento tasas'!$D$48/360,5)</f>
        <v>0</v>
      </c>
    </row>
    <row r="927" spans="1:6">
      <c r="A927" s="123">
        <f>IF(OR(A926='F-Ahorro Futuro Decimos'!$H$16,A926=""),"",IF(A926+1&gt;'F-Ahorro Futuro Decimos'!$H$16,'F-Ahorro Futuro Decimos'!$H$16,A926+1))</f>
        <v>925</v>
      </c>
      <c r="B927" s="122">
        <f>IFERROR(IF(DAY($A927)=DAY('F-Ahorro Futuro Decimos'!$H$15),'F-Ahorro Futuro Decimos'!$H$14,0),0)</f>
        <v>0</v>
      </c>
      <c r="C927" s="122">
        <f>IF(A927='F-Ahorro Futuro Decimos'!$H$18,'F-Ahorro Futuro Decimos'!$H$20,0)</f>
        <v>0</v>
      </c>
      <c r="D927" s="122">
        <f t="shared" si="14"/>
        <v>0</v>
      </c>
      <c r="E927" s="121">
        <f>ROUND(D927*'FR_Mantenimiento tasas'!$C$48/360,5)</f>
        <v>0</v>
      </c>
      <c r="F927" s="121">
        <f>ROUND(D927*'FR_Mantenimiento tasas'!$D$48/360,5)</f>
        <v>0</v>
      </c>
    </row>
    <row r="928" spans="1:6">
      <c r="A928" s="123">
        <f>IF(OR(A927='F-Ahorro Futuro Decimos'!$H$16,A927=""),"",IF(A927+1&gt;'F-Ahorro Futuro Decimos'!$H$16,'F-Ahorro Futuro Decimos'!$H$16,A927+1))</f>
        <v>926</v>
      </c>
      <c r="B928" s="122">
        <f>IFERROR(IF(DAY($A928)=DAY('F-Ahorro Futuro Decimos'!$H$15),'F-Ahorro Futuro Decimos'!$H$14,0),0)</f>
        <v>0</v>
      </c>
      <c r="C928" s="122">
        <f>IF(A928='F-Ahorro Futuro Decimos'!$H$18,'F-Ahorro Futuro Decimos'!$H$20,0)</f>
        <v>0</v>
      </c>
      <c r="D928" s="122">
        <f t="shared" si="14"/>
        <v>0</v>
      </c>
      <c r="E928" s="121">
        <f>ROUND(D928*'FR_Mantenimiento tasas'!$C$48/360,5)</f>
        <v>0</v>
      </c>
      <c r="F928" s="121">
        <f>ROUND(D928*'FR_Mantenimiento tasas'!$D$48/360,5)</f>
        <v>0</v>
      </c>
    </row>
    <row r="929" spans="1:6">
      <c r="A929" s="123">
        <f>IF(OR(A928='F-Ahorro Futuro Decimos'!$H$16,A928=""),"",IF(A928+1&gt;'F-Ahorro Futuro Decimos'!$H$16,'F-Ahorro Futuro Decimos'!$H$16,A928+1))</f>
        <v>927</v>
      </c>
      <c r="B929" s="122">
        <f>IFERROR(IF(DAY($A929)=DAY('F-Ahorro Futuro Decimos'!$H$15),'F-Ahorro Futuro Decimos'!$H$14,0),0)</f>
        <v>0</v>
      </c>
      <c r="C929" s="122">
        <f>IF(A929='F-Ahorro Futuro Decimos'!$H$18,'F-Ahorro Futuro Decimos'!$H$20,0)</f>
        <v>0</v>
      </c>
      <c r="D929" s="122">
        <f t="shared" si="14"/>
        <v>0</v>
      </c>
      <c r="E929" s="121">
        <f>ROUND(D929*'FR_Mantenimiento tasas'!$C$48/360,5)</f>
        <v>0</v>
      </c>
      <c r="F929" s="121">
        <f>ROUND(D929*'FR_Mantenimiento tasas'!$D$48/360,5)</f>
        <v>0</v>
      </c>
    </row>
    <row r="930" spans="1:6">
      <c r="A930" s="123">
        <f>IF(OR(A929='F-Ahorro Futuro Decimos'!$H$16,A929=""),"",IF(A929+1&gt;'F-Ahorro Futuro Decimos'!$H$16,'F-Ahorro Futuro Decimos'!$H$16,A929+1))</f>
        <v>928</v>
      </c>
      <c r="B930" s="122">
        <f>IFERROR(IF(DAY($A930)=DAY('F-Ahorro Futuro Decimos'!$H$15),'F-Ahorro Futuro Decimos'!$H$14,0),0)</f>
        <v>0</v>
      </c>
      <c r="C930" s="122">
        <f>IF(A930='F-Ahorro Futuro Decimos'!$H$18,'F-Ahorro Futuro Decimos'!$H$20,0)</f>
        <v>0</v>
      </c>
      <c r="D930" s="122">
        <f t="shared" si="14"/>
        <v>0</v>
      </c>
      <c r="E930" s="121">
        <f>ROUND(D930*'FR_Mantenimiento tasas'!$C$48/360,5)</f>
        <v>0</v>
      </c>
      <c r="F930" s="121">
        <f>ROUND(D930*'FR_Mantenimiento tasas'!$D$48/360,5)</f>
        <v>0</v>
      </c>
    </row>
    <row r="931" spans="1:6">
      <c r="A931" s="123">
        <f>IF(OR(A930='F-Ahorro Futuro Decimos'!$H$16,A930=""),"",IF(A930+1&gt;'F-Ahorro Futuro Decimos'!$H$16,'F-Ahorro Futuro Decimos'!$H$16,A930+1))</f>
        <v>929</v>
      </c>
      <c r="B931" s="122">
        <f>IFERROR(IF(DAY($A931)=DAY('F-Ahorro Futuro Decimos'!$H$15),'F-Ahorro Futuro Decimos'!$H$14,0),0)</f>
        <v>0</v>
      </c>
      <c r="C931" s="122">
        <f>IF(A931='F-Ahorro Futuro Decimos'!$H$18,'F-Ahorro Futuro Decimos'!$H$20,0)</f>
        <v>0</v>
      </c>
      <c r="D931" s="122">
        <f t="shared" si="14"/>
        <v>0</v>
      </c>
      <c r="E931" s="121">
        <f>ROUND(D931*'FR_Mantenimiento tasas'!$C$48/360,5)</f>
        <v>0</v>
      </c>
      <c r="F931" s="121">
        <f>ROUND(D931*'FR_Mantenimiento tasas'!$D$48/360,5)</f>
        <v>0</v>
      </c>
    </row>
    <row r="932" spans="1:6">
      <c r="A932" s="123">
        <f>IF(OR(A931='F-Ahorro Futuro Decimos'!$H$16,A931=""),"",IF(A931+1&gt;'F-Ahorro Futuro Decimos'!$H$16,'F-Ahorro Futuro Decimos'!$H$16,A931+1))</f>
        <v>930</v>
      </c>
      <c r="B932" s="122">
        <f>IFERROR(IF(DAY($A932)=DAY('F-Ahorro Futuro Decimos'!$H$15),'F-Ahorro Futuro Decimos'!$H$14,0),0)</f>
        <v>0</v>
      </c>
      <c r="C932" s="122">
        <f>IF(A932='F-Ahorro Futuro Decimos'!$H$18,'F-Ahorro Futuro Decimos'!$H$20,0)</f>
        <v>0</v>
      </c>
      <c r="D932" s="122">
        <f t="shared" si="14"/>
        <v>0</v>
      </c>
      <c r="E932" s="121">
        <f>ROUND(D932*'FR_Mantenimiento tasas'!$C$48/360,5)</f>
        <v>0</v>
      </c>
      <c r="F932" s="121">
        <f>ROUND(D932*'FR_Mantenimiento tasas'!$D$48/360,5)</f>
        <v>0</v>
      </c>
    </row>
    <row r="933" spans="1:6">
      <c r="A933" s="123">
        <f>IF(OR(A932='F-Ahorro Futuro Decimos'!$H$16,A932=""),"",IF(A932+1&gt;'F-Ahorro Futuro Decimos'!$H$16,'F-Ahorro Futuro Decimos'!$H$16,A932+1))</f>
        <v>931</v>
      </c>
      <c r="B933" s="122">
        <f>IFERROR(IF(DAY($A933)=DAY('F-Ahorro Futuro Decimos'!$H$15),'F-Ahorro Futuro Decimos'!$H$14,0),0)</f>
        <v>0</v>
      </c>
      <c r="C933" s="122">
        <f>IF(A933='F-Ahorro Futuro Decimos'!$H$18,'F-Ahorro Futuro Decimos'!$H$20,0)</f>
        <v>0</v>
      </c>
      <c r="D933" s="122">
        <f t="shared" si="14"/>
        <v>0</v>
      </c>
      <c r="E933" s="121">
        <f>ROUND(D933*'FR_Mantenimiento tasas'!$C$48/360,5)</f>
        <v>0</v>
      </c>
      <c r="F933" s="121">
        <f>ROUND(D933*'FR_Mantenimiento tasas'!$D$48/360,5)</f>
        <v>0</v>
      </c>
    </row>
    <row r="934" spans="1:6">
      <c r="A934" s="123">
        <f>IF(OR(A933='F-Ahorro Futuro Decimos'!$H$16,A933=""),"",IF(A933+1&gt;'F-Ahorro Futuro Decimos'!$H$16,'F-Ahorro Futuro Decimos'!$H$16,A933+1))</f>
        <v>932</v>
      </c>
      <c r="B934" s="122">
        <f>IFERROR(IF(DAY($A934)=DAY('F-Ahorro Futuro Decimos'!$H$15),'F-Ahorro Futuro Decimos'!$H$14,0),0)</f>
        <v>0</v>
      </c>
      <c r="C934" s="122">
        <f>IF(A934='F-Ahorro Futuro Decimos'!$H$18,'F-Ahorro Futuro Decimos'!$H$20,0)</f>
        <v>0</v>
      </c>
      <c r="D934" s="122">
        <f t="shared" si="14"/>
        <v>0</v>
      </c>
      <c r="E934" s="121">
        <f>ROUND(D934*'FR_Mantenimiento tasas'!$C$48/360,5)</f>
        <v>0</v>
      </c>
      <c r="F934" s="121">
        <f>ROUND(D934*'FR_Mantenimiento tasas'!$D$48/360,5)</f>
        <v>0</v>
      </c>
    </row>
    <row r="935" spans="1:6">
      <c r="A935" s="123">
        <f>IF(OR(A934='F-Ahorro Futuro Decimos'!$H$16,A934=""),"",IF(A934+1&gt;'F-Ahorro Futuro Decimos'!$H$16,'F-Ahorro Futuro Decimos'!$H$16,A934+1))</f>
        <v>933</v>
      </c>
      <c r="B935" s="122">
        <f>IFERROR(IF(DAY($A935)=DAY('F-Ahorro Futuro Decimos'!$H$15),'F-Ahorro Futuro Decimos'!$H$14,0),0)</f>
        <v>0</v>
      </c>
      <c r="C935" s="122">
        <f>IF(A935='F-Ahorro Futuro Decimos'!$H$18,'F-Ahorro Futuro Decimos'!$H$20,0)</f>
        <v>0</v>
      </c>
      <c r="D935" s="122">
        <f t="shared" si="14"/>
        <v>0</v>
      </c>
      <c r="E935" s="121">
        <f>ROUND(D935*'FR_Mantenimiento tasas'!$C$48/360,5)</f>
        <v>0</v>
      </c>
      <c r="F935" s="121">
        <f>ROUND(D935*'FR_Mantenimiento tasas'!$D$48/360,5)</f>
        <v>0</v>
      </c>
    </row>
    <row r="936" spans="1:6">
      <c r="A936" s="123">
        <f>IF(OR(A935='F-Ahorro Futuro Decimos'!$H$16,A935=""),"",IF(A935+1&gt;'F-Ahorro Futuro Decimos'!$H$16,'F-Ahorro Futuro Decimos'!$H$16,A935+1))</f>
        <v>934</v>
      </c>
      <c r="B936" s="122">
        <f>IFERROR(IF(DAY($A936)=DAY('F-Ahorro Futuro Decimos'!$H$15),'F-Ahorro Futuro Decimos'!$H$14,0),0)</f>
        <v>0</v>
      </c>
      <c r="C936" s="122">
        <f>IF(A936='F-Ahorro Futuro Decimos'!$H$18,'F-Ahorro Futuro Decimos'!$H$20,0)</f>
        <v>0</v>
      </c>
      <c r="D936" s="122">
        <f t="shared" si="14"/>
        <v>0</v>
      </c>
      <c r="E936" s="121">
        <f>ROUND(D936*'FR_Mantenimiento tasas'!$C$48/360,5)</f>
        <v>0</v>
      </c>
      <c r="F936" s="121">
        <f>ROUND(D936*'FR_Mantenimiento tasas'!$D$48/360,5)</f>
        <v>0</v>
      </c>
    </row>
    <row r="937" spans="1:6">
      <c r="A937" s="123">
        <f>IF(OR(A936='F-Ahorro Futuro Decimos'!$H$16,A936=""),"",IF(A936+1&gt;'F-Ahorro Futuro Decimos'!$H$16,'F-Ahorro Futuro Decimos'!$H$16,A936+1))</f>
        <v>935</v>
      </c>
      <c r="B937" s="122">
        <f>IFERROR(IF(DAY($A937)=DAY('F-Ahorro Futuro Decimos'!$H$15),'F-Ahorro Futuro Decimos'!$H$14,0),0)</f>
        <v>0</v>
      </c>
      <c r="C937" s="122">
        <f>IF(A937='F-Ahorro Futuro Decimos'!$H$18,'F-Ahorro Futuro Decimos'!$H$20,0)</f>
        <v>0</v>
      </c>
      <c r="D937" s="122">
        <f t="shared" si="14"/>
        <v>0</v>
      </c>
      <c r="E937" s="121">
        <f>ROUND(D937*'FR_Mantenimiento tasas'!$C$48/360,5)</f>
        <v>0</v>
      </c>
      <c r="F937" s="121">
        <f>ROUND(D937*'FR_Mantenimiento tasas'!$D$48/360,5)</f>
        <v>0</v>
      </c>
    </row>
    <row r="938" spans="1:6">
      <c r="A938" s="123">
        <f>IF(OR(A937='F-Ahorro Futuro Decimos'!$H$16,A937=""),"",IF(A937+1&gt;'F-Ahorro Futuro Decimos'!$H$16,'F-Ahorro Futuro Decimos'!$H$16,A937+1))</f>
        <v>936</v>
      </c>
      <c r="B938" s="122">
        <f>IFERROR(IF(DAY($A938)=DAY('F-Ahorro Futuro Decimos'!$H$15),'F-Ahorro Futuro Decimos'!$H$14,0),0)</f>
        <v>0</v>
      </c>
      <c r="C938" s="122">
        <f>IF(A938='F-Ahorro Futuro Decimos'!$H$18,'F-Ahorro Futuro Decimos'!$H$20,0)</f>
        <v>0</v>
      </c>
      <c r="D938" s="122">
        <f t="shared" si="14"/>
        <v>0</v>
      </c>
      <c r="E938" s="121">
        <f>ROUND(D938*'FR_Mantenimiento tasas'!$C$48/360,5)</f>
        <v>0</v>
      </c>
      <c r="F938" s="121">
        <f>ROUND(D938*'FR_Mantenimiento tasas'!$D$48/360,5)</f>
        <v>0</v>
      </c>
    </row>
    <row r="939" spans="1:6">
      <c r="A939" s="123">
        <f>IF(OR(A938='F-Ahorro Futuro Decimos'!$H$16,A938=""),"",IF(A938+1&gt;'F-Ahorro Futuro Decimos'!$H$16,'F-Ahorro Futuro Decimos'!$H$16,A938+1))</f>
        <v>937</v>
      </c>
      <c r="B939" s="122">
        <f>IFERROR(IF(DAY($A939)=DAY('F-Ahorro Futuro Decimos'!$H$15),'F-Ahorro Futuro Decimos'!$H$14,0),0)</f>
        <v>0</v>
      </c>
      <c r="C939" s="122">
        <f>IF(A939='F-Ahorro Futuro Decimos'!$H$18,'F-Ahorro Futuro Decimos'!$H$20,0)</f>
        <v>0</v>
      </c>
      <c r="D939" s="122">
        <f t="shared" si="14"/>
        <v>0</v>
      </c>
      <c r="E939" s="121">
        <f>ROUND(D939*'FR_Mantenimiento tasas'!$C$48/360,5)</f>
        <v>0</v>
      </c>
      <c r="F939" s="121">
        <f>ROUND(D939*'FR_Mantenimiento tasas'!$D$48/360,5)</f>
        <v>0</v>
      </c>
    </row>
    <row r="940" spans="1:6">
      <c r="A940" s="123">
        <f>IF(OR(A939='F-Ahorro Futuro Decimos'!$H$16,A939=""),"",IF(A939+1&gt;'F-Ahorro Futuro Decimos'!$H$16,'F-Ahorro Futuro Decimos'!$H$16,A939+1))</f>
        <v>938</v>
      </c>
      <c r="B940" s="122">
        <f>IFERROR(IF(DAY($A940)=DAY('F-Ahorro Futuro Decimos'!$H$15),'F-Ahorro Futuro Decimos'!$H$14,0),0)</f>
        <v>0</v>
      </c>
      <c r="C940" s="122">
        <f>IF(A940='F-Ahorro Futuro Decimos'!$H$18,'F-Ahorro Futuro Decimos'!$H$20,0)</f>
        <v>0</v>
      </c>
      <c r="D940" s="122">
        <f t="shared" si="14"/>
        <v>0</v>
      </c>
      <c r="E940" s="121">
        <f>ROUND(D940*'FR_Mantenimiento tasas'!$C$48/360,5)</f>
        <v>0</v>
      </c>
      <c r="F940" s="121">
        <f>ROUND(D940*'FR_Mantenimiento tasas'!$D$48/360,5)</f>
        <v>0</v>
      </c>
    </row>
    <row r="941" spans="1:6">
      <c r="A941" s="123">
        <f>IF(OR(A940='F-Ahorro Futuro Decimos'!$H$16,A940=""),"",IF(A940+1&gt;'F-Ahorro Futuro Decimos'!$H$16,'F-Ahorro Futuro Decimos'!$H$16,A940+1))</f>
        <v>939</v>
      </c>
      <c r="B941" s="122">
        <f>IFERROR(IF(DAY($A941)=DAY('F-Ahorro Futuro Decimos'!$H$15),'F-Ahorro Futuro Decimos'!$H$14,0),0)</f>
        <v>0</v>
      </c>
      <c r="C941" s="122">
        <f>IF(A941='F-Ahorro Futuro Decimos'!$H$18,'F-Ahorro Futuro Decimos'!$H$20,0)</f>
        <v>0</v>
      </c>
      <c r="D941" s="122">
        <f t="shared" si="14"/>
        <v>0</v>
      </c>
      <c r="E941" s="121">
        <f>ROUND(D941*'FR_Mantenimiento tasas'!$C$48/360,5)</f>
        <v>0</v>
      </c>
      <c r="F941" s="121">
        <f>ROUND(D941*'FR_Mantenimiento tasas'!$D$48/360,5)</f>
        <v>0</v>
      </c>
    </row>
    <row r="942" spans="1:6">
      <c r="A942" s="123">
        <f>IF(OR(A941='F-Ahorro Futuro Decimos'!$H$16,A941=""),"",IF(A941+1&gt;'F-Ahorro Futuro Decimos'!$H$16,'F-Ahorro Futuro Decimos'!$H$16,A941+1))</f>
        <v>940</v>
      </c>
      <c r="B942" s="122">
        <f>IFERROR(IF(DAY($A942)=DAY('F-Ahorro Futuro Decimos'!$H$15),'F-Ahorro Futuro Decimos'!$H$14,0),0)</f>
        <v>0</v>
      </c>
      <c r="C942" s="122">
        <f>IF(A942='F-Ahorro Futuro Decimos'!$H$18,'F-Ahorro Futuro Decimos'!$H$20,0)</f>
        <v>0</v>
      </c>
      <c r="D942" s="122">
        <f t="shared" si="14"/>
        <v>0</v>
      </c>
      <c r="E942" s="121">
        <f>ROUND(D942*'FR_Mantenimiento tasas'!$C$48/360,5)</f>
        <v>0</v>
      </c>
      <c r="F942" s="121">
        <f>ROUND(D942*'FR_Mantenimiento tasas'!$D$48/360,5)</f>
        <v>0</v>
      </c>
    </row>
    <row r="943" spans="1:6">
      <c r="A943" s="123">
        <f>IF(OR(A942='F-Ahorro Futuro Decimos'!$H$16,A942=""),"",IF(A942+1&gt;'F-Ahorro Futuro Decimos'!$H$16,'F-Ahorro Futuro Decimos'!$H$16,A942+1))</f>
        <v>941</v>
      </c>
      <c r="B943" s="122">
        <f>IFERROR(IF(DAY($A943)=DAY('F-Ahorro Futuro Decimos'!$H$15),'F-Ahorro Futuro Decimos'!$H$14,0),0)</f>
        <v>0</v>
      </c>
      <c r="C943" s="122">
        <f>IF(A943='F-Ahorro Futuro Decimos'!$H$18,'F-Ahorro Futuro Decimos'!$H$20,0)</f>
        <v>0</v>
      </c>
      <c r="D943" s="122">
        <f t="shared" si="14"/>
        <v>0</v>
      </c>
      <c r="E943" s="121">
        <f>ROUND(D943*'FR_Mantenimiento tasas'!$C$48/360,5)</f>
        <v>0</v>
      </c>
      <c r="F943" s="121">
        <f>ROUND(D943*'FR_Mantenimiento tasas'!$D$48/360,5)</f>
        <v>0</v>
      </c>
    </row>
    <row r="944" spans="1:6">
      <c r="A944" s="123">
        <f>IF(OR(A943='F-Ahorro Futuro Decimos'!$H$16,A943=""),"",IF(A943+1&gt;'F-Ahorro Futuro Decimos'!$H$16,'F-Ahorro Futuro Decimos'!$H$16,A943+1))</f>
        <v>942</v>
      </c>
      <c r="B944" s="122">
        <f>IFERROR(IF(DAY($A944)=DAY('F-Ahorro Futuro Decimos'!$H$15),'F-Ahorro Futuro Decimos'!$H$14,0),0)</f>
        <v>0</v>
      </c>
      <c r="C944" s="122">
        <f>IF(A944='F-Ahorro Futuro Decimos'!$H$18,'F-Ahorro Futuro Decimos'!$H$20,0)</f>
        <v>0</v>
      </c>
      <c r="D944" s="122">
        <f t="shared" si="14"/>
        <v>0</v>
      </c>
      <c r="E944" s="121">
        <f>ROUND(D944*'FR_Mantenimiento tasas'!$C$48/360,5)</f>
        <v>0</v>
      </c>
      <c r="F944" s="121">
        <f>ROUND(D944*'FR_Mantenimiento tasas'!$D$48/360,5)</f>
        <v>0</v>
      </c>
    </row>
    <row r="945" spans="1:6">
      <c r="A945" s="123">
        <f>IF(OR(A944='F-Ahorro Futuro Decimos'!$H$16,A944=""),"",IF(A944+1&gt;'F-Ahorro Futuro Decimos'!$H$16,'F-Ahorro Futuro Decimos'!$H$16,A944+1))</f>
        <v>943</v>
      </c>
      <c r="B945" s="122">
        <f>IFERROR(IF(DAY($A945)=DAY('F-Ahorro Futuro Decimos'!$H$15),'F-Ahorro Futuro Decimos'!$H$14,0),0)</f>
        <v>0</v>
      </c>
      <c r="C945" s="122">
        <f>IF(A945='F-Ahorro Futuro Decimos'!$H$18,'F-Ahorro Futuro Decimos'!$H$20,0)</f>
        <v>0</v>
      </c>
      <c r="D945" s="122">
        <f t="shared" si="14"/>
        <v>0</v>
      </c>
      <c r="E945" s="121">
        <f>ROUND(D945*'FR_Mantenimiento tasas'!$C$48/360,5)</f>
        <v>0</v>
      </c>
      <c r="F945" s="121">
        <f>ROUND(D945*'FR_Mantenimiento tasas'!$D$48/360,5)</f>
        <v>0</v>
      </c>
    </row>
    <row r="946" spans="1:6">
      <c r="A946" s="123">
        <f>IF(OR(A945='F-Ahorro Futuro Decimos'!$H$16,A945=""),"",IF(A945+1&gt;'F-Ahorro Futuro Decimos'!$H$16,'F-Ahorro Futuro Decimos'!$H$16,A945+1))</f>
        <v>944</v>
      </c>
      <c r="B946" s="122">
        <f>IFERROR(IF(DAY($A946)=DAY('F-Ahorro Futuro Decimos'!$H$15),'F-Ahorro Futuro Decimos'!$H$14,0),0)</f>
        <v>0</v>
      </c>
      <c r="C946" s="122">
        <f>IF(A946='F-Ahorro Futuro Decimos'!$H$18,'F-Ahorro Futuro Decimos'!$H$20,0)</f>
        <v>0</v>
      </c>
      <c r="D946" s="122">
        <f t="shared" si="14"/>
        <v>0</v>
      </c>
      <c r="E946" s="121">
        <f>ROUND(D946*'FR_Mantenimiento tasas'!$C$48/360,5)</f>
        <v>0</v>
      </c>
      <c r="F946" s="121">
        <f>ROUND(D946*'FR_Mantenimiento tasas'!$D$48/360,5)</f>
        <v>0</v>
      </c>
    </row>
    <row r="947" spans="1:6">
      <c r="A947" s="123">
        <f>IF(OR(A946='F-Ahorro Futuro Decimos'!$H$16,A946=""),"",IF(A946+1&gt;'F-Ahorro Futuro Decimos'!$H$16,'F-Ahorro Futuro Decimos'!$H$16,A946+1))</f>
        <v>945</v>
      </c>
      <c r="B947" s="122">
        <f>IFERROR(IF(DAY($A947)=DAY('F-Ahorro Futuro Decimos'!$H$15),'F-Ahorro Futuro Decimos'!$H$14,0),0)</f>
        <v>0</v>
      </c>
      <c r="C947" s="122">
        <f>IF(A947='F-Ahorro Futuro Decimos'!$H$18,'F-Ahorro Futuro Decimos'!$H$20,0)</f>
        <v>0</v>
      </c>
      <c r="D947" s="122">
        <f t="shared" si="14"/>
        <v>0</v>
      </c>
      <c r="E947" s="121">
        <f>ROUND(D947*'FR_Mantenimiento tasas'!$C$48/360,5)</f>
        <v>0</v>
      </c>
      <c r="F947" s="121">
        <f>ROUND(D947*'FR_Mantenimiento tasas'!$D$48/360,5)</f>
        <v>0</v>
      </c>
    </row>
    <row r="948" spans="1:6">
      <c r="A948" s="123">
        <f>IF(OR(A947='F-Ahorro Futuro Decimos'!$H$16,A947=""),"",IF(A947+1&gt;'F-Ahorro Futuro Decimos'!$H$16,'F-Ahorro Futuro Decimos'!$H$16,A947+1))</f>
        <v>946</v>
      </c>
      <c r="B948" s="122">
        <f>IFERROR(IF(DAY($A948)=DAY('F-Ahorro Futuro Decimos'!$H$15),'F-Ahorro Futuro Decimos'!$H$14,0),0)</f>
        <v>0</v>
      </c>
      <c r="C948" s="122">
        <f>IF(A948='F-Ahorro Futuro Decimos'!$H$18,'F-Ahorro Futuro Decimos'!$H$20,0)</f>
        <v>0</v>
      </c>
      <c r="D948" s="122">
        <f t="shared" si="14"/>
        <v>0</v>
      </c>
      <c r="E948" s="121">
        <f>ROUND(D948*'FR_Mantenimiento tasas'!$C$48/360,5)</f>
        <v>0</v>
      </c>
      <c r="F948" s="121">
        <f>ROUND(D948*'FR_Mantenimiento tasas'!$D$48/360,5)</f>
        <v>0</v>
      </c>
    </row>
    <row r="949" spans="1:6">
      <c r="A949" s="123">
        <f>IF(OR(A948='F-Ahorro Futuro Decimos'!$H$16,A948=""),"",IF(A948+1&gt;'F-Ahorro Futuro Decimos'!$H$16,'F-Ahorro Futuro Decimos'!$H$16,A948+1))</f>
        <v>947</v>
      </c>
      <c r="B949" s="122">
        <f>IFERROR(IF(DAY($A949)=DAY('F-Ahorro Futuro Decimos'!$H$15),'F-Ahorro Futuro Decimos'!$H$14,0),0)</f>
        <v>0</v>
      </c>
      <c r="C949" s="122">
        <f>IF(A949='F-Ahorro Futuro Decimos'!$H$18,'F-Ahorro Futuro Decimos'!$H$20,0)</f>
        <v>0</v>
      </c>
      <c r="D949" s="122">
        <f t="shared" si="14"/>
        <v>0</v>
      </c>
      <c r="E949" s="121">
        <f>ROUND(D949*'FR_Mantenimiento tasas'!$C$48/360,5)</f>
        <v>0</v>
      </c>
      <c r="F949" s="121">
        <f>ROUND(D949*'FR_Mantenimiento tasas'!$D$48/360,5)</f>
        <v>0</v>
      </c>
    </row>
    <row r="950" spans="1:6">
      <c r="A950" s="123">
        <f>IF(OR(A949='F-Ahorro Futuro Decimos'!$H$16,A949=""),"",IF(A949+1&gt;'F-Ahorro Futuro Decimos'!$H$16,'F-Ahorro Futuro Decimos'!$H$16,A949+1))</f>
        <v>948</v>
      </c>
      <c r="B950" s="122">
        <f>IFERROR(IF(DAY($A950)=DAY('F-Ahorro Futuro Decimos'!$H$15),'F-Ahorro Futuro Decimos'!$H$14,0),0)</f>
        <v>0</v>
      </c>
      <c r="C950" s="122">
        <f>IF(A950='F-Ahorro Futuro Decimos'!$H$18,'F-Ahorro Futuro Decimos'!$H$20,0)</f>
        <v>0</v>
      </c>
      <c r="D950" s="122">
        <f t="shared" si="14"/>
        <v>0</v>
      </c>
      <c r="E950" s="121">
        <f>ROUND(D950*'FR_Mantenimiento tasas'!$C$48/360,5)</f>
        <v>0</v>
      </c>
      <c r="F950" s="121">
        <f>ROUND(D950*'FR_Mantenimiento tasas'!$D$48/360,5)</f>
        <v>0</v>
      </c>
    </row>
    <row r="951" spans="1:6">
      <c r="A951" s="123">
        <f>IF(OR(A950='F-Ahorro Futuro Decimos'!$H$16,A950=""),"",IF(A950+1&gt;'F-Ahorro Futuro Decimos'!$H$16,'F-Ahorro Futuro Decimos'!$H$16,A950+1))</f>
        <v>949</v>
      </c>
      <c r="B951" s="122">
        <f>IFERROR(IF(DAY($A951)=DAY('F-Ahorro Futuro Decimos'!$H$15),'F-Ahorro Futuro Decimos'!$H$14,0),0)</f>
        <v>0</v>
      </c>
      <c r="C951" s="122">
        <f>IF(A951='F-Ahorro Futuro Decimos'!$H$18,'F-Ahorro Futuro Decimos'!$H$20,0)</f>
        <v>0</v>
      </c>
      <c r="D951" s="122">
        <f t="shared" si="14"/>
        <v>0</v>
      </c>
      <c r="E951" s="121">
        <f>ROUND(D951*'FR_Mantenimiento tasas'!$C$48/360,5)</f>
        <v>0</v>
      </c>
      <c r="F951" s="121">
        <f>ROUND(D951*'FR_Mantenimiento tasas'!$D$48/360,5)</f>
        <v>0</v>
      </c>
    </row>
    <row r="952" spans="1:6">
      <c r="A952" s="123">
        <f>IF(OR(A951='F-Ahorro Futuro Decimos'!$H$16,A951=""),"",IF(A951+1&gt;'F-Ahorro Futuro Decimos'!$H$16,'F-Ahorro Futuro Decimos'!$H$16,A951+1))</f>
        <v>950</v>
      </c>
      <c r="B952" s="122">
        <f>IFERROR(IF(DAY($A952)=DAY('F-Ahorro Futuro Decimos'!$H$15),'F-Ahorro Futuro Decimos'!$H$14,0),0)</f>
        <v>0</v>
      </c>
      <c r="C952" s="122">
        <f>IF(A952='F-Ahorro Futuro Decimos'!$H$18,'F-Ahorro Futuro Decimos'!$H$20,0)</f>
        <v>0</v>
      </c>
      <c r="D952" s="122">
        <f t="shared" si="14"/>
        <v>0</v>
      </c>
      <c r="E952" s="121">
        <f>ROUND(D952*'FR_Mantenimiento tasas'!$C$48/360,5)</f>
        <v>0</v>
      </c>
      <c r="F952" s="121">
        <f>ROUND(D952*'FR_Mantenimiento tasas'!$D$48/360,5)</f>
        <v>0</v>
      </c>
    </row>
    <row r="953" spans="1:6">
      <c r="A953" s="123">
        <f>IF(OR(A952='F-Ahorro Futuro Decimos'!$H$16,A952=""),"",IF(A952+1&gt;'F-Ahorro Futuro Decimos'!$H$16,'F-Ahorro Futuro Decimos'!$H$16,A952+1))</f>
        <v>951</v>
      </c>
      <c r="B953" s="122">
        <f>IFERROR(IF(DAY($A953)=DAY('F-Ahorro Futuro Decimos'!$H$15),'F-Ahorro Futuro Decimos'!$H$14,0),0)</f>
        <v>0</v>
      </c>
      <c r="C953" s="122">
        <f>IF(A953='F-Ahorro Futuro Decimos'!$H$18,'F-Ahorro Futuro Decimos'!$H$20,0)</f>
        <v>0</v>
      </c>
      <c r="D953" s="122">
        <f t="shared" si="14"/>
        <v>0</v>
      </c>
      <c r="E953" s="121">
        <f>ROUND(D953*'FR_Mantenimiento tasas'!$C$48/360,5)</f>
        <v>0</v>
      </c>
      <c r="F953" s="121">
        <f>ROUND(D953*'FR_Mantenimiento tasas'!$D$48/360,5)</f>
        <v>0</v>
      </c>
    </row>
    <row r="954" spans="1:6">
      <c r="A954" s="123">
        <f>IF(OR(A953='F-Ahorro Futuro Decimos'!$H$16,A953=""),"",IF(A953+1&gt;'F-Ahorro Futuro Decimos'!$H$16,'F-Ahorro Futuro Decimos'!$H$16,A953+1))</f>
        <v>952</v>
      </c>
      <c r="B954" s="122">
        <f>IFERROR(IF(DAY($A954)=DAY('F-Ahorro Futuro Decimos'!$H$15),'F-Ahorro Futuro Decimos'!$H$14,0),0)</f>
        <v>0</v>
      </c>
      <c r="C954" s="122">
        <f>IF(A954='F-Ahorro Futuro Decimos'!$H$18,'F-Ahorro Futuro Decimos'!$H$20,0)</f>
        <v>0</v>
      </c>
      <c r="D954" s="122">
        <f t="shared" si="14"/>
        <v>0</v>
      </c>
      <c r="E954" s="121">
        <f>ROUND(D954*'FR_Mantenimiento tasas'!$C$48/360,5)</f>
        <v>0</v>
      </c>
      <c r="F954" s="121">
        <f>ROUND(D954*'FR_Mantenimiento tasas'!$D$48/360,5)</f>
        <v>0</v>
      </c>
    </row>
    <row r="955" spans="1:6">
      <c r="A955" s="123">
        <f>IF(OR(A954='F-Ahorro Futuro Decimos'!$H$16,A954=""),"",IF(A954+1&gt;'F-Ahorro Futuro Decimos'!$H$16,'F-Ahorro Futuro Decimos'!$H$16,A954+1))</f>
        <v>953</v>
      </c>
      <c r="B955" s="122">
        <f>IFERROR(IF(DAY($A955)=DAY('F-Ahorro Futuro Decimos'!$H$15),'F-Ahorro Futuro Decimos'!$H$14,0),0)</f>
        <v>0</v>
      </c>
      <c r="C955" s="122">
        <f>IF(A955='F-Ahorro Futuro Decimos'!$H$18,'F-Ahorro Futuro Decimos'!$H$20,0)</f>
        <v>0</v>
      </c>
      <c r="D955" s="122">
        <f t="shared" si="14"/>
        <v>0</v>
      </c>
      <c r="E955" s="121">
        <f>ROUND(D955*'FR_Mantenimiento tasas'!$C$48/360,5)</f>
        <v>0</v>
      </c>
      <c r="F955" s="121">
        <f>ROUND(D955*'FR_Mantenimiento tasas'!$D$48/360,5)</f>
        <v>0</v>
      </c>
    </row>
    <row r="956" spans="1:6">
      <c r="A956" s="123">
        <f>IF(OR(A955='F-Ahorro Futuro Decimos'!$H$16,A955=""),"",IF(A955+1&gt;'F-Ahorro Futuro Decimos'!$H$16,'F-Ahorro Futuro Decimos'!$H$16,A955+1))</f>
        <v>954</v>
      </c>
      <c r="B956" s="122">
        <f>IFERROR(IF(DAY($A956)=DAY('F-Ahorro Futuro Decimos'!$H$15),'F-Ahorro Futuro Decimos'!$H$14,0),0)</f>
        <v>0</v>
      </c>
      <c r="C956" s="122">
        <f>IF(A956='F-Ahorro Futuro Decimos'!$H$18,'F-Ahorro Futuro Decimos'!$H$20,0)</f>
        <v>0</v>
      </c>
      <c r="D956" s="122">
        <f t="shared" si="14"/>
        <v>0</v>
      </c>
      <c r="E956" s="121">
        <f>ROUND(D956*'FR_Mantenimiento tasas'!$C$48/360,5)</f>
        <v>0</v>
      </c>
      <c r="F956" s="121">
        <f>ROUND(D956*'FR_Mantenimiento tasas'!$D$48/360,5)</f>
        <v>0</v>
      </c>
    </row>
    <row r="957" spans="1:6">
      <c r="A957" s="123">
        <f>IF(OR(A956='F-Ahorro Futuro Decimos'!$H$16,A956=""),"",IF(A956+1&gt;'F-Ahorro Futuro Decimos'!$H$16,'F-Ahorro Futuro Decimos'!$H$16,A956+1))</f>
        <v>955</v>
      </c>
      <c r="B957" s="122">
        <f>IFERROR(IF(DAY($A957)=DAY('F-Ahorro Futuro Decimos'!$H$15),'F-Ahorro Futuro Decimos'!$H$14,0),0)</f>
        <v>0</v>
      </c>
      <c r="C957" s="122">
        <f>IF(A957='F-Ahorro Futuro Decimos'!$H$18,'F-Ahorro Futuro Decimos'!$H$20,0)</f>
        <v>0</v>
      </c>
      <c r="D957" s="122">
        <f t="shared" si="14"/>
        <v>0</v>
      </c>
      <c r="E957" s="121">
        <f>ROUND(D957*'FR_Mantenimiento tasas'!$C$48/360,5)</f>
        <v>0</v>
      </c>
      <c r="F957" s="121">
        <f>ROUND(D957*'FR_Mantenimiento tasas'!$D$48/360,5)</f>
        <v>0</v>
      </c>
    </row>
    <row r="958" spans="1:6">
      <c r="A958" s="123">
        <f>IF(OR(A957='F-Ahorro Futuro Decimos'!$H$16,A957=""),"",IF(A957+1&gt;'F-Ahorro Futuro Decimos'!$H$16,'F-Ahorro Futuro Decimos'!$H$16,A957+1))</f>
        <v>956</v>
      </c>
      <c r="B958" s="122">
        <f>IFERROR(IF(DAY($A958)=DAY('F-Ahorro Futuro Decimos'!$H$15),'F-Ahorro Futuro Decimos'!$H$14,0),0)</f>
        <v>0</v>
      </c>
      <c r="C958" s="122">
        <f>IF(A958='F-Ahorro Futuro Decimos'!$H$18,'F-Ahorro Futuro Decimos'!$H$20,0)</f>
        <v>0</v>
      </c>
      <c r="D958" s="122">
        <f t="shared" si="14"/>
        <v>0</v>
      </c>
      <c r="E958" s="121">
        <f>ROUND(D958*'FR_Mantenimiento tasas'!$C$48/360,5)</f>
        <v>0</v>
      </c>
      <c r="F958" s="121">
        <f>ROUND(D958*'FR_Mantenimiento tasas'!$D$48/360,5)</f>
        <v>0</v>
      </c>
    </row>
    <row r="959" spans="1:6">
      <c r="A959" s="123">
        <f>IF(OR(A958='F-Ahorro Futuro Decimos'!$H$16,A958=""),"",IF(A958+1&gt;'F-Ahorro Futuro Decimos'!$H$16,'F-Ahorro Futuro Decimos'!$H$16,A958+1))</f>
        <v>957</v>
      </c>
      <c r="B959" s="122">
        <f>IFERROR(IF(DAY($A959)=DAY('F-Ahorro Futuro Decimos'!$H$15),'F-Ahorro Futuro Decimos'!$H$14,0),0)</f>
        <v>0</v>
      </c>
      <c r="C959" s="122">
        <f>IF(A959='F-Ahorro Futuro Decimos'!$H$18,'F-Ahorro Futuro Decimos'!$H$20,0)</f>
        <v>0</v>
      </c>
      <c r="D959" s="122">
        <f t="shared" si="14"/>
        <v>0</v>
      </c>
      <c r="E959" s="121">
        <f>ROUND(D959*'FR_Mantenimiento tasas'!$C$48/360,5)</f>
        <v>0</v>
      </c>
      <c r="F959" s="121">
        <f>ROUND(D959*'FR_Mantenimiento tasas'!$D$48/360,5)</f>
        <v>0</v>
      </c>
    </row>
    <row r="960" spans="1:6">
      <c r="A960" s="123">
        <f>IF(OR(A959='F-Ahorro Futuro Decimos'!$H$16,A959=""),"",IF(A959+1&gt;'F-Ahorro Futuro Decimos'!$H$16,'F-Ahorro Futuro Decimos'!$H$16,A959+1))</f>
        <v>958</v>
      </c>
      <c r="B960" s="122">
        <f>IFERROR(IF(DAY($A960)=DAY('F-Ahorro Futuro Decimos'!$H$15),'F-Ahorro Futuro Decimos'!$H$14,0),0)</f>
        <v>0</v>
      </c>
      <c r="C960" s="122">
        <f>IF(A960='F-Ahorro Futuro Decimos'!$H$18,'F-Ahorro Futuro Decimos'!$H$20,0)</f>
        <v>0</v>
      </c>
      <c r="D960" s="122">
        <f t="shared" si="14"/>
        <v>0</v>
      </c>
      <c r="E960" s="121">
        <f>ROUND(D960*'FR_Mantenimiento tasas'!$C$48/360,5)</f>
        <v>0</v>
      </c>
      <c r="F960" s="121">
        <f>ROUND(D960*'FR_Mantenimiento tasas'!$D$48/360,5)</f>
        <v>0</v>
      </c>
    </row>
    <row r="961" spans="1:6">
      <c r="A961" s="123">
        <f>IF(OR(A960='F-Ahorro Futuro Decimos'!$H$16,A960=""),"",IF(A960+1&gt;'F-Ahorro Futuro Decimos'!$H$16,'F-Ahorro Futuro Decimos'!$H$16,A960+1))</f>
        <v>959</v>
      </c>
      <c r="B961" s="122">
        <f>IFERROR(IF(DAY($A961)=DAY('F-Ahorro Futuro Decimos'!$H$15),'F-Ahorro Futuro Decimos'!$H$14,0),0)</f>
        <v>0</v>
      </c>
      <c r="C961" s="122">
        <f>IF(A961='F-Ahorro Futuro Decimos'!$H$18,'F-Ahorro Futuro Decimos'!$H$20,0)</f>
        <v>0</v>
      </c>
      <c r="D961" s="122">
        <f t="shared" si="14"/>
        <v>0</v>
      </c>
      <c r="E961" s="121">
        <f>ROUND(D961*'FR_Mantenimiento tasas'!$C$48/360,5)</f>
        <v>0</v>
      </c>
      <c r="F961" s="121">
        <f>ROUND(D961*'FR_Mantenimiento tasas'!$D$48/360,5)</f>
        <v>0</v>
      </c>
    </row>
    <row r="962" spans="1:6">
      <c r="A962" s="123">
        <f>IF(OR(A961='F-Ahorro Futuro Decimos'!$H$16,A961=""),"",IF(A961+1&gt;'F-Ahorro Futuro Decimos'!$H$16,'F-Ahorro Futuro Decimos'!$H$16,A961+1))</f>
        <v>960</v>
      </c>
      <c r="B962" s="122">
        <f>IFERROR(IF(DAY($A962)=DAY('F-Ahorro Futuro Decimos'!$H$15),'F-Ahorro Futuro Decimos'!$H$14,0),0)</f>
        <v>0</v>
      </c>
      <c r="C962" s="122">
        <f>IF(A962='F-Ahorro Futuro Decimos'!$H$18,'F-Ahorro Futuro Decimos'!$H$20,0)</f>
        <v>0</v>
      </c>
      <c r="D962" s="122">
        <f t="shared" si="14"/>
        <v>0</v>
      </c>
      <c r="E962" s="121">
        <f>ROUND(D962*'FR_Mantenimiento tasas'!$C$48/360,5)</f>
        <v>0</v>
      </c>
      <c r="F962" s="121">
        <f>ROUND(D962*'FR_Mantenimiento tasas'!$D$48/360,5)</f>
        <v>0</v>
      </c>
    </row>
    <row r="963" spans="1:6">
      <c r="A963" s="123">
        <f>IF(OR(A962='F-Ahorro Futuro Decimos'!$H$16,A962=""),"",IF(A962+1&gt;'F-Ahorro Futuro Decimos'!$H$16,'F-Ahorro Futuro Decimos'!$H$16,A962+1))</f>
        <v>961</v>
      </c>
      <c r="B963" s="122">
        <f>IFERROR(IF(DAY($A963)=DAY('F-Ahorro Futuro Decimos'!$H$15),'F-Ahorro Futuro Decimos'!$H$14,0),0)</f>
        <v>0</v>
      </c>
      <c r="C963" s="122">
        <f>IF(A963='F-Ahorro Futuro Decimos'!$H$18,'F-Ahorro Futuro Decimos'!$H$20,0)</f>
        <v>0</v>
      </c>
      <c r="D963" s="122">
        <f t="shared" si="14"/>
        <v>0</v>
      </c>
      <c r="E963" s="121">
        <f>ROUND(D963*'FR_Mantenimiento tasas'!$C$48/360,5)</f>
        <v>0</v>
      </c>
      <c r="F963" s="121">
        <f>ROUND(D963*'FR_Mantenimiento tasas'!$D$48/360,5)</f>
        <v>0</v>
      </c>
    </row>
    <row r="964" spans="1:6">
      <c r="A964" s="123">
        <f>IF(OR(A963='F-Ahorro Futuro Decimos'!$H$16,A963=""),"",IF(A963+1&gt;'F-Ahorro Futuro Decimos'!$H$16,'F-Ahorro Futuro Decimos'!$H$16,A963+1))</f>
        <v>962</v>
      </c>
      <c r="B964" s="122">
        <f>IFERROR(IF(DAY($A964)=DAY('F-Ahorro Futuro Decimos'!$H$15),'F-Ahorro Futuro Decimos'!$H$14,0),0)</f>
        <v>0</v>
      </c>
      <c r="C964" s="122">
        <f>IF(A964='F-Ahorro Futuro Decimos'!$H$18,'F-Ahorro Futuro Decimos'!$H$20,0)</f>
        <v>0</v>
      </c>
      <c r="D964" s="122">
        <f t="shared" ref="D964:D1027" si="15">+B964+D963+E963-C964</f>
        <v>0</v>
      </c>
      <c r="E964" s="121">
        <f>ROUND(D964*'FR_Mantenimiento tasas'!$C$48/360,5)</f>
        <v>0</v>
      </c>
      <c r="F964" s="121">
        <f>ROUND(D964*'FR_Mantenimiento tasas'!$D$48/360,5)</f>
        <v>0</v>
      </c>
    </row>
    <row r="965" spans="1:6">
      <c r="A965" s="123">
        <f>IF(OR(A964='F-Ahorro Futuro Decimos'!$H$16,A964=""),"",IF(A964+1&gt;'F-Ahorro Futuro Decimos'!$H$16,'F-Ahorro Futuro Decimos'!$H$16,A964+1))</f>
        <v>963</v>
      </c>
      <c r="B965" s="122">
        <f>IFERROR(IF(DAY($A965)=DAY('F-Ahorro Futuro Decimos'!$H$15),'F-Ahorro Futuro Decimos'!$H$14,0),0)</f>
        <v>0</v>
      </c>
      <c r="C965" s="122">
        <f>IF(A965='F-Ahorro Futuro Decimos'!$H$18,'F-Ahorro Futuro Decimos'!$H$20,0)</f>
        <v>0</v>
      </c>
      <c r="D965" s="122">
        <f t="shared" si="15"/>
        <v>0</v>
      </c>
      <c r="E965" s="121">
        <f>ROUND(D965*'FR_Mantenimiento tasas'!$C$48/360,5)</f>
        <v>0</v>
      </c>
      <c r="F965" s="121">
        <f>ROUND(D965*'FR_Mantenimiento tasas'!$D$48/360,5)</f>
        <v>0</v>
      </c>
    </row>
    <row r="966" spans="1:6">
      <c r="A966" s="123">
        <f>IF(OR(A965='F-Ahorro Futuro Decimos'!$H$16,A965=""),"",IF(A965+1&gt;'F-Ahorro Futuro Decimos'!$H$16,'F-Ahorro Futuro Decimos'!$H$16,A965+1))</f>
        <v>964</v>
      </c>
      <c r="B966" s="122">
        <f>IFERROR(IF(DAY($A966)=DAY('F-Ahorro Futuro Decimos'!$H$15),'F-Ahorro Futuro Decimos'!$H$14,0),0)</f>
        <v>0</v>
      </c>
      <c r="C966" s="122">
        <f>IF(A966='F-Ahorro Futuro Decimos'!$H$18,'F-Ahorro Futuro Decimos'!$H$20,0)</f>
        <v>0</v>
      </c>
      <c r="D966" s="122">
        <f t="shared" si="15"/>
        <v>0</v>
      </c>
      <c r="E966" s="121">
        <f>ROUND(D966*'FR_Mantenimiento tasas'!$C$48/360,5)</f>
        <v>0</v>
      </c>
      <c r="F966" s="121">
        <f>ROUND(D966*'FR_Mantenimiento tasas'!$D$48/360,5)</f>
        <v>0</v>
      </c>
    </row>
    <row r="967" spans="1:6">
      <c r="A967" s="123">
        <f>IF(OR(A966='F-Ahorro Futuro Decimos'!$H$16,A966=""),"",IF(A966+1&gt;'F-Ahorro Futuro Decimos'!$H$16,'F-Ahorro Futuro Decimos'!$H$16,A966+1))</f>
        <v>965</v>
      </c>
      <c r="B967" s="122">
        <f>IFERROR(IF(DAY($A967)=DAY('F-Ahorro Futuro Decimos'!$H$15),'F-Ahorro Futuro Decimos'!$H$14,0),0)</f>
        <v>0</v>
      </c>
      <c r="C967" s="122">
        <f>IF(A967='F-Ahorro Futuro Decimos'!$H$18,'F-Ahorro Futuro Decimos'!$H$20,0)</f>
        <v>0</v>
      </c>
      <c r="D967" s="122">
        <f t="shared" si="15"/>
        <v>0</v>
      </c>
      <c r="E967" s="121">
        <f>ROUND(D967*'FR_Mantenimiento tasas'!$C$48/360,5)</f>
        <v>0</v>
      </c>
      <c r="F967" s="121">
        <f>ROUND(D967*'FR_Mantenimiento tasas'!$D$48/360,5)</f>
        <v>0</v>
      </c>
    </row>
    <row r="968" spans="1:6">
      <c r="A968" s="123">
        <f>IF(OR(A967='F-Ahorro Futuro Decimos'!$H$16,A967=""),"",IF(A967+1&gt;'F-Ahorro Futuro Decimos'!$H$16,'F-Ahorro Futuro Decimos'!$H$16,A967+1))</f>
        <v>966</v>
      </c>
      <c r="B968" s="122">
        <f>IFERROR(IF(DAY($A968)=DAY('F-Ahorro Futuro Decimos'!$H$15),'F-Ahorro Futuro Decimos'!$H$14,0),0)</f>
        <v>0</v>
      </c>
      <c r="C968" s="122">
        <f>IF(A968='F-Ahorro Futuro Decimos'!$H$18,'F-Ahorro Futuro Decimos'!$H$20,0)</f>
        <v>0</v>
      </c>
      <c r="D968" s="122">
        <f t="shared" si="15"/>
        <v>0</v>
      </c>
      <c r="E968" s="121">
        <f>ROUND(D968*'FR_Mantenimiento tasas'!$C$48/360,5)</f>
        <v>0</v>
      </c>
      <c r="F968" s="121">
        <f>ROUND(D968*'FR_Mantenimiento tasas'!$D$48/360,5)</f>
        <v>0</v>
      </c>
    </row>
    <row r="969" spans="1:6">
      <c r="A969" s="123">
        <f>IF(OR(A968='F-Ahorro Futuro Decimos'!$H$16,A968=""),"",IF(A968+1&gt;'F-Ahorro Futuro Decimos'!$H$16,'F-Ahorro Futuro Decimos'!$H$16,A968+1))</f>
        <v>967</v>
      </c>
      <c r="B969" s="122">
        <f>IFERROR(IF(DAY($A969)=DAY('F-Ahorro Futuro Decimos'!$H$15),'F-Ahorro Futuro Decimos'!$H$14,0),0)</f>
        <v>0</v>
      </c>
      <c r="C969" s="122">
        <f>IF(A969='F-Ahorro Futuro Decimos'!$H$18,'F-Ahorro Futuro Decimos'!$H$20,0)</f>
        <v>0</v>
      </c>
      <c r="D969" s="122">
        <f t="shared" si="15"/>
        <v>0</v>
      </c>
      <c r="E969" s="121">
        <f>ROUND(D969*'FR_Mantenimiento tasas'!$C$48/360,5)</f>
        <v>0</v>
      </c>
      <c r="F969" s="121">
        <f>ROUND(D969*'FR_Mantenimiento tasas'!$D$48/360,5)</f>
        <v>0</v>
      </c>
    </row>
    <row r="970" spans="1:6">
      <c r="A970" s="123">
        <f>IF(OR(A969='F-Ahorro Futuro Decimos'!$H$16,A969=""),"",IF(A969+1&gt;'F-Ahorro Futuro Decimos'!$H$16,'F-Ahorro Futuro Decimos'!$H$16,A969+1))</f>
        <v>968</v>
      </c>
      <c r="B970" s="122">
        <f>IFERROR(IF(DAY($A970)=DAY('F-Ahorro Futuro Decimos'!$H$15),'F-Ahorro Futuro Decimos'!$H$14,0),0)</f>
        <v>0</v>
      </c>
      <c r="C970" s="122">
        <f>IF(A970='F-Ahorro Futuro Decimos'!$H$18,'F-Ahorro Futuro Decimos'!$H$20,0)</f>
        <v>0</v>
      </c>
      <c r="D970" s="122">
        <f t="shared" si="15"/>
        <v>0</v>
      </c>
      <c r="E970" s="121">
        <f>ROUND(D970*'FR_Mantenimiento tasas'!$C$48/360,5)</f>
        <v>0</v>
      </c>
      <c r="F970" s="121">
        <f>ROUND(D970*'FR_Mantenimiento tasas'!$D$48/360,5)</f>
        <v>0</v>
      </c>
    </row>
    <row r="971" spans="1:6">
      <c r="A971" s="123">
        <f>IF(OR(A970='F-Ahorro Futuro Decimos'!$H$16,A970=""),"",IF(A970+1&gt;'F-Ahorro Futuro Decimos'!$H$16,'F-Ahorro Futuro Decimos'!$H$16,A970+1))</f>
        <v>969</v>
      </c>
      <c r="B971" s="122">
        <f>IFERROR(IF(DAY($A971)=DAY('F-Ahorro Futuro Decimos'!$H$15),'F-Ahorro Futuro Decimos'!$H$14,0),0)</f>
        <v>0</v>
      </c>
      <c r="C971" s="122">
        <f>IF(A971='F-Ahorro Futuro Decimos'!$H$18,'F-Ahorro Futuro Decimos'!$H$20,0)</f>
        <v>0</v>
      </c>
      <c r="D971" s="122">
        <f t="shared" si="15"/>
        <v>0</v>
      </c>
      <c r="E971" s="121">
        <f>ROUND(D971*'FR_Mantenimiento tasas'!$C$48/360,5)</f>
        <v>0</v>
      </c>
      <c r="F971" s="121">
        <f>ROUND(D971*'FR_Mantenimiento tasas'!$D$48/360,5)</f>
        <v>0</v>
      </c>
    </row>
    <row r="972" spans="1:6">
      <c r="A972" s="123">
        <f>IF(OR(A971='F-Ahorro Futuro Decimos'!$H$16,A971=""),"",IF(A971+1&gt;'F-Ahorro Futuro Decimos'!$H$16,'F-Ahorro Futuro Decimos'!$H$16,A971+1))</f>
        <v>970</v>
      </c>
      <c r="B972" s="122">
        <f>IFERROR(IF(DAY($A972)=DAY('F-Ahorro Futuro Decimos'!$H$15),'F-Ahorro Futuro Decimos'!$H$14,0),0)</f>
        <v>0</v>
      </c>
      <c r="C972" s="122">
        <f>IF(A972='F-Ahorro Futuro Decimos'!$H$18,'F-Ahorro Futuro Decimos'!$H$20,0)</f>
        <v>0</v>
      </c>
      <c r="D972" s="122">
        <f t="shared" si="15"/>
        <v>0</v>
      </c>
      <c r="E972" s="121">
        <f>ROUND(D972*'FR_Mantenimiento tasas'!$C$48/360,5)</f>
        <v>0</v>
      </c>
      <c r="F972" s="121">
        <f>ROUND(D972*'FR_Mantenimiento tasas'!$D$48/360,5)</f>
        <v>0</v>
      </c>
    </row>
    <row r="973" spans="1:6">
      <c r="A973" s="123">
        <f>IF(OR(A972='F-Ahorro Futuro Decimos'!$H$16,A972=""),"",IF(A972+1&gt;'F-Ahorro Futuro Decimos'!$H$16,'F-Ahorro Futuro Decimos'!$H$16,A972+1))</f>
        <v>971</v>
      </c>
      <c r="B973" s="122">
        <f>IFERROR(IF(DAY($A973)=DAY('F-Ahorro Futuro Decimos'!$H$15),'F-Ahorro Futuro Decimos'!$H$14,0),0)</f>
        <v>0</v>
      </c>
      <c r="C973" s="122">
        <f>IF(A973='F-Ahorro Futuro Decimos'!$H$18,'F-Ahorro Futuro Decimos'!$H$20,0)</f>
        <v>0</v>
      </c>
      <c r="D973" s="122">
        <f t="shared" si="15"/>
        <v>0</v>
      </c>
      <c r="E973" s="121">
        <f>ROUND(D973*'FR_Mantenimiento tasas'!$C$48/360,5)</f>
        <v>0</v>
      </c>
      <c r="F973" s="121">
        <f>ROUND(D973*'FR_Mantenimiento tasas'!$D$48/360,5)</f>
        <v>0</v>
      </c>
    </row>
    <row r="974" spans="1:6">
      <c r="A974" s="123">
        <f>IF(OR(A973='F-Ahorro Futuro Decimos'!$H$16,A973=""),"",IF(A973+1&gt;'F-Ahorro Futuro Decimos'!$H$16,'F-Ahorro Futuro Decimos'!$H$16,A973+1))</f>
        <v>972</v>
      </c>
      <c r="B974" s="122">
        <f>IFERROR(IF(DAY($A974)=DAY('F-Ahorro Futuro Decimos'!$H$15),'F-Ahorro Futuro Decimos'!$H$14,0),0)</f>
        <v>0</v>
      </c>
      <c r="C974" s="122">
        <f>IF(A974='F-Ahorro Futuro Decimos'!$H$18,'F-Ahorro Futuro Decimos'!$H$20,0)</f>
        <v>0</v>
      </c>
      <c r="D974" s="122">
        <f t="shared" si="15"/>
        <v>0</v>
      </c>
      <c r="E974" s="121">
        <f>ROUND(D974*'FR_Mantenimiento tasas'!$C$48/360,5)</f>
        <v>0</v>
      </c>
      <c r="F974" s="121">
        <f>ROUND(D974*'FR_Mantenimiento tasas'!$D$48/360,5)</f>
        <v>0</v>
      </c>
    </row>
    <row r="975" spans="1:6">
      <c r="A975" s="123">
        <f>IF(OR(A974='F-Ahorro Futuro Decimos'!$H$16,A974=""),"",IF(A974+1&gt;'F-Ahorro Futuro Decimos'!$H$16,'F-Ahorro Futuro Decimos'!$H$16,A974+1))</f>
        <v>973</v>
      </c>
      <c r="B975" s="122">
        <f>IFERROR(IF(DAY($A975)=DAY('F-Ahorro Futuro Decimos'!$H$15),'F-Ahorro Futuro Decimos'!$H$14,0),0)</f>
        <v>0</v>
      </c>
      <c r="C975" s="122">
        <f>IF(A975='F-Ahorro Futuro Decimos'!$H$18,'F-Ahorro Futuro Decimos'!$H$20,0)</f>
        <v>0</v>
      </c>
      <c r="D975" s="122">
        <f t="shared" si="15"/>
        <v>0</v>
      </c>
      <c r="E975" s="121">
        <f>ROUND(D975*'FR_Mantenimiento tasas'!$C$48/360,5)</f>
        <v>0</v>
      </c>
      <c r="F975" s="121">
        <f>ROUND(D975*'FR_Mantenimiento tasas'!$D$48/360,5)</f>
        <v>0</v>
      </c>
    </row>
    <row r="976" spans="1:6">
      <c r="A976" s="123">
        <f>IF(OR(A975='F-Ahorro Futuro Decimos'!$H$16,A975=""),"",IF(A975+1&gt;'F-Ahorro Futuro Decimos'!$H$16,'F-Ahorro Futuro Decimos'!$H$16,A975+1))</f>
        <v>974</v>
      </c>
      <c r="B976" s="122">
        <f>IFERROR(IF(DAY($A976)=DAY('F-Ahorro Futuro Decimos'!$H$15),'F-Ahorro Futuro Decimos'!$H$14,0),0)</f>
        <v>0</v>
      </c>
      <c r="C976" s="122">
        <f>IF(A976='F-Ahorro Futuro Decimos'!$H$18,'F-Ahorro Futuro Decimos'!$H$20,0)</f>
        <v>0</v>
      </c>
      <c r="D976" s="122">
        <f t="shared" si="15"/>
        <v>0</v>
      </c>
      <c r="E976" s="121">
        <f>ROUND(D976*'FR_Mantenimiento tasas'!$C$48/360,5)</f>
        <v>0</v>
      </c>
      <c r="F976" s="121">
        <f>ROUND(D976*'FR_Mantenimiento tasas'!$D$48/360,5)</f>
        <v>0</v>
      </c>
    </row>
    <row r="977" spans="1:6">
      <c r="A977" s="123">
        <f>IF(OR(A976='F-Ahorro Futuro Decimos'!$H$16,A976=""),"",IF(A976+1&gt;'F-Ahorro Futuro Decimos'!$H$16,'F-Ahorro Futuro Decimos'!$H$16,A976+1))</f>
        <v>975</v>
      </c>
      <c r="B977" s="122">
        <f>IFERROR(IF(DAY($A977)=DAY('F-Ahorro Futuro Decimos'!$H$15),'F-Ahorro Futuro Decimos'!$H$14,0),0)</f>
        <v>0</v>
      </c>
      <c r="C977" s="122">
        <f>IF(A977='F-Ahorro Futuro Decimos'!$H$18,'F-Ahorro Futuro Decimos'!$H$20,0)</f>
        <v>0</v>
      </c>
      <c r="D977" s="122">
        <f t="shared" si="15"/>
        <v>0</v>
      </c>
      <c r="E977" s="121">
        <f>ROUND(D977*'FR_Mantenimiento tasas'!$C$48/360,5)</f>
        <v>0</v>
      </c>
      <c r="F977" s="121">
        <f>ROUND(D977*'FR_Mantenimiento tasas'!$D$48/360,5)</f>
        <v>0</v>
      </c>
    </row>
    <row r="978" spans="1:6">
      <c r="A978" s="123">
        <f>IF(OR(A977='F-Ahorro Futuro Decimos'!$H$16,A977=""),"",IF(A977+1&gt;'F-Ahorro Futuro Decimos'!$H$16,'F-Ahorro Futuro Decimos'!$H$16,A977+1))</f>
        <v>976</v>
      </c>
      <c r="B978" s="122">
        <f>IFERROR(IF(DAY($A978)=DAY('F-Ahorro Futuro Decimos'!$H$15),'F-Ahorro Futuro Decimos'!$H$14,0),0)</f>
        <v>0</v>
      </c>
      <c r="C978" s="122">
        <f>IF(A978='F-Ahorro Futuro Decimos'!$H$18,'F-Ahorro Futuro Decimos'!$H$20,0)</f>
        <v>0</v>
      </c>
      <c r="D978" s="122">
        <f t="shared" si="15"/>
        <v>0</v>
      </c>
      <c r="E978" s="121">
        <f>ROUND(D978*'FR_Mantenimiento tasas'!$C$48/360,5)</f>
        <v>0</v>
      </c>
      <c r="F978" s="121">
        <f>ROUND(D978*'FR_Mantenimiento tasas'!$D$48/360,5)</f>
        <v>0</v>
      </c>
    </row>
    <row r="979" spans="1:6">
      <c r="A979" s="123">
        <f>IF(OR(A978='F-Ahorro Futuro Decimos'!$H$16,A978=""),"",IF(A978+1&gt;'F-Ahorro Futuro Decimos'!$H$16,'F-Ahorro Futuro Decimos'!$H$16,A978+1))</f>
        <v>977</v>
      </c>
      <c r="B979" s="122">
        <f>IFERROR(IF(DAY($A979)=DAY('F-Ahorro Futuro Decimos'!$H$15),'F-Ahorro Futuro Decimos'!$H$14,0),0)</f>
        <v>0</v>
      </c>
      <c r="C979" s="122">
        <f>IF(A979='F-Ahorro Futuro Decimos'!$H$18,'F-Ahorro Futuro Decimos'!$H$20,0)</f>
        <v>0</v>
      </c>
      <c r="D979" s="122">
        <f t="shared" si="15"/>
        <v>0</v>
      </c>
      <c r="E979" s="121">
        <f>ROUND(D979*'FR_Mantenimiento tasas'!$C$48/360,5)</f>
        <v>0</v>
      </c>
      <c r="F979" s="121">
        <f>ROUND(D979*'FR_Mantenimiento tasas'!$D$48/360,5)</f>
        <v>0</v>
      </c>
    </row>
    <row r="980" spans="1:6">
      <c r="A980" s="123">
        <f>IF(OR(A979='F-Ahorro Futuro Decimos'!$H$16,A979=""),"",IF(A979+1&gt;'F-Ahorro Futuro Decimos'!$H$16,'F-Ahorro Futuro Decimos'!$H$16,A979+1))</f>
        <v>978</v>
      </c>
      <c r="B980" s="122">
        <f>IFERROR(IF(DAY($A980)=DAY('F-Ahorro Futuro Decimos'!$H$15),'F-Ahorro Futuro Decimos'!$H$14,0),0)</f>
        <v>0</v>
      </c>
      <c r="C980" s="122">
        <f>IF(A980='F-Ahorro Futuro Decimos'!$H$18,'F-Ahorro Futuro Decimos'!$H$20,0)</f>
        <v>0</v>
      </c>
      <c r="D980" s="122">
        <f t="shared" si="15"/>
        <v>0</v>
      </c>
      <c r="E980" s="121">
        <f>ROUND(D980*'FR_Mantenimiento tasas'!$C$48/360,5)</f>
        <v>0</v>
      </c>
      <c r="F980" s="121">
        <f>ROUND(D980*'FR_Mantenimiento tasas'!$D$48/360,5)</f>
        <v>0</v>
      </c>
    </row>
    <row r="981" spans="1:6">
      <c r="A981" s="123">
        <f>IF(OR(A980='F-Ahorro Futuro Decimos'!$H$16,A980=""),"",IF(A980+1&gt;'F-Ahorro Futuro Decimos'!$H$16,'F-Ahorro Futuro Decimos'!$H$16,A980+1))</f>
        <v>979</v>
      </c>
      <c r="B981" s="122">
        <f>IFERROR(IF(DAY($A981)=DAY('F-Ahorro Futuro Decimos'!$H$15),'F-Ahorro Futuro Decimos'!$H$14,0),0)</f>
        <v>0</v>
      </c>
      <c r="C981" s="122">
        <f>IF(A981='F-Ahorro Futuro Decimos'!$H$18,'F-Ahorro Futuro Decimos'!$H$20,0)</f>
        <v>0</v>
      </c>
      <c r="D981" s="122">
        <f t="shared" si="15"/>
        <v>0</v>
      </c>
      <c r="E981" s="121">
        <f>ROUND(D981*'FR_Mantenimiento tasas'!$C$48/360,5)</f>
        <v>0</v>
      </c>
      <c r="F981" s="121">
        <f>ROUND(D981*'FR_Mantenimiento tasas'!$D$48/360,5)</f>
        <v>0</v>
      </c>
    </row>
    <row r="982" spans="1:6">
      <c r="A982" s="123">
        <f>IF(OR(A981='F-Ahorro Futuro Decimos'!$H$16,A981=""),"",IF(A981+1&gt;'F-Ahorro Futuro Decimos'!$H$16,'F-Ahorro Futuro Decimos'!$H$16,A981+1))</f>
        <v>980</v>
      </c>
      <c r="B982" s="122">
        <f>IFERROR(IF(DAY($A982)=DAY('F-Ahorro Futuro Decimos'!$H$15),'F-Ahorro Futuro Decimos'!$H$14,0),0)</f>
        <v>0</v>
      </c>
      <c r="C982" s="122">
        <f>IF(A982='F-Ahorro Futuro Decimos'!$H$18,'F-Ahorro Futuro Decimos'!$H$20,0)</f>
        <v>0</v>
      </c>
      <c r="D982" s="122">
        <f t="shared" si="15"/>
        <v>0</v>
      </c>
      <c r="E982" s="121">
        <f>ROUND(D982*'FR_Mantenimiento tasas'!$C$48/360,5)</f>
        <v>0</v>
      </c>
      <c r="F982" s="121">
        <f>ROUND(D982*'FR_Mantenimiento tasas'!$D$48/360,5)</f>
        <v>0</v>
      </c>
    </row>
    <row r="983" spans="1:6">
      <c r="A983" s="123">
        <f>IF(OR(A982='F-Ahorro Futuro Decimos'!$H$16,A982=""),"",IF(A982+1&gt;'F-Ahorro Futuro Decimos'!$H$16,'F-Ahorro Futuro Decimos'!$H$16,A982+1))</f>
        <v>981</v>
      </c>
      <c r="B983" s="122">
        <f>IFERROR(IF(DAY($A983)=DAY('F-Ahorro Futuro Decimos'!$H$15),'F-Ahorro Futuro Decimos'!$H$14,0),0)</f>
        <v>0</v>
      </c>
      <c r="C983" s="122">
        <f>IF(A983='F-Ahorro Futuro Decimos'!$H$18,'F-Ahorro Futuro Decimos'!$H$20,0)</f>
        <v>0</v>
      </c>
      <c r="D983" s="122">
        <f t="shared" si="15"/>
        <v>0</v>
      </c>
      <c r="E983" s="121">
        <f>ROUND(D983*'FR_Mantenimiento tasas'!$C$48/360,5)</f>
        <v>0</v>
      </c>
      <c r="F983" s="121">
        <f>ROUND(D983*'FR_Mantenimiento tasas'!$D$48/360,5)</f>
        <v>0</v>
      </c>
    </row>
    <row r="984" spans="1:6">
      <c r="A984" s="123">
        <f>IF(OR(A983='F-Ahorro Futuro Decimos'!$H$16,A983=""),"",IF(A983+1&gt;'F-Ahorro Futuro Decimos'!$H$16,'F-Ahorro Futuro Decimos'!$H$16,A983+1))</f>
        <v>982</v>
      </c>
      <c r="B984" s="122">
        <f>IFERROR(IF(DAY($A984)=DAY('F-Ahorro Futuro Decimos'!$H$15),'F-Ahorro Futuro Decimos'!$H$14,0),0)</f>
        <v>0</v>
      </c>
      <c r="C984" s="122">
        <f>IF(A984='F-Ahorro Futuro Decimos'!$H$18,'F-Ahorro Futuro Decimos'!$H$20,0)</f>
        <v>0</v>
      </c>
      <c r="D984" s="122">
        <f t="shared" si="15"/>
        <v>0</v>
      </c>
      <c r="E984" s="121">
        <f>ROUND(D984*'FR_Mantenimiento tasas'!$C$48/360,5)</f>
        <v>0</v>
      </c>
      <c r="F984" s="121">
        <f>ROUND(D984*'FR_Mantenimiento tasas'!$D$48/360,5)</f>
        <v>0</v>
      </c>
    </row>
    <row r="985" spans="1:6">
      <c r="A985" s="123">
        <f>IF(OR(A984='F-Ahorro Futuro Decimos'!$H$16,A984=""),"",IF(A984+1&gt;'F-Ahorro Futuro Decimos'!$H$16,'F-Ahorro Futuro Decimos'!$H$16,A984+1))</f>
        <v>983</v>
      </c>
      <c r="B985" s="122">
        <f>IFERROR(IF(DAY($A985)=DAY('F-Ahorro Futuro Decimos'!$H$15),'F-Ahorro Futuro Decimos'!$H$14,0),0)</f>
        <v>0</v>
      </c>
      <c r="C985" s="122">
        <f>IF(A985='F-Ahorro Futuro Decimos'!$H$18,'F-Ahorro Futuro Decimos'!$H$20,0)</f>
        <v>0</v>
      </c>
      <c r="D985" s="122">
        <f t="shared" si="15"/>
        <v>0</v>
      </c>
      <c r="E985" s="121">
        <f>ROUND(D985*'FR_Mantenimiento tasas'!$C$48/360,5)</f>
        <v>0</v>
      </c>
      <c r="F985" s="121">
        <f>ROUND(D985*'FR_Mantenimiento tasas'!$D$48/360,5)</f>
        <v>0</v>
      </c>
    </row>
    <row r="986" spans="1:6">
      <c r="A986" s="123">
        <f>IF(OR(A985='F-Ahorro Futuro Decimos'!$H$16,A985=""),"",IF(A985+1&gt;'F-Ahorro Futuro Decimos'!$H$16,'F-Ahorro Futuro Decimos'!$H$16,A985+1))</f>
        <v>984</v>
      </c>
      <c r="B986" s="122">
        <f>IFERROR(IF(DAY($A986)=DAY('F-Ahorro Futuro Decimos'!$H$15),'F-Ahorro Futuro Decimos'!$H$14,0),0)</f>
        <v>0</v>
      </c>
      <c r="C986" s="122">
        <f>IF(A986='F-Ahorro Futuro Decimos'!$H$18,'F-Ahorro Futuro Decimos'!$H$20,0)</f>
        <v>0</v>
      </c>
      <c r="D986" s="122">
        <f t="shared" si="15"/>
        <v>0</v>
      </c>
      <c r="E986" s="121">
        <f>ROUND(D986*'FR_Mantenimiento tasas'!$C$48/360,5)</f>
        <v>0</v>
      </c>
      <c r="F986" s="121">
        <f>ROUND(D986*'FR_Mantenimiento tasas'!$D$48/360,5)</f>
        <v>0</v>
      </c>
    </row>
    <row r="987" spans="1:6">
      <c r="A987" s="123">
        <f>IF(OR(A986='F-Ahorro Futuro Decimos'!$H$16,A986=""),"",IF(A986+1&gt;'F-Ahorro Futuro Decimos'!$H$16,'F-Ahorro Futuro Decimos'!$H$16,A986+1))</f>
        <v>985</v>
      </c>
      <c r="B987" s="122">
        <f>IFERROR(IF(DAY($A987)=DAY('F-Ahorro Futuro Decimos'!$H$15),'F-Ahorro Futuro Decimos'!$H$14,0),0)</f>
        <v>0</v>
      </c>
      <c r="C987" s="122">
        <f>IF(A987='F-Ahorro Futuro Decimos'!$H$18,'F-Ahorro Futuro Decimos'!$H$20,0)</f>
        <v>0</v>
      </c>
      <c r="D987" s="122">
        <f t="shared" si="15"/>
        <v>0</v>
      </c>
      <c r="E987" s="121">
        <f>ROUND(D987*'FR_Mantenimiento tasas'!$C$48/360,5)</f>
        <v>0</v>
      </c>
      <c r="F987" s="121">
        <f>ROUND(D987*'FR_Mantenimiento tasas'!$D$48/360,5)</f>
        <v>0</v>
      </c>
    </row>
    <row r="988" spans="1:6">
      <c r="A988" s="123">
        <f>IF(OR(A987='F-Ahorro Futuro Decimos'!$H$16,A987=""),"",IF(A987+1&gt;'F-Ahorro Futuro Decimos'!$H$16,'F-Ahorro Futuro Decimos'!$H$16,A987+1))</f>
        <v>986</v>
      </c>
      <c r="B988" s="122">
        <f>IFERROR(IF(DAY($A988)=DAY('F-Ahorro Futuro Decimos'!$H$15),'F-Ahorro Futuro Decimos'!$H$14,0),0)</f>
        <v>0</v>
      </c>
      <c r="C988" s="122">
        <f>IF(A988='F-Ahorro Futuro Decimos'!$H$18,'F-Ahorro Futuro Decimos'!$H$20,0)</f>
        <v>0</v>
      </c>
      <c r="D988" s="122">
        <f t="shared" si="15"/>
        <v>0</v>
      </c>
      <c r="E988" s="121">
        <f>ROUND(D988*'FR_Mantenimiento tasas'!$C$48/360,5)</f>
        <v>0</v>
      </c>
      <c r="F988" s="121">
        <f>ROUND(D988*'FR_Mantenimiento tasas'!$D$48/360,5)</f>
        <v>0</v>
      </c>
    </row>
    <row r="989" spans="1:6">
      <c r="A989" s="123">
        <f>IF(OR(A988='F-Ahorro Futuro Decimos'!$H$16,A988=""),"",IF(A988+1&gt;'F-Ahorro Futuro Decimos'!$H$16,'F-Ahorro Futuro Decimos'!$H$16,A988+1))</f>
        <v>987</v>
      </c>
      <c r="B989" s="122">
        <f>IFERROR(IF(DAY($A989)=DAY('F-Ahorro Futuro Decimos'!$H$15),'F-Ahorro Futuro Decimos'!$H$14,0),0)</f>
        <v>0</v>
      </c>
      <c r="C989" s="122">
        <f>IF(A989='F-Ahorro Futuro Decimos'!$H$18,'F-Ahorro Futuro Decimos'!$H$20,0)</f>
        <v>0</v>
      </c>
      <c r="D989" s="122">
        <f t="shared" si="15"/>
        <v>0</v>
      </c>
      <c r="E989" s="121">
        <f>ROUND(D989*'FR_Mantenimiento tasas'!$C$48/360,5)</f>
        <v>0</v>
      </c>
      <c r="F989" s="121">
        <f>ROUND(D989*'FR_Mantenimiento tasas'!$D$48/360,5)</f>
        <v>0</v>
      </c>
    </row>
    <row r="990" spans="1:6">
      <c r="A990" s="123">
        <f>IF(OR(A989='F-Ahorro Futuro Decimos'!$H$16,A989=""),"",IF(A989+1&gt;'F-Ahorro Futuro Decimos'!$H$16,'F-Ahorro Futuro Decimos'!$H$16,A989+1))</f>
        <v>988</v>
      </c>
      <c r="B990" s="122">
        <f>IFERROR(IF(DAY($A990)=DAY('F-Ahorro Futuro Decimos'!$H$15),'F-Ahorro Futuro Decimos'!$H$14,0),0)</f>
        <v>0</v>
      </c>
      <c r="C990" s="122">
        <f>IF(A990='F-Ahorro Futuro Decimos'!$H$18,'F-Ahorro Futuro Decimos'!$H$20,0)</f>
        <v>0</v>
      </c>
      <c r="D990" s="122">
        <f t="shared" si="15"/>
        <v>0</v>
      </c>
      <c r="E990" s="121">
        <f>ROUND(D990*'FR_Mantenimiento tasas'!$C$48/360,5)</f>
        <v>0</v>
      </c>
      <c r="F990" s="121">
        <f>ROUND(D990*'FR_Mantenimiento tasas'!$D$48/360,5)</f>
        <v>0</v>
      </c>
    </row>
    <row r="991" spans="1:6">
      <c r="A991" s="123">
        <f>IF(OR(A990='F-Ahorro Futuro Decimos'!$H$16,A990=""),"",IF(A990+1&gt;'F-Ahorro Futuro Decimos'!$H$16,'F-Ahorro Futuro Decimos'!$H$16,A990+1))</f>
        <v>989</v>
      </c>
      <c r="B991" s="122">
        <f>IFERROR(IF(DAY($A991)=DAY('F-Ahorro Futuro Decimos'!$H$15),'F-Ahorro Futuro Decimos'!$H$14,0),0)</f>
        <v>0</v>
      </c>
      <c r="C991" s="122">
        <f>IF(A991='F-Ahorro Futuro Decimos'!$H$18,'F-Ahorro Futuro Decimos'!$H$20,0)</f>
        <v>0</v>
      </c>
      <c r="D991" s="122">
        <f t="shared" si="15"/>
        <v>0</v>
      </c>
      <c r="E991" s="121">
        <f>ROUND(D991*'FR_Mantenimiento tasas'!$C$48/360,5)</f>
        <v>0</v>
      </c>
      <c r="F991" s="121">
        <f>ROUND(D991*'FR_Mantenimiento tasas'!$D$48/360,5)</f>
        <v>0</v>
      </c>
    </row>
    <row r="992" spans="1:6">
      <c r="A992" s="123">
        <f>IF(OR(A991='F-Ahorro Futuro Decimos'!$H$16,A991=""),"",IF(A991+1&gt;'F-Ahorro Futuro Decimos'!$H$16,'F-Ahorro Futuro Decimos'!$H$16,A991+1))</f>
        <v>990</v>
      </c>
      <c r="B992" s="122">
        <f>IFERROR(IF(DAY($A992)=DAY('F-Ahorro Futuro Decimos'!$H$15),'F-Ahorro Futuro Decimos'!$H$14,0),0)</f>
        <v>0</v>
      </c>
      <c r="C992" s="122">
        <f>IF(A992='F-Ahorro Futuro Decimos'!$H$18,'F-Ahorro Futuro Decimos'!$H$20,0)</f>
        <v>0</v>
      </c>
      <c r="D992" s="122">
        <f t="shared" si="15"/>
        <v>0</v>
      </c>
      <c r="E992" s="121">
        <f>ROUND(D992*'FR_Mantenimiento tasas'!$C$48/360,5)</f>
        <v>0</v>
      </c>
      <c r="F992" s="121">
        <f>ROUND(D992*'FR_Mantenimiento tasas'!$D$48/360,5)</f>
        <v>0</v>
      </c>
    </row>
    <row r="993" spans="1:6">
      <c r="A993" s="123">
        <f>IF(OR(A992='F-Ahorro Futuro Decimos'!$H$16,A992=""),"",IF(A992+1&gt;'F-Ahorro Futuro Decimos'!$H$16,'F-Ahorro Futuro Decimos'!$H$16,A992+1))</f>
        <v>991</v>
      </c>
      <c r="B993" s="122">
        <f>IFERROR(IF(DAY($A993)=DAY('F-Ahorro Futuro Decimos'!$H$15),'F-Ahorro Futuro Decimos'!$H$14,0),0)</f>
        <v>0</v>
      </c>
      <c r="C993" s="122">
        <f>IF(A993='F-Ahorro Futuro Decimos'!$H$18,'F-Ahorro Futuro Decimos'!$H$20,0)</f>
        <v>0</v>
      </c>
      <c r="D993" s="122">
        <f t="shared" si="15"/>
        <v>0</v>
      </c>
      <c r="E993" s="121">
        <f>ROUND(D993*'FR_Mantenimiento tasas'!$C$48/360,5)</f>
        <v>0</v>
      </c>
      <c r="F993" s="121">
        <f>ROUND(D993*'FR_Mantenimiento tasas'!$D$48/360,5)</f>
        <v>0</v>
      </c>
    </row>
    <row r="994" spans="1:6">
      <c r="A994" s="123">
        <f>IF(OR(A993='F-Ahorro Futuro Decimos'!$H$16,A993=""),"",IF(A993+1&gt;'F-Ahorro Futuro Decimos'!$H$16,'F-Ahorro Futuro Decimos'!$H$16,A993+1))</f>
        <v>992</v>
      </c>
      <c r="B994" s="122">
        <f>IFERROR(IF(DAY($A994)=DAY('F-Ahorro Futuro Decimos'!$H$15),'F-Ahorro Futuro Decimos'!$H$14,0),0)</f>
        <v>0</v>
      </c>
      <c r="C994" s="122">
        <f>IF(A994='F-Ahorro Futuro Decimos'!$H$18,'F-Ahorro Futuro Decimos'!$H$20,0)</f>
        <v>0</v>
      </c>
      <c r="D994" s="122">
        <f t="shared" si="15"/>
        <v>0</v>
      </c>
      <c r="E994" s="121">
        <f>ROUND(D994*'FR_Mantenimiento tasas'!$C$48/360,5)</f>
        <v>0</v>
      </c>
      <c r="F994" s="121">
        <f>ROUND(D994*'FR_Mantenimiento tasas'!$D$48/360,5)</f>
        <v>0</v>
      </c>
    </row>
    <row r="995" spans="1:6">
      <c r="A995" s="123">
        <f>IF(OR(A994='F-Ahorro Futuro Decimos'!$H$16,A994=""),"",IF(A994+1&gt;'F-Ahorro Futuro Decimos'!$H$16,'F-Ahorro Futuro Decimos'!$H$16,A994+1))</f>
        <v>993</v>
      </c>
      <c r="B995" s="122">
        <f>IFERROR(IF(DAY($A995)=DAY('F-Ahorro Futuro Decimos'!$H$15),'F-Ahorro Futuro Decimos'!$H$14,0),0)</f>
        <v>0</v>
      </c>
      <c r="C995" s="122">
        <f>IF(A995='F-Ahorro Futuro Decimos'!$H$18,'F-Ahorro Futuro Decimos'!$H$20,0)</f>
        <v>0</v>
      </c>
      <c r="D995" s="122">
        <f t="shared" si="15"/>
        <v>0</v>
      </c>
      <c r="E995" s="121">
        <f>ROUND(D995*'FR_Mantenimiento tasas'!$C$48/360,5)</f>
        <v>0</v>
      </c>
      <c r="F995" s="121">
        <f>ROUND(D995*'FR_Mantenimiento tasas'!$D$48/360,5)</f>
        <v>0</v>
      </c>
    </row>
    <row r="996" spans="1:6">
      <c r="A996" s="123">
        <f>IF(OR(A995='F-Ahorro Futuro Decimos'!$H$16,A995=""),"",IF(A995+1&gt;'F-Ahorro Futuro Decimos'!$H$16,'F-Ahorro Futuro Decimos'!$H$16,A995+1))</f>
        <v>994</v>
      </c>
      <c r="B996" s="122">
        <f>IFERROR(IF(DAY($A996)=DAY('F-Ahorro Futuro Decimos'!$H$15),'F-Ahorro Futuro Decimos'!$H$14,0),0)</f>
        <v>0</v>
      </c>
      <c r="C996" s="122">
        <f>IF(A996='F-Ahorro Futuro Decimos'!$H$18,'F-Ahorro Futuro Decimos'!$H$20,0)</f>
        <v>0</v>
      </c>
      <c r="D996" s="122">
        <f t="shared" si="15"/>
        <v>0</v>
      </c>
      <c r="E996" s="121">
        <f>ROUND(D996*'FR_Mantenimiento tasas'!$C$48/360,5)</f>
        <v>0</v>
      </c>
      <c r="F996" s="121">
        <f>ROUND(D996*'FR_Mantenimiento tasas'!$D$48/360,5)</f>
        <v>0</v>
      </c>
    </row>
    <row r="997" spans="1:6">
      <c r="A997" s="123">
        <f>IF(OR(A996='F-Ahorro Futuro Decimos'!$H$16,A996=""),"",IF(A996+1&gt;'F-Ahorro Futuro Decimos'!$H$16,'F-Ahorro Futuro Decimos'!$H$16,A996+1))</f>
        <v>995</v>
      </c>
      <c r="B997" s="122">
        <f>IFERROR(IF(DAY($A997)=DAY('F-Ahorro Futuro Decimos'!$H$15),'F-Ahorro Futuro Decimos'!$H$14,0),0)</f>
        <v>0</v>
      </c>
      <c r="C997" s="122">
        <f>IF(A997='F-Ahorro Futuro Decimos'!$H$18,'F-Ahorro Futuro Decimos'!$H$20,0)</f>
        <v>0</v>
      </c>
      <c r="D997" s="122">
        <f t="shared" si="15"/>
        <v>0</v>
      </c>
      <c r="E997" s="121">
        <f>ROUND(D997*'FR_Mantenimiento tasas'!$C$48/360,5)</f>
        <v>0</v>
      </c>
      <c r="F997" s="121">
        <f>ROUND(D997*'FR_Mantenimiento tasas'!$D$48/360,5)</f>
        <v>0</v>
      </c>
    </row>
    <row r="998" spans="1:6">
      <c r="A998" s="123">
        <f>IF(OR(A997='F-Ahorro Futuro Decimos'!$H$16,A997=""),"",IF(A997+1&gt;'F-Ahorro Futuro Decimos'!$H$16,'F-Ahorro Futuro Decimos'!$H$16,A997+1))</f>
        <v>996</v>
      </c>
      <c r="B998" s="122">
        <f>IFERROR(IF(DAY($A998)=DAY('F-Ahorro Futuro Decimos'!$H$15),'F-Ahorro Futuro Decimos'!$H$14,0),0)</f>
        <v>0</v>
      </c>
      <c r="C998" s="122">
        <f>IF(A998='F-Ahorro Futuro Decimos'!$H$18,'F-Ahorro Futuro Decimos'!$H$20,0)</f>
        <v>0</v>
      </c>
      <c r="D998" s="122">
        <f t="shared" si="15"/>
        <v>0</v>
      </c>
      <c r="E998" s="121">
        <f>ROUND(D998*'FR_Mantenimiento tasas'!$C$48/360,5)</f>
        <v>0</v>
      </c>
      <c r="F998" s="121">
        <f>ROUND(D998*'FR_Mantenimiento tasas'!$D$48/360,5)</f>
        <v>0</v>
      </c>
    </row>
    <row r="999" spans="1:6">
      <c r="A999" s="123">
        <f>IF(OR(A998='F-Ahorro Futuro Decimos'!$H$16,A998=""),"",IF(A998+1&gt;'F-Ahorro Futuro Decimos'!$H$16,'F-Ahorro Futuro Decimos'!$H$16,A998+1))</f>
        <v>997</v>
      </c>
      <c r="B999" s="122">
        <f>IFERROR(IF(DAY($A999)=DAY('F-Ahorro Futuro Decimos'!$H$15),'F-Ahorro Futuro Decimos'!$H$14,0),0)</f>
        <v>0</v>
      </c>
      <c r="C999" s="122">
        <f>IF(A999='F-Ahorro Futuro Decimos'!$H$18,'F-Ahorro Futuro Decimos'!$H$20,0)</f>
        <v>0</v>
      </c>
      <c r="D999" s="122">
        <f t="shared" si="15"/>
        <v>0</v>
      </c>
      <c r="E999" s="121">
        <f>ROUND(D999*'FR_Mantenimiento tasas'!$C$48/360,5)</f>
        <v>0</v>
      </c>
      <c r="F999" s="121">
        <f>ROUND(D999*'FR_Mantenimiento tasas'!$D$48/360,5)</f>
        <v>0</v>
      </c>
    </row>
    <row r="1000" spans="1:6">
      <c r="A1000" s="123">
        <f>IF(OR(A999='F-Ahorro Futuro Decimos'!$H$16,A999=""),"",IF(A999+1&gt;'F-Ahorro Futuro Decimos'!$H$16,'F-Ahorro Futuro Decimos'!$H$16,A999+1))</f>
        <v>998</v>
      </c>
      <c r="B1000" s="122">
        <f>IFERROR(IF(DAY($A1000)=DAY('F-Ahorro Futuro Decimos'!$H$15),'F-Ahorro Futuro Decimos'!$H$14,0),0)</f>
        <v>0</v>
      </c>
      <c r="C1000" s="122">
        <f>IF(A1000='F-Ahorro Futuro Decimos'!$H$18,'F-Ahorro Futuro Decimos'!$H$20,0)</f>
        <v>0</v>
      </c>
      <c r="D1000" s="122">
        <f t="shared" si="15"/>
        <v>0</v>
      </c>
      <c r="E1000" s="121">
        <f>ROUND(D1000*'FR_Mantenimiento tasas'!$C$48/360,5)</f>
        <v>0</v>
      </c>
      <c r="F1000" s="121">
        <f>ROUND(D1000*'FR_Mantenimiento tasas'!$D$48/360,5)</f>
        <v>0</v>
      </c>
    </row>
    <row r="1001" spans="1:6">
      <c r="A1001" s="123">
        <f>IF(OR(A1000='F-Ahorro Futuro Decimos'!$H$16,A1000=""),"",IF(A1000+1&gt;'F-Ahorro Futuro Decimos'!$H$16,'F-Ahorro Futuro Decimos'!$H$16,A1000+1))</f>
        <v>999</v>
      </c>
      <c r="B1001" s="122">
        <f>IFERROR(IF(DAY($A1001)=DAY('F-Ahorro Futuro Decimos'!$H$15),'F-Ahorro Futuro Decimos'!$H$14,0),0)</f>
        <v>0</v>
      </c>
      <c r="C1001" s="122">
        <f>IF(A1001='F-Ahorro Futuro Decimos'!$H$18,'F-Ahorro Futuro Decimos'!$H$20,0)</f>
        <v>0</v>
      </c>
      <c r="D1001" s="122">
        <f t="shared" si="15"/>
        <v>0</v>
      </c>
      <c r="E1001" s="121">
        <f>ROUND(D1001*'FR_Mantenimiento tasas'!$C$48/360,5)</f>
        <v>0</v>
      </c>
      <c r="F1001" s="121">
        <f>ROUND(D1001*'FR_Mantenimiento tasas'!$D$48/360,5)</f>
        <v>0</v>
      </c>
    </row>
    <row r="1002" spans="1:6">
      <c r="A1002" s="123">
        <f>IF(OR(A1001='F-Ahorro Futuro Decimos'!$H$16,A1001=""),"",IF(A1001+1&gt;'F-Ahorro Futuro Decimos'!$H$16,'F-Ahorro Futuro Decimos'!$H$16,A1001+1))</f>
        <v>1000</v>
      </c>
      <c r="B1002" s="122">
        <f>IFERROR(IF(DAY($A1002)=DAY('F-Ahorro Futuro Decimos'!$H$15),'F-Ahorro Futuro Decimos'!$H$14,0),0)</f>
        <v>0</v>
      </c>
      <c r="C1002" s="122">
        <f>IF(A1002='F-Ahorro Futuro Decimos'!$H$18,'F-Ahorro Futuro Decimos'!$H$20,0)</f>
        <v>0</v>
      </c>
      <c r="D1002" s="122">
        <f t="shared" si="15"/>
        <v>0</v>
      </c>
      <c r="E1002" s="121">
        <f>ROUND(D1002*'FR_Mantenimiento tasas'!$C$48/360,5)</f>
        <v>0</v>
      </c>
      <c r="F1002" s="121">
        <f>ROUND(D1002*'FR_Mantenimiento tasas'!$D$48/360,5)</f>
        <v>0</v>
      </c>
    </row>
    <row r="1003" spans="1:6">
      <c r="A1003" s="123">
        <f>IF(OR(A1002='F-Ahorro Futuro Decimos'!$H$16,A1002=""),"",IF(A1002+1&gt;'F-Ahorro Futuro Decimos'!$H$16,'F-Ahorro Futuro Decimos'!$H$16,A1002+1))</f>
        <v>1001</v>
      </c>
      <c r="B1003" s="122">
        <f>IFERROR(IF(DAY($A1003)=DAY('F-Ahorro Futuro Decimos'!$H$15),'F-Ahorro Futuro Decimos'!$H$14,0),0)</f>
        <v>0</v>
      </c>
      <c r="C1003" s="122">
        <f>IF(A1003='F-Ahorro Futuro Decimos'!$H$18,'F-Ahorro Futuro Decimos'!$H$20,0)</f>
        <v>0</v>
      </c>
      <c r="D1003" s="122">
        <f t="shared" si="15"/>
        <v>0</v>
      </c>
      <c r="E1003" s="121">
        <f>ROUND(D1003*'FR_Mantenimiento tasas'!$C$48/360,5)</f>
        <v>0</v>
      </c>
      <c r="F1003" s="121">
        <f>ROUND(D1003*'FR_Mantenimiento tasas'!$D$48/360,5)</f>
        <v>0</v>
      </c>
    </row>
    <row r="1004" spans="1:6">
      <c r="A1004" s="123">
        <f>IF(OR(A1003='F-Ahorro Futuro Decimos'!$H$16,A1003=""),"",IF(A1003+1&gt;'F-Ahorro Futuro Decimos'!$H$16,'F-Ahorro Futuro Decimos'!$H$16,A1003+1))</f>
        <v>1002</v>
      </c>
      <c r="B1004" s="122">
        <f>IFERROR(IF(DAY($A1004)=DAY('F-Ahorro Futuro Decimos'!$H$15),'F-Ahorro Futuro Decimos'!$H$14,0),0)</f>
        <v>0</v>
      </c>
      <c r="C1004" s="122">
        <f>IF(A1004='F-Ahorro Futuro Decimos'!$H$18,'F-Ahorro Futuro Decimos'!$H$20,0)</f>
        <v>0</v>
      </c>
      <c r="D1004" s="122">
        <f t="shared" si="15"/>
        <v>0</v>
      </c>
      <c r="E1004" s="121">
        <f>ROUND(D1004*'FR_Mantenimiento tasas'!$C$48/360,5)</f>
        <v>0</v>
      </c>
      <c r="F1004" s="121">
        <f>ROUND(D1004*'FR_Mantenimiento tasas'!$D$48/360,5)</f>
        <v>0</v>
      </c>
    </row>
    <row r="1005" spans="1:6">
      <c r="A1005" s="123">
        <f>IF(OR(A1004='F-Ahorro Futuro Decimos'!$H$16,A1004=""),"",IF(A1004+1&gt;'F-Ahorro Futuro Decimos'!$H$16,'F-Ahorro Futuro Decimos'!$H$16,A1004+1))</f>
        <v>1003</v>
      </c>
      <c r="B1005" s="122">
        <f>IFERROR(IF(DAY($A1005)=DAY('F-Ahorro Futuro Decimos'!$H$15),'F-Ahorro Futuro Decimos'!$H$14,0),0)</f>
        <v>0</v>
      </c>
      <c r="C1005" s="122">
        <f>IF(A1005='F-Ahorro Futuro Decimos'!$H$18,'F-Ahorro Futuro Decimos'!$H$20,0)</f>
        <v>0</v>
      </c>
      <c r="D1005" s="122">
        <f t="shared" si="15"/>
        <v>0</v>
      </c>
      <c r="E1005" s="121">
        <f>ROUND(D1005*'FR_Mantenimiento tasas'!$C$48/360,5)</f>
        <v>0</v>
      </c>
      <c r="F1005" s="121">
        <f>ROUND(D1005*'FR_Mantenimiento tasas'!$D$48/360,5)</f>
        <v>0</v>
      </c>
    </row>
    <row r="1006" spans="1:6">
      <c r="A1006" s="123">
        <f>IF(OR(A1005='F-Ahorro Futuro Decimos'!$H$16,A1005=""),"",IF(A1005+1&gt;'F-Ahorro Futuro Decimos'!$H$16,'F-Ahorro Futuro Decimos'!$H$16,A1005+1))</f>
        <v>1004</v>
      </c>
      <c r="B1006" s="122">
        <f>IFERROR(IF(DAY($A1006)=DAY('F-Ahorro Futuro Decimos'!$H$15),'F-Ahorro Futuro Decimos'!$H$14,0),0)</f>
        <v>0</v>
      </c>
      <c r="C1006" s="122">
        <f>IF(A1006='F-Ahorro Futuro Decimos'!$H$18,'F-Ahorro Futuro Decimos'!$H$20,0)</f>
        <v>0</v>
      </c>
      <c r="D1006" s="122">
        <f t="shared" si="15"/>
        <v>0</v>
      </c>
      <c r="E1006" s="121">
        <f>ROUND(D1006*'FR_Mantenimiento tasas'!$C$48/360,5)</f>
        <v>0</v>
      </c>
      <c r="F1006" s="121">
        <f>ROUND(D1006*'FR_Mantenimiento tasas'!$D$48/360,5)</f>
        <v>0</v>
      </c>
    </row>
    <row r="1007" spans="1:6">
      <c r="A1007" s="123">
        <f>IF(OR(A1006='F-Ahorro Futuro Decimos'!$H$16,A1006=""),"",IF(A1006+1&gt;'F-Ahorro Futuro Decimos'!$H$16,'F-Ahorro Futuro Decimos'!$H$16,A1006+1))</f>
        <v>1005</v>
      </c>
      <c r="B1007" s="122">
        <f>IFERROR(IF(DAY($A1007)=DAY('F-Ahorro Futuro Decimos'!$H$15),'F-Ahorro Futuro Decimos'!$H$14,0),0)</f>
        <v>0</v>
      </c>
      <c r="C1007" s="122">
        <f>IF(A1007='F-Ahorro Futuro Decimos'!$H$18,'F-Ahorro Futuro Decimos'!$H$20,0)</f>
        <v>0</v>
      </c>
      <c r="D1007" s="122">
        <f t="shared" si="15"/>
        <v>0</v>
      </c>
      <c r="E1007" s="121">
        <f>ROUND(D1007*'FR_Mantenimiento tasas'!$C$48/360,5)</f>
        <v>0</v>
      </c>
      <c r="F1007" s="121">
        <f>ROUND(D1007*'FR_Mantenimiento tasas'!$D$48/360,5)</f>
        <v>0</v>
      </c>
    </row>
    <row r="1008" spans="1:6">
      <c r="A1008" s="123">
        <f>IF(OR(A1007='F-Ahorro Futuro Decimos'!$H$16,A1007=""),"",IF(A1007+1&gt;'F-Ahorro Futuro Decimos'!$H$16,'F-Ahorro Futuro Decimos'!$H$16,A1007+1))</f>
        <v>1006</v>
      </c>
      <c r="B1008" s="122">
        <f>IFERROR(IF(DAY($A1008)=DAY('F-Ahorro Futuro Decimos'!$H$15),'F-Ahorro Futuro Decimos'!$H$14,0),0)</f>
        <v>0</v>
      </c>
      <c r="C1008" s="122">
        <f>IF(A1008='F-Ahorro Futuro Decimos'!$H$18,'F-Ahorro Futuro Decimos'!$H$20,0)</f>
        <v>0</v>
      </c>
      <c r="D1008" s="122">
        <f t="shared" si="15"/>
        <v>0</v>
      </c>
      <c r="E1008" s="121">
        <f>ROUND(D1008*'FR_Mantenimiento tasas'!$C$48/360,5)</f>
        <v>0</v>
      </c>
      <c r="F1008" s="121">
        <f>ROUND(D1008*'FR_Mantenimiento tasas'!$D$48/360,5)</f>
        <v>0</v>
      </c>
    </row>
    <row r="1009" spans="1:6">
      <c r="A1009" s="123">
        <f>IF(OR(A1008='F-Ahorro Futuro Decimos'!$H$16,A1008=""),"",IF(A1008+1&gt;'F-Ahorro Futuro Decimos'!$H$16,'F-Ahorro Futuro Decimos'!$H$16,A1008+1))</f>
        <v>1007</v>
      </c>
      <c r="B1009" s="122">
        <f>IFERROR(IF(DAY($A1009)=DAY('F-Ahorro Futuro Decimos'!$H$15),'F-Ahorro Futuro Decimos'!$H$14,0),0)</f>
        <v>0</v>
      </c>
      <c r="C1009" s="122">
        <f>IF(A1009='F-Ahorro Futuro Decimos'!$H$18,'F-Ahorro Futuro Decimos'!$H$20,0)</f>
        <v>0</v>
      </c>
      <c r="D1009" s="122">
        <f t="shared" si="15"/>
        <v>0</v>
      </c>
      <c r="E1009" s="121">
        <f>ROUND(D1009*'FR_Mantenimiento tasas'!$C$48/360,5)</f>
        <v>0</v>
      </c>
      <c r="F1009" s="121">
        <f>ROUND(D1009*'FR_Mantenimiento tasas'!$D$48/360,5)</f>
        <v>0</v>
      </c>
    </row>
    <row r="1010" spans="1:6">
      <c r="A1010" s="123">
        <f>IF(OR(A1009='F-Ahorro Futuro Decimos'!$H$16,A1009=""),"",IF(A1009+1&gt;'F-Ahorro Futuro Decimos'!$H$16,'F-Ahorro Futuro Decimos'!$H$16,A1009+1))</f>
        <v>1008</v>
      </c>
      <c r="B1010" s="122">
        <f>IFERROR(IF(DAY($A1010)=DAY('F-Ahorro Futuro Decimos'!$H$15),'F-Ahorro Futuro Decimos'!$H$14,0),0)</f>
        <v>0</v>
      </c>
      <c r="C1010" s="122">
        <f>IF(A1010='F-Ahorro Futuro Decimos'!$H$18,'F-Ahorro Futuro Decimos'!$H$20,0)</f>
        <v>0</v>
      </c>
      <c r="D1010" s="122">
        <f t="shared" si="15"/>
        <v>0</v>
      </c>
      <c r="E1010" s="121">
        <f>ROUND(D1010*'FR_Mantenimiento tasas'!$C$48/360,5)</f>
        <v>0</v>
      </c>
      <c r="F1010" s="121">
        <f>ROUND(D1010*'FR_Mantenimiento tasas'!$D$48/360,5)</f>
        <v>0</v>
      </c>
    </row>
    <row r="1011" spans="1:6">
      <c r="A1011" s="123">
        <f>IF(OR(A1010='F-Ahorro Futuro Decimos'!$H$16,A1010=""),"",IF(A1010+1&gt;'F-Ahorro Futuro Decimos'!$H$16,'F-Ahorro Futuro Decimos'!$H$16,A1010+1))</f>
        <v>1009</v>
      </c>
      <c r="B1011" s="122">
        <f>IFERROR(IF(DAY($A1011)=DAY('F-Ahorro Futuro Decimos'!$H$15),'F-Ahorro Futuro Decimos'!$H$14,0),0)</f>
        <v>0</v>
      </c>
      <c r="C1011" s="122">
        <f>IF(A1011='F-Ahorro Futuro Decimos'!$H$18,'F-Ahorro Futuro Decimos'!$H$20,0)</f>
        <v>0</v>
      </c>
      <c r="D1011" s="122">
        <f t="shared" si="15"/>
        <v>0</v>
      </c>
      <c r="E1011" s="121">
        <f>ROUND(D1011*'FR_Mantenimiento tasas'!$C$48/360,5)</f>
        <v>0</v>
      </c>
      <c r="F1011" s="121">
        <f>ROUND(D1011*'FR_Mantenimiento tasas'!$D$48/360,5)</f>
        <v>0</v>
      </c>
    </row>
    <row r="1012" spans="1:6">
      <c r="A1012" s="123">
        <f>IF(OR(A1011='F-Ahorro Futuro Decimos'!$H$16,A1011=""),"",IF(A1011+1&gt;'F-Ahorro Futuro Decimos'!$H$16,'F-Ahorro Futuro Decimos'!$H$16,A1011+1))</f>
        <v>1010</v>
      </c>
      <c r="B1012" s="122">
        <f>IFERROR(IF(DAY($A1012)=DAY('F-Ahorro Futuro Decimos'!$H$15),'F-Ahorro Futuro Decimos'!$H$14,0),0)</f>
        <v>0</v>
      </c>
      <c r="C1012" s="122">
        <f>IF(A1012='F-Ahorro Futuro Decimos'!$H$18,'F-Ahorro Futuro Decimos'!$H$20,0)</f>
        <v>0</v>
      </c>
      <c r="D1012" s="122">
        <f t="shared" si="15"/>
        <v>0</v>
      </c>
      <c r="E1012" s="121">
        <f>ROUND(D1012*'FR_Mantenimiento tasas'!$C$48/360,5)</f>
        <v>0</v>
      </c>
      <c r="F1012" s="121">
        <f>ROUND(D1012*'FR_Mantenimiento tasas'!$D$48/360,5)</f>
        <v>0</v>
      </c>
    </row>
    <row r="1013" spans="1:6">
      <c r="A1013" s="123">
        <f>IF(OR(A1012='F-Ahorro Futuro Decimos'!$H$16,A1012=""),"",IF(A1012+1&gt;'F-Ahorro Futuro Decimos'!$H$16,'F-Ahorro Futuro Decimos'!$H$16,A1012+1))</f>
        <v>1011</v>
      </c>
      <c r="B1013" s="122">
        <f>IFERROR(IF(DAY($A1013)=DAY('F-Ahorro Futuro Decimos'!$H$15),'F-Ahorro Futuro Decimos'!$H$14,0),0)</f>
        <v>0</v>
      </c>
      <c r="C1013" s="122">
        <f>IF(A1013='F-Ahorro Futuro Decimos'!$H$18,'F-Ahorro Futuro Decimos'!$H$20,0)</f>
        <v>0</v>
      </c>
      <c r="D1013" s="122">
        <f t="shared" si="15"/>
        <v>0</v>
      </c>
      <c r="E1013" s="121">
        <f>ROUND(D1013*'FR_Mantenimiento tasas'!$C$48/360,5)</f>
        <v>0</v>
      </c>
      <c r="F1013" s="121">
        <f>ROUND(D1013*'FR_Mantenimiento tasas'!$D$48/360,5)</f>
        <v>0</v>
      </c>
    </row>
    <row r="1014" spans="1:6">
      <c r="A1014" s="123">
        <f>IF(OR(A1013='F-Ahorro Futuro Decimos'!$H$16,A1013=""),"",IF(A1013+1&gt;'F-Ahorro Futuro Decimos'!$H$16,'F-Ahorro Futuro Decimos'!$H$16,A1013+1))</f>
        <v>1012</v>
      </c>
      <c r="B1014" s="122">
        <f>IFERROR(IF(DAY($A1014)=DAY('F-Ahorro Futuro Decimos'!$H$15),'F-Ahorro Futuro Decimos'!$H$14,0),0)</f>
        <v>0</v>
      </c>
      <c r="C1014" s="122">
        <f>IF(A1014='F-Ahorro Futuro Decimos'!$H$18,'F-Ahorro Futuro Decimos'!$H$20,0)</f>
        <v>0</v>
      </c>
      <c r="D1014" s="122">
        <f t="shared" si="15"/>
        <v>0</v>
      </c>
      <c r="E1014" s="121">
        <f>ROUND(D1014*'FR_Mantenimiento tasas'!$C$48/360,5)</f>
        <v>0</v>
      </c>
      <c r="F1014" s="121">
        <f>ROUND(D1014*'FR_Mantenimiento tasas'!$D$48/360,5)</f>
        <v>0</v>
      </c>
    </row>
    <row r="1015" spans="1:6">
      <c r="A1015" s="123">
        <f>IF(OR(A1014='F-Ahorro Futuro Decimos'!$H$16,A1014=""),"",IF(A1014+1&gt;'F-Ahorro Futuro Decimos'!$H$16,'F-Ahorro Futuro Decimos'!$H$16,A1014+1))</f>
        <v>1013</v>
      </c>
      <c r="B1015" s="122">
        <f>IFERROR(IF(DAY($A1015)=DAY('F-Ahorro Futuro Decimos'!$H$15),'F-Ahorro Futuro Decimos'!$H$14,0),0)</f>
        <v>0</v>
      </c>
      <c r="C1015" s="122">
        <f>IF(A1015='F-Ahorro Futuro Decimos'!$H$18,'F-Ahorro Futuro Decimos'!$H$20,0)</f>
        <v>0</v>
      </c>
      <c r="D1015" s="122">
        <f t="shared" si="15"/>
        <v>0</v>
      </c>
      <c r="E1015" s="121">
        <f>ROUND(D1015*'FR_Mantenimiento tasas'!$C$48/360,5)</f>
        <v>0</v>
      </c>
      <c r="F1015" s="121">
        <f>ROUND(D1015*'FR_Mantenimiento tasas'!$D$48/360,5)</f>
        <v>0</v>
      </c>
    </row>
    <row r="1016" spans="1:6">
      <c r="A1016" s="123">
        <f>IF(OR(A1015='F-Ahorro Futuro Decimos'!$H$16,A1015=""),"",IF(A1015+1&gt;'F-Ahorro Futuro Decimos'!$H$16,'F-Ahorro Futuro Decimos'!$H$16,A1015+1))</f>
        <v>1014</v>
      </c>
      <c r="B1016" s="122">
        <f>IFERROR(IF(DAY($A1016)=DAY('F-Ahorro Futuro Decimos'!$H$15),'F-Ahorro Futuro Decimos'!$H$14,0),0)</f>
        <v>0</v>
      </c>
      <c r="C1016" s="122">
        <f>IF(A1016='F-Ahorro Futuro Decimos'!$H$18,'F-Ahorro Futuro Decimos'!$H$20,0)</f>
        <v>0</v>
      </c>
      <c r="D1016" s="122">
        <f t="shared" si="15"/>
        <v>0</v>
      </c>
      <c r="E1016" s="121">
        <f>ROUND(D1016*'FR_Mantenimiento tasas'!$C$48/360,5)</f>
        <v>0</v>
      </c>
      <c r="F1016" s="121">
        <f>ROUND(D1016*'FR_Mantenimiento tasas'!$D$48/360,5)</f>
        <v>0</v>
      </c>
    </row>
    <row r="1017" spans="1:6">
      <c r="A1017" s="123">
        <f>IF(OR(A1016='F-Ahorro Futuro Decimos'!$H$16,A1016=""),"",IF(A1016+1&gt;'F-Ahorro Futuro Decimos'!$H$16,'F-Ahorro Futuro Decimos'!$H$16,A1016+1))</f>
        <v>1015</v>
      </c>
      <c r="B1017" s="122">
        <f>IFERROR(IF(DAY($A1017)=DAY('F-Ahorro Futuro Decimos'!$H$15),'F-Ahorro Futuro Decimos'!$H$14,0),0)</f>
        <v>0</v>
      </c>
      <c r="C1017" s="122">
        <f>IF(A1017='F-Ahorro Futuro Decimos'!$H$18,'F-Ahorro Futuro Decimos'!$H$20,0)</f>
        <v>0</v>
      </c>
      <c r="D1017" s="122">
        <f t="shared" si="15"/>
        <v>0</v>
      </c>
      <c r="E1017" s="121">
        <f>ROUND(D1017*'FR_Mantenimiento tasas'!$C$48/360,5)</f>
        <v>0</v>
      </c>
      <c r="F1017" s="121">
        <f>ROUND(D1017*'FR_Mantenimiento tasas'!$D$48/360,5)</f>
        <v>0</v>
      </c>
    </row>
    <row r="1018" spans="1:6">
      <c r="A1018" s="123">
        <f>IF(OR(A1017='F-Ahorro Futuro Decimos'!$H$16,A1017=""),"",IF(A1017+1&gt;'F-Ahorro Futuro Decimos'!$H$16,'F-Ahorro Futuro Decimos'!$H$16,A1017+1))</f>
        <v>1016</v>
      </c>
      <c r="B1018" s="122">
        <f>IFERROR(IF(DAY($A1018)=DAY('F-Ahorro Futuro Decimos'!$H$15),'F-Ahorro Futuro Decimos'!$H$14,0),0)</f>
        <v>0</v>
      </c>
      <c r="C1018" s="122">
        <f>IF(A1018='F-Ahorro Futuro Decimos'!$H$18,'F-Ahorro Futuro Decimos'!$H$20,0)</f>
        <v>0</v>
      </c>
      <c r="D1018" s="122">
        <f t="shared" si="15"/>
        <v>0</v>
      </c>
      <c r="E1018" s="121">
        <f>ROUND(D1018*'FR_Mantenimiento tasas'!$C$48/360,5)</f>
        <v>0</v>
      </c>
      <c r="F1018" s="121">
        <f>ROUND(D1018*'FR_Mantenimiento tasas'!$D$48/360,5)</f>
        <v>0</v>
      </c>
    </row>
    <row r="1019" spans="1:6">
      <c r="A1019" s="123">
        <f>IF(OR(A1018='F-Ahorro Futuro Decimos'!$H$16,A1018=""),"",IF(A1018+1&gt;'F-Ahorro Futuro Decimos'!$H$16,'F-Ahorro Futuro Decimos'!$H$16,A1018+1))</f>
        <v>1017</v>
      </c>
      <c r="B1019" s="122">
        <f>IFERROR(IF(DAY($A1019)=DAY('F-Ahorro Futuro Decimos'!$H$15),'F-Ahorro Futuro Decimos'!$H$14,0),0)</f>
        <v>0</v>
      </c>
      <c r="C1019" s="122">
        <f>IF(A1019='F-Ahorro Futuro Decimos'!$H$18,'F-Ahorro Futuro Decimos'!$H$20,0)</f>
        <v>0</v>
      </c>
      <c r="D1019" s="122">
        <f t="shared" si="15"/>
        <v>0</v>
      </c>
      <c r="E1019" s="121">
        <f>ROUND(D1019*'FR_Mantenimiento tasas'!$C$48/360,5)</f>
        <v>0</v>
      </c>
      <c r="F1019" s="121">
        <f>ROUND(D1019*'FR_Mantenimiento tasas'!$D$48/360,5)</f>
        <v>0</v>
      </c>
    </row>
    <row r="1020" spans="1:6">
      <c r="A1020" s="123">
        <f>IF(OR(A1019='F-Ahorro Futuro Decimos'!$H$16,A1019=""),"",IF(A1019+1&gt;'F-Ahorro Futuro Decimos'!$H$16,'F-Ahorro Futuro Decimos'!$H$16,A1019+1))</f>
        <v>1018</v>
      </c>
      <c r="B1020" s="122">
        <f>IFERROR(IF(DAY($A1020)=DAY('F-Ahorro Futuro Decimos'!$H$15),'F-Ahorro Futuro Decimos'!$H$14,0),0)</f>
        <v>0</v>
      </c>
      <c r="C1020" s="122">
        <f>IF(A1020='F-Ahorro Futuro Decimos'!$H$18,'F-Ahorro Futuro Decimos'!$H$20,0)</f>
        <v>0</v>
      </c>
      <c r="D1020" s="122">
        <f t="shared" si="15"/>
        <v>0</v>
      </c>
      <c r="E1020" s="121">
        <f>ROUND(D1020*'FR_Mantenimiento tasas'!$C$48/360,5)</f>
        <v>0</v>
      </c>
      <c r="F1020" s="121">
        <f>ROUND(D1020*'FR_Mantenimiento tasas'!$D$48/360,5)</f>
        <v>0</v>
      </c>
    </row>
    <row r="1021" spans="1:6">
      <c r="A1021" s="123">
        <f>IF(OR(A1020='F-Ahorro Futuro Decimos'!$H$16,A1020=""),"",IF(A1020+1&gt;'F-Ahorro Futuro Decimos'!$H$16,'F-Ahorro Futuro Decimos'!$H$16,A1020+1))</f>
        <v>1019</v>
      </c>
      <c r="B1021" s="122">
        <f>IFERROR(IF(DAY($A1021)=DAY('F-Ahorro Futuro Decimos'!$H$15),'F-Ahorro Futuro Decimos'!$H$14,0),0)</f>
        <v>0</v>
      </c>
      <c r="C1021" s="122">
        <f>IF(A1021='F-Ahorro Futuro Decimos'!$H$18,'F-Ahorro Futuro Decimos'!$H$20,0)</f>
        <v>0</v>
      </c>
      <c r="D1021" s="122">
        <f t="shared" si="15"/>
        <v>0</v>
      </c>
      <c r="E1021" s="121">
        <f>ROUND(D1021*'FR_Mantenimiento tasas'!$C$48/360,5)</f>
        <v>0</v>
      </c>
      <c r="F1021" s="121">
        <f>ROUND(D1021*'FR_Mantenimiento tasas'!$D$48/360,5)</f>
        <v>0</v>
      </c>
    </row>
    <row r="1022" spans="1:6">
      <c r="A1022" s="123">
        <f>IF(OR(A1021='F-Ahorro Futuro Decimos'!$H$16,A1021=""),"",IF(A1021+1&gt;'F-Ahorro Futuro Decimos'!$H$16,'F-Ahorro Futuro Decimos'!$H$16,A1021+1))</f>
        <v>1020</v>
      </c>
      <c r="B1022" s="122">
        <f>IFERROR(IF(DAY($A1022)=DAY('F-Ahorro Futuro Decimos'!$H$15),'F-Ahorro Futuro Decimos'!$H$14,0),0)</f>
        <v>0</v>
      </c>
      <c r="C1022" s="122">
        <f>IF(A1022='F-Ahorro Futuro Decimos'!$H$18,'F-Ahorro Futuro Decimos'!$H$20,0)</f>
        <v>0</v>
      </c>
      <c r="D1022" s="122">
        <f t="shared" si="15"/>
        <v>0</v>
      </c>
      <c r="E1022" s="121">
        <f>ROUND(D1022*'FR_Mantenimiento tasas'!$C$48/360,5)</f>
        <v>0</v>
      </c>
      <c r="F1022" s="121">
        <f>ROUND(D1022*'FR_Mantenimiento tasas'!$D$48/360,5)</f>
        <v>0</v>
      </c>
    </row>
    <row r="1023" spans="1:6">
      <c r="A1023" s="123">
        <f>IF(OR(A1022='F-Ahorro Futuro Decimos'!$H$16,A1022=""),"",IF(A1022+1&gt;'F-Ahorro Futuro Decimos'!$H$16,'F-Ahorro Futuro Decimos'!$H$16,A1022+1))</f>
        <v>1021</v>
      </c>
      <c r="B1023" s="122">
        <f>IFERROR(IF(DAY($A1023)=DAY('F-Ahorro Futuro Decimos'!$H$15),'F-Ahorro Futuro Decimos'!$H$14,0),0)</f>
        <v>0</v>
      </c>
      <c r="C1023" s="122">
        <f>IF(A1023='F-Ahorro Futuro Decimos'!$H$18,'F-Ahorro Futuro Decimos'!$H$20,0)</f>
        <v>0</v>
      </c>
      <c r="D1023" s="122">
        <f t="shared" si="15"/>
        <v>0</v>
      </c>
      <c r="E1023" s="121">
        <f>ROUND(D1023*'FR_Mantenimiento tasas'!$C$48/360,5)</f>
        <v>0</v>
      </c>
      <c r="F1023" s="121">
        <f>ROUND(D1023*'FR_Mantenimiento tasas'!$D$48/360,5)</f>
        <v>0</v>
      </c>
    </row>
    <row r="1024" spans="1:6">
      <c r="A1024" s="123">
        <f>IF(OR(A1023='F-Ahorro Futuro Decimos'!$H$16,A1023=""),"",IF(A1023+1&gt;'F-Ahorro Futuro Decimos'!$H$16,'F-Ahorro Futuro Decimos'!$H$16,A1023+1))</f>
        <v>1022</v>
      </c>
      <c r="B1024" s="122">
        <f>IFERROR(IF(DAY($A1024)=DAY('F-Ahorro Futuro Decimos'!$H$15),'F-Ahorro Futuro Decimos'!$H$14,0),0)</f>
        <v>0</v>
      </c>
      <c r="C1024" s="122">
        <f>IF(A1024='F-Ahorro Futuro Decimos'!$H$18,'F-Ahorro Futuro Decimos'!$H$20,0)</f>
        <v>0</v>
      </c>
      <c r="D1024" s="122">
        <f t="shared" si="15"/>
        <v>0</v>
      </c>
      <c r="E1024" s="121">
        <f>ROUND(D1024*'FR_Mantenimiento tasas'!$C$48/360,5)</f>
        <v>0</v>
      </c>
      <c r="F1024" s="121">
        <f>ROUND(D1024*'FR_Mantenimiento tasas'!$D$48/360,5)</f>
        <v>0</v>
      </c>
    </row>
    <row r="1025" spans="1:6">
      <c r="A1025" s="123">
        <f>IF(OR(A1024='F-Ahorro Futuro Decimos'!$H$16,A1024=""),"",IF(A1024+1&gt;'F-Ahorro Futuro Decimos'!$H$16,'F-Ahorro Futuro Decimos'!$H$16,A1024+1))</f>
        <v>1023</v>
      </c>
      <c r="B1025" s="122">
        <f>IFERROR(IF(DAY($A1025)=DAY('F-Ahorro Futuro Decimos'!$H$15),'F-Ahorro Futuro Decimos'!$H$14,0),0)</f>
        <v>0</v>
      </c>
      <c r="C1025" s="122">
        <f>IF(A1025='F-Ahorro Futuro Decimos'!$H$18,'F-Ahorro Futuro Decimos'!$H$20,0)</f>
        <v>0</v>
      </c>
      <c r="D1025" s="122">
        <f t="shared" si="15"/>
        <v>0</v>
      </c>
      <c r="E1025" s="121">
        <f>ROUND(D1025*'FR_Mantenimiento tasas'!$C$48/360,5)</f>
        <v>0</v>
      </c>
      <c r="F1025" s="121">
        <f>ROUND(D1025*'FR_Mantenimiento tasas'!$D$48/360,5)</f>
        <v>0</v>
      </c>
    </row>
    <row r="1026" spans="1:6">
      <c r="A1026" s="123">
        <f>IF(OR(A1025='F-Ahorro Futuro Decimos'!$H$16,A1025=""),"",IF(A1025+1&gt;'F-Ahorro Futuro Decimos'!$H$16,'F-Ahorro Futuro Decimos'!$H$16,A1025+1))</f>
        <v>1024</v>
      </c>
      <c r="B1026" s="122">
        <f>IFERROR(IF(DAY($A1026)=DAY('F-Ahorro Futuro Decimos'!$H$15),'F-Ahorro Futuro Decimos'!$H$14,0),0)</f>
        <v>0</v>
      </c>
      <c r="C1026" s="122">
        <f>IF(A1026='F-Ahorro Futuro Decimos'!$H$18,'F-Ahorro Futuro Decimos'!$H$20,0)</f>
        <v>0</v>
      </c>
      <c r="D1026" s="122">
        <f t="shared" si="15"/>
        <v>0</v>
      </c>
      <c r="E1026" s="121">
        <f>ROUND(D1026*'FR_Mantenimiento tasas'!$C$48/360,5)</f>
        <v>0</v>
      </c>
      <c r="F1026" s="121">
        <f>ROUND(D1026*'FR_Mantenimiento tasas'!$D$48/360,5)</f>
        <v>0</v>
      </c>
    </row>
    <row r="1027" spans="1:6">
      <c r="A1027" s="123">
        <f>IF(OR(A1026='F-Ahorro Futuro Decimos'!$H$16,A1026=""),"",IF(A1026+1&gt;'F-Ahorro Futuro Decimos'!$H$16,'F-Ahorro Futuro Decimos'!$H$16,A1026+1))</f>
        <v>1025</v>
      </c>
      <c r="B1027" s="122">
        <f>IFERROR(IF(DAY($A1027)=DAY('F-Ahorro Futuro Decimos'!$H$15),'F-Ahorro Futuro Decimos'!$H$14,0),0)</f>
        <v>0</v>
      </c>
      <c r="C1027" s="122">
        <f>IF(A1027='F-Ahorro Futuro Decimos'!$H$18,'F-Ahorro Futuro Decimos'!$H$20,0)</f>
        <v>0</v>
      </c>
      <c r="D1027" s="122">
        <f t="shared" si="15"/>
        <v>0</v>
      </c>
      <c r="E1027" s="121">
        <f>ROUND(D1027*'FR_Mantenimiento tasas'!$C$48/360,5)</f>
        <v>0</v>
      </c>
      <c r="F1027" s="121">
        <f>ROUND(D1027*'FR_Mantenimiento tasas'!$D$48/360,5)</f>
        <v>0</v>
      </c>
    </row>
    <row r="1028" spans="1:6">
      <c r="A1028" s="123">
        <f>IF(OR(A1027='F-Ahorro Futuro Decimos'!$H$16,A1027=""),"",IF(A1027+1&gt;'F-Ahorro Futuro Decimos'!$H$16,'F-Ahorro Futuro Decimos'!$H$16,A1027+1))</f>
        <v>1026</v>
      </c>
      <c r="B1028" s="122">
        <f>IFERROR(IF(DAY($A1028)=DAY('F-Ahorro Futuro Decimos'!$H$15),'F-Ahorro Futuro Decimos'!$H$14,0),0)</f>
        <v>0</v>
      </c>
      <c r="C1028" s="122">
        <f>IF(A1028='F-Ahorro Futuro Decimos'!$H$18,'F-Ahorro Futuro Decimos'!$H$20,0)</f>
        <v>0</v>
      </c>
      <c r="D1028" s="122">
        <f t="shared" ref="D1028:D1091" si="16">+B1028+D1027+E1027-C1028</f>
        <v>0</v>
      </c>
      <c r="E1028" s="121">
        <f>ROUND(D1028*'FR_Mantenimiento tasas'!$C$48/360,5)</f>
        <v>0</v>
      </c>
      <c r="F1028" s="121">
        <f>ROUND(D1028*'FR_Mantenimiento tasas'!$D$48/360,5)</f>
        <v>0</v>
      </c>
    </row>
    <row r="1029" spans="1:6">
      <c r="A1029" s="123">
        <f>IF(OR(A1028='F-Ahorro Futuro Decimos'!$H$16,A1028=""),"",IF(A1028+1&gt;'F-Ahorro Futuro Decimos'!$H$16,'F-Ahorro Futuro Decimos'!$H$16,A1028+1))</f>
        <v>1027</v>
      </c>
      <c r="B1029" s="122">
        <f>IFERROR(IF(DAY($A1029)=DAY('F-Ahorro Futuro Decimos'!$H$15),'F-Ahorro Futuro Decimos'!$H$14,0),0)</f>
        <v>0</v>
      </c>
      <c r="C1029" s="122">
        <f>IF(A1029='F-Ahorro Futuro Decimos'!$H$18,'F-Ahorro Futuro Decimos'!$H$20,0)</f>
        <v>0</v>
      </c>
      <c r="D1029" s="122">
        <f t="shared" si="16"/>
        <v>0</v>
      </c>
      <c r="E1029" s="121">
        <f>ROUND(D1029*'FR_Mantenimiento tasas'!$C$48/360,5)</f>
        <v>0</v>
      </c>
      <c r="F1029" s="121">
        <f>ROUND(D1029*'FR_Mantenimiento tasas'!$D$48/360,5)</f>
        <v>0</v>
      </c>
    </row>
    <row r="1030" spans="1:6">
      <c r="A1030" s="123">
        <f>IF(OR(A1029='F-Ahorro Futuro Decimos'!$H$16,A1029=""),"",IF(A1029+1&gt;'F-Ahorro Futuro Decimos'!$H$16,'F-Ahorro Futuro Decimos'!$H$16,A1029+1))</f>
        <v>1028</v>
      </c>
      <c r="B1030" s="122">
        <f>IFERROR(IF(DAY($A1030)=DAY('F-Ahorro Futuro Decimos'!$H$15),'F-Ahorro Futuro Decimos'!$H$14,0),0)</f>
        <v>0</v>
      </c>
      <c r="C1030" s="122">
        <f>IF(A1030='F-Ahorro Futuro Decimos'!$H$18,'F-Ahorro Futuro Decimos'!$H$20,0)</f>
        <v>0</v>
      </c>
      <c r="D1030" s="122">
        <f t="shared" si="16"/>
        <v>0</v>
      </c>
      <c r="E1030" s="121">
        <f>ROUND(D1030*'FR_Mantenimiento tasas'!$C$48/360,5)</f>
        <v>0</v>
      </c>
      <c r="F1030" s="121">
        <f>ROUND(D1030*'FR_Mantenimiento tasas'!$D$48/360,5)</f>
        <v>0</v>
      </c>
    </row>
    <row r="1031" spans="1:6">
      <c r="A1031" s="123">
        <f>IF(OR(A1030='F-Ahorro Futuro Decimos'!$H$16,A1030=""),"",IF(A1030+1&gt;'F-Ahorro Futuro Decimos'!$H$16,'F-Ahorro Futuro Decimos'!$H$16,A1030+1))</f>
        <v>1029</v>
      </c>
      <c r="B1031" s="122">
        <f>IFERROR(IF(DAY($A1031)=DAY('F-Ahorro Futuro Decimos'!$H$15),'F-Ahorro Futuro Decimos'!$H$14,0),0)</f>
        <v>0</v>
      </c>
      <c r="C1031" s="122">
        <f>IF(A1031='F-Ahorro Futuro Decimos'!$H$18,'F-Ahorro Futuro Decimos'!$H$20,0)</f>
        <v>0</v>
      </c>
      <c r="D1031" s="122">
        <f t="shared" si="16"/>
        <v>0</v>
      </c>
      <c r="E1031" s="121">
        <f>ROUND(D1031*'FR_Mantenimiento tasas'!$C$48/360,5)</f>
        <v>0</v>
      </c>
      <c r="F1031" s="121">
        <f>ROUND(D1031*'FR_Mantenimiento tasas'!$D$48/360,5)</f>
        <v>0</v>
      </c>
    </row>
    <row r="1032" spans="1:6">
      <c r="A1032" s="123">
        <f>IF(OR(A1031='F-Ahorro Futuro Decimos'!$H$16,A1031=""),"",IF(A1031+1&gt;'F-Ahorro Futuro Decimos'!$H$16,'F-Ahorro Futuro Decimos'!$H$16,A1031+1))</f>
        <v>1030</v>
      </c>
      <c r="B1032" s="122">
        <f>IFERROR(IF(DAY($A1032)=DAY('F-Ahorro Futuro Decimos'!$H$15),'F-Ahorro Futuro Decimos'!$H$14,0),0)</f>
        <v>0</v>
      </c>
      <c r="C1032" s="122">
        <f>IF(A1032='F-Ahorro Futuro Decimos'!$H$18,'F-Ahorro Futuro Decimos'!$H$20,0)</f>
        <v>0</v>
      </c>
      <c r="D1032" s="122">
        <f t="shared" si="16"/>
        <v>0</v>
      </c>
      <c r="E1032" s="121">
        <f>ROUND(D1032*'FR_Mantenimiento tasas'!$C$48/360,5)</f>
        <v>0</v>
      </c>
      <c r="F1032" s="121">
        <f>ROUND(D1032*'FR_Mantenimiento tasas'!$D$48/360,5)</f>
        <v>0</v>
      </c>
    </row>
    <row r="1033" spans="1:6">
      <c r="A1033" s="123">
        <f>IF(OR(A1032='F-Ahorro Futuro Decimos'!$H$16,A1032=""),"",IF(A1032+1&gt;'F-Ahorro Futuro Decimos'!$H$16,'F-Ahorro Futuro Decimos'!$H$16,A1032+1))</f>
        <v>1031</v>
      </c>
      <c r="B1033" s="122">
        <f>IFERROR(IF(DAY($A1033)=DAY('F-Ahorro Futuro Decimos'!$H$15),'F-Ahorro Futuro Decimos'!$H$14,0),0)</f>
        <v>0</v>
      </c>
      <c r="C1033" s="122">
        <f>IF(A1033='F-Ahorro Futuro Decimos'!$H$18,'F-Ahorro Futuro Decimos'!$H$20,0)</f>
        <v>0</v>
      </c>
      <c r="D1033" s="122">
        <f t="shared" si="16"/>
        <v>0</v>
      </c>
      <c r="E1033" s="121">
        <f>ROUND(D1033*'FR_Mantenimiento tasas'!$C$48/360,5)</f>
        <v>0</v>
      </c>
      <c r="F1033" s="121">
        <f>ROUND(D1033*'FR_Mantenimiento tasas'!$D$48/360,5)</f>
        <v>0</v>
      </c>
    </row>
    <row r="1034" spans="1:6">
      <c r="A1034" s="123">
        <f>IF(OR(A1033='F-Ahorro Futuro Decimos'!$H$16,A1033=""),"",IF(A1033+1&gt;'F-Ahorro Futuro Decimos'!$H$16,'F-Ahorro Futuro Decimos'!$H$16,A1033+1))</f>
        <v>1032</v>
      </c>
      <c r="B1034" s="122">
        <f>IFERROR(IF(DAY($A1034)=DAY('F-Ahorro Futuro Decimos'!$H$15),'F-Ahorro Futuro Decimos'!$H$14,0),0)</f>
        <v>0</v>
      </c>
      <c r="C1034" s="122">
        <f>IF(A1034='F-Ahorro Futuro Decimos'!$H$18,'F-Ahorro Futuro Decimos'!$H$20,0)</f>
        <v>0</v>
      </c>
      <c r="D1034" s="122">
        <f t="shared" si="16"/>
        <v>0</v>
      </c>
      <c r="E1034" s="121">
        <f>ROUND(D1034*'FR_Mantenimiento tasas'!$C$48/360,5)</f>
        <v>0</v>
      </c>
      <c r="F1034" s="121">
        <f>ROUND(D1034*'FR_Mantenimiento tasas'!$D$48/360,5)</f>
        <v>0</v>
      </c>
    </row>
    <row r="1035" spans="1:6">
      <c r="A1035" s="123">
        <f>IF(OR(A1034='F-Ahorro Futuro Decimos'!$H$16,A1034=""),"",IF(A1034+1&gt;'F-Ahorro Futuro Decimos'!$H$16,'F-Ahorro Futuro Decimos'!$H$16,A1034+1))</f>
        <v>1033</v>
      </c>
      <c r="B1035" s="122">
        <f>IFERROR(IF(DAY($A1035)=DAY('F-Ahorro Futuro Decimos'!$H$15),'F-Ahorro Futuro Decimos'!$H$14,0),0)</f>
        <v>0</v>
      </c>
      <c r="C1035" s="122">
        <f>IF(A1035='F-Ahorro Futuro Decimos'!$H$18,'F-Ahorro Futuro Decimos'!$H$20,0)</f>
        <v>0</v>
      </c>
      <c r="D1035" s="122">
        <f t="shared" si="16"/>
        <v>0</v>
      </c>
      <c r="E1035" s="121">
        <f>ROUND(D1035*'FR_Mantenimiento tasas'!$C$48/360,5)</f>
        <v>0</v>
      </c>
      <c r="F1035" s="121">
        <f>ROUND(D1035*'FR_Mantenimiento tasas'!$D$48/360,5)</f>
        <v>0</v>
      </c>
    </row>
    <row r="1036" spans="1:6">
      <c r="A1036" s="123">
        <f>IF(OR(A1035='F-Ahorro Futuro Decimos'!$H$16,A1035=""),"",IF(A1035+1&gt;'F-Ahorro Futuro Decimos'!$H$16,'F-Ahorro Futuro Decimos'!$H$16,A1035+1))</f>
        <v>1034</v>
      </c>
      <c r="B1036" s="122">
        <f>IFERROR(IF(DAY($A1036)=DAY('F-Ahorro Futuro Decimos'!$H$15),'F-Ahorro Futuro Decimos'!$H$14,0),0)</f>
        <v>0</v>
      </c>
      <c r="C1036" s="122">
        <f>IF(A1036='F-Ahorro Futuro Decimos'!$H$18,'F-Ahorro Futuro Decimos'!$H$20,0)</f>
        <v>0</v>
      </c>
      <c r="D1036" s="122">
        <f t="shared" si="16"/>
        <v>0</v>
      </c>
      <c r="E1036" s="121">
        <f>ROUND(D1036*'FR_Mantenimiento tasas'!$C$48/360,5)</f>
        <v>0</v>
      </c>
      <c r="F1036" s="121">
        <f>ROUND(D1036*'FR_Mantenimiento tasas'!$D$48/360,5)</f>
        <v>0</v>
      </c>
    </row>
    <row r="1037" spans="1:6">
      <c r="A1037" s="123">
        <f>IF(OR(A1036='F-Ahorro Futuro Decimos'!$H$16,A1036=""),"",IF(A1036+1&gt;'F-Ahorro Futuro Decimos'!$H$16,'F-Ahorro Futuro Decimos'!$H$16,A1036+1))</f>
        <v>1035</v>
      </c>
      <c r="B1037" s="122">
        <f>IFERROR(IF(DAY($A1037)=DAY('F-Ahorro Futuro Decimos'!$H$15),'F-Ahorro Futuro Decimos'!$H$14,0),0)</f>
        <v>0</v>
      </c>
      <c r="C1037" s="122">
        <f>IF(A1037='F-Ahorro Futuro Decimos'!$H$18,'F-Ahorro Futuro Decimos'!$H$20,0)</f>
        <v>0</v>
      </c>
      <c r="D1037" s="122">
        <f t="shared" si="16"/>
        <v>0</v>
      </c>
      <c r="E1037" s="121">
        <f>ROUND(D1037*'FR_Mantenimiento tasas'!$C$48/360,5)</f>
        <v>0</v>
      </c>
      <c r="F1037" s="121">
        <f>ROUND(D1037*'FR_Mantenimiento tasas'!$D$48/360,5)</f>
        <v>0</v>
      </c>
    </row>
    <row r="1038" spans="1:6">
      <c r="A1038" s="123">
        <f>IF(OR(A1037='F-Ahorro Futuro Decimos'!$H$16,A1037=""),"",IF(A1037+1&gt;'F-Ahorro Futuro Decimos'!$H$16,'F-Ahorro Futuro Decimos'!$H$16,A1037+1))</f>
        <v>1036</v>
      </c>
      <c r="B1038" s="122">
        <f>IFERROR(IF(DAY($A1038)=DAY('F-Ahorro Futuro Decimos'!$H$15),'F-Ahorro Futuro Decimos'!$H$14,0),0)</f>
        <v>0</v>
      </c>
      <c r="C1038" s="122">
        <f>IF(A1038='F-Ahorro Futuro Decimos'!$H$18,'F-Ahorro Futuro Decimos'!$H$20,0)</f>
        <v>0</v>
      </c>
      <c r="D1038" s="122">
        <f t="shared" si="16"/>
        <v>0</v>
      </c>
      <c r="E1038" s="121">
        <f>ROUND(D1038*'FR_Mantenimiento tasas'!$C$48/360,5)</f>
        <v>0</v>
      </c>
      <c r="F1038" s="121">
        <f>ROUND(D1038*'FR_Mantenimiento tasas'!$D$48/360,5)</f>
        <v>0</v>
      </c>
    </row>
    <row r="1039" spans="1:6">
      <c r="A1039" s="123">
        <f>IF(OR(A1038='F-Ahorro Futuro Decimos'!$H$16,A1038=""),"",IF(A1038+1&gt;'F-Ahorro Futuro Decimos'!$H$16,'F-Ahorro Futuro Decimos'!$H$16,A1038+1))</f>
        <v>1037</v>
      </c>
      <c r="B1039" s="122">
        <f>IFERROR(IF(DAY($A1039)=DAY('F-Ahorro Futuro Decimos'!$H$15),'F-Ahorro Futuro Decimos'!$H$14,0),0)</f>
        <v>0</v>
      </c>
      <c r="C1039" s="122">
        <f>IF(A1039='F-Ahorro Futuro Decimos'!$H$18,'F-Ahorro Futuro Decimos'!$H$20,0)</f>
        <v>0</v>
      </c>
      <c r="D1039" s="122">
        <f t="shared" si="16"/>
        <v>0</v>
      </c>
      <c r="E1039" s="121">
        <f>ROUND(D1039*'FR_Mantenimiento tasas'!$C$48/360,5)</f>
        <v>0</v>
      </c>
      <c r="F1039" s="121">
        <f>ROUND(D1039*'FR_Mantenimiento tasas'!$D$48/360,5)</f>
        <v>0</v>
      </c>
    </row>
    <row r="1040" spans="1:6">
      <c r="A1040" s="123">
        <f>IF(OR(A1039='F-Ahorro Futuro Decimos'!$H$16,A1039=""),"",IF(A1039+1&gt;'F-Ahorro Futuro Decimos'!$H$16,'F-Ahorro Futuro Decimos'!$H$16,A1039+1))</f>
        <v>1038</v>
      </c>
      <c r="B1040" s="122">
        <f>IFERROR(IF(DAY($A1040)=DAY('F-Ahorro Futuro Decimos'!$H$15),'F-Ahorro Futuro Decimos'!$H$14,0),0)</f>
        <v>0</v>
      </c>
      <c r="C1040" s="122">
        <f>IF(A1040='F-Ahorro Futuro Decimos'!$H$18,'F-Ahorro Futuro Decimos'!$H$20,0)</f>
        <v>0</v>
      </c>
      <c r="D1040" s="122">
        <f t="shared" si="16"/>
        <v>0</v>
      </c>
      <c r="E1040" s="121">
        <f>ROUND(D1040*'FR_Mantenimiento tasas'!$C$48/360,5)</f>
        <v>0</v>
      </c>
      <c r="F1040" s="121">
        <f>ROUND(D1040*'FR_Mantenimiento tasas'!$D$48/360,5)</f>
        <v>0</v>
      </c>
    </row>
    <row r="1041" spans="1:6">
      <c r="A1041" s="123">
        <f>IF(OR(A1040='F-Ahorro Futuro Decimos'!$H$16,A1040=""),"",IF(A1040+1&gt;'F-Ahorro Futuro Decimos'!$H$16,'F-Ahorro Futuro Decimos'!$H$16,A1040+1))</f>
        <v>1039</v>
      </c>
      <c r="B1041" s="122">
        <f>IFERROR(IF(DAY($A1041)=DAY('F-Ahorro Futuro Decimos'!$H$15),'F-Ahorro Futuro Decimos'!$H$14,0),0)</f>
        <v>0</v>
      </c>
      <c r="C1041" s="122">
        <f>IF(A1041='F-Ahorro Futuro Decimos'!$H$18,'F-Ahorro Futuro Decimos'!$H$20,0)</f>
        <v>0</v>
      </c>
      <c r="D1041" s="122">
        <f t="shared" si="16"/>
        <v>0</v>
      </c>
      <c r="E1041" s="121">
        <f>ROUND(D1041*'FR_Mantenimiento tasas'!$C$48/360,5)</f>
        <v>0</v>
      </c>
      <c r="F1041" s="121">
        <f>ROUND(D1041*'FR_Mantenimiento tasas'!$D$48/360,5)</f>
        <v>0</v>
      </c>
    </row>
    <row r="1042" spans="1:6">
      <c r="A1042" s="123">
        <f>IF(OR(A1041='F-Ahorro Futuro Decimos'!$H$16,A1041=""),"",IF(A1041+1&gt;'F-Ahorro Futuro Decimos'!$H$16,'F-Ahorro Futuro Decimos'!$H$16,A1041+1))</f>
        <v>1040</v>
      </c>
      <c r="B1042" s="122">
        <f>IFERROR(IF(DAY($A1042)=DAY('F-Ahorro Futuro Decimos'!$H$15),'F-Ahorro Futuro Decimos'!$H$14,0),0)</f>
        <v>0</v>
      </c>
      <c r="C1042" s="122">
        <f>IF(A1042='F-Ahorro Futuro Decimos'!$H$18,'F-Ahorro Futuro Decimos'!$H$20,0)</f>
        <v>0</v>
      </c>
      <c r="D1042" s="122">
        <f t="shared" si="16"/>
        <v>0</v>
      </c>
      <c r="E1042" s="121">
        <f>ROUND(D1042*'FR_Mantenimiento tasas'!$C$48/360,5)</f>
        <v>0</v>
      </c>
      <c r="F1042" s="121">
        <f>ROUND(D1042*'FR_Mantenimiento tasas'!$D$48/360,5)</f>
        <v>0</v>
      </c>
    </row>
    <row r="1043" spans="1:6">
      <c r="A1043" s="123">
        <f>IF(OR(A1042='F-Ahorro Futuro Decimos'!$H$16,A1042=""),"",IF(A1042+1&gt;'F-Ahorro Futuro Decimos'!$H$16,'F-Ahorro Futuro Decimos'!$H$16,A1042+1))</f>
        <v>1041</v>
      </c>
      <c r="B1043" s="122">
        <f>IFERROR(IF(DAY($A1043)=DAY('F-Ahorro Futuro Decimos'!$H$15),'F-Ahorro Futuro Decimos'!$H$14,0),0)</f>
        <v>0</v>
      </c>
      <c r="C1043" s="122">
        <f>IF(A1043='F-Ahorro Futuro Decimos'!$H$18,'F-Ahorro Futuro Decimos'!$H$20,0)</f>
        <v>0</v>
      </c>
      <c r="D1043" s="122">
        <f t="shared" si="16"/>
        <v>0</v>
      </c>
      <c r="E1043" s="121">
        <f>ROUND(D1043*'FR_Mantenimiento tasas'!$C$48/360,5)</f>
        <v>0</v>
      </c>
      <c r="F1043" s="121">
        <f>ROUND(D1043*'FR_Mantenimiento tasas'!$D$48/360,5)</f>
        <v>0</v>
      </c>
    </row>
    <row r="1044" spans="1:6">
      <c r="A1044" s="123">
        <f>IF(OR(A1043='F-Ahorro Futuro Decimos'!$H$16,A1043=""),"",IF(A1043+1&gt;'F-Ahorro Futuro Decimos'!$H$16,'F-Ahorro Futuro Decimos'!$H$16,A1043+1))</f>
        <v>1042</v>
      </c>
      <c r="B1044" s="122">
        <f>IFERROR(IF(DAY($A1044)=DAY('F-Ahorro Futuro Decimos'!$H$15),'F-Ahorro Futuro Decimos'!$H$14,0),0)</f>
        <v>0</v>
      </c>
      <c r="C1044" s="122">
        <f>IF(A1044='F-Ahorro Futuro Decimos'!$H$18,'F-Ahorro Futuro Decimos'!$H$20,0)</f>
        <v>0</v>
      </c>
      <c r="D1044" s="122">
        <f t="shared" si="16"/>
        <v>0</v>
      </c>
      <c r="E1044" s="121">
        <f>ROUND(D1044*'FR_Mantenimiento tasas'!$C$48/360,5)</f>
        <v>0</v>
      </c>
      <c r="F1044" s="121">
        <f>ROUND(D1044*'FR_Mantenimiento tasas'!$D$48/360,5)</f>
        <v>0</v>
      </c>
    </row>
    <row r="1045" spans="1:6">
      <c r="A1045" s="123">
        <f>IF(OR(A1044='F-Ahorro Futuro Decimos'!$H$16,A1044=""),"",IF(A1044+1&gt;'F-Ahorro Futuro Decimos'!$H$16,'F-Ahorro Futuro Decimos'!$H$16,A1044+1))</f>
        <v>1043</v>
      </c>
      <c r="B1045" s="122">
        <f>IFERROR(IF(DAY($A1045)=DAY('F-Ahorro Futuro Decimos'!$H$15),'F-Ahorro Futuro Decimos'!$H$14,0),0)</f>
        <v>0</v>
      </c>
      <c r="C1045" s="122">
        <f>IF(A1045='F-Ahorro Futuro Decimos'!$H$18,'F-Ahorro Futuro Decimos'!$H$20,0)</f>
        <v>0</v>
      </c>
      <c r="D1045" s="122">
        <f t="shared" si="16"/>
        <v>0</v>
      </c>
      <c r="E1045" s="121">
        <f>ROUND(D1045*'FR_Mantenimiento tasas'!$C$48/360,5)</f>
        <v>0</v>
      </c>
      <c r="F1045" s="121">
        <f>ROUND(D1045*'FR_Mantenimiento tasas'!$D$48/360,5)</f>
        <v>0</v>
      </c>
    </row>
    <row r="1046" spans="1:6">
      <c r="A1046" s="123">
        <f>IF(OR(A1045='F-Ahorro Futuro Decimos'!$H$16,A1045=""),"",IF(A1045+1&gt;'F-Ahorro Futuro Decimos'!$H$16,'F-Ahorro Futuro Decimos'!$H$16,A1045+1))</f>
        <v>1044</v>
      </c>
      <c r="B1046" s="122">
        <f>IFERROR(IF(DAY($A1046)=DAY('F-Ahorro Futuro Decimos'!$H$15),'F-Ahorro Futuro Decimos'!$H$14,0),0)</f>
        <v>0</v>
      </c>
      <c r="C1046" s="122">
        <f>IF(A1046='F-Ahorro Futuro Decimos'!$H$18,'F-Ahorro Futuro Decimos'!$H$20,0)</f>
        <v>0</v>
      </c>
      <c r="D1046" s="122">
        <f t="shared" si="16"/>
        <v>0</v>
      </c>
      <c r="E1046" s="121">
        <f>ROUND(D1046*'FR_Mantenimiento tasas'!$C$48/360,5)</f>
        <v>0</v>
      </c>
      <c r="F1046" s="121">
        <f>ROUND(D1046*'FR_Mantenimiento tasas'!$D$48/360,5)</f>
        <v>0</v>
      </c>
    </row>
    <row r="1047" spans="1:6">
      <c r="A1047" s="123">
        <f>IF(OR(A1046='F-Ahorro Futuro Decimos'!$H$16,A1046=""),"",IF(A1046+1&gt;'F-Ahorro Futuro Decimos'!$H$16,'F-Ahorro Futuro Decimos'!$H$16,A1046+1))</f>
        <v>1045</v>
      </c>
      <c r="B1047" s="122">
        <f>IFERROR(IF(DAY($A1047)=DAY('F-Ahorro Futuro Decimos'!$H$15),'F-Ahorro Futuro Decimos'!$H$14,0),0)</f>
        <v>0</v>
      </c>
      <c r="C1047" s="122">
        <f>IF(A1047='F-Ahorro Futuro Decimos'!$H$18,'F-Ahorro Futuro Decimos'!$H$20,0)</f>
        <v>0</v>
      </c>
      <c r="D1047" s="122">
        <f t="shared" si="16"/>
        <v>0</v>
      </c>
      <c r="E1047" s="121">
        <f>ROUND(D1047*'FR_Mantenimiento tasas'!$C$48/360,5)</f>
        <v>0</v>
      </c>
      <c r="F1047" s="121">
        <f>ROUND(D1047*'FR_Mantenimiento tasas'!$D$48/360,5)</f>
        <v>0</v>
      </c>
    </row>
    <row r="1048" spans="1:6">
      <c r="A1048" s="123">
        <f>IF(OR(A1047='F-Ahorro Futuro Decimos'!$H$16,A1047=""),"",IF(A1047+1&gt;'F-Ahorro Futuro Decimos'!$H$16,'F-Ahorro Futuro Decimos'!$H$16,A1047+1))</f>
        <v>1046</v>
      </c>
      <c r="B1048" s="122">
        <f>IFERROR(IF(DAY($A1048)=DAY('F-Ahorro Futuro Decimos'!$H$15),'F-Ahorro Futuro Decimos'!$H$14,0),0)</f>
        <v>0</v>
      </c>
      <c r="C1048" s="122">
        <f>IF(A1048='F-Ahorro Futuro Decimos'!$H$18,'F-Ahorro Futuro Decimos'!$H$20,0)</f>
        <v>0</v>
      </c>
      <c r="D1048" s="122">
        <f t="shared" si="16"/>
        <v>0</v>
      </c>
      <c r="E1048" s="121">
        <f>ROUND(D1048*'FR_Mantenimiento tasas'!$C$48/360,5)</f>
        <v>0</v>
      </c>
      <c r="F1048" s="121">
        <f>ROUND(D1048*'FR_Mantenimiento tasas'!$D$48/360,5)</f>
        <v>0</v>
      </c>
    </row>
    <row r="1049" spans="1:6">
      <c r="A1049" s="123">
        <f>IF(OR(A1048='F-Ahorro Futuro Decimos'!$H$16,A1048=""),"",IF(A1048+1&gt;'F-Ahorro Futuro Decimos'!$H$16,'F-Ahorro Futuro Decimos'!$H$16,A1048+1))</f>
        <v>1047</v>
      </c>
      <c r="B1049" s="122">
        <f>IFERROR(IF(DAY($A1049)=DAY('F-Ahorro Futuro Decimos'!$H$15),'F-Ahorro Futuro Decimos'!$H$14,0),0)</f>
        <v>0</v>
      </c>
      <c r="C1049" s="122">
        <f>IF(A1049='F-Ahorro Futuro Decimos'!$H$18,'F-Ahorro Futuro Decimos'!$H$20,0)</f>
        <v>0</v>
      </c>
      <c r="D1049" s="122">
        <f t="shared" si="16"/>
        <v>0</v>
      </c>
      <c r="E1049" s="121">
        <f>ROUND(D1049*'FR_Mantenimiento tasas'!$C$48/360,5)</f>
        <v>0</v>
      </c>
      <c r="F1049" s="121">
        <f>ROUND(D1049*'FR_Mantenimiento tasas'!$D$48/360,5)</f>
        <v>0</v>
      </c>
    </row>
    <row r="1050" spans="1:6">
      <c r="A1050" s="123">
        <f>IF(OR(A1049='F-Ahorro Futuro Decimos'!$H$16,A1049=""),"",IF(A1049+1&gt;'F-Ahorro Futuro Decimos'!$H$16,'F-Ahorro Futuro Decimos'!$H$16,A1049+1))</f>
        <v>1048</v>
      </c>
      <c r="B1050" s="122">
        <f>IFERROR(IF(DAY($A1050)=DAY('F-Ahorro Futuro Decimos'!$H$15),'F-Ahorro Futuro Decimos'!$H$14,0),0)</f>
        <v>0</v>
      </c>
      <c r="C1050" s="122">
        <f>IF(A1050='F-Ahorro Futuro Decimos'!$H$18,'F-Ahorro Futuro Decimos'!$H$20,0)</f>
        <v>0</v>
      </c>
      <c r="D1050" s="122">
        <f t="shared" si="16"/>
        <v>0</v>
      </c>
      <c r="E1050" s="121">
        <f>ROUND(D1050*'FR_Mantenimiento tasas'!$C$48/360,5)</f>
        <v>0</v>
      </c>
      <c r="F1050" s="121">
        <f>ROUND(D1050*'FR_Mantenimiento tasas'!$D$48/360,5)</f>
        <v>0</v>
      </c>
    </row>
    <row r="1051" spans="1:6">
      <c r="A1051" s="123">
        <f>IF(OR(A1050='F-Ahorro Futuro Decimos'!$H$16,A1050=""),"",IF(A1050+1&gt;'F-Ahorro Futuro Decimos'!$H$16,'F-Ahorro Futuro Decimos'!$H$16,A1050+1))</f>
        <v>1049</v>
      </c>
      <c r="B1051" s="122">
        <f>IFERROR(IF(DAY($A1051)=DAY('F-Ahorro Futuro Decimos'!$H$15),'F-Ahorro Futuro Decimos'!$H$14,0),0)</f>
        <v>0</v>
      </c>
      <c r="C1051" s="122">
        <f>IF(A1051='F-Ahorro Futuro Decimos'!$H$18,'F-Ahorro Futuro Decimos'!$H$20,0)</f>
        <v>0</v>
      </c>
      <c r="D1051" s="122">
        <f t="shared" si="16"/>
        <v>0</v>
      </c>
      <c r="E1051" s="121">
        <f>ROUND(D1051*'FR_Mantenimiento tasas'!$C$48/360,5)</f>
        <v>0</v>
      </c>
      <c r="F1051" s="121">
        <f>ROUND(D1051*'FR_Mantenimiento tasas'!$D$48/360,5)</f>
        <v>0</v>
      </c>
    </row>
    <row r="1052" spans="1:6">
      <c r="A1052" s="123">
        <f>IF(OR(A1051='F-Ahorro Futuro Decimos'!$H$16,A1051=""),"",IF(A1051+1&gt;'F-Ahorro Futuro Decimos'!$H$16,'F-Ahorro Futuro Decimos'!$H$16,A1051+1))</f>
        <v>1050</v>
      </c>
      <c r="B1052" s="122">
        <f>IFERROR(IF(DAY($A1052)=DAY('F-Ahorro Futuro Decimos'!$H$15),'F-Ahorro Futuro Decimos'!$H$14,0),0)</f>
        <v>0</v>
      </c>
      <c r="C1052" s="122">
        <f>IF(A1052='F-Ahorro Futuro Decimos'!$H$18,'F-Ahorro Futuro Decimos'!$H$20,0)</f>
        <v>0</v>
      </c>
      <c r="D1052" s="122">
        <f t="shared" si="16"/>
        <v>0</v>
      </c>
      <c r="E1052" s="121">
        <f>ROUND(D1052*'FR_Mantenimiento tasas'!$C$48/360,5)</f>
        <v>0</v>
      </c>
      <c r="F1052" s="121">
        <f>ROUND(D1052*'FR_Mantenimiento tasas'!$D$48/360,5)</f>
        <v>0</v>
      </c>
    </row>
    <row r="1053" spans="1:6">
      <c r="A1053" s="123">
        <f>IF(OR(A1052='F-Ahorro Futuro Decimos'!$H$16,A1052=""),"",IF(A1052+1&gt;'F-Ahorro Futuro Decimos'!$H$16,'F-Ahorro Futuro Decimos'!$H$16,A1052+1))</f>
        <v>1051</v>
      </c>
      <c r="B1053" s="122">
        <f>IFERROR(IF(DAY($A1053)=DAY('F-Ahorro Futuro Decimos'!$H$15),'F-Ahorro Futuro Decimos'!$H$14,0),0)</f>
        <v>0</v>
      </c>
      <c r="C1053" s="122">
        <f>IF(A1053='F-Ahorro Futuro Decimos'!$H$18,'F-Ahorro Futuro Decimos'!$H$20,0)</f>
        <v>0</v>
      </c>
      <c r="D1053" s="122">
        <f t="shared" si="16"/>
        <v>0</v>
      </c>
      <c r="E1053" s="121">
        <f>ROUND(D1053*'FR_Mantenimiento tasas'!$C$48/360,5)</f>
        <v>0</v>
      </c>
      <c r="F1053" s="121">
        <f>ROUND(D1053*'FR_Mantenimiento tasas'!$D$48/360,5)</f>
        <v>0</v>
      </c>
    </row>
    <row r="1054" spans="1:6">
      <c r="A1054" s="123">
        <f>IF(OR(A1053='F-Ahorro Futuro Decimos'!$H$16,A1053=""),"",IF(A1053+1&gt;'F-Ahorro Futuro Decimos'!$H$16,'F-Ahorro Futuro Decimos'!$H$16,A1053+1))</f>
        <v>1052</v>
      </c>
      <c r="B1054" s="122">
        <f>IFERROR(IF(DAY($A1054)=DAY('F-Ahorro Futuro Decimos'!$H$15),'F-Ahorro Futuro Decimos'!$H$14,0),0)</f>
        <v>0</v>
      </c>
      <c r="C1054" s="122">
        <f>IF(A1054='F-Ahorro Futuro Decimos'!$H$18,'F-Ahorro Futuro Decimos'!$H$20,0)</f>
        <v>0</v>
      </c>
      <c r="D1054" s="122">
        <f t="shared" si="16"/>
        <v>0</v>
      </c>
      <c r="E1054" s="121">
        <f>ROUND(D1054*'FR_Mantenimiento tasas'!$C$48/360,5)</f>
        <v>0</v>
      </c>
      <c r="F1054" s="121">
        <f>ROUND(D1054*'FR_Mantenimiento tasas'!$D$48/360,5)</f>
        <v>0</v>
      </c>
    </row>
    <row r="1055" spans="1:6">
      <c r="A1055" s="123">
        <f>IF(OR(A1054='F-Ahorro Futuro Decimos'!$H$16,A1054=""),"",IF(A1054+1&gt;'F-Ahorro Futuro Decimos'!$H$16,'F-Ahorro Futuro Decimos'!$H$16,A1054+1))</f>
        <v>1053</v>
      </c>
      <c r="B1055" s="122">
        <f>IFERROR(IF(DAY($A1055)=DAY('F-Ahorro Futuro Decimos'!$H$15),'F-Ahorro Futuro Decimos'!$H$14,0),0)</f>
        <v>0</v>
      </c>
      <c r="C1055" s="122">
        <f>IF(A1055='F-Ahorro Futuro Decimos'!$H$18,'F-Ahorro Futuro Decimos'!$H$20,0)</f>
        <v>0</v>
      </c>
      <c r="D1055" s="122">
        <f t="shared" si="16"/>
        <v>0</v>
      </c>
      <c r="E1055" s="121">
        <f>ROUND(D1055*'FR_Mantenimiento tasas'!$C$48/360,5)</f>
        <v>0</v>
      </c>
      <c r="F1055" s="121">
        <f>ROUND(D1055*'FR_Mantenimiento tasas'!$D$48/360,5)</f>
        <v>0</v>
      </c>
    </row>
    <row r="1056" spans="1:6">
      <c r="A1056" s="123">
        <f>IF(OR(A1055='F-Ahorro Futuro Decimos'!$H$16,A1055=""),"",IF(A1055+1&gt;'F-Ahorro Futuro Decimos'!$H$16,'F-Ahorro Futuro Decimos'!$H$16,A1055+1))</f>
        <v>1054</v>
      </c>
      <c r="B1056" s="122">
        <f>IFERROR(IF(DAY($A1056)=DAY('F-Ahorro Futuro Decimos'!$H$15),'F-Ahorro Futuro Decimos'!$H$14,0),0)</f>
        <v>0</v>
      </c>
      <c r="C1056" s="122">
        <f>IF(A1056='F-Ahorro Futuro Decimos'!$H$18,'F-Ahorro Futuro Decimos'!$H$20,0)</f>
        <v>0</v>
      </c>
      <c r="D1056" s="122">
        <f t="shared" si="16"/>
        <v>0</v>
      </c>
      <c r="E1056" s="121">
        <f>ROUND(D1056*'FR_Mantenimiento tasas'!$C$48/360,5)</f>
        <v>0</v>
      </c>
      <c r="F1056" s="121">
        <f>ROUND(D1056*'FR_Mantenimiento tasas'!$D$48/360,5)</f>
        <v>0</v>
      </c>
    </row>
    <row r="1057" spans="1:6">
      <c r="A1057" s="123">
        <f>IF(OR(A1056='F-Ahorro Futuro Decimos'!$H$16,A1056=""),"",IF(A1056+1&gt;'F-Ahorro Futuro Decimos'!$H$16,'F-Ahorro Futuro Decimos'!$H$16,A1056+1))</f>
        <v>1055</v>
      </c>
      <c r="B1057" s="122">
        <f>IFERROR(IF(DAY($A1057)=DAY('F-Ahorro Futuro Decimos'!$H$15),'F-Ahorro Futuro Decimos'!$H$14,0),0)</f>
        <v>0</v>
      </c>
      <c r="C1057" s="122">
        <f>IF(A1057='F-Ahorro Futuro Decimos'!$H$18,'F-Ahorro Futuro Decimos'!$H$20,0)</f>
        <v>0</v>
      </c>
      <c r="D1057" s="122">
        <f t="shared" si="16"/>
        <v>0</v>
      </c>
      <c r="E1057" s="121">
        <f>ROUND(D1057*'FR_Mantenimiento tasas'!$C$48/360,5)</f>
        <v>0</v>
      </c>
      <c r="F1057" s="121">
        <f>ROUND(D1057*'FR_Mantenimiento tasas'!$D$48/360,5)</f>
        <v>0</v>
      </c>
    </row>
    <row r="1058" spans="1:6">
      <c r="A1058" s="123">
        <f>IF(OR(A1057='F-Ahorro Futuro Decimos'!$H$16,A1057=""),"",IF(A1057+1&gt;'F-Ahorro Futuro Decimos'!$H$16,'F-Ahorro Futuro Decimos'!$H$16,A1057+1))</f>
        <v>1056</v>
      </c>
      <c r="B1058" s="122">
        <f>IFERROR(IF(DAY($A1058)=DAY('F-Ahorro Futuro Decimos'!$H$15),'F-Ahorro Futuro Decimos'!$H$14,0),0)</f>
        <v>0</v>
      </c>
      <c r="C1058" s="122">
        <f>IF(A1058='F-Ahorro Futuro Decimos'!$H$18,'F-Ahorro Futuro Decimos'!$H$20,0)</f>
        <v>0</v>
      </c>
      <c r="D1058" s="122">
        <f t="shared" si="16"/>
        <v>0</v>
      </c>
      <c r="E1058" s="121">
        <f>ROUND(D1058*'FR_Mantenimiento tasas'!$C$48/360,5)</f>
        <v>0</v>
      </c>
      <c r="F1058" s="121">
        <f>ROUND(D1058*'FR_Mantenimiento tasas'!$D$48/360,5)</f>
        <v>0</v>
      </c>
    </row>
    <row r="1059" spans="1:6">
      <c r="A1059" s="123">
        <f>IF(OR(A1058='F-Ahorro Futuro Decimos'!$H$16,A1058=""),"",IF(A1058+1&gt;'F-Ahorro Futuro Decimos'!$H$16,'F-Ahorro Futuro Decimos'!$H$16,A1058+1))</f>
        <v>1057</v>
      </c>
      <c r="B1059" s="122">
        <f>IFERROR(IF(DAY($A1059)=DAY('F-Ahorro Futuro Decimos'!$H$15),'F-Ahorro Futuro Decimos'!$H$14,0),0)</f>
        <v>0</v>
      </c>
      <c r="C1059" s="122">
        <f>IF(A1059='F-Ahorro Futuro Decimos'!$H$18,'F-Ahorro Futuro Decimos'!$H$20,0)</f>
        <v>0</v>
      </c>
      <c r="D1059" s="122">
        <f t="shared" si="16"/>
        <v>0</v>
      </c>
      <c r="E1059" s="121">
        <f>ROUND(D1059*'FR_Mantenimiento tasas'!$C$48/360,5)</f>
        <v>0</v>
      </c>
      <c r="F1059" s="121">
        <f>ROUND(D1059*'FR_Mantenimiento tasas'!$D$48/360,5)</f>
        <v>0</v>
      </c>
    </row>
    <row r="1060" spans="1:6">
      <c r="A1060" s="123">
        <f>IF(OR(A1059='F-Ahorro Futuro Decimos'!$H$16,A1059=""),"",IF(A1059+1&gt;'F-Ahorro Futuro Decimos'!$H$16,'F-Ahorro Futuro Decimos'!$H$16,A1059+1))</f>
        <v>1058</v>
      </c>
      <c r="B1060" s="122">
        <f>IFERROR(IF(DAY($A1060)=DAY('F-Ahorro Futuro Decimos'!$H$15),'F-Ahorro Futuro Decimos'!$H$14,0),0)</f>
        <v>0</v>
      </c>
      <c r="C1060" s="122">
        <f>IF(A1060='F-Ahorro Futuro Decimos'!$H$18,'F-Ahorro Futuro Decimos'!$H$20,0)</f>
        <v>0</v>
      </c>
      <c r="D1060" s="122">
        <f t="shared" si="16"/>
        <v>0</v>
      </c>
      <c r="E1060" s="121">
        <f>ROUND(D1060*'FR_Mantenimiento tasas'!$C$48/360,5)</f>
        <v>0</v>
      </c>
      <c r="F1060" s="121">
        <f>ROUND(D1060*'FR_Mantenimiento tasas'!$D$48/360,5)</f>
        <v>0</v>
      </c>
    </row>
    <row r="1061" spans="1:6">
      <c r="A1061" s="123">
        <f>IF(OR(A1060='F-Ahorro Futuro Decimos'!$H$16,A1060=""),"",IF(A1060+1&gt;'F-Ahorro Futuro Decimos'!$H$16,'F-Ahorro Futuro Decimos'!$H$16,A1060+1))</f>
        <v>1059</v>
      </c>
      <c r="B1061" s="122">
        <f>IFERROR(IF(DAY($A1061)=DAY('F-Ahorro Futuro Decimos'!$H$15),'F-Ahorro Futuro Decimos'!$H$14,0),0)</f>
        <v>0</v>
      </c>
      <c r="C1061" s="122">
        <f>IF(A1061='F-Ahorro Futuro Decimos'!$H$18,'F-Ahorro Futuro Decimos'!$H$20,0)</f>
        <v>0</v>
      </c>
      <c r="D1061" s="122">
        <f t="shared" si="16"/>
        <v>0</v>
      </c>
      <c r="E1061" s="121">
        <f>ROUND(D1061*'FR_Mantenimiento tasas'!$C$48/360,5)</f>
        <v>0</v>
      </c>
      <c r="F1061" s="121">
        <f>ROUND(D1061*'FR_Mantenimiento tasas'!$D$48/360,5)</f>
        <v>0</v>
      </c>
    </row>
    <row r="1062" spans="1:6">
      <c r="A1062" s="123">
        <f>IF(OR(A1061='F-Ahorro Futuro Decimos'!$H$16,A1061=""),"",IF(A1061+1&gt;'F-Ahorro Futuro Decimos'!$H$16,'F-Ahorro Futuro Decimos'!$H$16,A1061+1))</f>
        <v>1060</v>
      </c>
      <c r="B1062" s="122">
        <f>IFERROR(IF(DAY($A1062)=DAY('F-Ahorro Futuro Decimos'!$H$15),'F-Ahorro Futuro Decimos'!$H$14,0),0)</f>
        <v>0</v>
      </c>
      <c r="C1062" s="122">
        <f>IF(A1062='F-Ahorro Futuro Decimos'!$H$18,'F-Ahorro Futuro Decimos'!$H$20,0)</f>
        <v>0</v>
      </c>
      <c r="D1062" s="122">
        <f t="shared" si="16"/>
        <v>0</v>
      </c>
      <c r="E1062" s="121">
        <f>ROUND(D1062*'FR_Mantenimiento tasas'!$C$48/360,5)</f>
        <v>0</v>
      </c>
      <c r="F1062" s="121">
        <f>ROUND(D1062*'FR_Mantenimiento tasas'!$D$48/360,5)</f>
        <v>0</v>
      </c>
    </row>
    <row r="1063" spans="1:6">
      <c r="A1063" s="123">
        <f>IF(OR(A1062='F-Ahorro Futuro Decimos'!$H$16,A1062=""),"",IF(A1062+1&gt;'F-Ahorro Futuro Decimos'!$H$16,'F-Ahorro Futuro Decimos'!$H$16,A1062+1))</f>
        <v>1061</v>
      </c>
      <c r="B1063" s="122">
        <f>IFERROR(IF(DAY($A1063)=DAY('F-Ahorro Futuro Decimos'!$H$15),'F-Ahorro Futuro Decimos'!$H$14,0),0)</f>
        <v>0</v>
      </c>
      <c r="C1063" s="122">
        <f>IF(A1063='F-Ahorro Futuro Decimos'!$H$18,'F-Ahorro Futuro Decimos'!$H$20,0)</f>
        <v>0</v>
      </c>
      <c r="D1063" s="122">
        <f t="shared" si="16"/>
        <v>0</v>
      </c>
      <c r="E1063" s="121">
        <f>ROUND(D1063*'FR_Mantenimiento tasas'!$C$48/360,5)</f>
        <v>0</v>
      </c>
      <c r="F1063" s="121">
        <f>ROUND(D1063*'FR_Mantenimiento tasas'!$D$48/360,5)</f>
        <v>0</v>
      </c>
    </row>
    <row r="1064" spans="1:6">
      <c r="A1064" s="123">
        <f>IF(OR(A1063='F-Ahorro Futuro Decimos'!$H$16,A1063=""),"",IF(A1063+1&gt;'F-Ahorro Futuro Decimos'!$H$16,'F-Ahorro Futuro Decimos'!$H$16,A1063+1))</f>
        <v>1062</v>
      </c>
      <c r="B1064" s="122">
        <f>IFERROR(IF(DAY($A1064)=DAY('F-Ahorro Futuro Decimos'!$H$15),'F-Ahorro Futuro Decimos'!$H$14,0),0)</f>
        <v>0</v>
      </c>
      <c r="C1064" s="122">
        <f>IF(A1064='F-Ahorro Futuro Decimos'!$H$18,'F-Ahorro Futuro Decimos'!$H$20,0)</f>
        <v>0</v>
      </c>
      <c r="D1064" s="122">
        <f t="shared" si="16"/>
        <v>0</v>
      </c>
      <c r="E1064" s="121">
        <f>ROUND(D1064*'FR_Mantenimiento tasas'!$C$48/360,5)</f>
        <v>0</v>
      </c>
      <c r="F1064" s="121">
        <f>ROUND(D1064*'FR_Mantenimiento tasas'!$D$48/360,5)</f>
        <v>0</v>
      </c>
    </row>
    <row r="1065" spans="1:6">
      <c r="A1065" s="123">
        <f>IF(OR(A1064='F-Ahorro Futuro Decimos'!$H$16,A1064=""),"",IF(A1064+1&gt;'F-Ahorro Futuro Decimos'!$H$16,'F-Ahorro Futuro Decimos'!$H$16,A1064+1))</f>
        <v>1063</v>
      </c>
      <c r="B1065" s="122">
        <f>IFERROR(IF(DAY($A1065)=DAY('F-Ahorro Futuro Decimos'!$H$15),'F-Ahorro Futuro Decimos'!$H$14,0),0)</f>
        <v>0</v>
      </c>
      <c r="C1065" s="122">
        <f>IF(A1065='F-Ahorro Futuro Decimos'!$H$18,'F-Ahorro Futuro Decimos'!$H$20,0)</f>
        <v>0</v>
      </c>
      <c r="D1065" s="122">
        <f t="shared" si="16"/>
        <v>0</v>
      </c>
      <c r="E1065" s="121">
        <f>ROUND(D1065*'FR_Mantenimiento tasas'!$C$48/360,5)</f>
        <v>0</v>
      </c>
      <c r="F1065" s="121">
        <f>ROUND(D1065*'FR_Mantenimiento tasas'!$D$48/360,5)</f>
        <v>0</v>
      </c>
    </row>
    <row r="1066" spans="1:6">
      <c r="A1066" s="123">
        <f>IF(OR(A1065='F-Ahorro Futuro Decimos'!$H$16,A1065=""),"",IF(A1065+1&gt;'F-Ahorro Futuro Decimos'!$H$16,'F-Ahorro Futuro Decimos'!$H$16,A1065+1))</f>
        <v>1064</v>
      </c>
      <c r="B1066" s="122">
        <f>IFERROR(IF(DAY($A1066)=DAY('F-Ahorro Futuro Decimos'!$H$15),'F-Ahorro Futuro Decimos'!$H$14,0),0)</f>
        <v>0</v>
      </c>
      <c r="C1066" s="122">
        <f>IF(A1066='F-Ahorro Futuro Decimos'!$H$18,'F-Ahorro Futuro Decimos'!$H$20,0)</f>
        <v>0</v>
      </c>
      <c r="D1066" s="122">
        <f t="shared" si="16"/>
        <v>0</v>
      </c>
      <c r="E1066" s="121">
        <f>ROUND(D1066*'FR_Mantenimiento tasas'!$C$48/360,5)</f>
        <v>0</v>
      </c>
      <c r="F1066" s="121">
        <f>ROUND(D1066*'FR_Mantenimiento tasas'!$D$48/360,5)</f>
        <v>0</v>
      </c>
    </row>
    <row r="1067" spans="1:6">
      <c r="A1067" s="123">
        <f>IF(OR(A1066='F-Ahorro Futuro Decimos'!$H$16,A1066=""),"",IF(A1066+1&gt;'F-Ahorro Futuro Decimos'!$H$16,'F-Ahorro Futuro Decimos'!$H$16,A1066+1))</f>
        <v>1065</v>
      </c>
      <c r="B1067" s="122">
        <f>IFERROR(IF(DAY($A1067)=DAY('F-Ahorro Futuro Decimos'!$H$15),'F-Ahorro Futuro Decimos'!$H$14,0),0)</f>
        <v>0</v>
      </c>
      <c r="C1067" s="122">
        <f>IF(A1067='F-Ahorro Futuro Decimos'!$H$18,'F-Ahorro Futuro Decimos'!$H$20,0)</f>
        <v>0</v>
      </c>
      <c r="D1067" s="122">
        <f t="shared" si="16"/>
        <v>0</v>
      </c>
      <c r="E1067" s="121">
        <f>ROUND(D1067*'FR_Mantenimiento tasas'!$C$48/360,5)</f>
        <v>0</v>
      </c>
      <c r="F1067" s="121">
        <f>ROUND(D1067*'FR_Mantenimiento tasas'!$D$48/360,5)</f>
        <v>0</v>
      </c>
    </row>
    <row r="1068" spans="1:6">
      <c r="A1068" s="123">
        <f>IF(OR(A1067='F-Ahorro Futuro Decimos'!$H$16,A1067=""),"",IF(A1067+1&gt;'F-Ahorro Futuro Decimos'!$H$16,'F-Ahorro Futuro Decimos'!$H$16,A1067+1))</f>
        <v>1066</v>
      </c>
      <c r="B1068" s="122">
        <f>IFERROR(IF(DAY($A1068)=DAY('F-Ahorro Futuro Decimos'!$H$15),'F-Ahorro Futuro Decimos'!$H$14,0),0)</f>
        <v>0</v>
      </c>
      <c r="C1068" s="122">
        <f>IF(A1068='F-Ahorro Futuro Decimos'!$H$18,'F-Ahorro Futuro Decimos'!$H$20,0)</f>
        <v>0</v>
      </c>
      <c r="D1068" s="122">
        <f t="shared" si="16"/>
        <v>0</v>
      </c>
      <c r="E1068" s="121">
        <f>ROUND(D1068*'FR_Mantenimiento tasas'!$C$48/360,5)</f>
        <v>0</v>
      </c>
      <c r="F1068" s="121">
        <f>ROUND(D1068*'FR_Mantenimiento tasas'!$D$48/360,5)</f>
        <v>0</v>
      </c>
    </row>
    <row r="1069" spans="1:6">
      <c r="A1069" s="123">
        <f>IF(OR(A1068='F-Ahorro Futuro Decimos'!$H$16,A1068=""),"",IF(A1068+1&gt;'F-Ahorro Futuro Decimos'!$H$16,'F-Ahorro Futuro Decimos'!$H$16,A1068+1))</f>
        <v>1067</v>
      </c>
      <c r="B1069" s="122">
        <f>IFERROR(IF(DAY($A1069)=DAY('F-Ahorro Futuro Decimos'!$H$15),'F-Ahorro Futuro Decimos'!$H$14,0),0)</f>
        <v>0</v>
      </c>
      <c r="C1069" s="122">
        <f>IF(A1069='F-Ahorro Futuro Decimos'!$H$18,'F-Ahorro Futuro Decimos'!$H$20,0)</f>
        <v>0</v>
      </c>
      <c r="D1069" s="122">
        <f t="shared" si="16"/>
        <v>0</v>
      </c>
      <c r="E1069" s="121">
        <f>ROUND(D1069*'FR_Mantenimiento tasas'!$C$48/360,5)</f>
        <v>0</v>
      </c>
      <c r="F1069" s="121">
        <f>ROUND(D1069*'FR_Mantenimiento tasas'!$D$48/360,5)</f>
        <v>0</v>
      </c>
    </row>
    <row r="1070" spans="1:6">
      <c r="A1070" s="123">
        <f>IF(OR(A1069='F-Ahorro Futuro Decimos'!$H$16,A1069=""),"",IF(A1069+1&gt;'F-Ahorro Futuro Decimos'!$H$16,'F-Ahorro Futuro Decimos'!$H$16,A1069+1))</f>
        <v>1068</v>
      </c>
      <c r="B1070" s="122">
        <f>IFERROR(IF(DAY($A1070)=DAY('F-Ahorro Futuro Decimos'!$H$15),'F-Ahorro Futuro Decimos'!$H$14,0),0)</f>
        <v>0</v>
      </c>
      <c r="C1070" s="122">
        <f>IF(A1070='F-Ahorro Futuro Decimos'!$H$18,'F-Ahorro Futuro Decimos'!$H$20,0)</f>
        <v>0</v>
      </c>
      <c r="D1070" s="122">
        <f t="shared" si="16"/>
        <v>0</v>
      </c>
      <c r="E1070" s="121">
        <f>ROUND(D1070*'FR_Mantenimiento tasas'!$C$48/360,5)</f>
        <v>0</v>
      </c>
      <c r="F1070" s="121">
        <f>ROUND(D1070*'FR_Mantenimiento tasas'!$D$48/360,5)</f>
        <v>0</v>
      </c>
    </row>
    <row r="1071" spans="1:6">
      <c r="A1071" s="123">
        <f>IF(OR(A1070='F-Ahorro Futuro Decimos'!$H$16,A1070=""),"",IF(A1070+1&gt;'F-Ahorro Futuro Decimos'!$H$16,'F-Ahorro Futuro Decimos'!$H$16,A1070+1))</f>
        <v>1069</v>
      </c>
      <c r="B1071" s="122">
        <f>IFERROR(IF(DAY($A1071)=DAY('F-Ahorro Futuro Decimos'!$H$15),'F-Ahorro Futuro Decimos'!$H$14,0),0)</f>
        <v>0</v>
      </c>
      <c r="C1071" s="122">
        <f>IF(A1071='F-Ahorro Futuro Decimos'!$H$18,'F-Ahorro Futuro Decimos'!$H$20,0)</f>
        <v>0</v>
      </c>
      <c r="D1071" s="122">
        <f t="shared" si="16"/>
        <v>0</v>
      </c>
      <c r="E1071" s="121">
        <f>ROUND(D1071*'FR_Mantenimiento tasas'!$C$48/360,5)</f>
        <v>0</v>
      </c>
      <c r="F1071" s="121">
        <f>ROUND(D1071*'FR_Mantenimiento tasas'!$D$48/360,5)</f>
        <v>0</v>
      </c>
    </row>
    <row r="1072" spans="1:6">
      <c r="A1072" s="123">
        <f>IF(OR(A1071='F-Ahorro Futuro Decimos'!$H$16,A1071=""),"",IF(A1071+1&gt;'F-Ahorro Futuro Decimos'!$H$16,'F-Ahorro Futuro Decimos'!$H$16,A1071+1))</f>
        <v>1070</v>
      </c>
      <c r="B1072" s="122">
        <f>IFERROR(IF(DAY($A1072)=DAY('F-Ahorro Futuro Decimos'!$H$15),'F-Ahorro Futuro Decimos'!$H$14,0),0)</f>
        <v>0</v>
      </c>
      <c r="C1072" s="122">
        <f>IF(A1072='F-Ahorro Futuro Decimos'!$H$18,'F-Ahorro Futuro Decimos'!$H$20,0)</f>
        <v>0</v>
      </c>
      <c r="D1072" s="122">
        <f t="shared" si="16"/>
        <v>0</v>
      </c>
      <c r="E1072" s="121">
        <f>ROUND(D1072*'FR_Mantenimiento tasas'!$C$48/360,5)</f>
        <v>0</v>
      </c>
      <c r="F1072" s="121">
        <f>ROUND(D1072*'FR_Mantenimiento tasas'!$D$48/360,5)</f>
        <v>0</v>
      </c>
    </row>
    <row r="1073" spans="1:6">
      <c r="A1073" s="123">
        <f>IF(OR(A1072='F-Ahorro Futuro Decimos'!$H$16,A1072=""),"",IF(A1072+1&gt;'F-Ahorro Futuro Decimos'!$H$16,'F-Ahorro Futuro Decimos'!$H$16,A1072+1))</f>
        <v>1071</v>
      </c>
      <c r="B1073" s="122">
        <f>IFERROR(IF(DAY($A1073)=DAY('F-Ahorro Futuro Decimos'!$H$15),'F-Ahorro Futuro Decimos'!$H$14,0),0)</f>
        <v>0</v>
      </c>
      <c r="C1073" s="122">
        <f>IF(A1073='F-Ahorro Futuro Decimos'!$H$18,'F-Ahorro Futuro Decimos'!$H$20,0)</f>
        <v>0</v>
      </c>
      <c r="D1073" s="122">
        <f t="shared" si="16"/>
        <v>0</v>
      </c>
      <c r="E1073" s="121">
        <f>ROUND(D1073*'FR_Mantenimiento tasas'!$C$48/360,5)</f>
        <v>0</v>
      </c>
      <c r="F1073" s="121">
        <f>ROUND(D1073*'FR_Mantenimiento tasas'!$D$48/360,5)</f>
        <v>0</v>
      </c>
    </row>
    <row r="1074" spans="1:6">
      <c r="A1074" s="123">
        <f>IF(OR(A1073='F-Ahorro Futuro Decimos'!$H$16,A1073=""),"",IF(A1073+1&gt;'F-Ahorro Futuro Decimos'!$H$16,'F-Ahorro Futuro Decimos'!$H$16,A1073+1))</f>
        <v>1072</v>
      </c>
      <c r="B1074" s="122">
        <f>IFERROR(IF(DAY($A1074)=DAY('F-Ahorro Futuro Decimos'!$H$15),'F-Ahorro Futuro Decimos'!$H$14,0),0)</f>
        <v>0</v>
      </c>
      <c r="C1074" s="122">
        <f>IF(A1074='F-Ahorro Futuro Decimos'!$H$18,'F-Ahorro Futuro Decimos'!$H$20,0)</f>
        <v>0</v>
      </c>
      <c r="D1074" s="122">
        <f t="shared" si="16"/>
        <v>0</v>
      </c>
      <c r="E1074" s="121">
        <f>ROUND(D1074*'FR_Mantenimiento tasas'!$C$48/360,5)</f>
        <v>0</v>
      </c>
      <c r="F1074" s="121">
        <f>ROUND(D1074*'FR_Mantenimiento tasas'!$D$48/360,5)</f>
        <v>0</v>
      </c>
    </row>
    <row r="1075" spans="1:6">
      <c r="A1075" s="123">
        <f>IF(OR(A1074='F-Ahorro Futuro Decimos'!$H$16,A1074=""),"",IF(A1074+1&gt;'F-Ahorro Futuro Decimos'!$H$16,'F-Ahorro Futuro Decimos'!$H$16,A1074+1))</f>
        <v>1073</v>
      </c>
      <c r="B1075" s="122">
        <f>IFERROR(IF(DAY($A1075)=DAY('F-Ahorro Futuro Decimos'!$H$15),'F-Ahorro Futuro Decimos'!$H$14,0),0)</f>
        <v>0</v>
      </c>
      <c r="C1075" s="122">
        <f>IF(A1075='F-Ahorro Futuro Decimos'!$H$18,'F-Ahorro Futuro Decimos'!$H$20,0)</f>
        <v>0</v>
      </c>
      <c r="D1075" s="122">
        <f t="shared" si="16"/>
        <v>0</v>
      </c>
      <c r="E1075" s="121">
        <f>ROUND(D1075*'FR_Mantenimiento tasas'!$C$48/360,5)</f>
        <v>0</v>
      </c>
      <c r="F1075" s="121">
        <f>ROUND(D1075*'FR_Mantenimiento tasas'!$D$48/360,5)</f>
        <v>0</v>
      </c>
    </row>
    <row r="1076" spans="1:6">
      <c r="A1076" s="123">
        <f>IF(OR(A1075='F-Ahorro Futuro Decimos'!$H$16,A1075=""),"",IF(A1075+1&gt;'F-Ahorro Futuro Decimos'!$H$16,'F-Ahorro Futuro Decimos'!$H$16,A1075+1))</f>
        <v>1074</v>
      </c>
      <c r="B1076" s="122">
        <f>IFERROR(IF(DAY($A1076)=DAY('F-Ahorro Futuro Decimos'!$H$15),'F-Ahorro Futuro Decimos'!$H$14,0),0)</f>
        <v>0</v>
      </c>
      <c r="C1076" s="122">
        <f>IF(A1076='F-Ahorro Futuro Decimos'!$H$18,'F-Ahorro Futuro Decimos'!$H$20,0)</f>
        <v>0</v>
      </c>
      <c r="D1076" s="122">
        <f t="shared" si="16"/>
        <v>0</v>
      </c>
      <c r="E1076" s="121">
        <f>ROUND(D1076*'FR_Mantenimiento tasas'!$C$48/360,5)</f>
        <v>0</v>
      </c>
      <c r="F1076" s="121">
        <f>ROUND(D1076*'FR_Mantenimiento tasas'!$D$48/360,5)</f>
        <v>0</v>
      </c>
    </row>
    <row r="1077" spans="1:6">
      <c r="A1077" s="123">
        <f>IF(OR(A1076='F-Ahorro Futuro Decimos'!$H$16,A1076=""),"",IF(A1076+1&gt;'F-Ahorro Futuro Decimos'!$H$16,'F-Ahorro Futuro Decimos'!$H$16,A1076+1))</f>
        <v>1075</v>
      </c>
      <c r="B1077" s="122">
        <f>IFERROR(IF(DAY($A1077)=DAY('F-Ahorro Futuro Decimos'!$H$15),'F-Ahorro Futuro Decimos'!$H$14,0),0)</f>
        <v>0</v>
      </c>
      <c r="C1077" s="122">
        <f>IF(A1077='F-Ahorro Futuro Decimos'!$H$18,'F-Ahorro Futuro Decimos'!$H$20,0)</f>
        <v>0</v>
      </c>
      <c r="D1077" s="122">
        <f t="shared" si="16"/>
        <v>0</v>
      </c>
      <c r="E1077" s="121">
        <f>ROUND(D1077*'FR_Mantenimiento tasas'!$C$48/360,5)</f>
        <v>0</v>
      </c>
      <c r="F1077" s="121">
        <f>ROUND(D1077*'FR_Mantenimiento tasas'!$D$48/360,5)</f>
        <v>0</v>
      </c>
    </row>
    <row r="1078" spans="1:6">
      <c r="A1078" s="123">
        <f>IF(OR(A1077='F-Ahorro Futuro Decimos'!$H$16,A1077=""),"",IF(A1077+1&gt;'F-Ahorro Futuro Decimos'!$H$16,'F-Ahorro Futuro Decimos'!$H$16,A1077+1))</f>
        <v>1076</v>
      </c>
      <c r="B1078" s="122">
        <f>IFERROR(IF(DAY($A1078)=DAY('F-Ahorro Futuro Decimos'!$H$15),'F-Ahorro Futuro Decimos'!$H$14,0),0)</f>
        <v>0</v>
      </c>
      <c r="C1078" s="122">
        <f>IF(A1078='F-Ahorro Futuro Decimos'!$H$18,'F-Ahorro Futuro Decimos'!$H$20,0)</f>
        <v>0</v>
      </c>
      <c r="D1078" s="122">
        <f t="shared" si="16"/>
        <v>0</v>
      </c>
      <c r="E1078" s="121">
        <f>ROUND(D1078*'FR_Mantenimiento tasas'!$C$48/360,5)</f>
        <v>0</v>
      </c>
      <c r="F1078" s="121">
        <f>ROUND(D1078*'FR_Mantenimiento tasas'!$D$48/360,5)</f>
        <v>0</v>
      </c>
    </row>
    <row r="1079" spans="1:6">
      <c r="A1079" s="123">
        <f>IF(OR(A1078='F-Ahorro Futuro Decimos'!$H$16,A1078=""),"",IF(A1078+1&gt;'F-Ahorro Futuro Decimos'!$H$16,'F-Ahorro Futuro Decimos'!$H$16,A1078+1))</f>
        <v>1077</v>
      </c>
      <c r="B1079" s="122">
        <f>IFERROR(IF(DAY($A1079)=DAY('F-Ahorro Futuro Decimos'!$H$15),'F-Ahorro Futuro Decimos'!$H$14,0),0)</f>
        <v>0</v>
      </c>
      <c r="C1079" s="122">
        <f>IF(A1079='F-Ahorro Futuro Decimos'!$H$18,'F-Ahorro Futuro Decimos'!$H$20,0)</f>
        <v>0</v>
      </c>
      <c r="D1079" s="122">
        <f t="shared" si="16"/>
        <v>0</v>
      </c>
      <c r="E1079" s="121">
        <f>ROUND(D1079*'FR_Mantenimiento tasas'!$C$48/360,5)</f>
        <v>0</v>
      </c>
      <c r="F1079" s="121">
        <f>ROUND(D1079*'FR_Mantenimiento tasas'!$D$48/360,5)</f>
        <v>0</v>
      </c>
    </row>
    <row r="1080" spans="1:6">
      <c r="A1080" s="123">
        <f>IF(OR(A1079='F-Ahorro Futuro Decimos'!$H$16,A1079=""),"",IF(A1079+1&gt;'F-Ahorro Futuro Decimos'!$H$16,'F-Ahorro Futuro Decimos'!$H$16,A1079+1))</f>
        <v>1078</v>
      </c>
      <c r="B1080" s="122">
        <f>IFERROR(IF(DAY($A1080)=DAY('F-Ahorro Futuro Decimos'!$H$15),'F-Ahorro Futuro Decimos'!$H$14,0),0)</f>
        <v>0</v>
      </c>
      <c r="C1080" s="122">
        <f>IF(A1080='F-Ahorro Futuro Decimos'!$H$18,'F-Ahorro Futuro Decimos'!$H$20,0)</f>
        <v>0</v>
      </c>
      <c r="D1080" s="122">
        <f t="shared" si="16"/>
        <v>0</v>
      </c>
      <c r="E1080" s="121">
        <f>ROUND(D1080*'FR_Mantenimiento tasas'!$C$48/360,5)</f>
        <v>0</v>
      </c>
      <c r="F1080" s="121">
        <f>ROUND(D1080*'FR_Mantenimiento tasas'!$D$48/360,5)</f>
        <v>0</v>
      </c>
    </row>
    <row r="1081" spans="1:6">
      <c r="A1081" s="123">
        <f>IF(OR(A1080='F-Ahorro Futuro Decimos'!$H$16,A1080=""),"",IF(A1080+1&gt;'F-Ahorro Futuro Decimos'!$H$16,'F-Ahorro Futuro Decimos'!$H$16,A1080+1))</f>
        <v>1079</v>
      </c>
      <c r="B1081" s="122">
        <f>IFERROR(IF(DAY($A1081)=DAY('F-Ahorro Futuro Decimos'!$H$15),'F-Ahorro Futuro Decimos'!$H$14,0),0)</f>
        <v>0</v>
      </c>
      <c r="C1081" s="122">
        <f>IF(A1081='F-Ahorro Futuro Decimos'!$H$18,'F-Ahorro Futuro Decimos'!$H$20,0)</f>
        <v>0</v>
      </c>
      <c r="D1081" s="122">
        <f t="shared" si="16"/>
        <v>0</v>
      </c>
      <c r="E1081" s="121">
        <f>ROUND(D1081*'FR_Mantenimiento tasas'!$C$48/360,5)</f>
        <v>0</v>
      </c>
      <c r="F1081" s="121">
        <f>ROUND(D1081*'FR_Mantenimiento tasas'!$D$48/360,5)</f>
        <v>0</v>
      </c>
    </row>
    <row r="1082" spans="1:6">
      <c r="A1082" s="123">
        <f>IF(OR(A1081='F-Ahorro Futuro Decimos'!$H$16,A1081=""),"",IF(A1081+1&gt;'F-Ahorro Futuro Decimos'!$H$16,'F-Ahorro Futuro Decimos'!$H$16,A1081+1))</f>
        <v>1080</v>
      </c>
      <c r="B1082" s="122">
        <f>IFERROR(IF(DAY($A1082)=DAY('F-Ahorro Futuro Decimos'!$H$15),'F-Ahorro Futuro Decimos'!$H$14,0),0)</f>
        <v>0</v>
      </c>
      <c r="C1082" s="122">
        <f>IF(A1082='F-Ahorro Futuro Decimos'!$H$18,'F-Ahorro Futuro Decimos'!$H$20,0)</f>
        <v>0</v>
      </c>
      <c r="D1082" s="122">
        <f t="shared" si="16"/>
        <v>0</v>
      </c>
      <c r="E1082" s="121">
        <f>ROUND(D1082*'FR_Mantenimiento tasas'!$C$48/360,5)</f>
        <v>0</v>
      </c>
      <c r="F1082" s="121">
        <f>ROUND(D1082*'FR_Mantenimiento tasas'!$D$48/360,5)</f>
        <v>0</v>
      </c>
    </row>
    <row r="1083" spans="1:6">
      <c r="A1083" s="123">
        <f>IF(OR(A1082='F-Ahorro Futuro Decimos'!$H$16,A1082=""),"",IF(A1082+1&gt;'F-Ahorro Futuro Decimos'!$H$16,'F-Ahorro Futuro Decimos'!$H$16,A1082+1))</f>
        <v>1081</v>
      </c>
      <c r="B1083" s="122">
        <f>IFERROR(IF(DAY($A1083)=DAY('F-Ahorro Futuro Decimos'!$H$15),'F-Ahorro Futuro Decimos'!$H$14,0),0)</f>
        <v>0</v>
      </c>
      <c r="C1083" s="122">
        <f>IF(A1083='F-Ahorro Futuro Decimos'!$H$18,'F-Ahorro Futuro Decimos'!$H$20,0)</f>
        <v>0</v>
      </c>
      <c r="D1083" s="122">
        <f t="shared" si="16"/>
        <v>0</v>
      </c>
      <c r="E1083" s="121">
        <f>ROUND(D1083*'FR_Mantenimiento tasas'!$C$48/360,5)</f>
        <v>0</v>
      </c>
      <c r="F1083" s="121">
        <f>ROUND(D1083*'FR_Mantenimiento tasas'!$D$48/360,5)</f>
        <v>0</v>
      </c>
    </row>
    <row r="1084" spans="1:6">
      <c r="A1084" s="123">
        <f>IF(OR(A1083='F-Ahorro Futuro Decimos'!$H$16,A1083=""),"",IF(A1083+1&gt;'F-Ahorro Futuro Decimos'!$H$16,'F-Ahorro Futuro Decimos'!$H$16,A1083+1))</f>
        <v>1082</v>
      </c>
      <c r="B1084" s="122">
        <f>IFERROR(IF(DAY($A1084)=DAY('F-Ahorro Futuro Decimos'!$H$15),'F-Ahorro Futuro Decimos'!$H$14,0),0)</f>
        <v>0</v>
      </c>
      <c r="C1084" s="122">
        <f>IF(A1084='F-Ahorro Futuro Decimos'!$H$18,'F-Ahorro Futuro Decimos'!$H$20,0)</f>
        <v>0</v>
      </c>
      <c r="D1084" s="122">
        <f t="shared" si="16"/>
        <v>0</v>
      </c>
      <c r="E1084" s="121">
        <f>ROUND(D1084*'FR_Mantenimiento tasas'!$C$48/360,5)</f>
        <v>0</v>
      </c>
      <c r="F1084" s="121">
        <f>ROUND(D1084*'FR_Mantenimiento tasas'!$D$48/360,5)</f>
        <v>0</v>
      </c>
    </row>
    <row r="1085" spans="1:6">
      <c r="A1085" s="123">
        <f>IF(OR(A1084='F-Ahorro Futuro Decimos'!$H$16,A1084=""),"",IF(A1084+1&gt;'F-Ahorro Futuro Decimos'!$H$16,'F-Ahorro Futuro Decimos'!$H$16,A1084+1))</f>
        <v>1083</v>
      </c>
      <c r="B1085" s="122">
        <f>IFERROR(IF(DAY($A1085)=DAY('F-Ahorro Futuro Decimos'!$H$15),'F-Ahorro Futuro Decimos'!$H$14,0),0)</f>
        <v>0</v>
      </c>
      <c r="C1085" s="122">
        <f>IF(A1085='F-Ahorro Futuro Decimos'!$H$18,'F-Ahorro Futuro Decimos'!$H$20,0)</f>
        <v>0</v>
      </c>
      <c r="D1085" s="122">
        <f t="shared" si="16"/>
        <v>0</v>
      </c>
      <c r="E1085" s="121">
        <f>ROUND(D1085*'FR_Mantenimiento tasas'!$C$48/360,5)</f>
        <v>0</v>
      </c>
      <c r="F1085" s="121">
        <f>ROUND(D1085*'FR_Mantenimiento tasas'!$D$48/360,5)</f>
        <v>0</v>
      </c>
    </row>
    <row r="1086" spans="1:6">
      <c r="A1086" s="123">
        <f>IF(OR(A1085='F-Ahorro Futuro Decimos'!$H$16,A1085=""),"",IF(A1085+1&gt;'F-Ahorro Futuro Decimos'!$H$16,'F-Ahorro Futuro Decimos'!$H$16,A1085+1))</f>
        <v>1084</v>
      </c>
      <c r="B1086" s="122">
        <f>IFERROR(IF(DAY($A1086)=DAY('F-Ahorro Futuro Decimos'!$H$15),'F-Ahorro Futuro Decimos'!$H$14,0),0)</f>
        <v>0</v>
      </c>
      <c r="C1086" s="122">
        <f>IF(A1086='F-Ahorro Futuro Decimos'!$H$18,'F-Ahorro Futuro Decimos'!$H$20,0)</f>
        <v>0</v>
      </c>
      <c r="D1086" s="122">
        <f t="shared" si="16"/>
        <v>0</v>
      </c>
      <c r="E1086" s="121">
        <f>ROUND(D1086*'FR_Mantenimiento tasas'!$C$48/360,5)</f>
        <v>0</v>
      </c>
      <c r="F1086" s="121">
        <f>ROUND(D1086*'FR_Mantenimiento tasas'!$D$48/360,5)</f>
        <v>0</v>
      </c>
    </row>
    <row r="1087" spans="1:6">
      <c r="A1087" s="123">
        <f>IF(OR(A1086='F-Ahorro Futuro Decimos'!$H$16,A1086=""),"",IF(A1086+1&gt;'F-Ahorro Futuro Decimos'!$H$16,'F-Ahorro Futuro Decimos'!$H$16,A1086+1))</f>
        <v>1085</v>
      </c>
      <c r="B1087" s="122">
        <f>IFERROR(IF(DAY($A1087)=DAY('F-Ahorro Futuro Decimos'!$H$15),'F-Ahorro Futuro Decimos'!$H$14,0),0)</f>
        <v>0</v>
      </c>
      <c r="C1087" s="122">
        <f>IF(A1087='F-Ahorro Futuro Decimos'!$H$18,'F-Ahorro Futuro Decimos'!$H$20,0)</f>
        <v>0</v>
      </c>
      <c r="D1087" s="122">
        <f t="shared" si="16"/>
        <v>0</v>
      </c>
      <c r="E1087" s="121">
        <f>ROUND(D1087*'FR_Mantenimiento tasas'!$C$48/360,5)</f>
        <v>0</v>
      </c>
      <c r="F1087" s="121">
        <f>ROUND(D1087*'FR_Mantenimiento tasas'!$D$48/360,5)</f>
        <v>0</v>
      </c>
    </row>
    <row r="1088" spans="1:6">
      <c r="A1088" s="123">
        <f>IF(OR(A1087='F-Ahorro Futuro Decimos'!$H$16,A1087=""),"",IF(A1087+1&gt;'F-Ahorro Futuro Decimos'!$H$16,'F-Ahorro Futuro Decimos'!$H$16,A1087+1))</f>
        <v>1086</v>
      </c>
      <c r="B1088" s="122">
        <f>IFERROR(IF(DAY($A1088)=DAY('F-Ahorro Futuro Decimos'!$H$15),'F-Ahorro Futuro Decimos'!$H$14,0),0)</f>
        <v>0</v>
      </c>
      <c r="C1088" s="122">
        <f>IF(A1088='F-Ahorro Futuro Decimos'!$H$18,'F-Ahorro Futuro Decimos'!$H$20,0)</f>
        <v>0</v>
      </c>
      <c r="D1088" s="122">
        <f t="shared" si="16"/>
        <v>0</v>
      </c>
      <c r="E1088" s="121">
        <f>ROUND(D1088*'FR_Mantenimiento tasas'!$C$48/360,5)</f>
        <v>0</v>
      </c>
      <c r="F1088" s="121">
        <f>ROUND(D1088*'FR_Mantenimiento tasas'!$D$48/360,5)</f>
        <v>0</v>
      </c>
    </row>
    <row r="1089" spans="1:6">
      <c r="A1089" s="123">
        <f>IF(OR(A1088='F-Ahorro Futuro Decimos'!$H$16,A1088=""),"",IF(A1088+1&gt;'F-Ahorro Futuro Decimos'!$H$16,'F-Ahorro Futuro Decimos'!$H$16,A1088+1))</f>
        <v>1087</v>
      </c>
      <c r="B1089" s="122">
        <f>IFERROR(IF(DAY($A1089)=DAY('F-Ahorro Futuro Decimos'!$H$15),'F-Ahorro Futuro Decimos'!$H$14,0),0)</f>
        <v>0</v>
      </c>
      <c r="C1089" s="122">
        <f>IF(A1089='F-Ahorro Futuro Decimos'!$H$18,'F-Ahorro Futuro Decimos'!$H$20,0)</f>
        <v>0</v>
      </c>
      <c r="D1089" s="122">
        <f t="shared" si="16"/>
        <v>0</v>
      </c>
      <c r="E1089" s="121">
        <f>ROUND(D1089*'FR_Mantenimiento tasas'!$C$48/360,5)</f>
        <v>0</v>
      </c>
      <c r="F1089" s="121">
        <f>ROUND(D1089*'FR_Mantenimiento tasas'!$D$48/360,5)</f>
        <v>0</v>
      </c>
    </row>
    <row r="1090" spans="1:6">
      <c r="A1090" s="123">
        <f>IF(OR(A1089='F-Ahorro Futuro Decimos'!$H$16,A1089=""),"",IF(A1089+1&gt;'F-Ahorro Futuro Decimos'!$H$16,'F-Ahorro Futuro Decimos'!$H$16,A1089+1))</f>
        <v>1088</v>
      </c>
      <c r="B1090" s="122">
        <f>IFERROR(IF(DAY($A1090)=DAY('F-Ahorro Futuro Decimos'!$H$15),'F-Ahorro Futuro Decimos'!$H$14,0),0)</f>
        <v>0</v>
      </c>
      <c r="C1090" s="122">
        <f>IF(A1090='F-Ahorro Futuro Decimos'!$H$18,'F-Ahorro Futuro Decimos'!$H$20,0)</f>
        <v>0</v>
      </c>
      <c r="D1090" s="122">
        <f t="shared" si="16"/>
        <v>0</v>
      </c>
      <c r="E1090" s="121">
        <f>ROUND(D1090*'FR_Mantenimiento tasas'!$C$48/360,5)</f>
        <v>0</v>
      </c>
      <c r="F1090" s="121">
        <f>ROUND(D1090*'FR_Mantenimiento tasas'!$D$48/360,5)</f>
        <v>0</v>
      </c>
    </row>
    <row r="1091" spans="1:6">
      <c r="A1091" s="123">
        <f>IF(OR(A1090='F-Ahorro Futuro Decimos'!$H$16,A1090=""),"",IF(A1090+1&gt;'F-Ahorro Futuro Decimos'!$H$16,'F-Ahorro Futuro Decimos'!$H$16,A1090+1))</f>
        <v>1089</v>
      </c>
      <c r="B1091" s="122">
        <f>IFERROR(IF(DAY($A1091)=DAY('F-Ahorro Futuro Decimos'!$H$15),'F-Ahorro Futuro Decimos'!$H$14,0),0)</f>
        <v>0</v>
      </c>
      <c r="C1091" s="122">
        <f>IF(A1091='F-Ahorro Futuro Decimos'!$H$18,'F-Ahorro Futuro Decimos'!$H$20,0)</f>
        <v>0</v>
      </c>
      <c r="D1091" s="122">
        <f t="shared" si="16"/>
        <v>0</v>
      </c>
      <c r="E1091" s="121">
        <f>ROUND(D1091*'FR_Mantenimiento tasas'!$C$48/360,5)</f>
        <v>0</v>
      </c>
      <c r="F1091" s="121">
        <f>ROUND(D1091*'FR_Mantenimiento tasas'!$D$48/360,5)</f>
        <v>0</v>
      </c>
    </row>
    <row r="1092" spans="1:6">
      <c r="A1092" s="123">
        <f>IF(OR(A1091='F-Ahorro Futuro Decimos'!$H$16,A1091=""),"",IF(A1091+1&gt;'F-Ahorro Futuro Decimos'!$H$16,'F-Ahorro Futuro Decimos'!$H$16,A1091+1))</f>
        <v>1090</v>
      </c>
      <c r="B1092" s="122">
        <f>IFERROR(IF(DAY($A1092)=DAY('F-Ahorro Futuro Decimos'!$H$15),'F-Ahorro Futuro Decimos'!$H$14,0),0)</f>
        <v>0</v>
      </c>
      <c r="C1092" s="122">
        <f>IF(A1092='F-Ahorro Futuro Decimos'!$H$18,'F-Ahorro Futuro Decimos'!$H$20,0)</f>
        <v>0</v>
      </c>
      <c r="D1092" s="122">
        <f t="shared" ref="D1092:D1155" si="17">+B1092+D1091+E1091-C1092</f>
        <v>0</v>
      </c>
      <c r="E1092" s="121">
        <f>ROUND(D1092*'FR_Mantenimiento tasas'!$C$48/360,5)</f>
        <v>0</v>
      </c>
      <c r="F1092" s="121">
        <f>ROUND(D1092*'FR_Mantenimiento tasas'!$D$48/360,5)</f>
        <v>0</v>
      </c>
    </row>
    <row r="1093" spans="1:6">
      <c r="A1093" s="123">
        <f>IF(OR(A1092='F-Ahorro Futuro Decimos'!$H$16,A1092=""),"",IF(A1092+1&gt;'F-Ahorro Futuro Decimos'!$H$16,'F-Ahorro Futuro Decimos'!$H$16,A1092+1))</f>
        <v>1091</v>
      </c>
      <c r="B1093" s="122">
        <f>IFERROR(IF(DAY($A1093)=DAY('F-Ahorro Futuro Decimos'!$H$15),'F-Ahorro Futuro Decimos'!$H$14,0),0)</f>
        <v>0</v>
      </c>
      <c r="C1093" s="122">
        <f>IF(A1093='F-Ahorro Futuro Decimos'!$H$18,'F-Ahorro Futuro Decimos'!$H$20,0)</f>
        <v>0</v>
      </c>
      <c r="D1093" s="122">
        <f t="shared" si="17"/>
        <v>0</v>
      </c>
      <c r="E1093" s="121">
        <f>ROUND(D1093*'FR_Mantenimiento tasas'!$C$48/360,5)</f>
        <v>0</v>
      </c>
      <c r="F1093" s="121">
        <f>ROUND(D1093*'FR_Mantenimiento tasas'!$D$48/360,5)</f>
        <v>0</v>
      </c>
    </row>
    <row r="1094" spans="1:6">
      <c r="A1094" s="123">
        <f>IF(OR(A1093='F-Ahorro Futuro Decimos'!$H$16,A1093=""),"",IF(A1093+1&gt;'F-Ahorro Futuro Decimos'!$H$16,'F-Ahorro Futuro Decimos'!$H$16,A1093+1))</f>
        <v>1092</v>
      </c>
      <c r="B1094" s="122">
        <f>IFERROR(IF(DAY($A1094)=DAY('F-Ahorro Futuro Decimos'!$H$15),'F-Ahorro Futuro Decimos'!$H$14,0),0)</f>
        <v>0</v>
      </c>
      <c r="C1094" s="122">
        <f>IF(A1094='F-Ahorro Futuro Decimos'!$H$18,'F-Ahorro Futuro Decimos'!$H$20,0)</f>
        <v>0</v>
      </c>
      <c r="D1094" s="122">
        <f t="shared" si="17"/>
        <v>0</v>
      </c>
      <c r="E1094" s="121">
        <f>ROUND(D1094*'FR_Mantenimiento tasas'!$C$48/360,5)</f>
        <v>0</v>
      </c>
      <c r="F1094" s="121">
        <f>ROUND(D1094*'FR_Mantenimiento tasas'!$D$48/360,5)</f>
        <v>0</v>
      </c>
    </row>
    <row r="1095" spans="1:6">
      <c r="A1095" s="123">
        <f>IF(OR(A1094='F-Ahorro Futuro Decimos'!$H$16,A1094=""),"",IF(A1094+1&gt;'F-Ahorro Futuro Decimos'!$H$16,'F-Ahorro Futuro Decimos'!$H$16,A1094+1))</f>
        <v>1093</v>
      </c>
      <c r="B1095" s="122">
        <f>IFERROR(IF(DAY($A1095)=DAY('F-Ahorro Futuro Decimos'!$H$15),'F-Ahorro Futuro Decimos'!$H$14,0),0)</f>
        <v>0</v>
      </c>
      <c r="C1095" s="122">
        <f>IF(A1095='F-Ahorro Futuro Decimos'!$H$18,'F-Ahorro Futuro Decimos'!$H$20,0)</f>
        <v>0</v>
      </c>
      <c r="D1095" s="122">
        <f t="shared" si="17"/>
        <v>0</v>
      </c>
      <c r="E1095" s="121">
        <f>ROUND(D1095*'FR_Mantenimiento tasas'!$C$48/360,5)</f>
        <v>0</v>
      </c>
      <c r="F1095" s="121">
        <f>ROUND(D1095*'FR_Mantenimiento tasas'!$D$48/360,5)</f>
        <v>0</v>
      </c>
    </row>
    <row r="1096" spans="1:6">
      <c r="A1096" s="123">
        <f>IF(OR(A1095='F-Ahorro Futuro Decimos'!$H$16,A1095=""),"",IF(A1095+1&gt;'F-Ahorro Futuro Decimos'!$H$16,'F-Ahorro Futuro Decimos'!$H$16,A1095+1))</f>
        <v>1094</v>
      </c>
      <c r="B1096" s="122">
        <f>IFERROR(IF(DAY($A1096)=DAY('F-Ahorro Futuro Decimos'!$H$15),'F-Ahorro Futuro Decimos'!$H$14,0),0)</f>
        <v>0</v>
      </c>
      <c r="C1096" s="122">
        <f>IF(A1096='F-Ahorro Futuro Decimos'!$H$18,'F-Ahorro Futuro Decimos'!$H$20,0)</f>
        <v>0</v>
      </c>
      <c r="D1096" s="122">
        <f t="shared" si="17"/>
        <v>0</v>
      </c>
      <c r="E1096" s="121">
        <f>ROUND(D1096*'FR_Mantenimiento tasas'!$C$48/360,5)</f>
        <v>0</v>
      </c>
      <c r="F1096" s="121">
        <f>ROUND(D1096*'FR_Mantenimiento tasas'!$D$48/360,5)</f>
        <v>0</v>
      </c>
    </row>
    <row r="1097" spans="1:6">
      <c r="A1097" s="123">
        <f>IF(OR(A1096='F-Ahorro Futuro Decimos'!$H$16,A1096=""),"",IF(A1096+1&gt;'F-Ahorro Futuro Decimos'!$H$16,'F-Ahorro Futuro Decimos'!$H$16,A1096+1))</f>
        <v>1095</v>
      </c>
      <c r="B1097" s="122">
        <f>IFERROR(IF(DAY($A1097)=DAY('F-Ahorro Futuro Decimos'!$H$15),'F-Ahorro Futuro Decimos'!$H$14,0),0)</f>
        <v>0</v>
      </c>
      <c r="C1097" s="122">
        <f>IF(A1097='F-Ahorro Futuro Decimos'!$H$18,'F-Ahorro Futuro Decimos'!$H$20,0)</f>
        <v>0</v>
      </c>
      <c r="D1097" s="122">
        <f t="shared" si="17"/>
        <v>0</v>
      </c>
      <c r="E1097" s="121">
        <f>ROUND(D1097*'FR_Mantenimiento tasas'!$C$48/360,5)</f>
        <v>0</v>
      </c>
      <c r="F1097" s="121">
        <f>ROUND(D1097*'FR_Mantenimiento tasas'!$D$48/360,5)</f>
        <v>0</v>
      </c>
    </row>
    <row r="1098" spans="1:6">
      <c r="A1098" s="123">
        <f>IF(OR(A1097='F-Ahorro Futuro Decimos'!$H$16,A1097=""),"",IF(A1097+1&gt;'F-Ahorro Futuro Decimos'!$H$16,'F-Ahorro Futuro Decimos'!$H$16,A1097+1))</f>
        <v>1096</v>
      </c>
      <c r="B1098" s="122">
        <f>IFERROR(IF(DAY($A1098)=DAY('F-Ahorro Futuro Decimos'!$H$15),'F-Ahorro Futuro Decimos'!$H$14,0),0)</f>
        <v>0</v>
      </c>
      <c r="C1098" s="122">
        <f>IF(A1098='F-Ahorro Futuro Decimos'!$H$18,'F-Ahorro Futuro Decimos'!$H$20,0)</f>
        <v>0</v>
      </c>
      <c r="D1098" s="122">
        <f t="shared" si="17"/>
        <v>0</v>
      </c>
      <c r="E1098" s="121">
        <f>ROUND(D1098*'FR_Mantenimiento tasas'!$C$48/360,5)</f>
        <v>0</v>
      </c>
      <c r="F1098" s="121">
        <f>ROUND(D1098*'FR_Mantenimiento tasas'!$D$48/360,5)</f>
        <v>0</v>
      </c>
    </row>
    <row r="1099" spans="1:6">
      <c r="A1099" s="123">
        <f>IF(OR(A1098='F-Ahorro Futuro Decimos'!$H$16,A1098=""),"",IF(A1098+1&gt;'F-Ahorro Futuro Decimos'!$H$16,'F-Ahorro Futuro Decimos'!$H$16,A1098+1))</f>
        <v>1097</v>
      </c>
      <c r="B1099" s="122">
        <f>IFERROR(IF(DAY($A1099)=DAY('F-Ahorro Futuro Decimos'!$H$15),'F-Ahorro Futuro Decimos'!$H$14,0),0)</f>
        <v>0</v>
      </c>
      <c r="C1099" s="122">
        <f>IF(A1099='F-Ahorro Futuro Decimos'!$H$18,'F-Ahorro Futuro Decimos'!$H$20,0)</f>
        <v>0</v>
      </c>
      <c r="D1099" s="122">
        <f t="shared" si="17"/>
        <v>0</v>
      </c>
      <c r="E1099" s="121">
        <f>ROUND(D1099*'FR_Mantenimiento tasas'!$C$48/360,5)</f>
        <v>0</v>
      </c>
      <c r="F1099" s="121">
        <f>ROUND(D1099*'FR_Mantenimiento tasas'!$D$48/360,5)</f>
        <v>0</v>
      </c>
    </row>
    <row r="1100" spans="1:6">
      <c r="A1100" s="123">
        <f>IF(OR(A1099='F-Ahorro Futuro Decimos'!$H$16,A1099=""),"",IF(A1099+1&gt;'F-Ahorro Futuro Decimos'!$H$16,'F-Ahorro Futuro Decimos'!$H$16,A1099+1))</f>
        <v>1098</v>
      </c>
      <c r="B1100" s="122">
        <f>IFERROR(IF(DAY($A1100)=DAY('F-Ahorro Futuro Decimos'!$H$15),'F-Ahorro Futuro Decimos'!$H$14,0),0)</f>
        <v>0</v>
      </c>
      <c r="C1100" s="122">
        <f>IF(A1100='F-Ahorro Futuro Decimos'!$H$18,'F-Ahorro Futuro Decimos'!$H$20,0)</f>
        <v>0</v>
      </c>
      <c r="D1100" s="122">
        <f t="shared" si="17"/>
        <v>0</v>
      </c>
      <c r="E1100" s="121">
        <f>ROUND(D1100*'FR_Mantenimiento tasas'!$C$48/360,5)</f>
        <v>0</v>
      </c>
      <c r="F1100" s="121">
        <f>ROUND(D1100*'FR_Mantenimiento tasas'!$D$48/360,5)</f>
        <v>0</v>
      </c>
    </row>
    <row r="1101" spans="1:6">
      <c r="A1101" s="123">
        <f>IF(OR(A1100='F-Ahorro Futuro Decimos'!$H$16,A1100=""),"",IF(A1100+1&gt;'F-Ahorro Futuro Decimos'!$H$16,'F-Ahorro Futuro Decimos'!$H$16,A1100+1))</f>
        <v>1099</v>
      </c>
      <c r="B1101" s="122">
        <f>IFERROR(IF(DAY($A1101)=DAY('F-Ahorro Futuro Decimos'!$H$15),'F-Ahorro Futuro Decimos'!$H$14,0),0)</f>
        <v>0</v>
      </c>
      <c r="C1101" s="122">
        <f>IF(A1101='F-Ahorro Futuro Decimos'!$H$18,'F-Ahorro Futuro Decimos'!$H$20,0)</f>
        <v>0</v>
      </c>
      <c r="D1101" s="122">
        <f t="shared" si="17"/>
        <v>0</v>
      </c>
      <c r="E1101" s="121">
        <f>ROUND(D1101*'FR_Mantenimiento tasas'!$C$48/360,5)</f>
        <v>0</v>
      </c>
      <c r="F1101" s="121">
        <f>ROUND(D1101*'FR_Mantenimiento tasas'!$D$48/360,5)</f>
        <v>0</v>
      </c>
    </row>
    <row r="1102" spans="1:6">
      <c r="A1102" s="123">
        <f>IF(OR(A1101='F-Ahorro Futuro Decimos'!$H$16,A1101=""),"",IF(A1101+1&gt;'F-Ahorro Futuro Decimos'!$H$16,'F-Ahorro Futuro Decimos'!$H$16,A1101+1))</f>
        <v>1100</v>
      </c>
      <c r="B1102" s="122">
        <f>IFERROR(IF(DAY($A1102)=DAY('F-Ahorro Futuro Decimos'!$H$15),'F-Ahorro Futuro Decimos'!$H$14,0),0)</f>
        <v>0</v>
      </c>
      <c r="C1102" s="122">
        <f>IF(A1102='F-Ahorro Futuro Decimos'!$H$18,'F-Ahorro Futuro Decimos'!$H$20,0)</f>
        <v>0</v>
      </c>
      <c r="D1102" s="122">
        <f t="shared" si="17"/>
        <v>0</v>
      </c>
      <c r="E1102" s="121">
        <f>ROUND(D1102*'FR_Mantenimiento tasas'!$C$48/360,5)</f>
        <v>0</v>
      </c>
      <c r="F1102" s="121">
        <f>ROUND(D1102*'FR_Mantenimiento tasas'!$D$48/360,5)</f>
        <v>0</v>
      </c>
    </row>
    <row r="1103" spans="1:6">
      <c r="A1103" s="123">
        <f>IF(OR(A1102='F-Ahorro Futuro Decimos'!$H$16,A1102=""),"",IF(A1102+1&gt;'F-Ahorro Futuro Decimos'!$H$16,'F-Ahorro Futuro Decimos'!$H$16,A1102+1))</f>
        <v>1101</v>
      </c>
      <c r="B1103" s="122">
        <f>IFERROR(IF(DAY($A1103)=DAY('F-Ahorro Futuro Decimos'!$H$15),'F-Ahorro Futuro Decimos'!$H$14,0),0)</f>
        <v>0</v>
      </c>
      <c r="C1103" s="122">
        <f>IF(A1103='F-Ahorro Futuro Decimos'!$H$18,'F-Ahorro Futuro Decimos'!$H$20,0)</f>
        <v>0</v>
      </c>
      <c r="D1103" s="122">
        <f t="shared" si="17"/>
        <v>0</v>
      </c>
      <c r="E1103" s="121">
        <f>ROUND(D1103*'FR_Mantenimiento tasas'!$C$48/360,5)</f>
        <v>0</v>
      </c>
      <c r="F1103" s="121">
        <f>ROUND(D1103*'FR_Mantenimiento tasas'!$D$48/360,5)</f>
        <v>0</v>
      </c>
    </row>
    <row r="1104" spans="1:6">
      <c r="A1104" s="123">
        <f>IF(OR(A1103='F-Ahorro Futuro Decimos'!$H$16,A1103=""),"",IF(A1103+1&gt;'F-Ahorro Futuro Decimos'!$H$16,'F-Ahorro Futuro Decimos'!$H$16,A1103+1))</f>
        <v>1102</v>
      </c>
      <c r="B1104" s="122">
        <f>IFERROR(IF(DAY($A1104)=DAY('F-Ahorro Futuro Decimos'!$H$15),'F-Ahorro Futuro Decimos'!$H$14,0),0)</f>
        <v>0</v>
      </c>
      <c r="C1104" s="122">
        <f>IF(A1104='F-Ahorro Futuro Decimos'!$H$18,'F-Ahorro Futuro Decimos'!$H$20,0)</f>
        <v>0</v>
      </c>
      <c r="D1104" s="122">
        <f t="shared" si="17"/>
        <v>0</v>
      </c>
      <c r="E1104" s="121">
        <f>ROUND(D1104*'FR_Mantenimiento tasas'!$C$48/360,5)</f>
        <v>0</v>
      </c>
      <c r="F1104" s="121">
        <f>ROUND(D1104*'FR_Mantenimiento tasas'!$D$48/360,5)</f>
        <v>0</v>
      </c>
    </row>
    <row r="1105" spans="1:6">
      <c r="A1105" s="123">
        <f>IF(OR(A1104='F-Ahorro Futuro Decimos'!$H$16,A1104=""),"",IF(A1104+1&gt;'F-Ahorro Futuro Decimos'!$H$16,'F-Ahorro Futuro Decimos'!$H$16,A1104+1))</f>
        <v>1103</v>
      </c>
      <c r="B1105" s="122">
        <f>IFERROR(IF(DAY($A1105)=DAY('F-Ahorro Futuro Decimos'!$H$15),'F-Ahorro Futuro Decimos'!$H$14,0),0)</f>
        <v>0</v>
      </c>
      <c r="C1105" s="122">
        <f>IF(A1105='F-Ahorro Futuro Decimos'!$H$18,'F-Ahorro Futuro Decimos'!$H$20,0)</f>
        <v>0</v>
      </c>
      <c r="D1105" s="122">
        <f t="shared" si="17"/>
        <v>0</v>
      </c>
      <c r="E1105" s="121">
        <f>ROUND(D1105*'FR_Mantenimiento tasas'!$C$48/360,5)</f>
        <v>0</v>
      </c>
      <c r="F1105" s="121">
        <f>ROUND(D1105*'FR_Mantenimiento tasas'!$D$48/360,5)</f>
        <v>0</v>
      </c>
    </row>
    <row r="1106" spans="1:6">
      <c r="A1106" s="123">
        <f>IF(OR(A1105='F-Ahorro Futuro Decimos'!$H$16,A1105=""),"",IF(A1105+1&gt;'F-Ahorro Futuro Decimos'!$H$16,'F-Ahorro Futuro Decimos'!$H$16,A1105+1))</f>
        <v>1104</v>
      </c>
      <c r="B1106" s="122">
        <f>IFERROR(IF(DAY($A1106)=DAY('F-Ahorro Futuro Decimos'!$H$15),'F-Ahorro Futuro Decimos'!$H$14,0),0)</f>
        <v>0</v>
      </c>
      <c r="C1106" s="122">
        <f>IF(A1106='F-Ahorro Futuro Decimos'!$H$18,'F-Ahorro Futuro Decimos'!$H$20,0)</f>
        <v>0</v>
      </c>
      <c r="D1106" s="122">
        <f t="shared" si="17"/>
        <v>0</v>
      </c>
      <c r="E1106" s="121">
        <f>ROUND(D1106*'FR_Mantenimiento tasas'!$C$48/360,5)</f>
        <v>0</v>
      </c>
      <c r="F1106" s="121">
        <f>ROUND(D1106*'FR_Mantenimiento tasas'!$D$48/360,5)</f>
        <v>0</v>
      </c>
    </row>
    <row r="1107" spans="1:6">
      <c r="A1107" s="123">
        <f>IF(OR(A1106='F-Ahorro Futuro Decimos'!$H$16,A1106=""),"",IF(A1106+1&gt;'F-Ahorro Futuro Decimos'!$H$16,'F-Ahorro Futuro Decimos'!$H$16,A1106+1))</f>
        <v>1105</v>
      </c>
      <c r="B1107" s="122">
        <f>IFERROR(IF(DAY($A1107)=DAY('F-Ahorro Futuro Decimos'!$H$15),'F-Ahorro Futuro Decimos'!$H$14,0),0)</f>
        <v>0</v>
      </c>
      <c r="C1107" s="122">
        <f>IF(A1107='F-Ahorro Futuro Decimos'!$H$18,'F-Ahorro Futuro Decimos'!$H$20,0)</f>
        <v>0</v>
      </c>
      <c r="D1107" s="122">
        <f t="shared" si="17"/>
        <v>0</v>
      </c>
      <c r="E1107" s="121">
        <f>ROUND(D1107*'FR_Mantenimiento tasas'!$C$48/360,5)</f>
        <v>0</v>
      </c>
      <c r="F1107" s="121">
        <f>ROUND(D1107*'FR_Mantenimiento tasas'!$D$48/360,5)</f>
        <v>0</v>
      </c>
    </row>
    <row r="1108" spans="1:6">
      <c r="A1108" s="123">
        <f>IF(OR(A1107='F-Ahorro Futuro Decimos'!$H$16,A1107=""),"",IF(A1107+1&gt;'F-Ahorro Futuro Decimos'!$H$16,'F-Ahorro Futuro Decimos'!$H$16,A1107+1))</f>
        <v>1106</v>
      </c>
      <c r="B1108" s="122">
        <f>IFERROR(IF(DAY($A1108)=DAY('F-Ahorro Futuro Decimos'!$H$15),'F-Ahorro Futuro Decimos'!$H$14,0),0)</f>
        <v>0</v>
      </c>
      <c r="C1108" s="122">
        <f>IF(A1108='F-Ahorro Futuro Decimos'!$H$18,'F-Ahorro Futuro Decimos'!$H$20,0)</f>
        <v>0</v>
      </c>
      <c r="D1108" s="122">
        <f t="shared" si="17"/>
        <v>0</v>
      </c>
      <c r="E1108" s="121">
        <f>ROUND(D1108*'FR_Mantenimiento tasas'!$C$48/360,5)</f>
        <v>0</v>
      </c>
      <c r="F1108" s="121">
        <f>ROUND(D1108*'FR_Mantenimiento tasas'!$D$48/360,5)</f>
        <v>0</v>
      </c>
    </row>
    <row r="1109" spans="1:6">
      <c r="A1109" s="123">
        <f>IF(OR(A1108='F-Ahorro Futuro Decimos'!$H$16,A1108=""),"",IF(A1108+1&gt;'F-Ahorro Futuro Decimos'!$H$16,'F-Ahorro Futuro Decimos'!$H$16,A1108+1))</f>
        <v>1107</v>
      </c>
      <c r="B1109" s="122">
        <f>IFERROR(IF(DAY($A1109)=DAY('F-Ahorro Futuro Decimos'!$H$15),'F-Ahorro Futuro Decimos'!$H$14,0),0)</f>
        <v>0</v>
      </c>
      <c r="C1109" s="122">
        <f>IF(A1109='F-Ahorro Futuro Decimos'!$H$18,'F-Ahorro Futuro Decimos'!$H$20,0)</f>
        <v>0</v>
      </c>
      <c r="D1109" s="122">
        <f t="shared" si="17"/>
        <v>0</v>
      </c>
      <c r="E1109" s="121">
        <f>ROUND(D1109*'FR_Mantenimiento tasas'!$C$48/360,5)</f>
        <v>0</v>
      </c>
      <c r="F1109" s="121">
        <f>ROUND(D1109*'FR_Mantenimiento tasas'!$D$48/360,5)</f>
        <v>0</v>
      </c>
    </row>
    <row r="1110" spans="1:6">
      <c r="A1110" s="123">
        <f>IF(OR(A1109='F-Ahorro Futuro Decimos'!$H$16,A1109=""),"",IF(A1109+1&gt;'F-Ahorro Futuro Decimos'!$H$16,'F-Ahorro Futuro Decimos'!$H$16,A1109+1))</f>
        <v>1108</v>
      </c>
      <c r="B1110" s="122">
        <f>IFERROR(IF(DAY($A1110)=DAY('F-Ahorro Futuro Decimos'!$H$15),'F-Ahorro Futuro Decimos'!$H$14,0),0)</f>
        <v>0</v>
      </c>
      <c r="C1110" s="122">
        <f>IF(A1110='F-Ahorro Futuro Decimos'!$H$18,'F-Ahorro Futuro Decimos'!$H$20,0)</f>
        <v>0</v>
      </c>
      <c r="D1110" s="122">
        <f t="shared" si="17"/>
        <v>0</v>
      </c>
      <c r="E1110" s="121">
        <f>ROUND(D1110*'FR_Mantenimiento tasas'!$C$48/360,5)</f>
        <v>0</v>
      </c>
      <c r="F1110" s="121">
        <f>ROUND(D1110*'FR_Mantenimiento tasas'!$D$48/360,5)</f>
        <v>0</v>
      </c>
    </row>
    <row r="1111" spans="1:6">
      <c r="A1111" s="123">
        <f>IF(OR(A1110='F-Ahorro Futuro Decimos'!$H$16,A1110=""),"",IF(A1110+1&gt;'F-Ahorro Futuro Decimos'!$H$16,'F-Ahorro Futuro Decimos'!$H$16,A1110+1))</f>
        <v>1109</v>
      </c>
      <c r="B1111" s="122">
        <f>IFERROR(IF(DAY($A1111)=DAY('F-Ahorro Futuro Decimos'!$H$15),'F-Ahorro Futuro Decimos'!$H$14,0),0)</f>
        <v>0</v>
      </c>
      <c r="C1111" s="122">
        <f>IF(A1111='F-Ahorro Futuro Decimos'!$H$18,'F-Ahorro Futuro Decimos'!$H$20,0)</f>
        <v>0</v>
      </c>
      <c r="D1111" s="122">
        <f t="shared" si="17"/>
        <v>0</v>
      </c>
      <c r="E1111" s="121">
        <f>ROUND(D1111*'FR_Mantenimiento tasas'!$C$48/360,5)</f>
        <v>0</v>
      </c>
      <c r="F1111" s="121">
        <f>ROUND(D1111*'FR_Mantenimiento tasas'!$D$48/360,5)</f>
        <v>0</v>
      </c>
    </row>
    <row r="1112" spans="1:6">
      <c r="A1112" s="123">
        <f>IF(OR(A1111='F-Ahorro Futuro Decimos'!$H$16,A1111=""),"",IF(A1111+1&gt;'F-Ahorro Futuro Decimos'!$H$16,'F-Ahorro Futuro Decimos'!$H$16,A1111+1))</f>
        <v>1110</v>
      </c>
      <c r="B1112" s="122">
        <f>IFERROR(IF(DAY($A1112)=DAY('F-Ahorro Futuro Decimos'!$H$15),'F-Ahorro Futuro Decimos'!$H$14,0),0)</f>
        <v>0</v>
      </c>
      <c r="C1112" s="122">
        <f>IF(A1112='F-Ahorro Futuro Decimos'!$H$18,'F-Ahorro Futuro Decimos'!$H$20,0)</f>
        <v>0</v>
      </c>
      <c r="D1112" s="122">
        <f t="shared" si="17"/>
        <v>0</v>
      </c>
      <c r="E1112" s="121">
        <f>ROUND(D1112*'FR_Mantenimiento tasas'!$C$48/360,5)</f>
        <v>0</v>
      </c>
      <c r="F1112" s="121">
        <f>ROUND(D1112*'FR_Mantenimiento tasas'!$D$48/360,5)</f>
        <v>0</v>
      </c>
    </row>
    <row r="1113" spans="1:6">
      <c r="A1113" s="123">
        <f>IF(OR(A1112='F-Ahorro Futuro Decimos'!$H$16,A1112=""),"",IF(A1112+1&gt;'F-Ahorro Futuro Decimos'!$H$16,'F-Ahorro Futuro Decimos'!$H$16,A1112+1))</f>
        <v>1111</v>
      </c>
      <c r="B1113" s="122">
        <f>IFERROR(IF(DAY($A1113)=DAY('F-Ahorro Futuro Decimos'!$H$15),'F-Ahorro Futuro Decimos'!$H$14,0),0)</f>
        <v>0</v>
      </c>
      <c r="C1113" s="122">
        <f>IF(A1113='F-Ahorro Futuro Decimos'!$H$18,'F-Ahorro Futuro Decimos'!$H$20,0)</f>
        <v>0</v>
      </c>
      <c r="D1113" s="122">
        <f t="shared" si="17"/>
        <v>0</v>
      </c>
      <c r="E1113" s="121">
        <f>ROUND(D1113*'FR_Mantenimiento tasas'!$C$48/360,5)</f>
        <v>0</v>
      </c>
      <c r="F1113" s="121">
        <f>ROUND(D1113*'FR_Mantenimiento tasas'!$D$48/360,5)</f>
        <v>0</v>
      </c>
    </row>
    <row r="1114" spans="1:6">
      <c r="A1114" s="123">
        <f>IF(OR(A1113='F-Ahorro Futuro Decimos'!$H$16,A1113=""),"",IF(A1113+1&gt;'F-Ahorro Futuro Decimos'!$H$16,'F-Ahorro Futuro Decimos'!$H$16,A1113+1))</f>
        <v>1112</v>
      </c>
      <c r="B1114" s="122">
        <f>IFERROR(IF(DAY($A1114)=DAY('F-Ahorro Futuro Decimos'!$H$15),'F-Ahorro Futuro Decimos'!$H$14,0),0)</f>
        <v>0</v>
      </c>
      <c r="C1114" s="122">
        <f>IF(A1114='F-Ahorro Futuro Decimos'!$H$18,'F-Ahorro Futuro Decimos'!$H$20,0)</f>
        <v>0</v>
      </c>
      <c r="D1114" s="122">
        <f t="shared" si="17"/>
        <v>0</v>
      </c>
      <c r="E1114" s="121">
        <f>ROUND(D1114*'FR_Mantenimiento tasas'!$C$48/360,5)</f>
        <v>0</v>
      </c>
      <c r="F1114" s="121">
        <f>ROUND(D1114*'FR_Mantenimiento tasas'!$D$48/360,5)</f>
        <v>0</v>
      </c>
    </row>
    <row r="1115" spans="1:6">
      <c r="A1115" s="123">
        <f>IF(OR(A1114='F-Ahorro Futuro Decimos'!$H$16,A1114=""),"",IF(A1114+1&gt;'F-Ahorro Futuro Decimos'!$H$16,'F-Ahorro Futuro Decimos'!$H$16,A1114+1))</f>
        <v>1113</v>
      </c>
      <c r="B1115" s="122">
        <f>IFERROR(IF(DAY($A1115)=DAY('F-Ahorro Futuro Decimos'!$H$15),'F-Ahorro Futuro Decimos'!$H$14,0),0)</f>
        <v>0</v>
      </c>
      <c r="C1115" s="122">
        <f>IF(A1115='F-Ahorro Futuro Decimos'!$H$18,'F-Ahorro Futuro Decimos'!$H$20,0)</f>
        <v>0</v>
      </c>
      <c r="D1115" s="122">
        <f t="shared" si="17"/>
        <v>0</v>
      </c>
      <c r="E1115" s="121">
        <f>ROUND(D1115*'FR_Mantenimiento tasas'!$C$48/360,5)</f>
        <v>0</v>
      </c>
      <c r="F1115" s="121">
        <f>ROUND(D1115*'FR_Mantenimiento tasas'!$D$48/360,5)</f>
        <v>0</v>
      </c>
    </row>
    <row r="1116" spans="1:6">
      <c r="A1116" s="123">
        <f>IF(OR(A1115='F-Ahorro Futuro Decimos'!$H$16,A1115=""),"",IF(A1115+1&gt;'F-Ahorro Futuro Decimos'!$H$16,'F-Ahorro Futuro Decimos'!$H$16,A1115+1))</f>
        <v>1114</v>
      </c>
      <c r="B1116" s="122">
        <f>IFERROR(IF(DAY($A1116)=DAY('F-Ahorro Futuro Decimos'!$H$15),'F-Ahorro Futuro Decimos'!$H$14,0),0)</f>
        <v>0</v>
      </c>
      <c r="C1116" s="122">
        <f>IF(A1116='F-Ahorro Futuro Decimos'!$H$18,'F-Ahorro Futuro Decimos'!$H$20,0)</f>
        <v>0</v>
      </c>
      <c r="D1116" s="122">
        <f t="shared" si="17"/>
        <v>0</v>
      </c>
      <c r="E1116" s="121">
        <f>ROUND(D1116*'FR_Mantenimiento tasas'!$C$48/360,5)</f>
        <v>0</v>
      </c>
      <c r="F1116" s="121">
        <f>ROUND(D1116*'FR_Mantenimiento tasas'!$D$48/360,5)</f>
        <v>0</v>
      </c>
    </row>
    <row r="1117" spans="1:6">
      <c r="A1117" s="123">
        <f>IF(OR(A1116='F-Ahorro Futuro Decimos'!$H$16,A1116=""),"",IF(A1116+1&gt;'F-Ahorro Futuro Decimos'!$H$16,'F-Ahorro Futuro Decimos'!$H$16,A1116+1))</f>
        <v>1115</v>
      </c>
      <c r="B1117" s="122">
        <f>IFERROR(IF(DAY($A1117)=DAY('F-Ahorro Futuro Decimos'!$H$15),'F-Ahorro Futuro Decimos'!$H$14,0),0)</f>
        <v>0</v>
      </c>
      <c r="C1117" s="122">
        <f>IF(A1117='F-Ahorro Futuro Decimos'!$H$18,'F-Ahorro Futuro Decimos'!$H$20,0)</f>
        <v>0</v>
      </c>
      <c r="D1117" s="122">
        <f t="shared" si="17"/>
        <v>0</v>
      </c>
      <c r="E1117" s="121">
        <f>ROUND(D1117*'FR_Mantenimiento tasas'!$C$48/360,5)</f>
        <v>0</v>
      </c>
      <c r="F1117" s="121">
        <f>ROUND(D1117*'FR_Mantenimiento tasas'!$D$48/360,5)</f>
        <v>0</v>
      </c>
    </row>
    <row r="1118" spans="1:6">
      <c r="A1118" s="123">
        <f>IF(OR(A1117='F-Ahorro Futuro Decimos'!$H$16,A1117=""),"",IF(A1117+1&gt;'F-Ahorro Futuro Decimos'!$H$16,'F-Ahorro Futuro Decimos'!$H$16,A1117+1))</f>
        <v>1116</v>
      </c>
      <c r="B1118" s="122">
        <f>IFERROR(IF(DAY($A1118)=DAY('F-Ahorro Futuro Decimos'!$H$15),'F-Ahorro Futuro Decimos'!$H$14,0),0)</f>
        <v>0</v>
      </c>
      <c r="C1118" s="122">
        <f>IF(A1118='F-Ahorro Futuro Decimos'!$H$18,'F-Ahorro Futuro Decimos'!$H$20,0)</f>
        <v>0</v>
      </c>
      <c r="D1118" s="122">
        <f t="shared" si="17"/>
        <v>0</v>
      </c>
      <c r="E1118" s="121">
        <f>ROUND(D1118*'FR_Mantenimiento tasas'!$C$48/360,5)</f>
        <v>0</v>
      </c>
      <c r="F1118" s="121">
        <f>ROUND(D1118*'FR_Mantenimiento tasas'!$D$48/360,5)</f>
        <v>0</v>
      </c>
    </row>
    <row r="1119" spans="1:6">
      <c r="A1119" s="123">
        <f>IF(OR(A1118='F-Ahorro Futuro Decimos'!$H$16,A1118=""),"",IF(A1118+1&gt;'F-Ahorro Futuro Decimos'!$H$16,'F-Ahorro Futuro Decimos'!$H$16,A1118+1))</f>
        <v>1117</v>
      </c>
      <c r="B1119" s="122">
        <f>IFERROR(IF(DAY($A1119)=DAY('F-Ahorro Futuro Decimos'!$H$15),'F-Ahorro Futuro Decimos'!$H$14,0),0)</f>
        <v>0</v>
      </c>
      <c r="C1119" s="122">
        <f>IF(A1119='F-Ahorro Futuro Decimos'!$H$18,'F-Ahorro Futuro Decimos'!$H$20,0)</f>
        <v>0</v>
      </c>
      <c r="D1119" s="122">
        <f t="shared" si="17"/>
        <v>0</v>
      </c>
      <c r="E1119" s="121">
        <f>ROUND(D1119*'FR_Mantenimiento tasas'!$C$48/360,5)</f>
        <v>0</v>
      </c>
      <c r="F1119" s="121">
        <f>ROUND(D1119*'FR_Mantenimiento tasas'!$D$48/360,5)</f>
        <v>0</v>
      </c>
    </row>
    <row r="1120" spans="1:6">
      <c r="A1120" s="123">
        <f>IF(OR(A1119='F-Ahorro Futuro Decimos'!$H$16,A1119=""),"",IF(A1119+1&gt;'F-Ahorro Futuro Decimos'!$H$16,'F-Ahorro Futuro Decimos'!$H$16,A1119+1))</f>
        <v>1118</v>
      </c>
      <c r="B1120" s="122">
        <f>IFERROR(IF(DAY($A1120)=DAY('F-Ahorro Futuro Decimos'!$H$15),'F-Ahorro Futuro Decimos'!$H$14,0),0)</f>
        <v>0</v>
      </c>
      <c r="C1120" s="122">
        <f>IF(A1120='F-Ahorro Futuro Decimos'!$H$18,'F-Ahorro Futuro Decimos'!$H$20,0)</f>
        <v>0</v>
      </c>
      <c r="D1120" s="122">
        <f t="shared" si="17"/>
        <v>0</v>
      </c>
      <c r="E1120" s="121">
        <f>ROUND(D1120*'FR_Mantenimiento tasas'!$C$48/360,5)</f>
        <v>0</v>
      </c>
      <c r="F1120" s="121">
        <f>ROUND(D1120*'FR_Mantenimiento tasas'!$D$48/360,5)</f>
        <v>0</v>
      </c>
    </row>
    <row r="1121" spans="1:6">
      <c r="A1121" s="123">
        <f>IF(OR(A1120='F-Ahorro Futuro Decimos'!$H$16,A1120=""),"",IF(A1120+1&gt;'F-Ahorro Futuro Decimos'!$H$16,'F-Ahorro Futuro Decimos'!$H$16,A1120+1))</f>
        <v>1119</v>
      </c>
      <c r="B1121" s="122">
        <f>IFERROR(IF(DAY($A1121)=DAY('F-Ahorro Futuro Decimos'!$H$15),'F-Ahorro Futuro Decimos'!$H$14,0),0)</f>
        <v>0</v>
      </c>
      <c r="C1121" s="122">
        <f>IF(A1121='F-Ahorro Futuro Decimos'!$H$18,'F-Ahorro Futuro Decimos'!$H$20,0)</f>
        <v>0</v>
      </c>
      <c r="D1121" s="122">
        <f t="shared" si="17"/>
        <v>0</v>
      </c>
      <c r="E1121" s="121">
        <f>ROUND(D1121*'FR_Mantenimiento tasas'!$C$48/360,5)</f>
        <v>0</v>
      </c>
      <c r="F1121" s="121">
        <f>ROUND(D1121*'FR_Mantenimiento tasas'!$D$48/360,5)</f>
        <v>0</v>
      </c>
    </row>
    <row r="1122" spans="1:6">
      <c r="A1122" s="123">
        <f>IF(OR(A1121='F-Ahorro Futuro Decimos'!$H$16,A1121=""),"",IF(A1121+1&gt;'F-Ahorro Futuro Decimos'!$H$16,'F-Ahorro Futuro Decimos'!$H$16,A1121+1))</f>
        <v>1120</v>
      </c>
      <c r="B1122" s="122">
        <f>IFERROR(IF(DAY($A1122)=DAY('F-Ahorro Futuro Decimos'!$H$15),'F-Ahorro Futuro Decimos'!$H$14,0),0)</f>
        <v>0</v>
      </c>
      <c r="C1122" s="122">
        <f>IF(A1122='F-Ahorro Futuro Decimos'!$H$18,'F-Ahorro Futuro Decimos'!$H$20,0)</f>
        <v>0</v>
      </c>
      <c r="D1122" s="122">
        <f t="shared" si="17"/>
        <v>0</v>
      </c>
      <c r="E1122" s="121">
        <f>ROUND(D1122*'FR_Mantenimiento tasas'!$C$48/360,5)</f>
        <v>0</v>
      </c>
      <c r="F1122" s="121">
        <f>ROUND(D1122*'FR_Mantenimiento tasas'!$D$48/360,5)</f>
        <v>0</v>
      </c>
    </row>
    <row r="1123" spans="1:6">
      <c r="A1123" s="123">
        <f>IF(OR(A1122='F-Ahorro Futuro Decimos'!$H$16,A1122=""),"",IF(A1122+1&gt;'F-Ahorro Futuro Decimos'!$H$16,'F-Ahorro Futuro Decimos'!$H$16,A1122+1))</f>
        <v>1121</v>
      </c>
      <c r="B1123" s="122">
        <f>IFERROR(IF(DAY($A1123)=DAY('F-Ahorro Futuro Decimos'!$H$15),'F-Ahorro Futuro Decimos'!$H$14,0),0)</f>
        <v>0</v>
      </c>
      <c r="C1123" s="122">
        <f>IF(A1123='F-Ahorro Futuro Decimos'!$H$18,'F-Ahorro Futuro Decimos'!$H$20,0)</f>
        <v>0</v>
      </c>
      <c r="D1123" s="122">
        <f t="shared" si="17"/>
        <v>0</v>
      </c>
      <c r="E1123" s="121">
        <f>ROUND(D1123*'FR_Mantenimiento tasas'!$C$48/360,5)</f>
        <v>0</v>
      </c>
      <c r="F1123" s="121">
        <f>ROUND(D1123*'FR_Mantenimiento tasas'!$D$48/360,5)</f>
        <v>0</v>
      </c>
    </row>
    <row r="1124" spans="1:6">
      <c r="A1124" s="123">
        <f>IF(OR(A1123='F-Ahorro Futuro Decimos'!$H$16,A1123=""),"",IF(A1123+1&gt;'F-Ahorro Futuro Decimos'!$H$16,'F-Ahorro Futuro Decimos'!$H$16,A1123+1))</f>
        <v>1122</v>
      </c>
      <c r="B1124" s="122">
        <f>IFERROR(IF(DAY($A1124)=DAY('F-Ahorro Futuro Decimos'!$H$15),'F-Ahorro Futuro Decimos'!$H$14,0),0)</f>
        <v>0</v>
      </c>
      <c r="C1124" s="122">
        <f>IF(A1124='F-Ahorro Futuro Decimos'!$H$18,'F-Ahorro Futuro Decimos'!$H$20,0)</f>
        <v>0</v>
      </c>
      <c r="D1124" s="122">
        <f t="shared" si="17"/>
        <v>0</v>
      </c>
      <c r="E1124" s="121">
        <f>ROUND(D1124*'FR_Mantenimiento tasas'!$C$48/360,5)</f>
        <v>0</v>
      </c>
      <c r="F1124" s="121">
        <f>ROUND(D1124*'FR_Mantenimiento tasas'!$D$48/360,5)</f>
        <v>0</v>
      </c>
    </row>
    <row r="1125" spans="1:6">
      <c r="A1125" s="123">
        <f>IF(OR(A1124='F-Ahorro Futuro Decimos'!$H$16,A1124=""),"",IF(A1124+1&gt;'F-Ahorro Futuro Decimos'!$H$16,'F-Ahorro Futuro Decimos'!$H$16,A1124+1))</f>
        <v>1123</v>
      </c>
      <c r="B1125" s="122">
        <f>IFERROR(IF(DAY($A1125)=DAY('F-Ahorro Futuro Decimos'!$H$15),'F-Ahorro Futuro Decimos'!$H$14,0),0)</f>
        <v>0</v>
      </c>
      <c r="C1125" s="122">
        <f>IF(A1125='F-Ahorro Futuro Decimos'!$H$18,'F-Ahorro Futuro Decimos'!$H$20,0)</f>
        <v>0</v>
      </c>
      <c r="D1125" s="122">
        <f t="shared" si="17"/>
        <v>0</v>
      </c>
      <c r="E1125" s="121">
        <f>ROUND(D1125*'FR_Mantenimiento tasas'!$C$48/360,5)</f>
        <v>0</v>
      </c>
      <c r="F1125" s="121">
        <f>ROUND(D1125*'FR_Mantenimiento tasas'!$D$48/360,5)</f>
        <v>0</v>
      </c>
    </row>
    <row r="1126" spans="1:6">
      <c r="A1126" s="123">
        <f>IF(OR(A1125='F-Ahorro Futuro Decimos'!$H$16,A1125=""),"",IF(A1125+1&gt;'F-Ahorro Futuro Decimos'!$H$16,'F-Ahorro Futuro Decimos'!$H$16,A1125+1))</f>
        <v>1124</v>
      </c>
      <c r="B1126" s="122">
        <f>IFERROR(IF(DAY($A1126)=DAY('F-Ahorro Futuro Decimos'!$H$15),'F-Ahorro Futuro Decimos'!$H$14,0),0)</f>
        <v>0</v>
      </c>
      <c r="C1126" s="122">
        <f>IF(A1126='F-Ahorro Futuro Decimos'!$H$18,'F-Ahorro Futuro Decimos'!$H$20,0)</f>
        <v>0</v>
      </c>
      <c r="D1126" s="122">
        <f t="shared" si="17"/>
        <v>0</v>
      </c>
      <c r="E1126" s="121">
        <f>ROUND(D1126*'FR_Mantenimiento tasas'!$C$48/360,5)</f>
        <v>0</v>
      </c>
      <c r="F1126" s="121">
        <f>ROUND(D1126*'FR_Mantenimiento tasas'!$D$48/360,5)</f>
        <v>0</v>
      </c>
    </row>
    <row r="1127" spans="1:6">
      <c r="A1127" s="123">
        <f>IF(OR(A1126='F-Ahorro Futuro Decimos'!$H$16,A1126=""),"",IF(A1126+1&gt;'F-Ahorro Futuro Decimos'!$H$16,'F-Ahorro Futuro Decimos'!$H$16,A1126+1))</f>
        <v>1125</v>
      </c>
      <c r="B1127" s="122">
        <f>IFERROR(IF(DAY($A1127)=DAY('F-Ahorro Futuro Decimos'!$H$15),'F-Ahorro Futuro Decimos'!$H$14,0),0)</f>
        <v>0</v>
      </c>
      <c r="C1127" s="122">
        <f>IF(A1127='F-Ahorro Futuro Decimos'!$H$18,'F-Ahorro Futuro Decimos'!$H$20,0)</f>
        <v>0</v>
      </c>
      <c r="D1127" s="122">
        <f t="shared" si="17"/>
        <v>0</v>
      </c>
      <c r="E1127" s="121">
        <f>ROUND(D1127*'FR_Mantenimiento tasas'!$C$48/360,5)</f>
        <v>0</v>
      </c>
      <c r="F1127" s="121">
        <f>ROUND(D1127*'FR_Mantenimiento tasas'!$D$48/360,5)</f>
        <v>0</v>
      </c>
    </row>
    <row r="1128" spans="1:6">
      <c r="A1128" s="123">
        <f>IF(OR(A1127='F-Ahorro Futuro Decimos'!$H$16,A1127=""),"",IF(A1127+1&gt;'F-Ahorro Futuro Decimos'!$H$16,'F-Ahorro Futuro Decimos'!$H$16,A1127+1))</f>
        <v>1126</v>
      </c>
      <c r="B1128" s="122">
        <f>IFERROR(IF(DAY($A1128)=DAY('F-Ahorro Futuro Decimos'!$H$15),'F-Ahorro Futuro Decimos'!$H$14,0),0)</f>
        <v>0</v>
      </c>
      <c r="C1128" s="122">
        <f>IF(A1128='F-Ahorro Futuro Decimos'!$H$18,'F-Ahorro Futuro Decimos'!$H$20,0)</f>
        <v>0</v>
      </c>
      <c r="D1128" s="122">
        <f t="shared" si="17"/>
        <v>0</v>
      </c>
      <c r="E1128" s="121">
        <f>ROUND(D1128*'FR_Mantenimiento tasas'!$C$48/360,5)</f>
        <v>0</v>
      </c>
      <c r="F1128" s="121">
        <f>ROUND(D1128*'FR_Mantenimiento tasas'!$D$48/360,5)</f>
        <v>0</v>
      </c>
    </row>
    <row r="1129" spans="1:6">
      <c r="A1129" s="123">
        <f>IF(OR(A1128='F-Ahorro Futuro Decimos'!$H$16,A1128=""),"",IF(A1128+1&gt;'F-Ahorro Futuro Decimos'!$H$16,'F-Ahorro Futuro Decimos'!$H$16,A1128+1))</f>
        <v>1127</v>
      </c>
      <c r="B1129" s="122">
        <f>IFERROR(IF(DAY($A1129)=DAY('F-Ahorro Futuro Decimos'!$H$15),'F-Ahorro Futuro Decimos'!$H$14,0),0)</f>
        <v>0</v>
      </c>
      <c r="C1129" s="122">
        <f>IF(A1129='F-Ahorro Futuro Decimos'!$H$18,'F-Ahorro Futuro Decimos'!$H$20,0)</f>
        <v>0</v>
      </c>
      <c r="D1129" s="122">
        <f t="shared" si="17"/>
        <v>0</v>
      </c>
      <c r="E1129" s="121">
        <f>ROUND(D1129*'FR_Mantenimiento tasas'!$C$48/360,5)</f>
        <v>0</v>
      </c>
      <c r="F1129" s="121">
        <f>ROUND(D1129*'FR_Mantenimiento tasas'!$D$48/360,5)</f>
        <v>0</v>
      </c>
    </row>
    <row r="1130" spans="1:6">
      <c r="A1130" s="123">
        <f>IF(OR(A1129='F-Ahorro Futuro Decimos'!$H$16,A1129=""),"",IF(A1129+1&gt;'F-Ahorro Futuro Decimos'!$H$16,'F-Ahorro Futuro Decimos'!$H$16,A1129+1))</f>
        <v>1128</v>
      </c>
      <c r="B1130" s="122">
        <f>IFERROR(IF(DAY($A1130)=DAY('F-Ahorro Futuro Decimos'!$H$15),'F-Ahorro Futuro Decimos'!$H$14,0),0)</f>
        <v>0</v>
      </c>
      <c r="C1130" s="122">
        <f>IF(A1130='F-Ahorro Futuro Decimos'!$H$18,'F-Ahorro Futuro Decimos'!$H$20,0)</f>
        <v>0</v>
      </c>
      <c r="D1130" s="122">
        <f t="shared" si="17"/>
        <v>0</v>
      </c>
      <c r="E1130" s="121">
        <f>ROUND(D1130*'FR_Mantenimiento tasas'!$C$48/360,5)</f>
        <v>0</v>
      </c>
      <c r="F1130" s="121">
        <f>ROUND(D1130*'FR_Mantenimiento tasas'!$D$48/360,5)</f>
        <v>0</v>
      </c>
    </row>
    <row r="1131" spans="1:6">
      <c r="A1131" s="123">
        <f>IF(OR(A1130='F-Ahorro Futuro Decimos'!$H$16,A1130=""),"",IF(A1130+1&gt;'F-Ahorro Futuro Decimos'!$H$16,'F-Ahorro Futuro Decimos'!$H$16,A1130+1))</f>
        <v>1129</v>
      </c>
      <c r="B1131" s="122">
        <f>IFERROR(IF(DAY($A1131)=DAY('F-Ahorro Futuro Decimos'!$H$15),'F-Ahorro Futuro Decimos'!$H$14,0),0)</f>
        <v>0</v>
      </c>
      <c r="C1131" s="122">
        <f>IF(A1131='F-Ahorro Futuro Decimos'!$H$18,'F-Ahorro Futuro Decimos'!$H$20,0)</f>
        <v>0</v>
      </c>
      <c r="D1131" s="122">
        <f t="shared" si="17"/>
        <v>0</v>
      </c>
      <c r="E1131" s="121">
        <f>ROUND(D1131*'FR_Mantenimiento tasas'!$C$48/360,5)</f>
        <v>0</v>
      </c>
      <c r="F1131" s="121">
        <f>ROUND(D1131*'FR_Mantenimiento tasas'!$D$48/360,5)</f>
        <v>0</v>
      </c>
    </row>
    <row r="1132" spans="1:6">
      <c r="A1132" s="123">
        <f>IF(OR(A1131='F-Ahorro Futuro Decimos'!$H$16,A1131=""),"",IF(A1131+1&gt;'F-Ahorro Futuro Decimos'!$H$16,'F-Ahorro Futuro Decimos'!$H$16,A1131+1))</f>
        <v>1130</v>
      </c>
      <c r="B1132" s="122">
        <f>IFERROR(IF(DAY($A1132)=DAY('F-Ahorro Futuro Decimos'!$H$15),'F-Ahorro Futuro Decimos'!$H$14,0),0)</f>
        <v>0</v>
      </c>
      <c r="C1132" s="122">
        <f>IF(A1132='F-Ahorro Futuro Decimos'!$H$18,'F-Ahorro Futuro Decimos'!$H$20,0)</f>
        <v>0</v>
      </c>
      <c r="D1132" s="122">
        <f t="shared" si="17"/>
        <v>0</v>
      </c>
      <c r="E1132" s="121">
        <f>ROUND(D1132*'FR_Mantenimiento tasas'!$C$48/360,5)</f>
        <v>0</v>
      </c>
      <c r="F1132" s="121">
        <f>ROUND(D1132*'FR_Mantenimiento tasas'!$D$48/360,5)</f>
        <v>0</v>
      </c>
    </row>
    <row r="1133" spans="1:6">
      <c r="A1133" s="123">
        <f>IF(OR(A1132='F-Ahorro Futuro Decimos'!$H$16,A1132=""),"",IF(A1132+1&gt;'F-Ahorro Futuro Decimos'!$H$16,'F-Ahorro Futuro Decimos'!$H$16,A1132+1))</f>
        <v>1131</v>
      </c>
      <c r="B1133" s="122">
        <f>IFERROR(IF(DAY($A1133)=DAY('F-Ahorro Futuro Decimos'!$H$15),'F-Ahorro Futuro Decimos'!$H$14,0),0)</f>
        <v>0</v>
      </c>
      <c r="C1133" s="122">
        <f>IF(A1133='F-Ahorro Futuro Decimos'!$H$18,'F-Ahorro Futuro Decimos'!$H$20,0)</f>
        <v>0</v>
      </c>
      <c r="D1133" s="122">
        <f t="shared" si="17"/>
        <v>0</v>
      </c>
      <c r="E1133" s="121">
        <f>ROUND(D1133*'FR_Mantenimiento tasas'!$C$48/360,5)</f>
        <v>0</v>
      </c>
      <c r="F1133" s="121">
        <f>ROUND(D1133*'FR_Mantenimiento tasas'!$D$48/360,5)</f>
        <v>0</v>
      </c>
    </row>
    <row r="1134" spans="1:6">
      <c r="A1134" s="123">
        <f>IF(OR(A1133='F-Ahorro Futuro Decimos'!$H$16,A1133=""),"",IF(A1133+1&gt;'F-Ahorro Futuro Decimos'!$H$16,'F-Ahorro Futuro Decimos'!$H$16,A1133+1))</f>
        <v>1132</v>
      </c>
      <c r="B1134" s="122">
        <f>IFERROR(IF(DAY($A1134)=DAY('F-Ahorro Futuro Decimos'!$H$15),'F-Ahorro Futuro Decimos'!$H$14,0),0)</f>
        <v>0</v>
      </c>
      <c r="C1134" s="122">
        <f>IF(A1134='F-Ahorro Futuro Decimos'!$H$18,'F-Ahorro Futuro Decimos'!$H$20,0)</f>
        <v>0</v>
      </c>
      <c r="D1134" s="122">
        <f t="shared" si="17"/>
        <v>0</v>
      </c>
      <c r="E1134" s="121">
        <f>ROUND(D1134*'FR_Mantenimiento tasas'!$C$48/360,5)</f>
        <v>0</v>
      </c>
      <c r="F1134" s="121">
        <f>ROUND(D1134*'FR_Mantenimiento tasas'!$D$48/360,5)</f>
        <v>0</v>
      </c>
    </row>
    <row r="1135" spans="1:6">
      <c r="A1135" s="123">
        <f>IF(OR(A1134='F-Ahorro Futuro Decimos'!$H$16,A1134=""),"",IF(A1134+1&gt;'F-Ahorro Futuro Decimos'!$H$16,'F-Ahorro Futuro Decimos'!$H$16,A1134+1))</f>
        <v>1133</v>
      </c>
      <c r="B1135" s="122">
        <f>IFERROR(IF(DAY($A1135)=DAY('F-Ahorro Futuro Decimos'!$H$15),'F-Ahorro Futuro Decimos'!$H$14,0),0)</f>
        <v>0</v>
      </c>
      <c r="C1135" s="122">
        <f>IF(A1135='F-Ahorro Futuro Decimos'!$H$18,'F-Ahorro Futuro Decimos'!$H$20,0)</f>
        <v>0</v>
      </c>
      <c r="D1135" s="122">
        <f t="shared" si="17"/>
        <v>0</v>
      </c>
      <c r="E1135" s="121">
        <f>ROUND(D1135*'FR_Mantenimiento tasas'!$C$48/360,5)</f>
        <v>0</v>
      </c>
      <c r="F1135" s="121">
        <f>ROUND(D1135*'FR_Mantenimiento tasas'!$D$48/360,5)</f>
        <v>0</v>
      </c>
    </row>
    <row r="1136" spans="1:6">
      <c r="A1136" s="123">
        <f>IF(OR(A1135='F-Ahorro Futuro Decimos'!$H$16,A1135=""),"",IF(A1135+1&gt;'F-Ahorro Futuro Decimos'!$H$16,'F-Ahorro Futuro Decimos'!$H$16,A1135+1))</f>
        <v>1134</v>
      </c>
      <c r="B1136" s="122">
        <f>IFERROR(IF(DAY($A1136)=DAY('F-Ahorro Futuro Decimos'!$H$15),'F-Ahorro Futuro Decimos'!$H$14,0),0)</f>
        <v>0</v>
      </c>
      <c r="C1136" s="122">
        <f>IF(A1136='F-Ahorro Futuro Decimos'!$H$18,'F-Ahorro Futuro Decimos'!$H$20,0)</f>
        <v>0</v>
      </c>
      <c r="D1136" s="122">
        <f t="shared" si="17"/>
        <v>0</v>
      </c>
      <c r="E1136" s="121">
        <f>ROUND(D1136*'FR_Mantenimiento tasas'!$C$48/360,5)</f>
        <v>0</v>
      </c>
      <c r="F1136" s="121">
        <f>ROUND(D1136*'FR_Mantenimiento tasas'!$D$48/360,5)</f>
        <v>0</v>
      </c>
    </row>
    <row r="1137" spans="1:6">
      <c r="A1137" s="123">
        <f>IF(OR(A1136='F-Ahorro Futuro Decimos'!$H$16,A1136=""),"",IF(A1136+1&gt;'F-Ahorro Futuro Decimos'!$H$16,'F-Ahorro Futuro Decimos'!$H$16,A1136+1))</f>
        <v>1135</v>
      </c>
      <c r="B1137" s="122">
        <f>IFERROR(IF(DAY($A1137)=DAY('F-Ahorro Futuro Decimos'!$H$15),'F-Ahorro Futuro Decimos'!$H$14,0),0)</f>
        <v>0</v>
      </c>
      <c r="C1137" s="122">
        <f>IF(A1137='F-Ahorro Futuro Decimos'!$H$18,'F-Ahorro Futuro Decimos'!$H$20,0)</f>
        <v>0</v>
      </c>
      <c r="D1137" s="122">
        <f t="shared" si="17"/>
        <v>0</v>
      </c>
      <c r="E1137" s="121">
        <f>ROUND(D1137*'FR_Mantenimiento tasas'!$C$48/360,5)</f>
        <v>0</v>
      </c>
      <c r="F1137" s="121">
        <f>ROUND(D1137*'FR_Mantenimiento tasas'!$D$48/360,5)</f>
        <v>0</v>
      </c>
    </row>
    <row r="1138" spans="1:6">
      <c r="A1138" s="123">
        <f>IF(OR(A1137='F-Ahorro Futuro Decimos'!$H$16,A1137=""),"",IF(A1137+1&gt;'F-Ahorro Futuro Decimos'!$H$16,'F-Ahorro Futuro Decimos'!$H$16,A1137+1))</f>
        <v>1136</v>
      </c>
      <c r="B1138" s="122">
        <f>IFERROR(IF(DAY($A1138)=DAY('F-Ahorro Futuro Decimos'!$H$15),'F-Ahorro Futuro Decimos'!$H$14,0),0)</f>
        <v>0</v>
      </c>
      <c r="C1138" s="122">
        <f>IF(A1138='F-Ahorro Futuro Decimos'!$H$18,'F-Ahorro Futuro Decimos'!$H$20,0)</f>
        <v>0</v>
      </c>
      <c r="D1138" s="122">
        <f t="shared" si="17"/>
        <v>0</v>
      </c>
      <c r="E1138" s="121">
        <f>ROUND(D1138*'FR_Mantenimiento tasas'!$C$48/360,5)</f>
        <v>0</v>
      </c>
      <c r="F1138" s="121">
        <f>ROUND(D1138*'FR_Mantenimiento tasas'!$D$48/360,5)</f>
        <v>0</v>
      </c>
    </row>
    <row r="1139" spans="1:6">
      <c r="A1139" s="123">
        <f>IF(OR(A1138='F-Ahorro Futuro Decimos'!$H$16,A1138=""),"",IF(A1138+1&gt;'F-Ahorro Futuro Decimos'!$H$16,'F-Ahorro Futuro Decimos'!$H$16,A1138+1))</f>
        <v>1137</v>
      </c>
      <c r="B1139" s="122">
        <f>IFERROR(IF(DAY($A1139)=DAY('F-Ahorro Futuro Decimos'!$H$15),'F-Ahorro Futuro Decimos'!$H$14,0),0)</f>
        <v>0</v>
      </c>
      <c r="C1139" s="122">
        <f>IF(A1139='F-Ahorro Futuro Decimos'!$H$18,'F-Ahorro Futuro Decimos'!$H$20,0)</f>
        <v>0</v>
      </c>
      <c r="D1139" s="122">
        <f t="shared" si="17"/>
        <v>0</v>
      </c>
      <c r="E1139" s="121">
        <f>ROUND(D1139*'FR_Mantenimiento tasas'!$C$48/360,5)</f>
        <v>0</v>
      </c>
      <c r="F1139" s="121">
        <f>ROUND(D1139*'FR_Mantenimiento tasas'!$D$48/360,5)</f>
        <v>0</v>
      </c>
    </row>
    <row r="1140" spans="1:6">
      <c r="A1140" s="123">
        <f>IF(OR(A1139='F-Ahorro Futuro Decimos'!$H$16,A1139=""),"",IF(A1139+1&gt;'F-Ahorro Futuro Decimos'!$H$16,'F-Ahorro Futuro Decimos'!$H$16,A1139+1))</f>
        <v>1138</v>
      </c>
      <c r="B1140" s="122">
        <f>IFERROR(IF(DAY($A1140)=DAY('F-Ahorro Futuro Decimos'!$H$15),'F-Ahorro Futuro Decimos'!$H$14,0),0)</f>
        <v>0</v>
      </c>
      <c r="C1140" s="122">
        <f>IF(A1140='F-Ahorro Futuro Decimos'!$H$18,'F-Ahorro Futuro Decimos'!$H$20,0)</f>
        <v>0</v>
      </c>
      <c r="D1140" s="122">
        <f t="shared" si="17"/>
        <v>0</v>
      </c>
      <c r="E1140" s="121">
        <f>ROUND(D1140*'FR_Mantenimiento tasas'!$C$48/360,5)</f>
        <v>0</v>
      </c>
      <c r="F1140" s="121">
        <f>ROUND(D1140*'FR_Mantenimiento tasas'!$D$48/360,5)</f>
        <v>0</v>
      </c>
    </row>
    <row r="1141" spans="1:6">
      <c r="A1141" s="123">
        <f>IF(OR(A1140='F-Ahorro Futuro Decimos'!$H$16,A1140=""),"",IF(A1140+1&gt;'F-Ahorro Futuro Decimos'!$H$16,'F-Ahorro Futuro Decimos'!$H$16,A1140+1))</f>
        <v>1139</v>
      </c>
      <c r="B1141" s="122">
        <f>IFERROR(IF(DAY($A1141)=DAY('F-Ahorro Futuro Decimos'!$H$15),'F-Ahorro Futuro Decimos'!$H$14,0),0)</f>
        <v>0</v>
      </c>
      <c r="C1141" s="122">
        <f>IF(A1141='F-Ahorro Futuro Decimos'!$H$18,'F-Ahorro Futuro Decimos'!$H$20,0)</f>
        <v>0</v>
      </c>
      <c r="D1141" s="122">
        <f t="shared" si="17"/>
        <v>0</v>
      </c>
      <c r="E1141" s="121">
        <f>ROUND(D1141*'FR_Mantenimiento tasas'!$C$48/360,5)</f>
        <v>0</v>
      </c>
      <c r="F1141" s="121">
        <f>ROUND(D1141*'FR_Mantenimiento tasas'!$D$48/360,5)</f>
        <v>0</v>
      </c>
    </row>
    <row r="1142" spans="1:6">
      <c r="A1142" s="123">
        <f>IF(OR(A1141='F-Ahorro Futuro Decimos'!$H$16,A1141=""),"",IF(A1141+1&gt;'F-Ahorro Futuro Decimos'!$H$16,'F-Ahorro Futuro Decimos'!$H$16,A1141+1))</f>
        <v>1140</v>
      </c>
      <c r="B1142" s="122">
        <f>IFERROR(IF(DAY($A1142)=DAY('F-Ahorro Futuro Decimos'!$H$15),'F-Ahorro Futuro Decimos'!$H$14,0),0)</f>
        <v>0</v>
      </c>
      <c r="C1142" s="122">
        <f>IF(A1142='F-Ahorro Futuro Decimos'!$H$18,'F-Ahorro Futuro Decimos'!$H$20,0)</f>
        <v>0</v>
      </c>
      <c r="D1142" s="122">
        <f t="shared" si="17"/>
        <v>0</v>
      </c>
      <c r="E1142" s="121">
        <f>ROUND(D1142*'FR_Mantenimiento tasas'!$C$48/360,5)</f>
        <v>0</v>
      </c>
      <c r="F1142" s="121">
        <f>ROUND(D1142*'FR_Mantenimiento tasas'!$D$48/360,5)</f>
        <v>0</v>
      </c>
    </row>
    <row r="1143" spans="1:6">
      <c r="A1143" s="123">
        <f>IF(OR(A1142='F-Ahorro Futuro Decimos'!$H$16,A1142=""),"",IF(A1142+1&gt;'F-Ahorro Futuro Decimos'!$H$16,'F-Ahorro Futuro Decimos'!$H$16,A1142+1))</f>
        <v>1141</v>
      </c>
      <c r="B1143" s="122">
        <f>IFERROR(IF(DAY($A1143)=DAY('F-Ahorro Futuro Decimos'!$H$15),'F-Ahorro Futuro Decimos'!$H$14,0),0)</f>
        <v>0</v>
      </c>
      <c r="C1143" s="122">
        <f>IF(A1143='F-Ahorro Futuro Decimos'!$H$18,'F-Ahorro Futuro Decimos'!$H$20,0)</f>
        <v>0</v>
      </c>
      <c r="D1143" s="122">
        <f t="shared" si="17"/>
        <v>0</v>
      </c>
      <c r="E1143" s="121">
        <f>ROUND(D1143*'FR_Mantenimiento tasas'!$C$48/360,5)</f>
        <v>0</v>
      </c>
      <c r="F1143" s="121">
        <f>ROUND(D1143*'FR_Mantenimiento tasas'!$D$48/360,5)</f>
        <v>0</v>
      </c>
    </row>
    <row r="1144" spans="1:6">
      <c r="A1144" s="123">
        <f>IF(OR(A1143='F-Ahorro Futuro Decimos'!$H$16,A1143=""),"",IF(A1143+1&gt;'F-Ahorro Futuro Decimos'!$H$16,'F-Ahorro Futuro Decimos'!$H$16,A1143+1))</f>
        <v>1142</v>
      </c>
      <c r="B1144" s="122">
        <f>IFERROR(IF(DAY($A1144)=DAY('F-Ahorro Futuro Decimos'!$H$15),'F-Ahorro Futuro Decimos'!$H$14,0),0)</f>
        <v>0</v>
      </c>
      <c r="C1144" s="122">
        <f>IF(A1144='F-Ahorro Futuro Decimos'!$H$18,'F-Ahorro Futuro Decimos'!$H$20,0)</f>
        <v>0</v>
      </c>
      <c r="D1144" s="122">
        <f t="shared" si="17"/>
        <v>0</v>
      </c>
      <c r="E1144" s="121">
        <f>ROUND(D1144*'FR_Mantenimiento tasas'!$C$48/360,5)</f>
        <v>0</v>
      </c>
      <c r="F1144" s="121">
        <f>ROUND(D1144*'FR_Mantenimiento tasas'!$D$48/360,5)</f>
        <v>0</v>
      </c>
    </row>
    <row r="1145" spans="1:6">
      <c r="A1145" s="123">
        <f>IF(OR(A1144='F-Ahorro Futuro Decimos'!$H$16,A1144=""),"",IF(A1144+1&gt;'F-Ahorro Futuro Decimos'!$H$16,'F-Ahorro Futuro Decimos'!$H$16,A1144+1))</f>
        <v>1143</v>
      </c>
      <c r="B1145" s="122">
        <f>IFERROR(IF(DAY($A1145)=DAY('F-Ahorro Futuro Decimos'!$H$15),'F-Ahorro Futuro Decimos'!$H$14,0),0)</f>
        <v>0</v>
      </c>
      <c r="C1145" s="122">
        <f>IF(A1145='F-Ahorro Futuro Decimos'!$H$18,'F-Ahorro Futuro Decimos'!$H$20,0)</f>
        <v>0</v>
      </c>
      <c r="D1145" s="122">
        <f t="shared" si="17"/>
        <v>0</v>
      </c>
      <c r="E1145" s="121">
        <f>ROUND(D1145*'FR_Mantenimiento tasas'!$C$48/360,5)</f>
        <v>0</v>
      </c>
      <c r="F1145" s="121">
        <f>ROUND(D1145*'FR_Mantenimiento tasas'!$D$48/360,5)</f>
        <v>0</v>
      </c>
    </row>
    <row r="1146" spans="1:6">
      <c r="A1146" s="123">
        <f>IF(OR(A1145='F-Ahorro Futuro Decimos'!$H$16,A1145=""),"",IF(A1145+1&gt;'F-Ahorro Futuro Decimos'!$H$16,'F-Ahorro Futuro Decimos'!$H$16,A1145+1))</f>
        <v>1144</v>
      </c>
      <c r="B1146" s="122">
        <f>IFERROR(IF(DAY($A1146)=DAY('F-Ahorro Futuro Decimos'!$H$15),'F-Ahorro Futuro Decimos'!$H$14,0),0)</f>
        <v>0</v>
      </c>
      <c r="C1146" s="122">
        <f>IF(A1146='F-Ahorro Futuro Decimos'!$H$18,'F-Ahorro Futuro Decimos'!$H$20,0)</f>
        <v>0</v>
      </c>
      <c r="D1146" s="122">
        <f t="shared" si="17"/>
        <v>0</v>
      </c>
      <c r="E1146" s="121">
        <f>ROUND(D1146*'FR_Mantenimiento tasas'!$C$48/360,5)</f>
        <v>0</v>
      </c>
      <c r="F1146" s="121">
        <f>ROUND(D1146*'FR_Mantenimiento tasas'!$D$48/360,5)</f>
        <v>0</v>
      </c>
    </row>
    <row r="1147" spans="1:6">
      <c r="A1147" s="123">
        <f>IF(OR(A1146='F-Ahorro Futuro Decimos'!$H$16,A1146=""),"",IF(A1146+1&gt;'F-Ahorro Futuro Decimos'!$H$16,'F-Ahorro Futuro Decimos'!$H$16,A1146+1))</f>
        <v>1145</v>
      </c>
      <c r="B1147" s="122">
        <f>IFERROR(IF(DAY($A1147)=DAY('F-Ahorro Futuro Decimos'!$H$15),'F-Ahorro Futuro Decimos'!$H$14,0),0)</f>
        <v>0</v>
      </c>
      <c r="C1147" s="122">
        <f>IF(A1147='F-Ahorro Futuro Decimos'!$H$18,'F-Ahorro Futuro Decimos'!$H$20,0)</f>
        <v>0</v>
      </c>
      <c r="D1147" s="122">
        <f t="shared" si="17"/>
        <v>0</v>
      </c>
      <c r="E1147" s="121">
        <f>ROUND(D1147*'FR_Mantenimiento tasas'!$C$48/360,5)</f>
        <v>0</v>
      </c>
      <c r="F1147" s="121">
        <f>ROUND(D1147*'FR_Mantenimiento tasas'!$D$48/360,5)</f>
        <v>0</v>
      </c>
    </row>
    <row r="1148" spans="1:6">
      <c r="A1148" s="123">
        <f>IF(OR(A1147='F-Ahorro Futuro Decimos'!$H$16,A1147=""),"",IF(A1147+1&gt;'F-Ahorro Futuro Decimos'!$H$16,'F-Ahorro Futuro Decimos'!$H$16,A1147+1))</f>
        <v>1146</v>
      </c>
      <c r="B1148" s="122">
        <f>IFERROR(IF(DAY($A1148)=DAY('F-Ahorro Futuro Decimos'!$H$15),'F-Ahorro Futuro Decimos'!$H$14,0),0)</f>
        <v>0</v>
      </c>
      <c r="C1148" s="122">
        <f>IF(A1148='F-Ahorro Futuro Decimos'!$H$18,'F-Ahorro Futuro Decimos'!$H$20,0)</f>
        <v>0</v>
      </c>
      <c r="D1148" s="122">
        <f t="shared" si="17"/>
        <v>0</v>
      </c>
      <c r="E1148" s="121">
        <f>ROUND(D1148*'FR_Mantenimiento tasas'!$C$48/360,5)</f>
        <v>0</v>
      </c>
      <c r="F1148" s="121">
        <f>ROUND(D1148*'FR_Mantenimiento tasas'!$D$48/360,5)</f>
        <v>0</v>
      </c>
    </row>
    <row r="1149" spans="1:6">
      <c r="A1149" s="123">
        <f>IF(OR(A1148='F-Ahorro Futuro Decimos'!$H$16,A1148=""),"",IF(A1148+1&gt;'F-Ahorro Futuro Decimos'!$H$16,'F-Ahorro Futuro Decimos'!$H$16,A1148+1))</f>
        <v>1147</v>
      </c>
      <c r="B1149" s="122">
        <f>IFERROR(IF(DAY($A1149)=DAY('F-Ahorro Futuro Decimos'!$H$15),'F-Ahorro Futuro Decimos'!$H$14,0),0)</f>
        <v>0</v>
      </c>
      <c r="C1149" s="122">
        <f>IF(A1149='F-Ahorro Futuro Decimos'!$H$18,'F-Ahorro Futuro Decimos'!$H$20,0)</f>
        <v>0</v>
      </c>
      <c r="D1149" s="122">
        <f t="shared" si="17"/>
        <v>0</v>
      </c>
      <c r="E1149" s="121">
        <f>ROUND(D1149*'FR_Mantenimiento tasas'!$C$48/360,5)</f>
        <v>0</v>
      </c>
      <c r="F1149" s="121">
        <f>ROUND(D1149*'FR_Mantenimiento tasas'!$D$48/360,5)</f>
        <v>0</v>
      </c>
    </row>
    <row r="1150" spans="1:6">
      <c r="A1150" s="123">
        <f>IF(OR(A1149='F-Ahorro Futuro Decimos'!$H$16,A1149=""),"",IF(A1149+1&gt;'F-Ahorro Futuro Decimos'!$H$16,'F-Ahorro Futuro Decimos'!$H$16,A1149+1))</f>
        <v>1148</v>
      </c>
      <c r="B1150" s="122">
        <f>IFERROR(IF(DAY($A1150)=DAY('F-Ahorro Futuro Decimos'!$H$15),'F-Ahorro Futuro Decimos'!$H$14,0),0)</f>
        <v>0</v>
      </c>
      <c r="C1150" s="122">
        <f>IF(A1150='F-Ahorro Futuro Decimos'!$H$18,'F-Ahorro Futuro Decimos'!$H$20,0)</f>
        <v>0</v>
      </c>
      <c r="D1150" s="122">
        <f t="shared" si="17"/>
        <v>0</v>
      </c>
      <c r="E1150" s="121">
        <f>ROUND(D1150*'FR_Mantenimiento tasas'!$C$48/360,5)</f>
        <v>0</v>
      </c>
      <c r="F1150" s="121">
        <f>ROUND(D1150*'FR_Mantenimiento tasas'!$D$48/360,5)</f>
        <v>0</v>
      </c>
    </row>
    <row r="1151" spans="1:6">
      <c r="A1151" s="123">
        <f>IF(OR(A1150='F-Ahorro Futuro Decimos'!$H$16,A1150=""),"",IF(A1150+1&gt;'F-Ahorro Futuro Decimos'!$H$16,'F-Ahorro Futuro Decimos'!$H$16,A1150+1))</f>
        <v>1149</v>
      </c>
      <c r="B1151" s="122">
        <f>IFERROR(IF(DAY($A1151)=DAY('F-Ahorro Futuro Decimos'!$H$15),'F-Ahorro Futuro Decimos'!$H$14,0),0)</f>
        <v>0</v>
      </c>
      <c r="C1151" s="122">
        <f>IF(A1151='F-Ahorro Futuro Decimos'!$H$18,'F-Ahorro Futuro Decimos'!$H$20,0)</f>
        <v>0</v>
      </c>
      <c r="D1151" s="122">
        <f t="shared" si="17"/>
        <v>0</v>
      </c>
      <c r="E1151" s="121">
        <f>ROUND(D1151*'FR_Mantenimiento tasas'!$C$48/360,5)</f>
        <v>0</v>
      </c>
      <c r="F1151" s="121">
        <f>ROUND(D1151*'FR_Mantenimiento tasas'!$D$48/360,5)</f>
        <v>0</v>
      </c>
    </row>
    <row r="1152" spans="1:6">
      <c r="A1152" s="123">
        <f>IF(OR(A1151='F-Ahorro Futuro Decimos'!$H$16,A1151=""),"",IF(A1151+1&gt;'F-Ahorro Futuro Decimos'!$H$16,'F-Ahorro Futuro Decimos'!$H$16,A1151+1))</f>
        <v>1150</v>
      </c>
      <c r="B1152" s="122">
        <f>IFERROR(IF(DAY($A1152)=DAY('F-Ahorro Futuro Decimos'!$H$15),'F-Ahorro Futuro Decimos'!$H$14,0),0)</f>
        <v>0</v>
      </c>
      <c r="C1152" s="122">
        <f>IF(A1152='F-Ahorro Futuro Decimos'!$H$18,'F-Ahorro Futuro Decimos'!$H$20,0)</f>
        <v>0</v>
      </c>
      <c r="D1152" s="122">
        <f t="shared" si="17"/>
        <v>0</v>
      </c>
      <c r="E1152" s="121">
        <f>ROUND(D1152*'FR_Mantenimiento tasas'!$C$48/360,5)</f>
        <v>0</v>
      </c>
      <c r="F1152" s="121">
        <f>ROUND(D1152*'FR_Mantenimiento tasas'!$D$48/360,5)</f>
        <v>0</v>
      </c>
    </row>
    <row r="1153" spans="1:6">
      <c r="A1153" s="123">
        <f>IF(OR(A1152='F-Ahorro Futuro Decimos'!$H$16,A1152=""),"",IF(A1152+1&gt;'F-Ahorro Futuro Decimos'!$H$16,'F-Ahorro Futuro Decimos'!$H$16,A1152+1))</f>
        <v>1151</v>
      </c>
      <c r="B1153" s="122">
        <f>IFERROR(IF(DAY($A1153)=DAY('F-Ahorro Futuro Decimos'!$H$15),'F-Ahorro Futuro Decimos'!$H$14,0),0)</f>
        <v>0</v>
      </c>
      <c r="C1153" s="122">
        <f>IF(A1153='F-Ahorro Futuro Decimos'!$H$18,'F-Ahorro Futuro Decimos'!$H$20,0)</f>
        <v>0</v>
      </c>
      <c r="D1153" s="122">
        <f t="shared" si="17"/>
        <v>0</v>
      </c>
      <c r="E1153" s="121">
        <f>ROUND(D1153*'FR_Mantenimiento tasas'!$C$48/360,5)</f>
        <v>0</v>
      </c>
      <c r="F1153" s="121">
        <f>ROUND(D1153*'FR_Mantenimiento tasas'!$D$48/360,5)</f>
        <v>0</v>
      </c>
    </row>
    <row r="1154" spans="1:6">
      <c r="A1154" s="123">
        <f>IF(OR(A1153='F-Ahorro Futuro Decimos'!$H$16,A1153=""),"",IF(A1153+1&gt;'F-Ahorro Futuro Decimos'!$H$16,'F-Ahorro Futuro Decimos'!$H$16,A1153+1))</f>
        <v>1152</v>
      </c>
      <c r="B1154" s="122">
        <f>IFERROR(IF(DAY($A1154)=DAY('F-Ahorro Futuro Decimos'!$H$15),'F-Ahorro Futuro Decimos'!$H$14,0),0)</f>
        <v>0</v>
      </c>
      <c r="C1154" s="122">
        <f>IF(A1154='F-Ahorro Futuro Decimos'!$H$18,'F-Ahorro Futuro Decimos'!$H$20,0)</f>
        <v>0</v>
      </c>
      <c r="D1154" s="122">
        <f t="shared" si="17"/>
        <v>0</v>
      </c>
      <c r="E1154" s="121">
        <f>ROUND(D1154*'FR_Mantenimiento tasas'!$C$48/360,5)</f>
        <v>0</v>
      </c>
      <c r="F1154" s="121">
        <f>ROUND(D1154*'FR_Mantenimiento tasas'!$D$48/360,5)</f>
        <v>0</v>
      </c>
    </row>
    <row r="1155" spans="1:6">
      <c r="A1155" s="123">
        <f>IF(OR(A1154='F-Ahorro Futuro Decimos'!$H$16,A1154=""),"",IF(A1154+1&gt;'F-Ahorro Futuro Decimos'!$H$16,'F-Ahorro Futuro Decimos'!$H$16,A1154+1))</f>
        <v>1153</v>
      </c>
      <c r="B1155" s="122">
        <f>IFERROR(IF(DAY($A1155)=DAY('F-Ahorro Futuro Decimos'!$H$15),'F-Ahorro Futuro Decimos'!$H$14,0),0)</f>
        <v>0</v>
      </c>
      <c r="C1155" s="122">
        <f>IF(A1155='F-Ahorro Futuro Decimos'!$H$18,'F-Ahorro Futuro Decimos'!$H$20,0)</f>
        <v>0</v>
      </c>
      <c r="D1155" s="122">
        <f t="shared" si="17"/>
        <v>0</v>
      </c>
      <c r="E1155" s="121">
        <f>ROUND(D1155*'FR_Mantenimiento tasas'!$C$48/360,5)</f>
        <v>0</v>
      </c>
      <c r="F1155" s="121">
        <f>ROUND(D1155*'FR_Mantenimiento tasas'!$D$48/360,5)</f>
        <v>0</v>
      </c>
    </row>
    <row r="1156" spans="1:6">
      <c r="A1156" s="123">
        <f>IF(OR(A1155='F-Ahorro Futuro Decimos'!$H$16,A1155=""),"",IF(A1155+1&gt;'F-Ahorro Futuro Decimos'!$H$16,'F-Ahorro Futuro Decimos'!$H$16,A1155+1))</f>
        <v>1154</v>
      </c>
      <c r="B1156" s="122">
        <f>IFERROR(IF(DAY($A1156)=DAY('F-Ahorro Futuro Decimos'!$H$15),'F-Ahorro Futuro Decimos'!$H$14,0),0)</f>
        <v>0</v>
      </c>
      <c r="C1156" s="122">
        <f>IF(A1156='F-Ahorro Futuro Decimos'!$H$18,'F-Ahorro Futuro Decimos'!$H$20,0)</f>
        <v>0</v>
      </c>
      <c r="D1156" s="122">
        <f t="shared" ref="D1156:D1219" si="18">+B1156+D1155+E1155-C1156</f>
        <v>0</v>
      </c>
      <c r="E1156" s="121">
        <f>ROUND(D1156*'FR_Mantenimiento tasas'!$C$48/360,5)</f>
        <v>0</v>
      </c>
      <c r="F1156" s="121">
        <f>ROUND(D1156*'FR_Mantenimiento tasas'!$D$48/360,5)</f>
        <v>0</v>
      </c>
    </row>
    <row r="1157" spans="1:6">
      <c r="A1157" s="123">
        <f>IF(OR(A1156='F-Ahorro Futuro Decimos'!$H$16,A1156=""),"",IF(A1156+1&gt;'F-Ahorro Futuro Decimos'!$H$16,'F-Ahorro Futuro Decimos'!$H$16,A1156+1))</f>
        <v>1155</v>
      </c>
      <c r="B1157" s="122">
        <f>IFERROR(IF(DAY($A1157)=DAY('F-Ahorro Futuro Decimos'!$H$15),'F-Ahorro Futuro Decimos'!$H$14,0),0)</f>
        <v>0</v>
      </c>
      <c r="C1157" s="122">
        <f>IF(A1157='F-Ahorro Futuro Decimos'!$H$18,'F-Ahorro Futuro Decimos'!$H$20,0)</f>
        <v>0</v>
      </c>
      <c r="D1157" s="122">
        <f t="shared" si="18"/>
        <v>0</v>
      </c>
      <c r="E1157" s="121">
        <f>ROUND(D1157*'FR_Mantenimiento tasas'!$C$48/360,5)</f>
        <v>0</v>
      </c>
      <c r="F1157" s="121">
        <f>ROUND(D1157*'FR_Mantenimiento tasas'!$D$48/360,5)</f>
        <v>0</v>
      </c>
    </row>
    <row r="1158" spans="1:6">
      <c r="A1158" s="123">
        <f>IF(OR(A1157='F-Ahorro Futuro Decimos'!$H$16,A1157=""),"",IF(A1157+1&gt;'F-Ahorro Futuro Decimos'!$H$16,'F-Ahorro Futuro Decimos'!$H$16,A1157+1))</f>
        <v>1156</v>
      </c>
      <c r="B1158" s="122">
        <f>IFERROR(IF(DAY($A1158)=DAY('F-Ahorro Futuro Decimos'!$H$15),'F-Ahorro Futuro Decimos'!$H$14,0),0)</f>
        <v>0</v>
      </c>
      <c r="C1158" s="122">
        <f>IF(A1158='F-Ahorro Futuro Decimos'!$H$18,'F-Ahorro Futuro Decimos'!$H$20,0)</f>
        <v>0</v>
      </c>
      <c r="D1158" s="122">
        <f t="shared" si="18"/>
        <v>0</v>
      </c>
      <c r="E1158" s="121">
        <f>ROUND(D1158*'FR_Mantenimiento tasas'!$C$48/360,5)</f>
        <v>0</v>
      </c>
      <c r="F1158" s="121">
        <f>ROUND(D1158*'FR_Mantenimiento tasas'!$D$48/360,5)</f>
        <v>0</v>
      </c>
    </row>
    <row r="1159" spans="1:6">
      <c r="A1159" s="123">
        <f>IF(OR(A1158='F-Ahorro Futuro Decimos'!$H$16,A1158=""),"",IF(A1158+1&gt;'F-Ahorro Futuro Decimos'!$H$16,'F-Ahorro Futuro Decimos'!$H$16,A1158+1))</f>
        <v>1157</v>
      </c>
      <c r="B1159" s="122">
        <f>IFERROR(IF(DAY($A1159)=DAY('F-Ahorro Futuro Decimos'!$H$15),'F-Ahorro Futuro Decimos'!$H$14,0),0)</f>
        <v>0</v>
      </c>
      <c r="C1159" s="122">
        <f>IF(A1159='F-Ahorro Futuro Decimos'!$H$18,'F-Ahorro Futuro Decimos'!$H$20,0)</f>
        <v>0</v>
      </c>
      <c r="D1159" s="122">
        <f t="shared" si="18"/>
        <v>0</v>
      </c>
      <c r="E1159" s="121">
        <f>ROUND(D1159*'FR_Mantenimiento tasas'!$C$48/360,5)</f>
        <v>0</v>
      </c>
      <c r="F1159" s="121">
        <f>ROUND(D1159*'FR_Mantenimiento tasas'!$D$48/360,5)</f>
        <v>0</v>
      </c>
    </row>
    <row r="1160" spans="1:6">
      <c r="A1160" s="123">
        <f>IF(OR(A1159='F-Ahorro Futuro Decimos'!$H$16,A1159=""),"",IF(A1159+1&gt;'F-Ahorro Futuro Decimos'!$H$16,'F-Ahorro Futuro Decimos'!$H$16,A1159+1))</f>
        <v>1158</v>
      </c>
      <c r="B1160" s="122">
        <f>IFERROR(IF(DAY($A1160)=DAY('F-Ahorro Futuro Decimos'!$H$15),'F-Ahorro Futuro Decimos'!$H$14,0),0)</f>
        <v>0</v>
      </c>
      <c r="C1160" s="122">
        <f>IF(A1160='F-Ahorro Futuro Decimos'!$H$18,'F-Ahorro Futuro Decimos'!$H$20,0)</f>
        <v>0</v>
      </c>
      <c r="D1160" s="122">
        <f t="shared" si="18"/>
        <v>0</v>
      </c>
      <c r="E1160" s="121">
        <f>ROUND(D1160*'FR_Mantenimiento tasas'!$C$48/360,5)</f>
        <v>0</v>
      </c>
      <c r="F1160" s="121">
        <f>ROUND(D1160*'FR_Mantenimiento tasas'!$D$48/360,5)</f>
        <v>0</v>
      </c>
    </row>
    <row r="1161" spans="1:6">
      <c r="A1161" s="123">
        <f>IF(OR(A1160='F-Ahorro Futuro Decimos'!$H$16,A1160=""),"",IF(A1160+1&gt;'F-Ahorro Futuro Decimos'!$H$16,'F-Ahorro Futuro Decimos'!$H$16,A1160+1))</f>
        <v>1159</v>
      </c>
      <c r="B1161" s="122">
        <f>IFERROR(IF(DAY($A1161)=DAY('F-Ahorro Futuro Decimos'!$H$15),'F-Ahorro Futuro Decimos'!$H$14,0),0)</f>
        <v>0</v>
      </c>
      <c r="C1161" s="122">
        <f>IF(A1161='F-Ahorro Futuro Decimos'!$H$18,'F-Ahorro Futuro Decimos'!$H$20,0)</f>
        <v>0</v>
      </c>
      <c r="D1161" s="122">
        <f t="shared" si="18"/>
        <v>0</v>
      </c>
      <c r="E1161" s="121">
        <f>ROUND(D1161*'FR_Mantenimiento tasas'!$C$48/360,5)</f>
        <v>0</v>
      </c>
      <c r="F1161" s="121">
        <f>ROUND(D1161*'FR_Mantenimiento tasas'!$D$48/360,5)</f>
        <v>0</v>
      </c>
    </row>
    <row r="1162" spans="1:6">
      <c r="A1162" s="123">
        <f>IF(OR(A1161='F-Ahorro Futuro Decimos'!$H$16,A1161=""),"",IF(A1161+1&gt;'F-Ahorro Futuro Decimos'!$H$16,'F-Ahorro Futuro Decimos'!$H$16,A1161+1))</f>
        <v>1160</v>
      </c>
      <c r="B1162" s="122">
        <f>IFERROR(IF(DAY($A1162)=DAY('F-Ahorro Futuro Decimos'!$H$15),'F-Ahorro Futuro Decimos'!$H$14,0),0)</f>
        <v>0</v>
      </c>
      <c r="C1162" s="122">
        <f>IF(A1162='F-Ahorro Futuro Decimos'!$H$18,'F-Ahorro Futuro Decimos'!$H$20,0)</f>
        <v>0</v>
      </c>
      <c r="D1162" s="122">
        <f t="shared" si="18"/>
        <v>0</v>
      </c>
      <c r="E1162" s="121">
        <f>ROUND(D1162*'FR_Mantenimiento tasas'!$C$48/360,5)</f>
        <v>0</v>
      </c>
      <c r="F1162" s="121">
        <f>ROUND(D1162*'FR_Mantenimiento tasas'!$D$48/360,5)</f>
        <v>0</v>
      </c>
    </row>
    <row r="1163" spans="1:6">
      <c r="A1163" s="123">
        <f>IF(OR(A1162='F-Ahorro Futuro Decimos'!$H$16,A1162=""),"",IF(A1162+1&gt;'F-Ahorro Futuro Decimos'!$H$16,'F-Ahorro Futuro Decimos'!$H$16,A1162+1))</f>
        <v>1161</v>
      </c>
      <c r="B1163" s="122">
        <f>IFERROR(IF(DAY($A1163)=DAY('F-Ahorro Futuro Decimos'!$H$15),'F-Ahorro Futuro Decimos'!$H$14,0),0)</f>
        <v>0</v>
      </c>
      <c r="C1163" s="122">
        <f>IF(A1163='F-Ahorro Futuro Decimos'!$H$18,'F-Ahorro Futuro Decimos'!$H$20,0)</f>
        <v>0</v>
      </c>
      <c r="D1163" s="122">
        <f t="shared" si="18"/>
        <v>0</v>
      </c>
      <c r="E1163" s="121">
        <f>ROUND(D1163*'FR_Mantenimiento tasas'!$C$48/360,5)</f>
        <v>0</v>
      </c>
      <c r="F1163" s="121">
        <f>ROUND(D1163*'FR_Mantenimiento tasas'!$D$48/360,5)</f>
        <v>0</v>
      </c>
    </row>
    <row r="1164" spans="1:6">
      <c r="A1164" s="123">
        <f>IF(OR(A1163='F-Ahorro Futuro Decimos'!$H$16,A1163=""),"",IF(A1163+1&gt;'F-Ahorro Futuro Decimos'!$H$16,'F-Ahorro Futuro Decimos'!$H$16,A1163+1))</f>
        <v>1162</v>
      </c>
      <c r="B1164" s="122">
        <f>IFERROR(IF(DAY($A1164)=DAY('F-Ahorro Futuro Decimos'!$H$15),'F-Ahorro Futuro Decimos'!$H$14,0),0)</f>
        <v>0</v>
      </c>
      <c r="C1164" s="122">
        <f>IF(A1164='F-Ahorro Futuro Decimos'!$H$18,'F-Ahorro Futuro Decimos'!$H$20,0)</f>
        <v>0</v>
      </c>
      <c r="D1164" s="122">
        <f t="shared" si="18"/>
        <v>0</v>
      </c>
      <c r="E1164" s="121">
        <f>ROUND(D1164*'FR_Mantenimiento tasas'!$C$48/360,5)</f>
        <v>0</v>
      </c>
      <c r="F1164" s="121">
        <f>ROUND(D1164*'FR_Mantenimiento tasas'!$D$48/360,5)</f>
        <v>0</v>
      </c>
    </row>
    <row r="1165" spans="1:6">
      <c r="A1165" s="123">
        <f>IF(OR(A1164='F-Ahorro Futuro Decimos'!$H$16,A1164=""),"",IF(A1164+1&gt;'F-Ahorro Futuro Decimos'!$H$16,'F-Ahorro Futuro Decimos'!$H$16,A1164+1))</f>
        <v>1163</v>
      </c>
      <c r="B1165" s="122">
        <f>IFERROR(IF(DAY($A1165)=DAY('F-Ahorro Futuro Decimos'!$H$15),'F-Ahorro Futuro Decimos'!$H$14,0),0)</f>
        <v>0</v>
      </c>
      <c r="C1165" s="122">
        <f>IF(A1165='F-Ahorro Futuro Decimos'!$H$18,'F-Ahorro Futuro Decimos'!$H$20,0)</f>
        <v>0</v>
      </c>
      <c r="D1165" s="122">
        <f t="shared" si="18"/>
        <v>0</v>
      </c>
      <c r="E1165" s="121">
        <f>ROUND(D1165*'FR_Mantenimiento tasas'!$C$48/360,5)</f>
        <v>0</v>
      </c>
      <c r="F1165" s="121">
        <f>ROUND(D1165*'FR_Mantenimiento tasas'!$D$48/360,5)</f>
        <v>0</v>
      </c>
    </row>
    <row r="1166" spans="1:6">
      <c r="A1166" s="123">
        <f>IF(OR(A1165='F-Ahorro Futuro Decimos'!$H$16,A1165=""),"",IF(A1165+1&gt;'F-Ahorro Futuro Decimos'!$H$16,'F-Ahorro Futuro Decimos'!$H$16,A1165+1))</f>
        <v>1164</v>
      </c>
      <c r="B1166" s="122">
        <f>IFERROR(IF(DAY($A1166)=DAY('F-Ahorro Futuro Decimos'!$H$15),'F-Ahorro Futuro Decimos'!$H$14,0),0)</f>
        <v>0</v>
      </c>
      <c r="C1166" s="122">
        <f>IF(A1166='F-Ahorro Futuro Decimos'!$H$18,'F-Ahorro Futuro Decimos'!$H$20,0)</f>
        <v>0</v>
      </c>
      <c r="D1166" s="122">
        <f t="shared" si="18"/>
        <v>0</v>
      </c>
      <c r="E1166" s="121">
        <f>ROUND(D1166*'FR_Mantenimiento tasas'!$C$48/360,5)</f>
        <v>0</v>
      </c>
      <c r="F1166" s="121">
        <f>ROUND(D1166*'FR_Mantenimiento tasas'!$D$48/360,5)</f>
        <v>0</v>
      </c>
    </row>
    <row r="1167" spans="1:6">
      <c r="A1167" s="123">
        <f>IF(OR(A1166='F-Ahorro Futuro Decimos'!$H$16,A1166=""),"",IF(A1166+1&gt;'F-Ahorro Futuro Decimos'!$H$16,'F-Ahorro Futuro Decimos'!$H$16,A1166+1))</f>
        <v>1165</v>
      </c>
      <c r="B1167" s="122">
        <f>IFERROR(IF(DAY($A1167)=DAY('F-Ahorro Futuro Decimos'!$H$15),'F-Ahorro Futuro Decimos'!$H$14,0),0)</f>
        <v>0</v>
      </c>
      <c r="C1167" s="122">
        <f>IF(A1167='F-Ahorro Futuro Decimos'!$H$18,'F-Ahorro Futuro Decimos'!$H$20,0)</f>
        <v>0</v>
      </c>
      <c r="D1167" s="122">
        <f t="shared" si="18"/>
        <v>0</v>
      </c>
      <c r="E1167" s="121">
        <f>ROUND(D1167*'FR_Mantenimiento tasas'!$C$48/360,5)</f>
        <v>0</v>
      </c>
      <c r="F1167" s="121">
        <f>ROUND(D1167*'FR_Mantenimiento tasas'!$D$48/360,5)</f>
        <v>0</v>
      </c>
    </row>
    <row r="1168" spans="1:6">
      <c r="A1168" s="123">
        <f>IF(OR(A1167='F-Ahorro Futuro Decimos'!$H$16,A1167=""),"",IF(A1167+1&gt;'F-Ahorro Futuro Decimos'!$H$16,'F-Ahorro Futuro Decimos'!$H$16,A1167+1))</f>
        <v>1166</v>
      </c>
      <c r="B1168" s="122">
        <f>IFERROR(IF(DAY($A1168)=DAY('F-Ahorro Futuro Decimos'!$H$15),'F-Ahorro Futuro Decimos'!$H$14,0),0)</f>
        <v>0</v>
      </c>
      <c r="C1168" s="122">
        <f>IF(A1168='F-Ahorro Futuro Decimos'!$H$18,'F-Ahorro Futuro Decimos'!$H$20,0)</f>
        <v>0</v>
      </c>
      <c r="D1168" s="122">
        <f t="shared" si="18"/>
        <v>0</v>
      </c>
      <c r="E1168" s="121">
        <f>ROUND(D1168*'FR_Mantenimiento tasas'!$C$48/360,5)</f>
        <v>0</v>
      </c>
      <c r="F1168" s="121">
        <f>ROUND(D1168*'FR_Mantenimiento tasas'!$D$48/360,5)</f>
        <v>0</v>
      </c>
    </row>
    <row r="1169" spans="1:6">
      <c r="A1169" s="123">
        <f>IF(OR(A1168='F-Ahorro Futuro Decimos'!$H$16,A1168=""),"",IF(A1168+1&gt;'F-Ahorro Futuro Decimos'!$H$16,'F-Ahorro Futuro Decimos'!$H$16,A1168+1))</f>
        <v>1167</v>
      </c>
      <c r="B1169" s="122">
        <f>IFERROR(IF(DAY($A1169)=DAY('F-Ahorro Futuro Decimos'!$H$15),'F-Ahorro Futuro Decimos'!$H$14,0),0)</f>
        <v>0</v>
      </c>
      <c r="C1169" s="122">
        <f>IF(A1169='F-Ahorro Futuro Decimos'!$H$18,'F-Ahorro Futuro Decimos'!$H$20,0)</f>
        <v>0</v>
      </c>
      <c r="D1169" s="122">
        <f t="shared" si="18"/>
        <v>0</v>
      </c>
      <c r="E1169" s="121">
        <f>ROUND(D1169*'FR_Mantenimiento tasas'!$C$48/360,5)</f>
        <v>0</v>
      </c>
      <c r="F1169" s="121">
        <f>ROUND(D1169*'FR_Mantenimiento tasas'!$D$48/360,5)</f>
        <v>0</v>
      </c>
    </row>
    <row r="1170" spans="1:6">
      <c r="A1170" s="123">
        <f>IF(OR(A1169='F-Ahorro Futuro Decimos'!$H$16,A1169=""),"",IF(A1169+1&gt;'F-Ahorro Futuro Decimos'!$H$16,'F-Ahorro Futuro Decimos'!$H$16,A1169+1))</f>
        <v>1168</v>
      </c>
      <c r="B1170" s="122">
        <f>IFERROR(IF(DAY($A1170)=DAY('F-Ahorro Futuro Decimos'!$H$15),'F-Ahorro Futuro Decimos'!$H$14,0),0)</f>
        <v>0</v>
      </c>
      <c r="C1170" s="122">
        <f>IF(A1170='F-Ahorro Futuro Decimos'!$H$18,'F-Ahorro Futuro Decimos'!$H$20,0)</f>
        <v>0</v>
      </c>
      <c r="D1170" s="122">
        <f t="shared" si="18"/>
        <v>0</v>
      </c>
      <c r="E1170" s="121">
        <f>ROUND(D1170*'FR_Mantenimiento tasas'!$C$48/360,5)</f>
        <v>0</v>
      </c>
      <c r="F1170" s="121">
        <f>ROUND(D1170*'FR_Mantenimiento tasas'!$D$48/360,5)</f>
        <v>0</v>
      </c>
    </row>
    <row r="1171" spans="1:6">
      <c r="A1171" s="123">
        <f>IF(OR(A1170='F-Ahorro Futuro Decimos'!$H$16,A1170=""),"",IF(A1170+1&gt;'F-Ahorro Futuro Decimos'!$H$16,'F-Ahorro Futuro Decimos'!$H$16,A1170+1))</f>
        <v>1169</v>
      </c>
      <c r="B1171" s="122">
        <f>IFERROR(IF(DAY($A1171)=DAY('F-Ahorro Futuro Decimos'!$H$15),'F-Ahorro Futuro Decimos'!$H$14,0),0)</f>
        <v>0</v>
      </c>
      <c r="C1171" s="122">
        <f>IF(A1171='F-Ahorro Futuro Decimos'!$H$18,'F-Ahorro Futuro Decimos'!$H$20,0)</f>
        <v>0</v>
      </c>
      <c r="D1171" s="122">
        <f t="shared" si="18"/>
        <v>0</v>
      </c>
      <c r="E1171" s="121">
        <f>ROUND(D1171*'FR_Mantenimiento tasas'!$C$48/360,5)</f>
        <v>0</v>
      </c>
      <c r="F1171" s="121">
        <f>ROUND(D1171*'FR_Mantenimiento tasas'!$D$48/360,5)</f>
        <v>0</v>
      </c>
    </row>
    <row r="1172" spans="1:6">
      <c r="A1172" s="123">
        <f>IF(OR(A1171='F-Ahorro Futuro Decimos'!$H$16,A1171=""),"",IF(A1171+1&gt;'F-Ahorro Futuro Decimos'!$H$16,'F-Ahorro Futuro Decimos'!$H$16,A1171+1))</f>
        <v>1170</v>
      </c>
      <c r="B1172" s="122">
        <f>IFERROR(IF(DAY($A1172)=DAY('F-Ahorro Futuro Decimos'!$H$15),'F-Ahorro Futuro Decimos'!$H$14,0),0)</f>
        <v>0</v>
      </c>
      <c r="C1172" s="122">
        <f>IF(A1172='F-Ahorro Futuro Decimos'!$H$18,'F-Ahorro Futuro Decimos'!$H$20,0)</f>
        <v>0</v>
      </c>
      <c r="D1172" s="122">
        <f t="shared" si="18"/>
        <v>0</v>
      </c>
      <c r="E1172" s="121">
        <f>ROUND(D1172*'FR_Mantenimiento tasas'!$C$48/360,5)</f>
        <v>0</v>
      </c>
      <c r="F1172" s="121">
        <f>ROUND(D1172*'FR_Mantenimiento tasas'!$D$48/360,5)</f>
        <v>0</v>
      </c>
    </row>
    <row r="1173" spans="1:6">
      <c r="A1173" s="123">
        <f>IF(OR(A1172='F-Ahorro Futuro Decimos'!$H$16,A1172=""),"",IF(A1172+1&gt;'F-Ahorro Futuro Decimos'!$H$16,'F-Ahorro Futuro Decimos'!$H$16,A1172+1))</f>
        <v>1171</v>
      </c>
      <c r="B1173" s="122">
        <f>IFERROR(IF(DAY($A1173)=DAY('F-Ahorro Futuro Decimos'!$H$15),'F-Ahorro Futuro Decimos'!$H$14,0),0)</f>
        <v>0</v>
      </c>
      <c r="C1173" s="122">
        <f>IF(A1173='F-Ahorro Futuro Decimos'!$H$18,'F-Ahorro Futuro Decimos'!$H$20,0)</f>
        <v>0</v>
      </c>
      <c r="D1173" s="122">
        <f t="shared" si="18"/>
        <v>0</v>
      </c>
      <c r="E1173" s="121">
        <f>ROUND(D1173*'FR_Mantenimiento tasas'!$C$48/360,5)</f>
        <v>0</v>
      </c>
      <c r="F1173" s="121">
        <f>ROUND(D1173*'FR_Mantenimiento tasas'!$D$48/360,5)</f>
        <v>0</v>
      </c>
    </row>
    <row r="1174" spans="1:6">
      <c r="A1174" s="123">
        <f>IF(OR(A1173='F-Ahorro Futuro Decimos'!$H$16,A1173=""),"",IF(A1173+1&gt;'F-Ahorro Futuro Decimos'!$H$16,'F-Ahorro Futuro Decimos'!$H$16,A1173+1))</f>
        <v>1172</v>
      </c>
      <c r="B1174" s="122">
        <f>IFERROR(IF(DAY($A1174)=DAY('F-Ahorro Futuro Decimos'!$H$15),'F-Ahorro Futuro Decimos'!$H$14,0),0)</f>
        <v>0</v>
      </c>
      <c r="C1174" s="122">
        <f>IF(A1174='F-Ahorro Futuro Decimos'!$H$18,'F-Ahorro Futuro Decimos'!$H$20,0)</f>
        <v>0</v>
      </c>
      <c r="D1174" s="122">
        <f t="shared" si="18"/>
        <v>0</v>
      </c>
      <c r="E1174" s="121">
        <f>ROUND(D1174*'FR_Mantenimiento tasas'!$C$48/360,5)</f>
        <v>0</v>
      </c>
      <c r="F1174" s="121">
        <f>ROUND(D1174*'FR_Mantenimiento tasas'!$D$48/360,5)</f>
        <v>0</v>
      </c>
    </row>
    <row r="1175" spans="1:6">
      <c r="A1175" s="123">
        <f>IF(OR(A1174='F-Ahorro Futuro Decimos'!$H$16,A1174=""),"",IF(A1174+1&gt;'F-Ahorro Futuro Decimos'!$H$16,'F-Ahorro Futuro Decimos'!$H$16,A1174+1))</f>
        <v>1173</v>
      </c>
      <c r="B1175" s="122">
        <f>IFERROR(IF(DAY($A1175)=DAY('F-Ahorro Futuro Decimos'!$H$15),'F-Ahorro Futuro Decimos'!$H$14,0),0)</f>
        <v>0</v>
      </c>
      <c r="C1175" s="122">
        <f>IF(A1175='F-Ahorro Futuro Decimos'!$H$18,'F-Ahorro Futuro Decimos'!$H$20,0)</f>
        <v>0</v>
      </c>
      <c r="D1175" s="122">
        <f t="shared" si="18"/>
        <v>0</v>
      </c>
      <c r="E1175" s="121">
        <f>ROUND(D1175*'FR_Mantenimiento tasas'!$C$48/360,5)</f>
        <v>0</v>
      </c>
      <c r="F1175" s="121">
        <f>ROUND(D1175*'FR_Mantenimiento tasas'!$D$48/360,5)</f>
        <v>0</v>
      </c>
    </row>
    <row r="1176" spans="1:6">
      <c r="A1176" s="123">
        <f>IF(OR(A1175='F-Ahorro Futuro Decimos'!$H$16,A1175=""),"",IF(A1175+1&gt;'F-Ahorro Futuro Decimos'!$H$16,'F-Ahorro Futuro Decimos'!$H$16,A1175+1))</f>
        <v>1174</v>
      </c>
      <c r="B1176" s="122">
        <f>IFERROR(IF(DAY($A1176)=DAY('F-Ahorro Futuro Decimos'!$H$15),'F-Ahorro Futuro Decimos'!$H$14,0),0)</f>
        <v>0</v>
      </c>
      <c r="C1176" s="122">
        <f>IF(A1176='F-Ahorro Futuro Decimos'!$H$18,'F-Ahorro Futuro Decimos'!$H$20,0)</f>
        <v>0</v>
      </c>
      <c r="D1176" s="122">
        <f t="shared" si="18"/>
        <v>0</v>
      </c>
      <c r="E1176" s="121">
        <f>ROUND(D1176*'FR_Mantenimiento tasas'!$C$48/360,5)</f>
        <v>0</v>
      </c>
      <c r="F1176" s="121">
        <f>ROUND(D1176*'FR_Mantenimiento tasas'!$D$48/360,5)</f>
        <v>0</v>
      </c>
    </row>
    <row r="1177" spans="1:6">
      <c r="A1177" s="123">
        <f>IF(OR(A1176='F-Ahorro Futuro Decimos'!$H$16,A1176=""),"",IF(A1176+1&gt;'F-Ahorro Futuro Decimos'!$H$16,'F-Ahorro Futuro Decimos'!$H$16,A1176+1))</f>
        <v>1175</v>
      </c>
      <c r="B1177" s="122">
        <f>IFERROR(IF(DAY($A1177)=DAY('F-Ahorro Futuro Decimos'!$H$15),'F-Ahorro Futuro Decimos'!$H$14,0),0)</f>
        <v>0</v>
      </c>
      <c r="C1177" s="122">
        <f>IF(A1177='F-Ahorro Futuro Decimos'!$H$18,'F-Ahorro Futuro Decimos'!$H$20,0)</f>
        <v>0</v>
      </c>
      <c r="D1177" s="122">
        <f t="shared" si="18"/>
        <v>0</v>
      </c>
      <c r="E1177" s="121">
        <f>ROUND(D1177*'FR_Mantenimiento tasas'!$C$48/360,5)</f>
        <v>0</v>
      </c>
      <c r="F1177" s="121">
        <f>ROUND(D1177*'FR_Mantenimiento tasas'!$D$48/360,5)</f>
        <v>0</v>
      </c>
    </row>
    <row r="1178" spans="1:6">
      <c r="A1178" s="123">
        <f>IF(OR(A1177='F-Ahorro Futuro Decimos'!$H$16,A1177=""),"",IF(A1177+1&gt;'F-Ahorro Futuro Decimos'!$H$16,'F-Ahorro Futuro Decimos'!$H$16,A1177+1))</f>
        <v>1176</v>
      </c>
      <c r="B1178" s="122">
        <f>IFERROR(IF(DAY($A1178)=DAY('F-Ahorro Futuro Decimos'!$H$15),'F-Ahorro Futuro Decimos'!$H$14,0),0)</f>
        <v>0</v>
      </c>
      <c r="C1178" s="122">
        <f>IF(A1178='F-Ahorro Futuro Decimos'!$H$18,'F-Ahorro Futuro Decimos'!$H$20,0)</f>
        <v>0</v>
      </c>
      <c r="D1178" s="122">
        <f t="shared" si="18"/>
        <v>0</v>
      </c>
      <c r="E1178" s="121">
        <f>ROUND(D1178*'FR_Mantenimiento tasas'!$C$48/360,5)</f>
        <v>0</v>
      </c>
      <c r="F1178" s="121">
        <f>ROUND(D1178*'FR_Mantenimiento tasas'!$D$48/360,5)</f>
        <v>0</v>
      </c>
    </row>
    <row r="1179" spans="1:6">
      <c r="A1179" s="123">
        <f>IF(OR(A1178='F-Ahorro Futuro Decimos'!$H$16,A1178=""),"",IF(A1178+1&gt;'F-Ahorro Futuro Decimos'!$H$16,'F-Ahorro Futuro Decimos'!$H$16,A1178+1))</f>
        <v>1177</v>
      </c>
      <c r="B1179" s="122">
        <f>IFERROR(IF(DAY($A1179)=DAY('F-Ahorro Futuro Decimos'!$H$15),'F-Ahorro Futuro Decimos'!$H$14,0),0)</f>
        <v>0</v>
      </c>
      <c r="C1179" s="122">
        <f>IF(A1179='F-Ahorro Futuro Decimos'!$H$18,'F-Ahorro Futuro Decimos'!$H$20,0)</f>
        <v>0</v>
      </c>
      <c r="D1179" s="122">
        <f t="shared" si="18"/>
        <v>0</v>
      </c>
      <c r="E1179" s="121">
        <f>ROUND(D1179*'FR_Mantenimiento tasas'!$C$48/360,5)</f>
        <v>0</v>
      </c>
      <c r="F1179" s="121">
        <f>ROUND(D1179*'FR_Mantenimiento tasas'!$D$48/360,5)</f>
        <v>0</v>
      </c>
    </row>
    <row r="1180" spans="1:6">
      <c r="A1180" s="123">
        <f>IF(OR(A1179='F-Ahorro Futuro Decimos'!$H$16,A1179=""),"",IF(A1179+1&gt;'F-Ahorro Futuro Decimos'!$H$16,'F-Ahorro Futuro Decimos'!$H$16,A1179+1))</f>
        <v>1178</v>
      </c>
      <c r="B1180" s="122">
        <f>IFERROR(IF(DAY($A1180)=DAY('F-Ahorro Futuro Decimos'!$H$15),'F-Ahorro Futuro Decimos'!$H$14,0),0)</f>
        <v>0</v>
      </c>
      <c r="C1180" s="122">
        <f>IF(A1180='F-Ahorro Futuro Decimos'!$H$18,'F-Ahorro Futuro Decimos'!$H$20,0)</f>
        <v>0</v>
      </c>
      <c r="D1180" s="122">
        <f t="shared" si="18"/>
        <v>0</v>
      </c>
      <c r="E1180" s="121">
        <f>ROUND(D1180*'FR_Mantenimiento tasas'!$C$48/360,5)</f>
        <v>0</v>
      </c>
      <c r="F1180" s="121">
        <f>ROUND(D1180*'FR_Mantenimiento tasas'!$D$48/360,5)</f>
        <v>0</v>
      </c>
    </row>
    <row r="1181" spans="1:6">
      <c r="A1181" s="123">
        <f>IF(OR(A1180='F-Ahorro Futuro Decimos'!$H$16,A1180=""),"",IF(A1180+1&gt;'F-Ahorro Futuro Decimos'!$H$16,'F-Ahorro Futuro Decimos'!$H$16,A1180+1))</f>
        <v>1179</v>
      </c>
      <c r="B1181" s="122">
        <f>IFERROR(IF(DAY($A1181)=DAY('F-Ahorro Futuro Decimos'!$H$15),'F-Ahorro Futuro Decimos'!$H$14,0),0)</f>
        <v>0</v>
      </c>
      <c r="C1181" s="122">
        <f>IF(A1181='F-Ahorro Futuro Decimos'!$H$18,'F-Ahorro Futuro Decimos'!$H$20,0)</f>
        <v>0</v>
      </c>
      <c r="D1181" s="122">
        <f t="shared" si="18"/>
        <v>0</v>
      </c>
      <c r="E1181" s="121">
        <f>ROUND(D1181*'FR_Mantenimiento tasas'!$C$48/360,5)</f>
        <v>0</v>
      </c>
      <c r="F1181" s="121">
        <f>ROUND(D1181*'FR_Mantenimiento tasas'!$D$48/360,5)</f>
        <v>0</v>
      </c>
    </row>
    <row r="1182" spans="1:6">
      <c r="A1182" s="123">
        <f>IF(OR(A1181='F-Ahorro Futuro Decimos'!$H$16,A1181=""),"",IF(A1181+1&gt;'F-Ahorro Futuro Decimos'!$H$16,'F-Ahorro Futuro Decimos'!$H$16,A1181+1))</f>
        <v>1180</v>
      </c>
      <c r="B1182" s="122">
        <f>IFERROR(IF(DAY($A1182)=DAY('F-Ahorro Futuro Decimos'!$H$15),'F-Ahorro Futuro Decimos'!$H$14,0),0)</f>
        <v>0</v>
      </c>
      <c r="C1182" s="122">
        <f>IF(A1182='F-Ahorro Futuro Decimos'!$H$18,'F-Ahorro Futuro Decimos'!$H$20,0)</f>
        <v>0</v>
      </c>
      <c r="D1182" s="122">
        <f t="shared" si="18"/>
        <v>0</v>
      </c>
      <c r="E1182" s="121">
        <f>ROUND(D1182*'FR_Mantenimiento tasas'!$C$48/360,5)</f>
        <v>0</v>
      </c>
      <c r="F1182" s="121">
        <f>ROUND(D1182*'FR_Mantenimiento tasas'!$D$48/360,5)</f>
        <v>0</v>
      </c>
    </row>
    <row r="1183" spans="1:6">
      <c r="A1183" s="123">
        <f>IF(OR(A1182='F-Ahorro Futuro Decimos'!$H$16,A1182=""),"",IF(A1182+1&gt;'F-Ahorro Futuro Decimos'!$H$16,'F-Ahorro Futuro Decimos'!$H$16,A1182+1))</f>
        <v>1181</v>
      </c>
      <c r="B1183" s="122">
        <f>IFERROR(IF(DAY($A1183)=DAY('F-Ahorro Futuro Decimos'!$H$15),'F-Ahorro Futuro Decimos'!$H$14,0),0)</f>
        <v>0</v>
      </c>
      <c r="C1183" s="122">
        <f>IF(A1183='F-Ahorro Futuro Decimos'!$H$18,'F-Ahorro Futuro Decimos'!$H$20,0)</f>
        <v>0</v>
      </c>
      <c r="D1183" s="122">
        <f t="shared" si="18"/>
        <v>0</v>
      </c>
      <c r="E1183" s="121">
        <f>ROUND(D1183*'FR_Mantenimiento tasas'!$C$48/360,5)</f>
        <v>0</v>
      </c>
      <c r="F1183" s="121">
        <f>ROUND(D1183*'FR_Mantenimiento tasas'!$D$48/360,5)</f>
        <v>0</v>
      </c>
    </row>
    <row r="1184" spans="1:6">
      <c r="A1184" s="123">
        <f>IF(OR(A1183='F-Ahorro Futuro Decimos'!$H$16,A1183=""),"",IF(A1183+1&gt;'F-Ahorro Futuro Decimos'!$H$16,'F-Ahorro Futuro Decimos'!$H$16,A1183+1))</f>
        <v>1182</v>
      </c>
      <c r="B1184" s="122">
        <f>IFERROR(IF(DAY($A1184)=DAY('F-Ahorro Futuro Decimos'!$H$15),'F-Ahorro Futuro Decimos'!$H$14,0),0)</f>
        <v>0</v>
      </c>
      <c r="C1184" s="122">
        <f>IF(A1184='F-Ahorro Futuro Decimos'!$H$18,'F-Ahorro Futuro Decimos'!$H$20,0)</f>
        <v>0</v>
      </c>
      <c r="D1184" s="122">
        <f t="shared" si="18"/>
        <v>0</v>
      </c>
      <c r="E1184" s="121">
        <f>ROUND(D1184*'FR_Mantenimiento tasas'!$C$48/360,5)</f>
        <v>0</v>
      </c>
      <c r="F1184" s="121">
        <f>ROUND(D1184*'FR_Mantenimiento tasas'!$D$48/360,5)</f>
        <v>0</v>
      </c>
    </row>
    <row r="1185" spans="1:6">
      <c r="A1185" s="123">
        <f>IF(OR(A1184='F-Ahorro Futuro Decimos'!$H$16,A1184=""),"",IF(A1184+1&gt;'F-Ahorro Futuro Decimos'!$H$16,'F-Ahorro Futuro Decimos'!$H$16,A1184+1))</f>
        <v>1183</v>
      </c>
      <c r="B1185" s="122">
        <f>IFERROR(IF(DAY($A1185)=DAY('F-Ahorro Futuro Decimos'!$H$15),'F-Ahorro Futuro Decimos'!$H$14,0),0)</f>
        <v>0</v>
      </c>
      <c r="C1185" s="122">
        <f>IF(A1185='F-Ahorro Futuro Decimos'!$H$18,'F-Ahorro Futuro Decimos'!$H$20,0)</f>
        <v>0</v>
      </c>
      <c r="D1185" s="122">
        <f t="shared" si="18"/>
        <v>0</v>
      </c>
      <c r="E1185" s="121">
        <f>ROUND(D1185*'FR_Mantenimiento tasas'!$C$48/360,5)</f>
        <v>0</v>
      </c>
      <c r="F1185" s="121">
        <f>ROUND(D1185*'FR_Mantenimiento tasas'!$D$48/360,5)</f>
        <v>0</v>
      </c>
    </row>
    <row r="1186" spans="1:6">
      <c r="A1186" s="123">
        <f>IF(OR(A1185='F-Ahorro Futuro Decimos'!$H$16,A1185=""),"",IF(A1185+1&gt;'F-Ahorro Futuro Decimos'!$H$16,'F-Ahorro Futuro Decimos'!$H$16,A1185+1))</f>
        <v>1184</v>
      </c>
      <c r="B1186" s="122">
        <f>IFERROR(IF(DAY($A1186)=DAY('F-Ahorro Futuro Decimos'!$H$15),'F-Ahorro Futuro Decimos'!$H$14,0),0)</f>
        <v>0</v>
      </c>
      <c r="C1186" s="122">
        <f>IF(A1186='F-Ahorro Futuro Decimos'!$H$18,'F-Ahorro Futuro Decimos'!$H$20,0)</f>
        <v>0</v>
      </c>
      <c r="D1186" s="122">
        <f t="shared" si="18"/>
        <v>0</v>
      </c>
      <c r="E1186" s="121">
        <f>ROUND(D1186*'FR_Mantenimiento tasas'!$C$48/360,5)</f>
        <v>0</v>
      </c>
      <c r="F1186" s="121">
        <f>ROUND(D1186*'FR_Mantenimiento tasas'!$D$48/360,5)</f>
        <v>0</v>
      </c>
    </row>
    <row r="1187" spans="1:6">
      <c r="A1187" s="123">
        <f>IF(OR(A1186='F-Ahorro Futuro Decimos'!$H$16,A1186=""),"",IF(A1186+1&gt;'F-Ahorro Futuro Decimos'!$H$16,'F-Ahorro Futuro Decimos'!$H$16,A1186+1))</f>
        <v>1185</v>
      </c>
      <c r="B1187" s="122">
        <f>IFERROR(IF(DAY($A1187)=DAY('F-Ahorro Futuro Decimos'!$H$15),'F-Ahorro Futuro Decimos'!$H$14,0),0)</f>
        <v>0</v>
      </c>
      <c r="C1187" s="122">
        <f>IF(A1187='F-Ahorro Futuro Decimos'!$H$18,'F-Ahorro Futuro Decimos'!$H$20,0)</f>
        <v>0</v>
      </c>
      <c r="D1187" s="122">
        <f t="shared" si="18"/>
        <v>0</v>
      </c>
      <c r="E1187" s="121">
        <f>ROUND(D1187*'FR_Mantenimiento tasas'!$C$48/360,5)</f>
        <v>0</v>
      </c>
      <c r="F1187" s="121">
        <f>ROUND(D1187*'FR_Mantenimiento tasas'!$D$48/360,5)</f>
        <v>0</v>
      </c>
    </row>
    <row r="1188" spans="1:6">
      <c r="A1188" s="123">
        <f>IF(OR(A1187='F-Ahorro Futuro Decimos'!$H$16,A1187=""),"",IF(A1187+1&gt;'F-Ahorro Futuro Decimos'!$H$16,'F-Ahorro Futuro Decimos'!$H$16,A1187+1))</f>
        <v>1186</v>
      </c>
      <c r="B1188" s="122">
        <f>IFERROR(IF(DAY($A1188)=DAY('F-Ahorro Futuro Decimos'!$H$15),'F-Ahorro Futuro Decimos'!$H$14,0),0)</f>
        <v>0</v>
      </c>
      <c r="C1188" s="122">
        <f>IF(A1188='F-Ahorro Futuro Decimos'!$H$18,'F-Ahorro Futuro Decimos'!$H$20,0)</f>
        <v>0</v>
      </c>
      <c r="D1188" s="122">
        <f t="shared" si="18"/>
        <v>0</v>
      </c>
      <c r="E1188" s="121">
        <f>ROUND(D1188*'FR_Mantenimiento tasas'!$C$48/360,5)</f>
        <v>0</v>
      </c>
      <c r="F1188" s="121">
        <f>ROUND(D1188*'FR_Mantenimiento tasas'!$D$48/360,5)</f>
        <v>0</v>
      </c>
    </row>
    <row r="1189" spans="1:6">
      <c r="A1189" s="123">
        <f>IF(OR(A1188='F-Ahorro Futuro Decimos'!$H$16,A1188=""),"",IF(A1188+1&gt;'F-Ahorro Futuro Decimos'!$H$16,'F-Ahorro Futuro Decimos'!$H$16,A1188+1))</f>
        <v>1187</v>
      </c>
      <c r="B1189" s="122">
        <f>IFERROR(IF(DAY($A1189)=DAY('F-Ahorro Futuro Decimos'!$H$15),'F-Ahorro Futuro Decimos'!$H$14,0),0)</f>
        <v>0</v>
      </c>
      <c r="C1189" s="122">
        <f>IF(A1189='F-Ahorro Futuro Decimos'!$H$18,'F-Ahorro Futuro Decimos'!$H$20,0)</f>
        <v>0</v>
      </c>
      <c r="D1189" s="122">
        <f t="shared" si="18"/>
        <v>0</v>
      </c>
      <c r="E1189" s="121">
        <f>ROUND(D1189*'FR_Mantenimiento tasas'!$C$48/360,5)</f>
        <v>0</v>
      </c>
      <c r="F1189" s="121">
        <f>ROUND(D1189*'FR_Mantenimiento tasas'!$D$48/360,5)</f>
        <v>0</v>
      </c>
    </row>
    <row r="1190" spans="1:6">
      <c r="A1190" s="123">
        <f>IF(OR(A1189='F-Ahorro Futuro Decimos'!$H$16,A1189=""),"",IF(A1189+1&gt;'F-Ahorro Futuro Decimos'!$H$16,'F-Ahorro Futuro Decimos'!$H$16,A1189+1))</f>
        <v>1188</v>
      </c>
      <c r="B1190" s="122">
        <f>IFERROR(IF(DAY($A1190)=DAY('F-Ahorro Futuro Decimos'!$H$15),'F-Ahorro Futuro Decimos'!$H$14,0),0)</f>
        <v>0</v>
      </c>
      <c r="C1190" s="122">
        <f>IF(A1190='F-Ahorro Futuro Decimos'!$H$18,'F-Ahorro Futuro Decimos'!$H$20,0)</f>
        <v>0</v>
      </c>
      <c r="D1190" s="122">
        <f t="shared" si="18"/>
        <v>0</v>
      </c>
      <c r="E1190" s="121">
        <f>ROUND(D1190*'FR_Mantenimiento tasas'!$C$48/360,5)</f>
        <v>0</v>
      </c>
      <c r="F1190" s="121">
        <f>ROUND(D1190*'FR_Mantenimiento tasas'!$D$48/360,5)</f>
        <v>0</v>
      </c>
    </row>
    <row r="1191" spans="1:6">
      <c r="A1191" s="123">
        <f>IF(OR(A1190='F-Ahorro Futuro Decimos'!$H$16,A1190=""),"",IF(A1190+1&gt;'F-Ahorro Futuro Decimos'!$H$16,'F-Ahorro Futuro Decimos'!$H$16,A1190+1))</f>
        <v>1189</v>
      </c>
      <c r="B1191" s="122">
        <f>IFERROR(IF(DAY($A1191)=DAY('F-Ahorro Futuro Decimos'!$H$15),'F-Ahorro Futuro Decimos'!$H$14,0),0)</f>
        <v>0</v>
      </c>
      <c r="C1191" s="122">
        <f>IF(A1191='F-Ahorro Futuro Decimos'!$H$18,'F-Ahorro Futuro Decimos'!$H$20,0)</f>
        <v>0</v>
      </c>
      <c r="D1191" s="122">
        <f t="shared" si="18"/>
        <v>0</v>
      </c>
      <c r="E1191" s="121">
        <f>ROUND(D1191*'FR_Mantenimiento tasas'!$C$48/360,5)</f>
        <v>0</v>
      </c>
      <c r="F1191" s="121">
        <f>ROUND(D1191*'FR_Mantenimiento tasas'!$D$48/360,5)</f>
        <v>0</v>
      </c>
    </row>
    <row r="1192" spans="1:6">
      <c r="A1192" s="123">
        <f>IF(OR(A1191='F-Ahorro Futuro Decimos'!$H$16,A1191=""),"",IF(A1191+1&gt;'F-Ahorro Futuro Decimos'!$H$16,'F-Ahorro Futuro Decimos'!$H$16,A1191+1))</f>
        <v>1190</v>
      </c>
      <c r="B1192" s="122">
        <f>IFERROR(IF(DAY($A1192)=DAY('F-Ahorro Futuro Decimos'!$H$15),'F-Ahorro Futuro Decimos'!$H$14,0),0)</f>
        <v>0</v>
      </c>
      <c r="C1192" s="122">
        <f>IF(A1192='F-Ahorro Futuro Decimos'!$H$18,'F-Ahorro Futuro Decimos'!$H$20,0)</f>
        <v>0</v>
      </c>
      <c r="D1192" s="122">
        <f t="shared" si="18"/>
        <v>0</v>
      </c>
      <c r="E1192" s="121">
        <f>ROUND(D1192*'FR_Mantenimiento tasas'!$C$48/360,5)</f>
        <v>0</v>
      </c>
      <c r="F1192" s="121">
        <f>ROUND(D1192*'FR_Mantenimiento tasas'!$D$48/360,5)</f>
        <v>0</v>
      </c>
    </row>
    <row r="1193" spans="1:6">
      <c r="A1193" s="123">
        <f>IF(OR(A1192='F-Ahorro Futuro Decimos'!$H$16,A1192=""),"",IF(A1192+1&gt;'F-Ahorro Futuro Decimos'!$H$16,'F-Ahorro Futuro Decimos'!$H$16,A1192+1))</f>
        <v>1191</v>
      </c>
      <c r="B1193" s="122">
        <f>IFERROR(IF(DAY($A1193)=DAY('F-Ahorro Futuro Decimos'!$H$15),'F-Ahorro Futuro Decimos'!$H$14,0),0)</f>
        <v>0</v>
      </c>
      <c r="C1193" s="122">
        <f>IF(A1193='F-Ahorro Futuro Decimos'!$H$18,'F-Ahorro Futuro Decimos'!$H$20,0)</f>
        <v>0</v>
      </c>
      <c r="D1193" s="122">
        <f t="shared" si="18"/>
        <v>0</v>
      </c>
      <c r="E1193" s="121">
        <f>ROUND(D1193*'FR_Mantenimiento tasas'!$C$48/360,5)</f>
        <v>0</v>
      </c>
      <c r="F1193" s="121">
        <f>ROUND(D1193*'FR_Mantenimiento tasas'!$D$48/360,5)</f>
        <v>0</v>
      </c>
    </row>
    <row r="1194" spans="1:6">
      <c r="A1194" s="123">
        <f>IF(OR(A1193='F-Ahorro Futuro Decimos'!$H$16,A1193=""),"",IF(A1193+1&gt;'F-Ahorro Futuro Decimos'!$H$16,'F-Ahorro Futuro Decimos'!$H$16,A1193+1))</f>
        <v>1192</v>
      </c>
      <c r="B1194" s="122">
        <f>IFERROR(IF(DAY($A1194)=DAY('F-Ahorro Futuro Decimos'!$H$15),'F-Ahorro Futuro Decimos'!$H$14,0),0)</f>
        <v>0</v>
      </c>
      <c r="C1194" s="122">
        <f>IF(A1194='F-Ahorro Futuro Decimos'!$H$18,'F-Ahorro Futuro Decimos'!$H$20,0)</f>
        <v>0</v>
      </c>
      <c r="D1194" s="122">
        <f t="shared" si="18"/>
        <v>0</v>
      </c>
      <c r="E1194" s="121">
        <f>ROUND(D1194*'FR_Mantenimiento tasas'!$C$48/360,5)</f>
        <v>0</v>
      </c>
      <c r="F1194" s="121">
        <f>ROUND(D1194*'FR_Mantenimiento tasas'!$D$48/360,5)</f>
        <v>0</v>
      </c>
    </row>
    <row r="1195" spans="1:6">
      <c r="A1195" s="123">
        <f>IF(OR(A1194='F-Ahorro Futuro Decimos'!$H$16,A1194=""),"",IF(A1194+1&gt;'F-Ahorro Futuro Decimos'!$H$16,'F-Ahorro Futuro Decimos'!$H$16,A1194+1))</f>
        <v>1193</v>
      </c>
      <c r="B1195" s="122">
        <f>IFERROR(IF(DAY($A1195)=DAY('F-Ahorro Futuro Decimos'!$H$15),'F-Ahorro Futuro Decimos'!$H$14,0),0)</f>
        <v>0</v>
      </c>
      <c r="C1195" s="122">
        <f>IF(A1195='F-Ahorro Futuro Decimos'!$H$18,'F-Ahorro Futuro Decimos'!$H$20,0)</f>
        <v>0</v>
      </c>
      <c r="D1195" s="122">
        <f t="shared" si="18"/>
        <v>0</v>
      </c>
      <c r="E1195" s="121">
        <f>ROUND(D1195*'FR_Mantenimiento tasas'!$C$48/360,5)</f>
        <v>0</v>
      </c>
      <c r="F1195" s="121">
        <f>ROUND(D1195*'FR_Mantenimiento tasas'!$D$48/360,5)</f>
        <v>0</v>
      </c>
    </row>
    <row r="1196" spans="1:6">
      <c r="A1196" s="123">
        <f>IF(OR(A1195='F-Ahorro Futuro Decimos'!$H$16,A1195=""),"",IF(A1195+1&gt;'F-Ahorro Futuro Decimos'!$H$16,'F-Ahorro Futuro Decimos'!$H$16,A1195+1))</f>
        <v>1194</v>
      </c>
      <c r="B1196" s="122">
        <f>IFERROR(IF(DAY($A1196)=DAY('F-Ahorro Futuro Decimos'!$H$15),'F-Ahorro Futuro Decimos'!$H$14,0),0)</f>
        <v>0</v>
      </c>
      <c r="C1196" s="122">
        <f>IF(A1196='F-Ahorro Futuro Decimos'!$H$18,'F-Ahorro Futuro Decimos'!$H$20,0)</f>
        <v>0</v>
      </c>
      <c r="D1196" s="122">
        <f t="shared" si="18"/>
        <v>0</v>
      </c>
      <c r="E1196" s="121">
        <f>ROUND(D1196*'FR_Mantenimiento tasas'!$C$48/360,5)</f>
        <v>0</v>
      </c>
      <c r="F1196" s="121">
        <f>ROUND(D1196*'FR_Mantenimiento tasas'!$D$48/360,5)</f>
        <v>0</v>
      </c>
    </row>
    <row r="1197" spans="1:6">
      <c r="A1197" s="123">
        <f>IF(OR(A1196='F-Ahorro Futuro Decimos'!$H$16,A1196=""),"",IF(A1196+1&gt;'F-Ahorro Futuro Decimos'!$H$16,'F-Ahorro Futuro Decimos'!$H$16,A1196+1))</f>
        <v>1195</v>
      </c>
      <c r="B1197" s="122">
        <f>IFERROR(IF(DAY($A1197)=DAY('F-Ahorro Futuro Decimos'!$H$15),'F-Ahorro Futuro Decimos'!$H$14,0),0)</f>
        <v>0</v>
      </c>
      <c r="C1197" s="122">
        <f>IF(A1197='F-Ahorro Futuro Decimos'!$H$18,'F-Ahorro Futuro Decimos'!$H$20,0)</f>
        <v>0</v>
      </c>
      <c r="D1197" s="122">
        <f t="shared" si="18"/>
        <v>0</v>
      </c>
      <c r="E1197" s="121">
        <f>ROUND(D1197*'FR_Mantenimiento tasas'!$C$48/360,5)</f>
        <v>0</v>
      </c>
      <c r="F1197" s="121">
        <f>ROUND(D1197*'FR_Mantenimiento tasas'!$D$48/360,5)</f>
        <v>0</v>
      </c>
    </row>
    <row r="1198" spans="1:6">
      <c r="A1198" s="123">
        <f>IF(OR(A1197='F-Ahorro Futuro Decimos'!$H$16,A1197=""),"",IF(A1197+1&gt;'F-Ahorro Futuro Decimos'!$H$16,'F-Ahorro Futuro Decimos'!$H$16,A1197+1))</f>
        <v>1196</v>
      </c>
      <c r="B1198" s="122">
        <f>IFERROR(IF(DAY($A1198)=DAY('F-Ahorro Futuro Decimos'!$H$15),'F-Ahorro Futuro Decimos'!$H$14,0),0)</f>
        <v>0</v>
      </c>
      <c r="C1198" s="122">
        <f>IF(A1198='F-Ahorro Futuro Decimos'!$H$18,'F-Ahorro Futuro Decimos'!$H$20,0)</f>
        <v>0</v>
      </c>
      <c r="D1198" s="122">
        <f t="shared" si="18"/>
        <v>0</v>
      </c>
      <c r="E1198" s="121">
        <f>ROUND(D1198*'FR_Mantenimiento tasas'!$C$48/360,5)</f>
        <v>0</v>
      </c>
      <c r="F1198" s="121">
        <f>ROUND(D1198*'FR_Mantenimiento tasas'!$D$48/360,5)</f>
        <v>0</v>
      </c>
    </row>
    <row r="1199" spans="1:6">
      <c r="A1199" s="123">
        <f>IF(OR(A1198='F-Ahorro Futuro Decimos'!$H$16,A1198=""),"",IF(A1198+1&gt;'F-Ahorro Futuro Decimos'!$H$16,'F-Ahorro Futuro Decimos'!$H$16,A1198+1))</f>
        <v>1197</v>
      </c>
      <c r="B1199" s="122">
        <f>IFERROR(IF(DAY($A1199)=DAY('F-Ahorro Futuro Decimos'!$H$15),'F-Ahorro Futuro Decimos'!$H$14,0),0)</f>
        <v>0</v>
      </c>
      <c r="C1199" s="122">
        <f>IF(A1199='F-Ahorro Futuro Decimos'!$H$18,'F-Ahorro Futuro Decimos'!$H$20,0)</f>
        <v>0</v>
      </c>
      <c r="D1199" s="122">
        <f t="shared" si="18"/>
        <v>0</v>
      </c>
      <c r="E1199" s="121">
        <f>ROUND(D1199*'FR_Mantenimiento tasas'!$C$48/360,5)</f>
        <v>0</v>
      </c>
      <c r="F1199" s="121">
        <f>ROUND(D1199*'FR_Mantenimiento tasas'!$D$48/360,5)</f>
        <v>0</v>
      </c>
    </row>
    <row r="1200" spans="1:6">
      <c r="A1200" s="123">
        <f>IF(OR(A1199='F-Ahorro Futuro Decimos'!$H$16,A1199=""),"",IF(A1199+1&gt;'F-Ahorro Futuro Decimos'!$H$16,'F-Ahorro Futuro Decimos'!$H$16,A1199+1))</f>
        <v>1198</v>
      </c>
      <c r="B1200" s="122">
        <f>IFERROR(IF(DAY($A1200)=DAY('F-Ahorro Futuro Decimos'!$H$15),'F-Ahorro Futuro Decimos'!$H$14,0),0)</f>
        <v>0</v>
      </c>
      <c r="C1200" s="122">
        <f>IF(A1200='F-Ahorro Futuro Decimos'!$H$18,'F-Ahorro Futuro Decimos'!$H$20,0)</f>
        <v>0</v>
      </c>
      <c r="D1200" s="122">
        <f t="shared" si="18"/>
        <v>0</v>
      </c>
      <c r="E1200" s="121">
        <f>ROUND(D1200*'FR_Mantenimiento tasas'!$C$48/360,5)</f>
        <v>0</v>
      </c>
      <c r="F1200" s="121">
        <f>ROUND(D1200*'FR_Mantenimiento tasas'!$D$48/360,5)</f>
        <v>0</v>
      </c>
    </row>
    <row r="1201" spans="1:6">
      <c r="A1201" s="123">
        <f>IF(OR(A1200='F-Ahorro Futuro Decimos'!$H$16,A1200=""),"",IF(A1200+1&gt;'F-Ahorro Futuro Decimos'!$H$16,'F-Ahorro Futuro Decimos'!$H$16,A1200+1))</f>
        <v>1199</v>
      </c>
      <c r="B1201" s="122">
        <f>IFERROR(IF(DAY($A1201)=DAY('F-Ahorro Futuro Decimos'!$H$15),'F-Ahorro Futuro Decimos'!$H$14,0),0)</f>
        <v>0</v>
      </c>
      <c r="C1201" s="122">
        <f>IF(A1201='F-Ahorro Futuro Decimos'!$H$18,'F-Ahorro Futuro Decimos'!$H$20,0)</f>
        <v>0</v>
      </c>
      <c r="D1201" s="122">
        <f t="shared" si="18"/>
        <v>0</v>
      </c>
      <c r="E1201" s="121">
        <f>ROUND(D1201*'FR_Mantenimiento tasas'!$C$48/360,5)</f>
        <v>0</v>
      </c>
      <c r="F1201" s="121">
        <f>ROUND(D1201*'FR_Mantenimiento tasas'!$D$48/360,5)</f>
        <v>0</v>
      </c>
    </row>
    <row r="1202" spans="1:6">
      <c r="A1202" s="123">
        <f>IF(OR(A1201='F-Ahorro Futuro Decimos'!$H$16,A1201=""),"",IF(A1201+1&gt;'F-Ahorro Futuro Decimos'!$H$16,'F-Ahorro Futuro Decimos'!$H$16,A1201+1))</f>
        <v>1200</v>
      </c>
      <c r="B1202" s="122">
        <f>IFERROR(IF(DAY($A1202)=DAY('F-Ahorro Futuro Decimos'!$H$15),'F-Ahorro Futuro Decimos'!$H$14,0),0)</f>
        <v>0</v>
      </c>
      <c r="C1202" s="122">
        <f>IF(A1202='F-Ahorro Futuro Decimos'!$H$18,'F-Ahorro Futuro Decimos'!$H$20,0)</f>
        <v>0</v>
      </c>
      <c r="D1202" s="122">
        <f t="shared" si="18"/>
        <v>0</v>
      </c>
      <c r="E1202" s="121">
        <f>ROUND(D1202*'FR_Mantenimiento tasas'!$C$48/360,5)</f>
        <v>0</v>
      </c>
      <c r="F1202" s="121">
        <f>ROUND(D1202*'FR_Mantenimiento tasas'!$D$48/360,5)</f>
        <v>0</v>
      </c>
    </row>
    <row r="1203" spans="1:6">
      <c r="A1203" s="123">
        <f>IF(OR(A1202='F-Ahorro Futuro Decimos'!$H$16,A1202=""),"",IF(A1202+1&gt;'F-Ahorro Futuro Decimos'!$H$16,'F-Ahorro Futuro Decimos'!$H$16,A1202+1))</f>
        <v>1201</v>
      </c>
      <c r="B1203" s="122">
        <f>IFERROR(IF(DAY($A1203)=DAY('F-Ahorro Futuro Decimos'!$H$15),'F-Ahorro Futuro Decimos'!$H$14,0),0)</f>
        <v>0</v>
      </c>
      <c r="C1203" s="122">
        <f>IF(A1203='F-Ahorro Futuro Decimos'!$H$18,'F-Ahorro Futuro Decimos'!$H$20,0)</f>
        <v>0</v>
      </c>
      <c r="D1203" s="122">
        <f t="shared" si="18"/>
        <v>0</v>
      </c>
      <c r="E1203" s="121">
        <f>ROUND(D1203*'FR_Mantenimiento tasas'!$C$48/360,5)</f>
        <v>0</v>
      </c>
      <c r="F1203" s="121">
        <f>ROUND(D1203*'FR_Mantenimiento tasas'!$D$48/360,5)</f>
        <v>0</v>
      </c>
    </row>
    <row r="1204" spans="1:6">
      <c r="A1204" s="123">
        <f>IF(OR(A1203='F-Ahorro Futuro Decimos'!$H$16,A1203=""),"",IF(A1203+1&gt;'F-Ahorro Futuro Decimos'!$H$16,'F-Ahorro Futuro Decimos'!$H$16,A1203+1))</f>
        <v>1202</v>
      </c>
      <c r="B1204" s="122">
        <f>IFERROR(IF(DAY($A1204)=DAY('F-Ahorro Futuro Decimos'!$H$15),'F-Ahorro Futuro Decimos'!$H$14,0),0)</f>
        <v>0</v>
      </c>
      <c r="C1204" s="122">
        <f>IF(A1204='F-Ahorro Futuro Decimos'!$H$18,'F-Ahorro Futuro Decimos'!$H$20,0)</f>
        <v>0</v>
      </c>
      <c r="D1204" s="122">
        <f t="shared" si="18"/>
        <v>0</v>
      </c>
      <c r="E1204" s="121">
        <f>ROUND(D1204*'FR_Mantenimiento tasas'!$C$48/360,5)</f>
        <v>0</v>
      </c>
      <c r="F1204" s="121">
        <f>ROUND(D1204*'FR_Mantenimiento tasas'!$D$48/360,5)</f>
        <v>0</v>
      </c>
    </row>
    <row r="1205" spans="1:6">
      <c r="A1205" s="123">
        <f>IF(OR(A1204='F-Ahorro Futuro Decimos'!$H$16,A1204=""),"",IF(A1204+1&gt;'F-Ahorro Futuro Decimos'!$H$16,'F-Ahorro Futuro Decimos'!$H$16,A1204+1))</f>
        <v>1203</v>
      </c>
      <c r="B1205" s="122">
        <f>IFERROR(IF(DAY($A1205)=DAY('F-Ahorro Futuro Decimos'!$H$15),'F-Ahorro Futuro Decimos'!$H$14,0),0)</f>
        <v>0</v>
      </c>
      <c r="C1205" s="122">
        <f>IF(A1205='F-Ahorro Futuro Decimos'!$H$18,'F-Ahorro Futuro Decimos'!$H$20,0)</f>
        <v>0</v>
      </c>
      <c r="D1205" s="122">
        <f t="shared" si="18"/>
        <v>0</v>
      </c>
      <c r="E1205" s="121">
        <f>ROUND(D1205*'FR_Mantenimiento tasas'!$C$48/360,5)</f>
        <v>0</v>
      </c>
      <c r="F1205" s="121">
        <f>ROUND(D1205*'FR_Mantenimiento tasas'!$D$48/360,5)</f>
        <v>0</v>
      </c>
    </row>
    <row r="1206" spans="1:6">
      <c r="A1206" s="123">
        <f>IF(OR(A1205='F-Ahorro Futuro Decimos'!$H$16,A1205=""),"",IF(A1205+1&gt;'F-Ahorro Futuro Decimos'!$H$16,'F-Ahorro Futuro Decimos'!$H$16,A1205+1))</f>
        <v>1204</v>
      </c>
      <c r="B1206" s="122">
        <f>IFERROR(IF(DAY($A1206)=DAY('F-Ahorro Futuro Decimos'!$H$15),'F-Ahorro Futuro Decimos'!$H$14,0),0)</f>
        <v>0</v>
      </c>
      <c r="C1206" s="122">
        <f>IF(A1206='F-Ahorro Futuro Decimos'!$H$18,'F-Ahorro Futuro Decimos'!$H$20,0)</f>
        <v>0</v>
      </c>
      <c r="D1206" s="122">
        <f t="shared" si="18"/>
        <v>0</v>
      </c>
      <c r="E1206" s="121">
        <f>ROUND(D1206*'FR_Mantenimiento tasas'!$C$48/360,5)</f>
        <v>0</v>
      </c>
      <c r="F1206" s="121">
        <f>ROUND(D1206*'FR_Mantenimiento tasas'!$D$48/360,5)</f>
        <v>0</v>
      </c>
    </row>
    <row r="1207" spans="1:6">
      <c r="A1207" s="123">
        <f>IF(OR(A1206='F-Ahorro Futuro Decimos'!$H$16,A1206=""),"",IF(A1206+1&gt;'F-Ahorro Futuro Decimos'!$H$16,'F-Ahorro Futuro Decimos'!$H$16,A1206+1))</f>
        <v>1205</v>
      </c>
      <c r="B1207" s="122">
        <f>IFERROR(IF(DAY($A1207)=DAY('F-Ahorro Futuro Decimos'!$H$15),'F-Ahorro Futuro Decimos'!$H$14,0),0)</f>
        <v>0</v>
      </c>
      <c r="C1207" s="122">
        <f>IF(A1207='F-Ahorro Futuro Decimos'!$H$18,'F-Ahorro Futuro Decimos'!$H$20,0)</f>
        <v>0</v>
      </c>
      <c r="D1207" s="122">
        <f t="shared" si="18"/>
        <v>0</v>
      </c>
      <c r="E1207" s="121">
        <f>ROUND(D1207*'FR_Mantenimiento tasas'!$C$48/360,5)</f>
        <v>0</v>
      </c>
      <c r="F1207" s="121">
        <f>ROUND(D1207*'FR_Mantenimiento tasas'!$D$48/360,5)</f>
        <v>0</v>
      </c>
    </row>
    <row r="1208" spans="1:6">
      <c r="A1208" s="123">
        <f>IF(OR(A1207='F-Ahorro Futuro Decimos'!$H$16,A1207=""),"",IF(A1207+1&gt;'F-Ahorro Futuro Decimos'!$H$16,'F-Ahorro Futuro Decimos'!$H$16,A1207+1))</f>
        <v>1206</v>
      </c>
      <c r="B1208" s="122">
        <f>IFERROR(IF(DAY($A1208)=DAY('F-Ahorro Futuro Decimos'!$H$15),'F-Ahorro Futuro Decimos'!$H$14,0),0)</f>
        <v>0</v>
      </c>
      <c r="C1208" s="122">
        <f>IF(A1208='F-Ahorro Futuro Decimos'!$H$18,'F-Ahorro Futuro Decimos'!$H$20,0)</f>
        <v>0</v>
      </c>
      <c r="D1208" s="122">
        <f t="shared" si="18"/>
        <v>0</v>
      </c>
      <c r="E1208" s="121">
        <f>ROUND(D1208*'FR_Mantenimiento tasas'!$C$48/360,5)</f>
        <v>0</v>
      </c>
      <c r="F1208" s="121">
        <f>ROUND(D1208*'FR_Mantenimiento tasas'!$D$48/360,5)</f>
        <v>0</v>
      </c>
    </row>
    <row r="1209" spans="1:6">
      <c r="A1209" s="123">
        <f>IF(OR(A1208='F-Ahorro Futuro Decimos'!$H$16,A1208=""),"",IF(A1208+1&gt;'F-Ahorro Futuro Decimos'!$H$16,'F-Ahorro Futuro Decimos'!$H$16,A1208+1))</f>
        <v>1207</v>
      </c>
      <c r="B1209" s="122">
        <f>IFERROR(IF(DAY($A1209)=DAY('F-Ahorro Futuro Decimos'!$H$15),'F-Ahorro Futuro Decimos'!$H$14,0),0)</f>
        <v>0</v>
      </c>
      <c r="C1209" s="122">
        <f>IF(A1209='F-Ahorro Futuro Decimos'!$H$18,'F-Ahorro Futuro Decimos'!$H$20,0)</f>
        <v>0</v>
      </c>
      <c r="D1209" s="122">
        <f t="shared" si="18"/>
        <v>0</v>
      </c>
      <c r="E1209" s="121">
        <f>ROUND(D1209*'FR_Mantenimiento tasas'!$C$48/360,5)</f>
        <v>0</v>
      </c>
      <c r="F1209" s="121">
        <f>ROUND(D1209*'FR_Mantenimiento tasas'!$D$48/360,5)</f>
        <v>0</v>
      </c>
    </row>
    <row r="1210" spans="1:6">
      <c r="A1210" s="123">
        <f>IF(OR(A1209='F-Ahorro Futuro Decimos'!$H$16,A1209=""),"",IF(A1209+1&gt;'F-Ahorro Futuro Decimos'!$H$16,'F-Ahorro Futuro Decimos'!$H$16,A1209+1))</f>
        <v>1208</v>
      </c>
      <c r="B1210" s="122">
        <f>IFERROR(IF(DAY($A1210)=DAY('F-Ahorro Futuro Decimos'!$H$15),'F-Ahorro Futuro Decimos'!$H$14,0),0)</f>
        <v>0</v>
      </c>
      <c r="C1210" s="122">
        <f>IF(A1210='F-Ahorro Futuro Decimos'!$H$18,'F-Ahorro Futuro Decimos'!$H$20,0)</f>
        <v>0</v>
      </c>
      <c r="D1210" s="122">
        <f t="shared" si="18"/>
        <v>0</v>
      </c>
      <c r="E1210" s="121">
        <f>ROUND(D1210*'FR_Mantenimiento tasas'!$C$48/360,5)</f>
        <v>0</v>
      </c>
      <c r="F1210" s="121">
        <f>ROUND(D1210*'FR_Mantenimiento tasas'!$D$48/360,5)</f>
        <v>0</v>
      </c>
    </row>
    <row r="1211" spans="1:6">
      <c r="A1211" s="123">
        <f>IF(OR(A1210='F-Ahorro Futuro Decimos'!$H$16,A1210=""),"",IF(A1210+1&gt;'F-Ahorro Futuro Decimos'!$H$16,'F-Ahorro Futuro Decimos'!$H$16,A1210+1))</f>
        <v>1209</v>
      </c>
      <c r="B1211" s="122">
        <f>IFERROR(IF(DAY($A1211)=DAY('F-Ahorro Futuro Decimos'!$H$15),'F-Ahorro Futuro Decimos'!$H$14,0),0)</f>
        <v>0</v>
      </c>
      <c r="C1211" s="122">
        <f>IF(A1211='F-Ahorro Futuro Decimos'!$H$18,'F-Ahorro Futuro Decimos'!$H$20,0)</f>
        <v>0</v>
      </c>
      <c r="D1211" s="122">
        <f t="shared" si="18"/>
        <v>0</v>
      </c>
      <c r="E1211" s="121">
        <f>ROUND(D1211*'FR_Mantenimiento tasas'!$C$48/360,5)</f>
        <v>0</v>
      </c>
      <c r="F1211" s="121">
        <f>ROUND(D1211*'FR_Mantenimiento tasas'!$D$48/360,5)</f>
        <v>0</v>
      </c>
    </row>
    <row r="1212" spans="1:6">
      <c r="A1212" s="123">
        <f>IF(OR(A1211='F-Ahorro Futuro Decimos'!$H$16,A1211=""),"",IF(A1211+1&gt;'F-Ahorro Futuro Decimos'!$H$16,'F-Ahorro Futuro Decimos'!$H$16,A1211+1))</f>
        <v>1210</v>
      </c>
      <c r="B1212" s="122">
        <f>IFERROR(IF(DAY($A1212)=DAY('F-Ahorro Futuro Decimos'!$H$15),'F-Ahorro Futuro Decimos'!$H$14,0),0)</f>
        <v>0</v>
      </c>
      <c r="C1212" s="122">
        <f>IF(A1212='F-Ahorro Futuro Decimos'!$H$18,'F-Ahorro Futuro Decimos'!$H$20,0)</f>
        <v>0</v>
      </c>
      <c r="D1212" s="122">
        <f t="shared" si="18"/>
        <v>0</v>
      </c>
      <c r="E1212" s="121">
        <f>ROUND(D1212*'FR_Mantenimiento tasas'!$C$48/360,5)</f>
        <v>0</v>
      </c>
      <c r="F1212" s="121">
        <f>ROUND(D1212*'FR_Mantenimiento tasas'!$D$48/360,5)</f>
        <v>0</v>
      </c>
    </row>
    <row r="1213" spans="1:6">
      <c r="A1213" s="123">
        <f>IF(OR(A1212='F-Ahorro Futuro Decimos'!$H$16,A1212=""),"",IF(A1212+1&gt;'F-Ahorro Futuro Decimos'!$H$16,'F-Ahorro Futuro Decimos'!$H$16,A1212+1))</f>
        <v>1211</v>
      </c>
      <c r="B1213" s="122">
        <f>IFERROR(IF(DAY($A1213)=DAY('F-Ahorro Futuro Decimos'!$H$15),'F-Ahorro Futuro Decimos'!$H$14,0),0)</f>
        <v>0</v>
      </c>
      <c r="C1213" s="122">
        <f>IF(A1213='F-Ahorro Futuro Decimos'!$H$18,'F-Ahorro Futuro Decimos'!$H$20,0)</f>
        <v>0</v>
      </c>
      <c r="D1213" s="122">
        <f t="shared" si="18"/>
        <v>0</v>
      </c>
      <c r="E1213" s="121">
        <f>ROUND(D1213*'FR_Mantenimiento tasas'!$C$48/360,5)</f>
        <v>0</v>
      </c>
      <c r="F1213" s="121">
        <f>ROUND(D1213*'FR_Mantenimiento tasas'!$D$48/360,5)</f>
        <v>0</v>
      </c>
    </row>
    <row r="1214" spans="1:6">
      <c r="A1214" s="123">
        <f>IF(OR(A1213='F-Ahorro Futuro Decimos'!$H$16,A1213=""),"",IF(A1213+1&gt;'F-Ahorro Futuro Decimos'!$H$16,'F-Ahorro Futuro Decimos'!$H$16,A1213+1))</f>
        <v>1212</v>
      </c>
      <c r="B1214" s="122">
        <f>IFERROR(IF(DAY($A1214)=DAY('F-Ahorro Futuro Decimos'!$H$15),'F-Ahorro Futuro Decimos'!$H$14,0),0)</f>
        <v>0</v>
      </c>
      <c r="C1214" s="122">
        <f>IF(A1214='F-Ahorro Futuro Decimos'!$H$18,'F-Ahorro Futuro Decimos'!$H$20,0)</f>
        <v>0</v>
      </c>
      <c r="D1214" s="122">
        <f t="shared" si="18"/>
        <v>0</v>
      </c>
      <c r="E1214" s="121">
        <f>ROUND(D1214*'FR_Mantenimiento tasas'!$C$48/360,5)</f>
        <v>0</v>
      </c>
      <c r="F1214" s="121">
        <f>ROUND(D1214*'FR_Mantenimiento tasas'!$D$48/360,5)</f>
        <v>0</v>
      </c>
    </row>
    <row r="1215" spans="1:6">
      <c r="A1215" s="123">
        <f>IF(OR(A1214='F-Ahorro Futuro Decimos'!$H$16,A1214=""),"",IF(A1214+1&gt;'F-Ahorro Futuro Decimos'!$H$16,'F-Ahorro Futuro Decimos'!$H$16,A1214+1))</f>
        <v>1213</v>
      </c>
      <c r="B1215" s="122">
        <f>IFERROR(IF(DAY($A1215)=DAY('F-Ahorro Futuro Decimos'!$H$15),'F-Ahorro Futuro Decimos'!$H$14,0),0)</f>
        <v>0</v>
      </c>
      <c r="C1215" s="122">
        <f>IF(A1215='F-Ahorro Futuro Decimos'!$H$18,'F-Ahorro Futuro Decimos'!$H$20,0)</f>
        <v>0</v>
      </c>
      <c r="D1215" s="122">
        <f t="shared" si="18"/>
        <v>0</v>
      </c>
      <c r="E1215" s="121">
        <f>ROUND(D1215*'FR_Mantenimiento tasas'!$C$48/360,5)</f>
        <v>0</v>
      </c>
      <c r="F1215" s="121">
        <f>ROUND(D1215*'FR_Mantenimiento tasas'!$D$48/360,5)</f>
        <v>0</v>
      </c>
    </row>
    <row r="1216" spans="1:6">
      <c r="A1216" s="123">
        <f>IF(OR(A1215='F-Ahorro Futuro Decimos'!$H$16,A1215=""),"",IF(A1215+1&gt;'F-Ahorro Futuro Decimos'!$H$16,'F-Ahorro Futuro Decimos'!$H$16,A1215+1))</f>
        <v>1214</v>
      </c>
      <c r="B1216" s="122">
        <f>IFERROR(IF(DAY($A1216)=DAY('F-Ahorro Futuro Decimos'!$H$15),'F-Ahorro Futuro Decimos'!$H$14,0),0)</f>
        <v>0</v>
      </c>
      <c r="C1216" s="122">
        <f>IF(A1216='F-Ahorro Futuro Decimos'!$H$18,'F-Ahorro Futuro Decimos'!$H$20,0)</f>
        <v>0</v>
      </c>
      <c r="D1216" s="122">
        <f t="shared" si="18"/>
        <v>0</v>
      </c>
      <c r="E1216" s="121">
        <f>ROUND(D1216*'FR_Mantenimiento tasas'!$C$48/360,5)</f>
        <v>0</v>
      </c>
      <c r="F1216" s="121">
        <f>ROUND(D1216*'FR_Mantenimiento tasas'!$D$48/360,5)</f>
        <v>0</v>
      </c>
    </row>
    <row r="1217" spans="1:6">
      <c r="A1217" s="123">
        <f>IF(OR(A1216='F-Ahorro Futuro Decimos'!$H$16,A1216=""),"",IF(A1216+1&gt;'F-Ahorro Futuro Decimos'!$H$16,'F-Ahorro Futuro Decimos'!$H$16,A1216+1))</f>
        <v>1215</v>
      </c>
      <c r="B1217" s="122">
        <f>IFERROR(IF(DAY($A1217)=DAY('F-Ahorro Futuro Decimos'!$H$15),'F-Ahorro Futuro Decimos'!$H$14,0),0)</f>
        <v>0</v>
      </c>
      <c r="C1217" s="122">
        <f>IF(A1217='F-Ahorro Futuro Decimos'!$H$18,'F-Ahorro Futuro Decimos'!$H$20,0)</f>
        <v>0</v>
      </c>
      <c r="D1217" s="122">
        <f t="shared" si="18"/>
        <v>0</v>
      </c>
      <c r="E1217" s="121">
        <f>ROUND(D1217*'FR_Mantenimiento tasas'!$C$48/360,5)</f>
        <v>0</v>
      </c>
      <c r="F1217" s="121">
        <f>ROUND(D1217*'FR_Mantenimiento tasas'!$D$48/360,5)</f>
        <v>0</v>
      </c>
    </row>
    <row r="1218" spans="1:6">
      <c r="A1218" s="123">
        <f>IF(OR(A1217='F-Ahorro Futuro Decimos'!$H$16,A1217=""),"",IF(A1217+1&gt;'F-Ahorro Futuro Decimos'!$H$16,'F-Ahorro Futuro Decimos'!$H$16,A1217+1))</f>
        <v>1216</v>
      </c>
      <c r="B1218" s="122">
        <f>IFERROR(IF(DAY($A1218)=DAY('F-Ahorro Futuro Decimos'!$H$15),'F-Ahorro Futuro Decimos'!$H$14,0),0)</f>
        <v>0</v>
      </c>
      <c r="C1218" s="122">
        <f>IF(A1218='F-Ahorro Futuro Decimos'!$H$18,'F-Ahorro Futuro Decimos'!$H$20,0)</f>
        <v>0</v>
      </c>
      <c r="D1218" s="122">
        <f t="shared" si="18"/>
        <v>0</v>
      </c>
      <c r="E1218" s="121">
        <f>ROUND(D1218*'FR_Mantenimiento tasas'!$C$48/360,5)</f>
        <v>0</v>
      </c>
      <c r="F1218" s="121">
        <f>ROUND(D1218*'FR_Mantenimiento tasas'!$D$48/360,5)</f>
        <v>0</v>
      </c>
    </row>
    <row r="1219" spans="1:6">
      <c r="A1219" s="123">
        <f>IF(OR(A1218='F-Ahorro Futuro Decimos'!$H$16,A1218=""),"",IF(A1218+1&gt;'F-Ahorro Futuro Decimos'!$H$16,'F-Ahorro Futuro Decimos'!$H$16,A1218+1))</f>
        <v>1217</v>
      </c>
      <c r="B1219" s="122">
        <f>IFERROR(IF(DAY($A1219)=DAY('F-Ahorro Futuro Decimos'!$H$15),'F-Ahorro Futuro Decimos'!$H$14,0),0)</f>
        <v>0</v>
      </c>
      <c r="C1219" s="122">
        <f>IF(A1219='F-Ahorro Futuro Decimos'!$H$18,'F-Ahorro Futuro Decimos'!$H$20,0)</f>
        <v>0</v>
      </c>
      <c r="D1219" s="122">
        <f t="shared" si="18"/>
        <v>0</v>
      </c>
      <c r="E1219" s="121">
        <f>ROUND(D1219*'FR_Mantenimiento tasas'!$C$48/360,5)</f>
        <v>0</v>
      </c>
      <c r="F1219" s="121">
        <f>ROUND(D1219*'FR_Mantenimiento tasas'!$D$48/360,5)</f>
        <v>0</v>
      </c>
    </row>
    <row r="1220" spans="1:6">
      <c r="A1220" s="123">
        <f>IF(OR(A1219='F-Ahorro Futuro Decimos'!$H$16,A1219=""),"",IF(A1219+1&gt;'F-Ahorro Futuro Decimos'!$H$16,'F-Ahorro Futuro Decimos'!$H$16,A1219+1))</f>
        <v>1218</v>
      </c>
      <c r="B1220" s="122">
        <f>IFERROR(IF(DAY($A1220)=DAY('F-Ahorro Futuro Decimos'!$H$15),'F-Ahorro Futuro Decimos'!$H$14,0),0)</f>
        <v>0</v>
      </c>
      <c r="C1220" s="122">
        <f>IF(A1220='F-Ahorro Futuro Decimos'!$H$18,'F-Ahorro Futuro Decimos'!$H$20,0)</f>
        <v>0</v>
      </c>
      <c r="D1220" s="122">
        <f t="shared" ref="D1220:D1283" si="19">+B1220+D1219+E1219-C1220</f>
        <v>0</v>
      </c>
      <c r="E1220" s="121">
        <f>ROUND(D1220*'FR_Mantenimiento tasas'!$C$48/360,5)</f>
        <v>0</v>
      </c>
      <c r="F1220" s="121">
        <f>ROUND(D1220*'FR_Mantenimiento tasas'!$D$48/360,5)</f>
        <v>0</v>
      </c>
    </row>
    <row r="1221" spans="1:6">
      <c r="A1221" s="123">
        <f>IF(OR(A1220='F-Ahorro Futuro Decimos'!$H$16,A1220=""),"",IF(A1220+1&gt;'F-Ahorro Futuro Decimos'!$H$16,'F-Ahorro Futuro Decimos'!$H$16,A1220+1))</f>
        <v>1219</v>
      </c>
      <c r="B1221" s="122">
        <f>IFERROR(IF(DAY($A1221)=DAY('F-Ahorro Futuro Decimos'!$H$15),'F-Ahorro Futuro Decimos'!$H$14,0),0)</f>
        <v>0</v>
      </c>
      <c r="C1221" s="122">
        <f>IF(A1221='F-Ahorro Futuro Decimos'!$H$18,'F-Ahorro Futuro Decimos'!$H$20,0)</f>
        <v>0</v>
      </c>
      <c r="D1221" s="122">
        <f t="shared" si="19"/>
        <v>0</v>
      </c>
      <c r="E1221" s="121">
        <f>ROUND(D1221*'FR_Mantenimiento tasas'!$C$48/360,5)</f>
        <v>0</v>
      </c>
      <c r="F1221" s="121">
        <f>ROUND(D1221*'FR_Mantenimiento tasas'!$D$48/360,5)</f>
        <v>0</v>
      </c>
    </row>
    <row r="1222" spans="1:6">
      <c r="A1222" s="123">
        <f>IF(OR(A1221='F-Ahorro Futuro Decimos'!$H$16,A1221=""),"",IF(A1221+1&gt;'F-Ahorro Futuro Decimos'!$H$16,'F-Ahorro Futuro Decimos'!$H$16,A1221+1))</f>
        <v>1220</v>
      </c>
      <c r="B1222" s="122">
        <f>IFERROR(IF(DAY($A1222)=DAY('F-Ahorro Futuro Decimos'!$H$15),'F-Ahorro Futuro Decimos'!$H$14,0),0)</f>
        <v>0</v>
      </c>
      <c r="C1222" s="122">
        <f>IF(A1222='F-Ahorro Futuro Decimos'!$H$18,'F-Ahorro Futuro Decimos'!$H$20,0)</f>
        <v>0</v>
      </c>
      <c r="D1222" s="122">
        <f t="shared" si="19"/>
        <v>0</v>
      </c>
      <c r="E1222" s="121">
        <f>ROUND(D1222*'FR_Mantenimiento tasas'!$C$48/360,5)</f>
        <v>0</v>
      </c>
      <c r="F1222" s="121">
        <f>ROUND(D1222*'FR_Mantenimiento tasas'!$D$48/360,5)</f>
        <v>0</v>
      </c>
    </row>
    <row r="1223" spans="1:6">
      <c r="A1223" s="123">
        <f>IF(OR(A1222='F-Ahorro Futuro Decimos'!$H$16,A1222=""),"",IF(A1222+1&gt;'F-Ahorro Futuro Decimos'!$H$16,'F-Ahorro Futuro Decimos'!$H$16,A1222+1))</f>
        <v>1221</v>
      </c>
      <c r="B1223" s="122">
        <f>IFERROR(IF(DAY($A1223)=DAY('F-Ahorro Futuro Decimos'!$H$15),'F-Ahorro Futuro Decimos'!$H$14,0),0)</f>
        <v>0</v>
      </c>
      <c r="C1223" s="122">
        <f>IF(A1223='F-Ahorro Futuro Decimos'!$H$18,'F-Ahorro Futuro Decimos'!$H$20,0)</f>
        <v>0</v>
      </c>
      <c r="D1223" s="122">
        <f t="shared" si="19"/>
        <v>0</v>
      </c>
      <c r="E1223" s="121">
        <f>ROUND(D1223*'FR_Mantenimiento tasas'!$C$48/360,5)</f>
        <v>0</v>
      </c>
      <c r="F1223" s="121">
        <f>ROUND(D1223*'FR_Mantenimiento tasas'!$D$48/360,5)</f>
        <v>0</v>
      </c>
    </row>
    <row r="1224" spans="1:6">
      <c r="A1224" s="123">
        <f>IF(OR(A1223='F-Ahorro Futuro Decimos'!$H$16,A1223=""),"",IF(A1223+1&gt;'F-Ahorro Futuro Decimos'!$H$16,'F-Ahorro Futuro Decimos'!$H$16,A1223+1))</f>
        <v>1222</v>
      </c>
      <c r="B1224" s="122">
        <f>IFERROR(IF(DAY($A1224)=DAY('F-Ahorro Futuro Decimos'!$H$15),'F-Ahorro Futuro Decimos'!$H$14,0),0)</f>
        <v>0</v>
      </c>
      <c r="C1224" s="122">
        <f>IF(A1224='F-Ahorro Futuro Decimos'!$H$18,'F-Ahorro Futuro Decimos'!$H$20,0)</f>
        <v>0</v>
      </c>
      <c r="D1224" s="122">
        <f t="shared" si="19"/>
        <v>0</v>
      </c>
      <c r="E1224" s="121">
        <f>ROUND(D1224*'FR_Mantenimiento tasas'!$C$48/360,5)</f>
        <v>0</v>
      </c>
      <c r="F1224" s="121">
        <f>ROUND(D1224*'FR_Mantenimiento tasas'!$D$48/360,5)</f>
        <v>0</v>
      </c>
    </row>
    <row r="1225" spans="1:6">
      <c r="A1225" s="123">
        <f>IF(OR(A1224='F-Ahorro Futuro Decimos'!$H$16,A1224=""),"",IF(A1224+1&gt;'F-Ahorro Futuro Decimos'!$H$16,'F-Ahorro Futuro Decimos'!$H$16,A1224+1))</f>
        <v>1223</v>
      </c>
      <c r="B1225" s="122">
        <f>IFERROR(IF(DAY($A1225)=DAY('F-Ahorro Futuro Decimos'!$H$15),'F-Ahorro Futuro Decimos'!$H$14,0),0)</f>
        <v>0</v>
      </c>
      <c r="C1225" s="122">
        <f>IF(A1225='F-Ahorro Futuro Decimos'!$H$18,'F-Ahorro Futuro Decimos'!$H$20,0)</f>
        <v>0</v>
      </c>
      <c r="D1225" s="122">
        <f t="shared" si="19"/>
        <v>0</v>
      </c>
      <c r="E1225" s="121">
        <f>ROUND(D1225*'FR_Mantenimiento tasas'!$C$48/360,5)</f>
        <v>0</v>
      </c>
      <c r="F1225" s="121">
        <f>ROUND(D1225*'FR_Mantenimiento tasas'!$D$48/360,5)</f>
        <v>0</v>
      </c>
    </row>
    <row r="1226" spans="1:6">
      <c r="A1226" s="123">
        <f>IF(OR(A1225='F-Ahorro Futuro Decimos'!$H$16,A1225=""),"",IF(A1225+1&gt;'F-Ahorro Futuro Decimos'!$H$16,'F-Ahorro Futuro Decimos'!$H$16,A1225+1))</f>
        <v>1224</v>
      </c>
      <c r="B1226" s="122">
        <f>IFERROR(IF(DAY($A1226)=DAY('F-Ahorro Futuro Decimos'!$H$15),'F-Ahorro Futuro Decimos'!$H$14,0),0)</f>
        <v>0</v>
      </c>
      <c r="C1226" s="122">
        <f>IF(A1226='F-Ahorro Futuro Decimos'!$H$18,'F-Ahorro Futuro Decimos'!$H$20,0)</f>
        <v>0</v>
      </c>
      <c r="D1226" s="122">
        <f t="shared" si="19"/>
        <v>0</v>
      </c>
      <c r="E1226" s="121">
        <f>ROUND(D1226*'FR_Mantenimiento tasas'!$C$48/360,5)</f>
        <v>0</v>
      </c>
      <c r="F1226" s="121">
        <f>ROUND(D1226*'FR_Mantenimiento tasas'!$D$48/360,5)</f>
        <v>0</v>
      </c>
    </row>
    <row r="1227" spans="1:6">
      <c r="A1227" s="123">
        <f>IF(OR(A1226='F-Ahorro Futuro Decimos'!$H$16,A1226=""),"",IF(A1226+1&gt;'F-Ahorro Futuro Decimos'!$H$16,'F-Ahorro Futuro Decimos'!$H$16,A1226+1))</f>
        <v>1225</v>
      </c>
      <c r="B1227" s="122">
        <f>IFERROR(IF(DAY($A1227)=DAY('F-Ahorro Futuro Decimos'!$H$15),'F-Ahorro Futuro Decimos'!$H$14,0),0)</f>
        <v>0</v>
      </c>
      <c r="C1227" s="122">
        <f>IF(A1227='F-Ahorro Futuro Decimos'!$H$18,'F-Ahorro Futuro Decimos'!$H$20,0)</f>
        <v>0</v>
      </c>
      <c r="D1227" s="122">
        <f t="shared" si="19"/>
        <v>0</v>
      </c>
      <c r="E1227" s="121">
        <f>ROUND(D1227*'FR_Mantenimiento tasas'!$C$48/360,5)</f>
        <v>0</v>
      </c>
      <c r="F1227" s="121">
        <f>ROUND(D1227*'FR_Mantenimiento tasas'!$D$48/360,5)</f>
        <v>0</v>
      </c>
    </row>
    <row r="1228" spans="1:6">
      <c r="A1228" s="123">
        <f>IF(OR(A1227='F-Ahorro Futuro Decimos'!$H$16,A1227=""),"",IF(A1227+1&gt;'F-Ahorro Futuro Decimos'!$H$16,'F-Ahorro Futuro Decimos'!$H$16,A1227+1))</f>
        <v>1226</v>
      </c>
      <c r="B1228" s="122">
        <f>IFERROR(IF(DAY($A1228)=DAY('F-Ahorro Futuro Decimos'!$H$15),'F-Ahorro Futuro Decimos'!$H$14,0),0)</f>
        <v>0</v>
      </c>
      <c r="C1228" s="122">
        <f>IF(A1228='F-Ahorro Futuro Decimos'!$H$18,'F-Ahorro Futuro Decimos'!$H$20,0)</f>
        <v>0</v>
      </c>
      <c r="D1228" s="122">
        <f t="shared" si="19"/>
        <v>0</v>
      </c>
      <c r="E1228" s="121">
        <f>ROUND(D1228*'FR_Mantenimiento tasas'!$C$48/360,5)</f>
        <v>0</v>
      </c>
      <c r="F1228" s="121">
        <f>ROUND(D1228*'FR_Mantenimiento tasas'!$D$48/360,5)</f>
        <v>0</v>
      </c>
    </row>
    <row r="1229" spans="1:6">
      <c r="A1229" s="123">
        <f>IF(OR(A1228='F-Ahorro Futuro Decimos'!$H$16,A1228=""),"",IF(A1228+1&gt;'F-Ahorro Futuro Decimos'!$H$16,'F-Ahorro Futuro Decimos'!$H$16,A1228+1))</f>
        <v>1227</v>
      </c>
      <c r="B1229" s="122">
        <f>IFERROR(IF(DAY($A1229)=DAY('F-Ahorro Futuro Decimos'!$H$15),'F-Ahorro Futuro Decimos'!$H$14,0),0)</f>
        <v>0</v>
      </c>
      <c r="C1229" s="122">
        <f>IF(A1229='F-Ahorro Futuro Decimos'!$H$18,'F-Ahorro Futuro Decimos'!$H$20,0)</f>
        <v>0</v>
      </c>
      <c r="D1229" s="122">
        <f t="shared" si="19"/>
        <v>0</v>
      </c>
      <c r="E1229" s="121">
        <f>ROUND(D1229*'FR_Mantenimiento tasas'!$C$48/360,5)</f>
        <v>0</v>
      </c>
      <c r="F1229" s="121">
        <f>ROUND(D1229*'FR_Mantenimiento tasas'!$D$48/360,5)</f>
        <v>0</v>
      </c>
    </row>
    <row r="1230" spans="1:6">
      <c r="A1230" s="123">
        <f>IF(OR(A1229='F-Ahorro Futuro Decimos'!$H$16,A1229=""),"",IF(A1229+1&gt;'F-Ahorro Futuro Decimos'!$H$16,'F-Ahorro Futuro Decimos'!$H$16,A1229+1))</f>
        <v>1228</v>
      </c>
      <c r="B1230" s="122">
        <f>IFERROR(IF(DAY($A1230)=DAY('F-Ahorro Futuro Decimos'!$H$15),'F-Ahorro Futuro Decimos'!$H$14,0),0)</f>
        <v>0</v>
      </c>
      <c r="C1230" s="122">
        <f>IF(A1230='F-Ahorro Futuro Decimos'!$H$18,'F-Ahorro Futuro Decimos'!$H$20,0)</f>
        <v>0</v>
      </c>
      <c r="D1230" s="122">
        <f t="shared" si="19"/>
        <v>0</v>
      </c>
      <c r="E1230" s="121">
        <f>ROUND(D1230*'FR_Mantenimiento tasas'!$C$48/360,5)</f>
        <v>0</v>
      </c>
      <c r="F1230" s="121">
        <f>ROUND(D1230*'FR_Mantenimiento tasas'!$D$48/360,5)</f>
        <v>0</v>
      </c>
    </row>
    <row r="1231" spans="1:6">
      <c r="A1231" s="123">
        <f>IF(OR(A1230='F-Ahorro Futuro Decimos'!$H$16,A1230=""),"",IF(A1230+1&gt;'F-Ahorro Futuro Decimos'!$H$16,'F-Ahorro Futuro Decimos'!$H$16,A1230+1))</f>
        <v>1229</v>
      </c>
      <c r="B1231" s="122">
        <f>IFERROR(IF(DAY($A1231)=DAY('F-Ahorro Futuro Decimos'!$H$15),'F-Ahorro Futuro Decimos'!$H$14,0),0)</f>
        <v>0</v>
      </c>
      <c r="C1231" s="122">
        <f>IF(A1231='F-Ahorro Futuro Decimos'!$H$18,'F-Ahorro Futuro Decimos'!$H$20,0)</f>
        <v>0</v>
      </c>
      <c r="D1231" s="122">
        <f t="shared" si="19"/>
        <v>0</v>
      </c>
      <c r="E1231" s="121">
        <f>ROUND(D1231*'FR_Mantenimiento tasas'!$C$48/360,5)</f>
        <v>0</v>
      </c>
      <c r="F1231" s="121">
        <f>ROUND(D1231*'FR_Mantenimiento tasas'!$D$48/360,5)</f>
        <v>0</v>
      </c>
    </row>
    <row r="1232" spans="1:6">
      <c r="A1232" s="123">
        <f>IF(OR(A1231='F-Ahorro Futuro Decimos'!$H$16,A1231=""),"",IF(A1231+1&gt;'F-Ahorro Futuro Decimos'!$H$16,'F-Ahorro Futuro Decimos'!$H$16,A1231+1))</f>
        <v>1230</v>
      </c>
      <c r="B1232" s="122">
        <f>IFERROR(IF(DAY($A1232)=DAY('F-Ahorro Futuro Decimos'!$H$15),'F-Ahorro Futuro Decimos'!$H$14,0),0)</f>
        <v>0</v>
      </c>
      <c r="C1232" s="122">
        <f>IF(A1232='F-Ahorro Futuro Decimos'!$H$18,'F-Ahorro Futuro Decimos'!$H$20,0)</f>
        <v>0</v>
      </c>
      <c r="D1232" s="122">
        <f t="shared" si="19"/>
        <v>0</v>
      </c>
      <c r="E1232" s="121">
        <f>ROUND(D1232*'FR_Mantenimiento tasas'!$C$48/360,5)</f>
        <v>0</v>
      </c>
      <c r="F1232" s="121">
        <f>ROUND(D1232*'FR_Mantenimiento tasas'!$D$48/360,5)</f>
        <v>0</v>
      </c>
    </row>
    <row r="1233" spans="1:6">
      <c r="A1233" s="123">
        <f>IF(OR(A1232='F-Ahorro Futuro Decimos'!$H$16,A1232=""),"",IF(A1232+1&gt;'F-Ahorro Futuro Decimos'!$H$16,'F-Ahorro Futuro Decimos'!$H$16,A1232+1))</f>
        <v>1231</v>
      </c>
      <c r="B1233" s="122">
        <f>IFERROR(IF(DAY($A1233)=DAY('F-Ahorro Futuro Decimos'!$H$15),'F-Ahorro Futuro Decimos'!$H$14,0),0)</f>
        <v>0</v>
      </c>
      <c r="C1233" s="122">
        <f>IF(A1233='F-Ahorro Futuro Decimos'!$H$18,'F-Ahorro Futuro Decimos'!$H$20,0)</f>
        <v>0</v>
      </c>
      <c r="D1233" s="122">
        <f t="shared" si="19"/>
        <v>0</v>
      </c>
      <c r="E1233" s="121">
        <f>ROUND(D1233*'FR_Mantenimiento tasas'!$C$48/360,5)</f>
        <v>0</v>
      </c>
      <c r="F1233" s="121">
        <f>ROUND(D1233*'FR_Mantenimiento tasas'!$D$48/360,5)</f>
        <v>0</v>
      </c>
    </row>
    <row r="1234" spans="1:6">
      <c r="A1234" s="123">
        <f>IF(OR(A1233='F-Ahorro Futuro Decimos'!$H$16,A1233=""),"",IF(A1233+1&gt;'F-Ahorro Futuro Decimos'!$H$16,'F-Ahorro Futuro Decimos'!$H$16,A1233+1))</f>
        <v>1232</v>
      </c>
      <c r="B1234" s="122">
        <f>IFERROR(IF(DAY($A1234)=DAY('F-Ahorro Futuro Decimos'!$H$15),'F-Ahorro Futuro Decimos'!$H$14,0),0)</f>
        <v>0</v>
      </c>
      <c r="C1234" s="122">
        <f>IF(A1234='F-Ahorro Futuro Decimos'!$H$18,'F-Ahorro Futuro Decimos'!$H$20,0)</f>
        <v>0</v>
      </c>
      <c r="D1234" s="122">
        <f t="shared" si="19"/>
        <v>0</v>
      </c>
      <c r="E1234" s="121">
        <f>ROUND(D1234*'FR_Mantenimiento tasas'!$C$48/360,5)</f>
        <v>0</v>
      </c>
      <c r="F1234" s="121">
        <f>ROUND(D1234*'FR_Mantenimiento tasas'!$D$48/360,5)</f>
        <v>0</v>
      </c>
    </row>
    <row r="1235" spans="1:6">
      <c r="A1235" s="123">
        <f>IF(OR(A1234='F-Ahorro Futuro Decimos'!$H$16,A1234=""),"",IF(A1234+1&gt;'F-Ahorro Futuro Decimos'!$H$16,'F-Ahorro Futuro Decimos'!$H$16,A1234+1))</f>
        <v>1233</v>
      </c>
      <c r="B1235" s="122">
        <f>IFERROR(IF(DAY($A1235)=DAY('F-Ahorro Futuro Decimos'!$H$15),'F-Ahorro Futuro Decimos'!$H$14,0),0)</f>
        <v>0</v>
      </c>
      <c r="C1235" s="122">
        <f>IF(A1235='F-Ahorro Futuro Decimos'!$H$18,'F-Ahorro Futuro Decimos'!$H$20,0)</f>
        <v>0</v>
      </c>
      <c r="D1235" s="122">
        <f t="shared" si="19"/>
        <v>0</v>
      </c>
      <c r="E1235" s="121">
        <f>ROUND(D1235*'FR_Mantenimiento tasas'!$C$48/360,5)</f>
        <v>0</v>
      </c>
      <c r="F1235" s="121">
        <f>ROUND(D1235*'FR_Mantenimiento tasas'!$D$48/360,5)</f>
        <v>0</v>
      </c>
    </row>
    <row r="1236" spans="1:6">
      <c r="A1236" s="123">
        <f>IF(OR(A1235='F-Ahorro Futuro Decimos'!$H$16,A1235=""),"",IF(A1235+1&gt;'F-Ahorro Futuro Decimos'!$H$16,'F-Ahorro Futuro Decimos'!$H$16,A1235+1))</f>
        <v>1234</v>
      </c>
      <c r="B1236" s="122">
        <f>IFERROR(IF(DAY($A1236)=DAY('F-Ahorro Futuro Decimos'!$H$15),'F-Ahorro Futuro Decimos'!$H$14,0),0)</f>
        <v>0</v>
      </c>
      <c r="C1236" s="122">
        <f>IF(A1236='F-Ahorro Futuro Decimos'!$H$18,'F-Ahorro Futuro Decimos'!$H$20,0)</f>
        <v>0</v>
      </c>
      <c r="D1236" s="122">
        <f t="shared" si="19"/>
        <v>0</v>
      </c>
      <c r="E1236" s="121">
        <f>ROUND(D1236*'FR_Mantenimiento tasas'!$C$48/360,5)</f>
        <v>0</v>
      </c>
      <c r="F1236" s="121">
        <f>ROUND(D1236*'FR_Mantenimiento tasas'!$D$48/360,5)</f>
        <v>0</v>
      </c>
    </row>
    <row r="1237" spans="1:6">
      <c r="A1237" s="123">
        <f>IF(OR(A1236='F-Ahorro Futuro Decimos'!$H$16,A1236=""),"",IF(A1236+1&gt;'F-Ahorro Futuro Decimos'!$H$16,'F-Ahorro Futuro Decimos'!$H$16,A1236+1))</f>
        <v>1235</v>
      </c>
      <c r="B1237" s="122">
        <f>IFERROR(IF(DAY($A1237)=DAY('F-Ahorro Futuro Decimos'!$H$15),'F-Ahorro Futuro Decimos'!$H$14,0),0)</f>
        <v>0</v>
      </c>
      <c r="C1237" s="122">
        <f>IF(A1237='F-Ahorro Futuro Decimos'!$H$18,'F-Ahorro Futuro Decimos'!$H$20,0)</f>
        <v>0</v>
      </c>
      <c r="D1237" s="122">
        <f t="shared" si="19"/>
        <v>0</v>
      </c>
      <c r="E1237" s="121">
        <f>ROUND(D1237*'FR_Mantenimiento tasas'!$C$48/360,5)</f>
        <v>0</v>
      </c>
      <c r="F1237" s="121">
        <f>ROUND(D1237*'FR_Mantenimiento tasas'!$D$48/360,5)</f>
        <v>0</v>
      </c>
    </row>
    <row r="1238" spans="1:6">
      <c r="A1238" s="123">
        <f>IF(OR(A1237='F-Ahorro Futuro Decimos'!$H$16,A1237=""),"",IF(A1237+1&gt;'F-Ahorro Futuro Decimos'!$H$16,'F-Ahorro Futuro Decimos'!$H$16,A1237+1))</f>
        <v>1236</v>
      </c>
      <c r="B1238" s="122">
        <f>IFERROR(IF(DAY($A1238)=DAY('F-Ahorro Futuro Decimos'!$H$15),'F-Ahorro Futuro Decimos'!$H$14,0),0)</f>
        <v>0</v>
      </c>
      <c r="C1238" s="122">
        <f>IF(A1238='F-Ahorro Futuro Decimos'!$H$18,'F-Ahorro Futuro Decimos'!$H$20,0)</f>
        <v>0</v>
      </c>
      <c r="D1238" s="122">
        <f t="shared" si="19"/>
        <v>0</v>
      </c>
      <c r="E1238" s="121">
        <f>ROUND(D1238*'FR_Mantenimiento tasas'!$C$48/360,5)</f>
        <v>0</v>
      </c>
      <c r="F1238" s="121">
        <f>ROUND(D1238*'FR_Mantenimiento tasas'!$D$48/360,5)</f>
        <v>0</v>
      </c>
    </row>
    <row r="1239" spans="1:6">
      <c r="A1239" s="123">
        <f>IF(OR(A1238='F-Ahorro Futuro Decimos'!$H$16,A1238=""),"",IF(A1238+1&gt;'F-Ahorro Futuro Decimos'!$H$16,'F-Ahorro Futuro Decimos'!$H$16,A1238+1))</f>
        <v>1237</v>
      </c>
      <c r="B1239" s="122">
        <f>IFERROR(IF(DAY($A1239)=DAY('F-Ahorro Futuro Decimos'!$H$15),'F-Ahorro Futuro Decimos'!$H$14,0),0)</f>
        <v>0</v>
      </c>
      <c r="C1239" s="122">
        <f>IF(A1239='F-Ahorro Futuro Decimos'!$H$18,'F-Ahorro Futuro Decimos'!$H$20,0)</f>
        <v>0</v>
      </c>
      <c r="D1239" s="122">
        <f t="shared" si="19"/>
        <v>0</v>
      </c>
      <c r="E1239" s="121">
        <f>ROUND(D1239*'FR_Mantenimiento tasas'!$C$48/360,5)</f>
        <v>0</v>
      </c>
      <c r="F1239" s="121">
        <f>ROUND(D1239*'FR_Mantenimiento tasas'!$D$48/360,5)</f>
        <v>0</v>
      </c>
    </row>
    <row r="1240" spans="1:6">
      <c r="A1240" s="123">
        <f>IF(OR(A1239='F-Ahorro Futuro Decimos'!$H$16,A1239=""),"",IF(A1239+1&gt;'F-Ahorro Futuro Decimos'!$H$16,'F-Ahorro Futuro Decimos'!$H$16,A1239+1))</f>
        <v>1238</v>
      </c>
      <c r="B1240" s="122">
        <f>IFERROR(IF(DAY($A1240)=DAY('F-Ahorro Futuro Decimos'!$H$15),'F-Ahorro Futuro Decimos'!$H$14,0),0)</f>
        <v>0</v>
      </c>
      <c r="C1240" s="122">
        <f>IF(A1240='F-Ahorro Futuro Decimos'!$H$18,'F-Ahorro Futuro Decimos'!$H$20,0)</f>
        <v>0</v>
      </c>
      <c r="D1240" s="122">
        <f t="shared" si="19"/>
        <v>0</v>
      </c>
      <c r="E1240" s="121">
        <f>ROUND(D1240*'FR_Mantenimiento tasas'!$C$48/360,5)</f>
        <v>0</v>
      </c>
      <c r="F1240" s="121">
        <f>ROUND(D1240*'FR_Mantenimiento tasas'!$D$48/360,5)</f>
        <v>0</v>
      </c>
    </row>
    <row r="1241" spans="1:6">
      <c r="A1241" s="123">
        <f>IF(OR(A1240='F-Ahorro Futuro Decimos'!$H$16,A1240=""),"",IF(A1240+1&gt;'F-Ahorro Futuro Decimos'!$H$16,'F-Ahorro Futuro Decimos'!$H$16,A1240+1))</f>
        <v>1239</v>
      </c>
      <c r="B1241" s="122">
        <f>IFERROR(IF(DAY($A1241)=DAY('F-Ahorro Futuro Decimos'!$H$15),'F-Ahorro Futuro Decimos'!$H$14,0),0)</f>
        <v>0</v>
      </c>
      <c r="C1241" s="122">
        <f>IF(A1241='F-Ahorro Futuro Decimos'!$H$18,'F-Ahorro Futuro Decimos'!$H$20,0)</f>
        <v>0</v>
      </c>
      <c r="D1241" s="122">
        <f t="shared" si="19"/>
        <v>0</v>
      </c>
      <c r="E1241" s="121">
        <f>ROUND(D1241*'FR_Mantenimiento tasas'!$C$48/360,5)</f>
        <v>0</v>
      </c>
      <c r="F1241" s="121">
        <f>ROUND(D1241*'FR_Mantenimiento tasas'!$D$48/360,5)</f>
        <v>0</v>
      </c>
    </row>
    <row r="1242" spans="1:6">
      <c r="A1242" s="123">
        <f>IF(OR(A1241='F-Ahorro Futuro Decimos'!$H$16,A1241=""),"",IF(A1241+1&gt;'F-Ahorro Futuro Decimos'!$H$16,'F-Ahorro Futuro Decimos'!$H$16,A1241+1))</f>
        <v>1240</v>
      </c>
      <c r="B1242" s="122">
        <f>IFERROR(IF(DAY($A1242)=DAY('F-Ahorro Futuro Decimos'!$H$15),'F-Ahorro Futuro Decimos'!$H$14,0),0)</f>
        <v>0</v>
      </c>
      <c r="C1242" s="122">
        <f>IF(A1242='F-Ahorro Futuro Decimos'!$H$18,'F-Ahorro Futuro Decimos'!$H$20,0)</f>
        <v>0</v>
      </c>
      <c r="D1242" s="122">
        <f t="shared" si="19"/>
        <v>0</v>
      </c>
      <c r="E1242" s="121">
        <f>ROUND(D1242*'FR_Mantenimiento tasas'!$C$48/360,5)</f>
        <v>0</v>
      </c>
      <c r="F1242" s="121">
        <f>ROUND(D1242*'FR_Mantenimiento tasas'!$D$48/360,5)</f>
        <v>0</v>
      </c>
    </row>
    <row r="1243" spans="1:6">
      <c r="A1243" s="123">
        <f>IF(OR(A1242='F-Ahorro Futuro Decimos'!$H$16,A1242=""),"",IF(A1242+1&gt;'F-Ahorro Futuro Decimos'!$H$16,'F-Ahorro Futuro Decimos'!$H$16,A1242+1))</f>
        <v>1241</v>
      </c>
      <c r="B1243" s="122">
        <f>IFERROR(IF(DAY($A1243)=DAY('F-Ahorro Futuro Decimos'!$H$15),'F-Ahorro Futuro Decimos'!$H$14,0),0)</f>
        <v>0</v>
      </c>
      <c r="C1243" s="122">
        <f>IF(A1243='F-Ahorro Futuro Decimos'!$H$18,'F-Ahorro Futuro Decimos'!$H$20,0)</f>
        <v>0</v>
      </c>
      <c r="D1243" s="122">
        <f t="shared" si="19"/>
        <v>0</v>
      </c>
      <c r="E1243" s="121">
        <f>ROUND(D1243*'FR_Mantenimiento tasas'!$C$48/360,5)</f>
        <v>0</v>
      </c>
      <c r="F1243" s="121">
        <f>ROUND(D1243*'FR_Mantenimiento tasas'!$D$48/360,5)</f>
        <v>0</v>
      </c>
    </row>
    <row r="1244" spans="1:6">
      <c r="A1244" s="123">
        <f>IF(OR(A1243='F-Ahorro Futuro Decimos'!$H$16,A1243=""),"",IF(A1243+1&gt;'F-Ahorro Futuro Decimos'!$H$16,'F-Ahorro Futuro Decimos'!$H$16,A1243+1))</f>
        <v>1242</v>
      </c>
      <c r="B1244" s="122">
        <f>IFERROR(IF(DAY($A1244)=DAY('F-Ahorro Futuro Decimos'!$H$15),'F-Ahorro Futuro Decimos'!$H$14,0),0)</f>
        <v>0</v>
      </c>
      <c r="C1244" s="122">
        <f>IF(A1244='F-Ahorro Futuro Decimos'!$H$18,'F-Ahorro Futuro Decimos'!$H$20,0)</f>
        <v>0</v>
      </c>
      <c r="D1244" s="122">
        <f t="shared" si="19"/>
        <v>0</v>
      </c>
      <c r="E1244" s="121">
        <f>ROUND(D1244*'FR_Mantenimiento tasas'!$C$48/360,5)</f>
        <v>0</v>
      </c>
      <c r="F1244" s="121">
        <f>ROUND(D1244*'FR_Mantenimiento tasas'!$D$48/360,5)</f>
        <v>0</v>
      </c>
    </row>
    <row r="1245" spans="1:6">
      <c r="A1245" s="123">
        <f>IF(OR(A1244='F-Ahorro Futuro Decimos'!$H$16,A1244=""),"",IF(A1244+1&gt;'F-Ahorro Futuro Decimos'!$H$16,'F-Ahorro Futuro Decimos'!$H$16,A1244+1))</f>
        <v>1243</v>
      </c>
      <c r="B1245" s="122">
        <f>IFERROR(IF(DAY($A1245)=DAY('F-Ahorro Futuro Decimos'!$H$15),'F-Ahorro Futuro Decimos'!$H$14,0),0)</f>
        <v>0</v>
      </c>
      <c r="C1245" s="122">
        <f>IF(A1245='F-Ahorro Futuro Decimos'!$H$18,'F-Ahorro Futuro Decimos'!$H$20,0)</f>
        <v>0</v>
      </c>
      <c r="D1245" s="122">
        <f t="shared" si="19"/>
        <v>0</v>
      </c>
      <c r="E1245" s="121">
        <f>ROUND(D1245*'FR_Mantenimiento tasas'!$C$48/360,5)</f>
        <v>0</v>
      </c>
      <c r="F1245" s="121">
        <f>ROUND(D1245*'FR_Mantenimiento tasas'!$D$48/360,5)</f>
        <v>0</v>
      </c>
    </row>
    <row r="1246" spans="1:6">
      <c r="A1246" s="123">
        <f>IF(OR(A1245='F-Ahorro Futuro Decimos'!$H$16,A1245=""),"",IF(A1245+1&gt;'F-Ahorro Futuro Decimos'!$H$16,'F-Ahorro Futuro Decimos'!$H$16,A1245+1))</f>
        <v>1244</v>
      </c>
      <c r="B1246" s="122">
        <f>IFERROR(IF(DAY($A1246)=DAY('F-Ahorro Futuro Decimos'!$H$15),'F-Ahorro Futuro Decimos'!$H$14,0),0)</f>
        <v>0</v>
      </c>
      <c r="C1246" s="122">
        <f>IF(A1246='F-Ahorro Futuro Decimos'!$H$18,'F-Ahorro Futuro Decimos'!$H$20,0)</f>
        <v>0</v>
      </c>
      <c r="D1246" s="122">
        <f t="shared" si="19"/>
        <v>0</v>
      </c>
      <c r="E1246" s="121">
        <f>ROUND(D1246*'FR_Mantenimiento tasas'!$C$48/360,5)</f>
        <v>0</v>
      </c>
      <c r="F1246" s="121">
        <f>ROUND(D1246*'FR_Mantenimiento tasas'!$D$48/360,5)</f>
        <v>0</v>
      </c>
    </row>
    <row r="1247" spans="1:6">
      <c r="A1247" s="123">
        <f>IF(OR(A1246='F-Ahorro Futuro Decimos'!$H$16,A1246=""),"",IF(A1246+1&gt;'F-Ahorro Futuro Decimos'!$H$16,'F-Ahorro Futuro Decimos'!$H$16,A1246+1))</f>
        <v>1245</v>
      </c>
      <c r="B1247" s="122">
        <f>IFERROR(IF(DAY($A1247)=DAY('F-Ahorro Futuro Decimos'!$H$15),'F-Ahorro Futuro Decimos'!$H$14,0),0)</f>
        <v>0</v>
      </c>
      <c r="C1247" s="122">
        <f>IF(A1247='F-Ahorro Futuro Decimos'!$H$18,'F-Ahorro Futuro Decimos'!$H$20,0)</f>
        <v>0</v>
      </c>
      <c r="D1247" s="122">
        <f t="shared" si="19"/>
        <v>0</v>
      </c>
      <c r="E1247" s="121">
        <f>ROUND(D1247*'FR_Mantenimiento tasas'!$C$48/360,5)</f>
        <v>0</v>
      </c>
      <c r="F1247" s="121">
        <f>ROUND(D1247*'FR_Mantenimiento tasas'!$D$48/360,5)</f>
        <v>0</v>
      </c>
    </row>
    <row r="1248" spans="1:6">
      <c r="A1248" s="123">
        <f>IF(OR(A1247='F-Ahorro Futuro Decimos'!$H$16,A1247=""),"",IF(A1247+1&gt;'F-Ahorro Futuro Decimos'!$H$16,'F-Ahorro Futuro Decimos'!$H$16,A1247+1))</f>
        <v>1246</v>
      </c>
      <c r="B1248" s="122">
        <f>IFERROR(IF(DAY($A1248)=DAY('F-Ahorro Futuro Decimos'!$H$15),'F-Ahorro Futuro Decimos'!$H$14,0),0)</f>
        <v>0</v>
      </c>
      <c r="C1248" s="122">
        <f>IF(A1248='F-Ahorro Futuro Decimos'!$H$18,'F-Ahorro Futuro Decimos'!$H$20,0)</f>
        <v>0</v>
      </c>
      <c r="D1248" s="122">
        <f t="shared" si="19"/>
        <v>0</v>
      </c>
      <c r="E1248" s="121">
        <f>ROUND(D1248*'FR_Mantenimiento tasas'!$C$48/360,5)</f>
        <v>0</v>
      </c>
      <c r="F1248" s="121">
        <f>ROUND(D1248*'FR_Mantenimiento tasas'!$D$48/360,5)</f>
        <v>0</v>
      </c>
    </row>
    <row r="1249" spans="1:6">
      <c r="A1249" s="123">
        <f>IF(OR(A1248='F-Ahorro Futuro Decimos'!$H$16,A1248=""),"",IF(A1248+1&gt;'F-Ahorro Futuro Decimos'!$H$16,'F-Ahorro Futuro Decimos'!$H$16,A1248+1))</f>
        <v>1247</v>
      </c>
      <c r="B1249" s="122">
        <f>IFERROR(IF(DAY($A1249)=DAY('F-Ahorro Futuro Decimos'!$H$15),'F-Ahorro Futuro Decimos'!$H$14,0),0)</f>
        <v>0</v>
      </c>
      <c r="C1249" s="122">
        <f>IF(A1249='F-Ahorro Futuro Decimos'!$H$18,'F-Ahorro Futuro Decimos'!$H$20,0)</f>
        <v>0</v>
      </c>
      <c r="D1249" s="122">
        <f t="shared" si="19"/>
        <v>0</v>
      </c>
      <c r="E1249" s="121">
        <f>ROUND(D1249*'FR_Mantenimiento tasas'!$C$48/360,5)</f>
        <v>0</v>
      </c>
      <c r="F1249" s="121">
        <f>ROUND(D1249*'FR_Mantenimiento tasas'!$D$48/360,5)</f>
        <v>0</v>
      </c>
    </row>
    <row r="1250" spans="1:6">
      <c r="A1250" s="123">
        <f>IF(OR(A1249='F-Ahorro Futuro Decimos'!$H$16,A1249=""),"",IF(A1249+1&gt;'F-Ahorro Futuro Decimos'!$H$16,'F-Ahorro Futuro Decimos'!$H$16,A1249+1))</f>
        <v>1248</v>
      </c>
      <c r="B1250" s="122">
        <f>IFERROR(IF(DAY($A1250)=DAY('F-Ahorro Futuro Decimos'!$H$15),'F-Ahorro Futuro Decimos'!$H$14,0),0)</f>
        <v>0</v>
      </c>
      <c r="C1250" s="122">
        <f>IF(A1250='F-Ahorro Futuro Decimos'!$H$18,'F-Ahorro Futuro Decimos'!$H$20,0)</f>
        <v>0</v>
      </c>
      <c r="D1250" s="122">
        <f t="shared" si="19"/>
        <v>0</v>
      </c>
      <c r="E1250" s="121">
        <f>ROUND(D1250*'FR_Mantenimiento tasas'!$C$48/360,5)</f>
        <v>0</v>
      </c>
      <c r="F1250" s="121">
        <f>ROUND(D1250*'FR_Mantenimiento tasas'!$D$48/360,5)</f>
        <v>0</v>
      </c>
    </row>
    <row r="1251" spans="1:6">
      <c r="A1251" s="123">
        <f>IF(OR(A1250='F-Ahorro Futuro Decimos'!$H$16,A1250=""),"",IF(A1250+1&gt;'F-Ahorro Futuro Decimos'!$H$16,'F-Ahorro Futuro Decimos'!$H$16,A1250+1))</f>
        <v>1249</v>
      </c>
      <c r="B1251" s="122">
        <f>IFERROR(IF(DAY($A1251)=DAY('F-Ahorro Futuro Decimos'!$H$15),'F-Ahorro Futuro Decimos'!$H$14,0),0)</f>
        <v>0</v>
      </c>
      <c r="C1251" s="122">
        <f>IF(A1251='F-Ahorro Futuro Decimos'!$H$18,'F-Ahorro Futuro Decimos'!$H$20,0)</f>
        <v>0</v>
      </c>
      <c r="D1251" s="122">
        <f t="shared" si="19"/>
        <v>0</v>
      </c>
      <c r="E1251" s="121">
        <f>ROUND(D1251*'FR_Mantenimiento tasas'!$C$48/360,5)</f>
        <v>0</v>
      </c>
      <c r="F1251" s="121">
        <f>ROUND(D1251*'FR_Mantenimiento tasas'!$D$48/360,5)</f>
        <v>0</v>
      </c>
    </row>
    <row r="1252" spans="1:6">
      <c r="A1252" s="123">
        <f>IF(OR(A1251='F-Ahorro Futuro Decimos'!$H$16,A1251=""),"",IF(A1251+1&gt;'F-Ahorro Futuro Decimos'!$H$16,'F-Ahorro Futuro Decimos'!$H$16,A1251+1))</f>
        <v>1250</v>
      </c>
      <c r="B1252" s="122">
        <f>IFERROR(IF(DAY($A1252)=DAY('F-Ahorro Futuro Decimos'!$H$15),'F-Ahorro Futuro Decimos'!$H$14,0),0)</f>
        <v>0</v>
      </c>
      <c r="C1252" s="122">
        <f>IF(A1252='F-Ahorro Futuro Decimos'!$H$18,'F-Ahorro Futuro Decimos'!$H$20,0)</f>
        <v>0</v>
      </c>
      <c r="D1252" s="122">
        <f t="shared" si="19"/>
        <v>0</v>
      </c>
      <c r="E1252" s="121">
        <f>ROUND(D1252*'FR_Mantenimiento tasas'!$C$48/360,5)</f>
        <v>0</v>
      </c>
      <c r="F1252" s="121">
        <f>ROUND(D1252*'FR_Mantenimiento tasas'!$D$48/360,5)</f>
        <v>0</v>
      </c>
    </row>
    <row r="1253" spans="1:6">
      <c r="A1253" s="123">
        <f>IF(OR(A1252='F-Ahorro Futuro Decimos'!$H$16,A1252=""),"",IF(A1252+1&gt;'F-Ahorro Futuro Decimos'!$H$16,'F-Ahorro Futuro Decimos'!$H$16,A1252+1))</f>
        <v>1251</v>
      </c>
      <c r="B1253" s="122">
        <f>IFERROR(IF(DAY($A1253)=DAY('F-Ahorro Futuro Decimos'!$H$15),'F-Ahorro Futuro Decimos'!$H$14,0),0)</f>
        <v>0</v>
      </c>
      <c r="C1253" s="122">
        <f>IF(A1253='F-Ahorro Futuro Decimos'!$H$18,'F-Ahorro Futuro Decimos'!$H$20,0)</f>
        <v>0</v>
      </c>
      <c r="D1253" s="122">
        <f t="shared" si="19"/>
        <v>0</v>
      </c>
      <c r="E1253" s="121">
        <f>ROUND(D1253*'FR_Mantenimiento tasas'!$C$48/360,5)</f>
        <v>0</v>
      </c>
      <c r="F1253" s="121">
        <f>ROUND(D1253*'FR_Mantenimiento tasas'!$D$48/360,5)</f>
        <v>0</v>
      </c>
    </row>
    <row r="1254" spans="1:6">
      <c r="A1254" s="123">
        <f>IF(OR(A1253='F-Ahorro Futuro Decimos'!$H$16,A1253=""),"",IF(A1253+1&gt;'F-Ahorro Futuro Decimos'!$H$16,'F-Ahorro Futuro Decimos'!$H$16,A1253+1))</f>
        <v>1252</v>
      </c>
      <c r="B1254" s="122">
        <f>IFERROR(IF(DAY($A1254)=DAY('F-Ahorro Futuro Decimos'!$H$15),'F-Ahorro Futuro Decimos'!$H$14,0),0)</f>
        <v>0</v>
      </c>
      <c r="C1254" s="122">
        <f>IF(A1254='F-Ahorro Futuro Decimos'!$H$18,'F-Ahorro Futuro Decimos'!$H$20,0)</f>
        <v>0</v>
      </c>
      <c r="D1254" s="122">
        <f t="shared" si="19"/>
        <v>0</v>
      </c>
      <c r="E1254" s="121">
        <f>ROUND(D1254*'FR_Mantenimiento tasas'!$C$48/360,5)</f>
        <v>0</v>
      </c>
      <c r="F1254" s="121">
        <f>ROUND(D1254*'FR_Mantenimiento tasas'!$D$48/360,5)</f>
        <v>0</v>
      </c>
    </row>
    <row r="1255" spans="1:6">
      <c r="A1255" s="123">
        <f>IF(OR(A1254='F-Ahorro Futuro Decimos'!$H$16,A1254=""),"",IF(A1254+1&gt;'F-Ahorro Futuro Decimos'!$H$16,'F-Ahorro Futuro Decimos'!$H$16,A1254+1))</f>
        <v>1253</v>
      </c>
      <c r="B1255" s="122">
        <f>IFERROR(IF(DAY($A1255)=DAY('F-Ahorro Futuro Decimos'!$H$15),'F-Ahorro Futuro Decimos'!$H$14,0),0)</f>
        <v>0</v>
      </c>
      <c r="C1255" s="122">
        <f>IF(A1255='F-Ahorro Futuro Decimos'!$H$18,'F-Ahorro Futuro Decimos'!$H$20,0)</f>
        <v>0</v>
      </c>
      <c r="D1255" s="122">
        <f t="shared" si="19"/>
        <v>0</v>
      </c>
      <c r="E1255" s="121">
        <f>ROUND(D1255*'FR_Mantenimiento tasas'!$C$48/360,5)</f>
        <v>0</v>
      </c>
      <c r="F1255" s="121">
        <f>ROUND(D1255*'FR_Mantenimiento tasas'!$D$48/360,5)</f>
        <v>0</v>
      </c>
    </row>
    <row r="1256" spans="1:6">
      <c r="A1256" s="123">
        <f>IF(OR(A1255='F-Ahorro Futuro Decimos'!$H$16,A1255=""),"",IF(A1255+1&gt;'F-Ahorro Futuro Decimos'!$H$16,'F-Ahorro Futuro Decimos'!$H$16,A1255+1))</f>
        <v>1254</v>
      </c>
      <c r="B1256" s="122">
        <f>IFERROR(IF(DAY($A1256)=DAY('F-Ahorro Futuro Decimos'!$H$15),'F-Ahorro Futuro Decimos'!$H$14,0),0)</f>
        <v>0</v>
      </c>
      <c r="C1256" s="122">
        <f>IF(A1256='F-Ahorro Futuro Decimos'!$H$18,'F-Ahorro Futuro Decimos'!$H$20,0)</f>
        <v>0</v>
      </c>
      <c r="D1256" s="122">
        <f t="shared" si="19"/>
        <v>0</v>
      </c>
      <c r="E1256" s="121">
        <f>ROUND(D1256*'FR_Mantenimiento tasas'!$C$48/360,5)</f>
        <v>0</v>
      </c>
      <c r="F1256" s="121">
        <f>ROUND(D1256*'FR_Mantenimiento tasas'!$D$48/360,5)</f>
        <v>0</v>
      </c>
    </row>
    <row r="1257" spans="1:6">
      <c r="A1257" s="123">
        <f>IF(OR(A1256='F-Ahorro Futuro Decimos'!$H$16,A1256=""),"",IF(A1256+1&gt;'F-Ahorro Futuro Decimos'!$H$16,'F-Ahorro Futuro Decimos'!$H$16,A1256+1))</f>
        <v>1255</v>
      </c>
      <c r="B1257" s="122">
        <f>IFERROR(IF(DAY($A1257)=DAY('F-Ahorro Futuro Decimos'!$H$15),'F-Ahorro Futuro Decimos'!$H$14,0),0)</f>
        <v>0</v>
      </c>
      <c r="C1257" s="122">
        <f>IF(A1257='F-Ahorro Futuro Decimos'!$H$18,'F-Ahorro Futuro Decimos'!$H$20,0)</f>
        <v>0</v>
      </c>
      <c r="D1257" s="122">
        <f t="shared" si="19"/>
        <v>0</v>
      </c>
      <c r="E1257" s="121">
        <f>ROUND(D1257*'FR_Mantenimiento tasas'!$C$48/360,5)</f>
        <v>0</v>
      </c>
      <c r="F1257" s="121">
        <f>ROUND(D1257*'FR_Mantenimiento tasas'!$D$48/360,5)</f>
        <v>0</v>
      </c>
    </row>
    <row r="1258" spans="1:6">
      <c r="A1258" s="123">
        <f>IF(OR(A1257='F-Ahorro Futuro Decimos'!$H$16,A1257=""),"",IF(A1257+1&gt;'F-Ahorro Futuro Decimos'!$H$16,'F-Ahorro Futuro Decimos'!$H$16,A1257+1))</f>
        <v>1256</v>
      </c>
      <c r="B1258" s="122">
        <f>IFERROR(IF(DAY($A1258)=DAY('F-Ahorro Futuro Decimos'!$H$15),'F-Ahorro Futuro Decimos'!$H$14,0),0)</f>
        <v>0</v>
      </c>
      <c r="C1258" s="122">
        <f>IF(A1258='F-Ahorro Futuro Decimos'!$H$18,'F-Ahorro Futuro Decimos'!$H$20,0)</f>
        <v>0</v>
      </c>
      <c r="D1258" s="122">
        <f t="shared" si="19"/>
        <v>0</v>
      </c>
      <c r="E1258" s="121">
        <f>ROUND(D1258*'FR_Mantenimiento tasas'!$C$48/360,5)</f>
        <v>0</v>
      </c>
      <c r="F1258" s="121">
        <f>ROUND(D1258*'FR_Mantenimiento tasas'!$D$48/360,5)</f>
        <v>0</v>
      </c>
    </row>
    <row r="1259" spans="1:6">
      <c r="A1259" s="123">
        <f>IF(OR(A1258='F-Ahorro Futuro Decimos'!$H$16,A1258=""),"",IF(A1258+1&gt;'F-Ahorro Futuro Decimos'!$H$16,'F-Ahorro Futuro Decimos'!$H$16,A1258+1))</f>
        <v>1257</v>
      </c>
      <c r="B1259" s="122">
        <f>IFERROR(IF(DAY($A1259)=DAY('F-Ahorro Futuro Decimos'!$H$15),'F-Ahorro Futuro Decimos'!$H$14,0),0)</f>
        <v>0</v>
      </c>
      <c r="C1259" s="122">
        <f>IF(A1259='F-Ahorro Futuro Decimos'!$H$18,'F-Ahorro Futuro Decimos'!$H$20,0)</f>
        <v>0</v>
      </c>
      <c r="D1259" s="122">
        <f t="shared" si="19"/>
        <v>0</v>
      </c>
      <c r="E1259" s="121">
        <f>ROUND(D1259*'FR_Mantenimiento tasas'!$C$48/360,5)</f>
        <v>0</v>
      </c>
      <c r="F1259" s="121">
        <f>ROUND(D1259*'FR_Mantenimiento tasas'!$D$48/360,5)</f>
        <v>0</v>
      </c>
    </row>
    <row r="1260" spans="1:6">
      <c r="A1260" s="123">
        <f>IF(OR(A1259='F-Ahorro Futuro Decimos'!$H$16,A1259=""),"",IF(A1259+1&gt;'F-Ahorro Futuro Decimos'!$H$16,'F-Ahorro Futuro Decimos'!$H$16,A1259+1))</f>
        <v>1258</v>
      </c>
      <c r="B1260" s="122">
        <f>IFERROR(IF(DAY($A1260)=DAY('F-Ahorro Futuro Decimos'!$H$15),'F-Ahorro Futuro Decimos'!$H$14,0),0)</f>
        <v>0</v>
      </c>
      <c r="C1260" s="122">
        <f>IF(A1260='F-Ahorro Futuro Decimos'!$H$18,'F-Ahorro Futuro Decimos'!$H$20,0)</f>
        <v>0</v>
      </c>
      <c r="D1260" s="122">
        <f t="shared" si="19"/>
        <v>0</v>
      </c>
      <c r="E1260" s="121">
        <f>ROUND(D1260*'FR_Mantenimiento tasas'!$C$48/360,5)</f>
        <v>0</v>
      </c>
      <c r="F1260" s="121">
        <f>ROUND(D1260*'FR_Mantenimiento tasas'!$D$48/360,5)</f>
        <v>0</v>
      </c>
    </row>
    <row r="1261" spans="1:6">
      <c r="A1261" s="123">
        <f>IF(OR(A1260='F-Ahorro Futuro Decimos'!$H$16,A1260=""),"",IF(A1260+1&gt;'F-Ahorro Futuro Decimos'!$H$16,'F-Ahorro Futuro Decimos'!$H$16,A1260+1))</f>
        <v>1259</v>
      </c>
      <c r="B1261" s="122">
        <f>IFERROR(IF(DAY($A1261)=DAY('F-Ahorro Futuro Decimos'!$H$15),'F-Ahorro Futuro Decimos'!$H$14,0),0)</f>
        <v>0</v>
      </c>
      <c r="C1261" s="122">
        <f>IF(A1261='F-Ahorro Futuro Decimos'!$H$18,'F-Ahorro Futuro Decimos'!$H$20,0)</f>
        <v>0</v>
      </c>
      <c r="D1261" s="122">
        <f t="shared" si="19"/>
        <v>0</v>
      </c>
      <c r="E1261" s="121">
        <f>ROUND(D1261*'FR_Mantenimiento tasas'!$C$48/360,5)</f>
        <v>0</v>
      </c>
      <c r="F1261" s="121">
        <f>ROUND(D1261*'FR_Mantenimiento tasas'!$D$48/360,5)</f>
        <v>0</v>
      </c>
    </row>
    <row r="1262" spans="1:6">
      <c r="A1262" s="123">
        <f>IF(OR(A1261='F-Ahorro Futuro Decimos'!$H$16,A1261=""),"",IF(A1261+1&gt;'F-Ahorro Futuro Decimos'!$H$16,'F-Ahorro Futuro Decimos'!$H$16,A1261+1))</f>
        <v>1260</v>
      </c>
      <c r="B1262" s="122">
        <f>IFERROR(IF(DAY($A1262)=DAY('F-Ahorro Futuro Decimos'!$H$15),'F-Ahorro Futuro Decimos'!$H$14,0),0)</f>
        <v>0</v>
      </c>
      <c r="C1262" s="122">
        <f>IF(A1262='F-Ahorro Futuro Decimos'!$H$18,'F-Ahorro Futuro Decimos'!$H$20,0)</f>
        <v>0</v>
      </c>
      <c r="D1262" s="122">
        <f t="shared" si="19"/>
        <v>0</v>
      </c>
      <c r="E1262" s="121">
        <f>ROUND(D1262*'FR_Mantenimiento tasas'!$C$48/360,5)</f>
        <v>0</v>
      </c>
      <c r="F1262" s="121">
        <f>ROUND(D1262*'FR_Mantenimiento tasas'!$D$48/360,5)</f>
        <v>0</v>
      </c>
    </row>
    <row r="1263" spans="1:6">
      <c r="A1263" s="123">
        <f>IF(OR(A1262='F-Ahorro Futuro Decimos'!$H$16,A1262=""),"",IF(A1262+1&gt;'F-Ahorro Futuro Decimos'!$H$16,'F-Ahorro Futuro Decimos'!$H$16,A1262+1))</f>
        <v>1261</v>
      </c>
      <c r="B1263" s="122">
        <f>IFERROR(IF(DAY($A1263)=DAY('F-Ahorro Futuro Decimos'!$H$15),'F-Ahorro Futuro Decimos'!$H$14,0),0)</f>
        <v>0</v>
      </c>
      <c r="C1263" s="122">
        <f>IF(A1263='F-Ahorro Futuro Decimos'!$H$18,'F-Ahorro Futuro Decimos'!$H$20,0)</f>
        <v>0</v>
      </c>
      <c r="D1263" s="122">
        <f t="shared" si="19"/>
        <v>0</v>
      </c>
      <c r="E1263" s="121">
        <f>ROUND(D1263*'FR_Mantenimiento tasas'!$C$48/360,5)</f>
        <v>0</v>
      </c>
      <c r="F1263" s="121">
        <f>ROUND(D1263*'FR_Mantenimiento tasas'!$D$48/360,5)</f>
        <v>0</v>
      </c>
    </row>
    <row r="1264" spans="1:6">
      <c r="A1264" s="123">
        <f>IF(OR(A1263='F-Ahorro Futuro Decimos'!$H$16,A1263=""),"",IF(A1263+1&gt;'F-Ahorro Futuro Decimos'!$H$16,'F-Ahorro Futuro Decimos'!$H$16,A1263+1))</f>
        <v>1262</v>
      </c>
      <c r="B1264" s="122">
        <f>IFERROR(IF(DAY($A1264)=DAY('F-Ahorro Futuro Decimos'!$H$15),'F-Ahorro Futuro Decimos'!$H$14,0),0)</f>
        <v>0</v>
      </c>
      <c r="C1264" s="122">
        <f>IF(A1264='F-Ahorro Futuro Decimos'!$H$18,'F-Ahorro Futuro Decimos'!$H$20,0)</f>
        <v>0</v>
      </c>
      <c r="D1264" s="122">
        <f t="shared" si="19"/>
        <v>0</v>
      </c>
      <c r="E1264" s="121">
        <f>ROUND(D1264*'FR_Mantenimiento tasas'!$C$48/360,5)</f>
        <v>0</v>
      </c>
      <c r="F1264" s="121">
        <f>ROUND(D1264*'FR_Mantenimiento tasas'!$D$48/360,5)</f>
        <v>0</v>
      </c>
    </row>
    <row r="1265" spans="1:6">
      <c r="A1265" s="123">
        <f>IF(OR(A1264='F-Ahorro Futuro Decimos'!$H$16,A1264=""),"",IF(A1264+1&gt;'F-Ahorro Futuro Decimos'!$H$16,'F-Ahorro Futuro Decimos'!$H$16,A1264+1))</f>
        <v>1263</v>
      </c>
      <c r="B1265" s="122">
        <f>IFERROR(IF(DAY($A1265)=DAY('F-Ahorro Futuro Decimos'!$H$15),'F-Ahorro Futuro Decimos'!$H$14,0),0)</f>
        <v>0</v>
      </c>
      <c r="C1265" s="122">
        <f>IF(A1265='F-Ahorro Futuro Decimos'!$H$18,'F-Ahorro Futuro Decimos'!$H$20,0)</f>
        <v>0</v>
      </c>
      <c r="D1265" s="122">
        <f t="shared" si="19"/>
        <v>0</v>
      </c>
      <c r="E1265" s="121">
        <f>ROUND(D1265*'FR_Mantenimiento tasas'!$C$48/360,5)</f>
        <v>0</v>
      </c>
      <c r="F1265" s="121">
        <f>ROUND(D1265*'FR_Mantenimiento tasas'!$D$48/360,5)</f>
        <v>0</v>
      </c>
    </row>
    <row r="1266" spans="1:6">
      <c r="A1266" s="123">
        <f>IF(OR(A1265='F-Ahorro Futuro Decimos'!$H$16,A1265=""),"",IF(A1265+1&gt;'F-Ahorro Futuro Decimos'!$H$16,'F-Ahorro Futuro Decimos'!$H$16,A1265+1))</f>
        <v>1264</v>
      </c>
      <c r="B1266" s="122">
        <f>IFERROR(IF(DAY($A1266)=DAY('F-Ahorro Futuro Decimos'!$H$15),'F-Ahorro Futuro Decimos'!$H$14,0),0)</f>
        <v>0</v>
      </c>
      <c r="C1266" s="122">
        <f>IF(A1266='F-Ahorro Futuro Decimos'!$H$18,'F-Ahorro Futuro Decimos'!$H$20,0)</f>
        <v>0</v>
      </c>
      <c r="D1266" s="122">
        <f t="shared" si="19"/>
        <v>0</v>
      </c>
      <c r="E1266" s="121">
        <f>ROUND(D1266*'FR_Mantenimiento tasas'!$C$48/360,5)</f>
        <v>0</v>
      </c>
      <c r="F1266" s="121">
        <f>ROUND(D1266*'FR_Mantenimiento tasas'!$D$48/360,5)</f>
        <v>0</v>
      </c>
    </row>
    <row r="1267" spans="1:6">
      <c r="A1267" s="123">
        <f>IF(OR(A1266='F-Ahorro Futuro Decimos'!$H$16,A1266=""),"",IF(A1266+1&gt;'F-Ahorro Futuro Decimos'!$H$16,'F-Ahorro Futuro Decimos'!$H$16,A1266+1))</f>
        <v>1265</v>
      </c>
      <c r="B1267" s="122">
        <f>IFERROR(IF(DAY($A1267)=DAY('F-Ahorro Futuro Decimos'!$H$15),'F-Ahorro Futuro Decimos'!$H$14,0),0)</f>
        <v>0</v>
      </c>
      <c r="C1267" s="122">
        <f>IF(A1267='F-Ahorro Futuro Decimos'!$H$18,'F-Ahorro Futuro Decimos'!$H$20,0)</f>
        <v>0</v>
      </c>
      <c r="D1267" s="122">
        <f t="shared" si="19"/>
        <v>0</v>
      </c>
      <c r="E1267" s="121">
        <f>ROUND(D1267*'FR_Mantenimiento tasas'!$C$48/360,5)</f>
        <v>0</v>
      </c>
      <c r="F1267" s="121">
        <f>ROUND(D1267*'FR_Mantenimiento tasas'!$D$48/360,5)</f>
        <v>0</v>
      </c>
    </row>
    <row r="1268" spans="1:6">
      <c r="A1268" s="123">
        <f>IF(OR(A1267='F-Ahorro Futuro Decimos'!$H$16,A1267=""),"",IF(A1267+1&gt;'F-Ahorro Futuro Decimos'!$H$16,'F-Ahorro Futuro Decimos'!$H$16,A1267+1))</f>
        <v>1266</v>
      </c>
      <c r="B1268" s="122">
        <f>IFERROR(IF(DAY($A1268)=DAY('F-Ahorro Futuro Decimos'!$H$15),'F-Ahorro Futuro Decimos'!$H$14,0),0)</f>
        <v>0</v>
      </c>
      <c r="C1268" s="122">
        <f>IF(A1268='F-Ahorro Futuro Decimos'!$H$18,'F-Ahorro Futuro Decimos'!$H$20,0)</f>
        <v>0</v>
      </c>
      <c r="D1268" s="122">
        <f t="shared" si="19"/>
        <v>0</v>
      </c>
      <c r="E1268" s="121">
        <f>ROUND(D1268*'FR_Mantenimiento tasas'!$C$48/360,5)</f>
        <v>0</v>
      </c>
      <c r="F1268" s="121">
        <f>ROUND(D1268*'FR_Mantenimiento tasas'!$D$48/360,5)</f>
        <v>0</v>
      </c>
    </row>
    <row r="1269" spans="1:6">
      <c r="A1269" s="123">
        <f>IF(OR(A1268='F-Ahorro Futuro Decimos'!$H$16,A1268=""),"",IF(A1268+1&gt;'F-Ahorro Futuro Decimos'!$H$16,'F-Ahorro Futuro Decimos'!$H$16,A1268+1))</f>
        <v>1267</v>
      </c>
      <c r="B1269" s="122">
        <f>IFERROR(IF(DAY($A1269)=DAY('F-Ahorro Futuro Decimos'!$H$15),'F-Ahorro Futuro Decimos'!$H$14,0),0)</f>
        <v>0</v>
      </c>
      <c r="C1269" s="122">
        <f>IF(A1269='F-Ahorro Futuro Decimos'!$H$18,'F-Ahorro Futuro Decimos'!$H$20,0)</f>
        <v>0</v>
      </c>
      <c r="D1269" s="122">
        <f t="shared" si="19"/>
        <v>0</v>
      </c>
      <c r="E1269" s="121">
        <f>ROUND(D1269*'FR_Mantenimiento tasas'!$C$48/360,5)</f>
        <v>0</v>
      </c>
      <c r="F1269" s="121">
        <f>ROUND(D1269*'FR_Mantenimiento tasas'!$D$48/360,5)</f>
        <v>0</v>
      </c>
    </row>
    <row r="1270" spans="1:6">
      <c r="A1270" s="123">
        <f>IF(OR(A1269='F-Ahorro Futuro Decimos'!$H$16,A1269=""),"",IF(A1269+1&gt;'F-Ahorro Futuro Decimos'!$H$16,'F-Ahorro Futuro Decimos'!$H$16,A1269+1))</f>
        <v>1268</v>
      </c>
      <c r="B1270" s="122">
        <f>IFERROR(IF(DAY($A1270)=DAY('F-Ahorro Futuro Decimos'!$H$15),'F-Ahorro Futuro Decimos'!$H$14,0),0)</f>
        <v>0</v>
      </c>
      <c r="C1270" s="122">
        <f>IF(A1270='F-Ahorro Futuro Decimos'!$H$18,'F-Ahorro Futuro Decimos'!$H$20,0)</f>
        <v>0</v>
      </c>
      <c r="D1270" s="122">
        <f t="shared" si="19"/>
        <v>0</v>
      </c>
      <c r="E1270" s="121">
        <f>ROUND(D1270*'FR_Mantenimiento tasas'!$C$48/360,5)</f>
        <v>0</v>
      </c>
      <c r="F1270" s="121">
        <f>ROUND(D1270*'FR_Mantenimiento tasas'!$D$48/360,5)</f>
        <v>0</v>
      </c>
    </row>
    <row r="1271" spans="1:6">
      <c r="A1271" s="123">
        <f>IF(OR(A1270='F-Ahorro Futuro Decimos'!$H$16,A1270=""),"",IF(A1270+1&gt;'F-Ahorro Futuro Decimos'!$H$16,'F-Ahorro Futuro Decimos'!$H$16,A1270+1))</f>
        <v>1269</v>
      </c>
      <c r="B1271" s="122">
        <f>IFERROR(IF(DAY($A1271)=DAY('F-Ahorro Futuro Decimos'!$H$15),'F-Ahorro Futuro Decimos'!$H$14,0),0)</f>
        <v>0</v>
      </c>
      <c r="C1271" s="122">
        <f>IF(A1271='F-Ahorro Futuro Decimos'!$H$18,'F-Ahorro Futuro Decimos'!$H$20,0)</f>
        <v>0</v>
      </c>
      <c r="D1271" s="122">
        <f t="shared" si="19"/>
        <v>0</v>
      </c>
      <c r="E1271" s="121">
        <f>ROUND(D1271*'FR_Mantenimiento tasas'!$C$48/360,5)</f>
        <v>0</v>
      </c>
      <c r="F1271" s="121">
        <f>ROUND(D1271*'FR_Mantenimiento tasas'!$D$48/360,5)</f>
        <v>0</v>
      </c>
    </row>
    <row r="1272" spans="1:6">
      <c r="A1272" s="123">
        <f>IF(OR(A1271='F-Ahorro Futuro Decimos'!$H$16,A1271=""),"",IF(A1271+1&gt;'F-Ahorro Futuro Decimos'!$H$16,'F-Ahorro Futuro Decimos'!$H$16,A1271+1))</f>
        <v>1270</v>
      </c>
      <c r="B1272" s="122">
        <f>IFERROR(IF(DAY($A1272)=DAY('F-Ahorro Futuro Decimos'!$H$15),'F-Ahorro Futuro Decimos'!$H$14,0),0)</f>
        <v>0</v>
      </c>
      <c r="C1272" s="122">
        <f>IF(A1272='F-Ahorro Futuro Decimos'!$H$18,'F-Ahorro Futuro Decimos'!$H$20,0)</f>
        <v>0</v>
      </c>
      <c r="D1272" s="122">
        <f t="shared" si="19"/>
        <v>0</v>
      </c>
      <c r="E1272" s="121">
        <f>ROUND(D1272*'FR_Mantenimiento tasas'!$C$48/360,5)</f>
        <v>0</v>
      </c>
      <c r="F1272" s="121">
        <f>ROUND(D1272*'FR_Mantenimiento tasas'!$D$48/360,5)</f>
        <v>0</v>
      </c>
    </row>
    <row r="1273" spans="1:6">
      <c r="A1273" s="123">
        <f>IF(OR(A1272='F-Ahorro Futuro Decimos'!$H$16,A1272=""),"",IF(A1272+1&gt;'F-Ahorro Futuro Decimos'!$H$16,'F-Ahorro Futuro Decimos'!$H$16,A1272+1))</f>
        <v>1271</v>
      </c>
      <c r="B1273" s="122">
        <f>IFERROR(IF(DAY($A1273)=DAY('F-Ahorro Futuro Decimos'!$H$15),'F-Ahorro Futuro Decimos'!$H$14,0),0)</f>
        <v>0</v>
      </c>
      <c r="C1273" s="122">
        <f>IF(A1273='F-Ahorro Futuro Decimos'!$H$18,'F-Ahorro Futuro Decimos'!$H$20,0)</f>
        <v>0</v>
      </c>
      <c r="D1273" s="122">
        <f t="shared" si="19"/>
        <v>0</v>
      </c>
      <c r="E1273" s="121">
        <f>ROUND(D1273*'FR_Mantenimiento tasas'!$C$48/360,5)</f>
        <v>0</v>
      </c>
      <c r="F1273" s="121">
        <f>ROUND(D1273*'FR_Mantenimiento tasas'!$D$48/360,5)</f>
        <v>0</v>
      </c>
    </row>
    <row r="1274" spans="1:6">
      <c r="A1274" s="123">
        <f>IF(OR(A1273='F-Ahorro Futuro Decimos'!$H$16,A1273=""),"",IF(A1273+1&gt;'F-Ahorro Futuro Decimos'!$H$16,'F-Ahorro Futuro Decimos'!$H$16,A1273+1))</f>
        <v>1272</v>
      </c>
      <c r="B1274" s="122">
        <f>IFERROR(IF(DAY($A1274)=DAY('F-Ahorro Futuro Decimos'!$H$15),'F-Ahorro Futuro Decimos'!$H$14,0),0)</f>
        <v>0</v>
      </c>
      <c r="C1274" s="122">
        <f>IF(A1274='F-Ahorro Futuro Decimos'!$H$18,'F-Ahorro Futuro Decimos'!$H$20,0)</f>
        <v>0</v>
      </c>
      <c r="D1274" s="122">
        <f t="shared" si="19"/>
        <v>0</v>
      </c>
      <c r="E1274" s="121">
        <f>ROUND(D1274*'FR_Mantenimiento tasas'!$C$48/360,5)</f>
        <v>0</v>
      </c>
      <c r="F1274" s="121">
        <f>ROUND(D1274*'FR_Mantenimiento tasas'!$D$48/360,5)</f>
        <v>0</v>
      </c>
    </row>
    <row r="1275" spans="1:6">
      <c r="A1275" s="123">
        <f>IF(OR(A1274='F-Ahorro Futuro Decimos'!$H$16,A1274=""),"",IF(A1274+1&gt;'F-Ahorro Futuro Decimos'!$H$16,'F-Ahorro Futuro Decimos'!$H$16,A1274+1))</f>
        <v>1273</v>
      </c>
      <c r="B1275" s="122">
        <f>IFERROR(IF(DAY($A1275)=DAY('F-Ahorro Futuro Decimos'!$H$15),'F-Ahorro Futuro Decimos'!$H$14,0),0)</f>
        <v>0</v>
      </c>
      <c r="C1275" s="122">
        <f>IF(A1275='F-Ahorro Futuro Decimos'!$H$18,'F-Ahorro Futuro Decimos'!$H$20,0)</f>
        <v>0</v>
      </c>
      <c r="D1275" s="122">
        <f t="shared" si="19"/>
        <v>0</v>
      </c>
      <c r="E1275" s="121">
        <f>ROUND(D1275*'FR_Mantenimiento tasas'!$C$48/360,5)</f>
        <v>0</v>
      </c>
      <c r="F1275" s="121">
        <f>ROUND(D1275*'FR_Mantenimiento tasas'!$D$48/360,5)</f>
        <v>0</v>
      </c>
    </row>
    <row r="1276" spans="1:6">
      <c r="A1276" s="123">
        <f>IF(OR(A1275='F-Ahorro Futuro Decimos'!$H$16,A1275=""),"",IF(A1275+1&gt;'F-Ahorro Futuro Decimos'!$H$16,'F-Ahorro Futuro Decimos'!$H$16,A1275+1))</f>
        <v>1274</v>
      </c>
      <c r="B1276" s="122">
        <f>IFERROR(IF(DAY($A1276)=DAY('F-Ahorro Futuro Decimos'!$H$15),'F-Ahorro Futuro Decimos'!$H$14,0),0)</f>
        <v>0</v>
      </c>
      <c r="C1276" s="122">
        <f>IF(A1276='F-Ahorro Futuro Decimos'!$H$18,'F-Ahorro Futuro Decimos'!$H$20,0)</f>
        <v>0</v>
      </c>
      <c r="D1276" s="122">
        <f t="shared" si="19"/>
        <v>0</v>
      </c>
      <c r="E1276" s="121">
        <f>ROUND(D1276*'FR_Mantenimiento tasas'!$C$48/360,5)</f>
        <v>0</v>
      </c>
      <c r="F1276" s="121">
        <f>ROUND(D1276*'FR_Mantenimiento tasas'!$D$48/360,5)</f>
        <v>0</v>
      </c>
    </row>
    <row r="1277" spans="1:6">
      <c r="A1277" s="123">
        <f>IF(OR(A1276='F-Ahorro Futuro Decimos'!$H$16,A1276=""),"",IF(A1276+1&gt;'F-Ahorro Futuro Decimos'!$H$16,'F-Ahorro Futuro Decimos'!$H$16,A1276+1))</f>
        <v>1275</v>
      </c>
      <c r="B1277" s="122">
        <f>IFERROR(IF(DAY($A1277)=DAY('F-Ahorro Futuro Decimos'!$H$15),'F-Ahorro Futuro Decimos'!$H$14,0),0)</f>
        <v>0</v>
      </c>
      <c r="C1277" s="122">
        <f>IF(A1277='F-Ahorro Futuro Decimos'!$H$18,'F-Ahorro Futuro Decimos'!$H$20,0)</f>
        <v>0</v>
      </c>
      <c r="D1277" s="122">
        <f t="shared" si="19"/>
        <v>0</v>
      </c>
      <c r="E1277" s="121">
        <f>ROUND(D1277*'FR_Mantenimiento tasas'!$C$48/360,5)</f>
        <v>0</v>
      </c>
      <c r="F1277" s="121">
        <f>ROUND(D1277*'FR_Mantenimiento tasas'!$D$48/360,5)</f>
        <v>0</v>
      </c>
    </row>
    <row r="1278" spans="1:6">
      <c r="A1278" s="123">
        <f>IF(OR(A1277='F-Ahorro Futuro Decimos'!$H$16,A1277=""),"",IF(A1277+1&gt;'F-Ahorro Futuro Decimos'!$H$16,'F-Ahorro Futuro Decimos'!$H$16,A1277+1))</f>
        <v>1276</v>
      </c>
      <c r="B1278" s="122">
        <f>IFERROR(IF(DAY($A1278)=DAY('F-Ahorro Futuro Decimos'!$H$15),'F-Ahorro Futuro Decimos'!$H$14,0),0)</f>
        <v>0</v>
      </c>
      <c r="C1278" s="122">
        <f>IF(A1278='F-Ahorro Futuro Decimos'!$H$18,'F-Ahorro Futuro Decimos'!$H$20,0)</f>
        <v>0</v>
      </c>
      <c r="D1278" s="122">
        <f t="shared" si="19"/>
        <v>0</v>
      </c>
      <c r="E1278" s="121">
        <f>ROUND(D1278*'FR_Mantenimiento tasas'!$C$48/360,5)</f>
        <v>0</v>
      </c>
      <c r="F1278" s="121">
        <f>ROUND(D1278*'FR_Mantenimiento tasas'!$D$48/360,5)</f>
        <v>0</v>
      </c>
    </row>
    <row r="1279" spans="1:6">
      <c r="A1279" s="123">
        <f>IF(OR(A1278='F-Ahorro Futuro Decimos'!$H$16,A1278=""),"",IF(A1278+1&gt;'F-Ahorro Futuro Decimos'!$H$16,'F-Ahorro Futuro Decimos'!$H$16,A1278+1))</f>
        <v>1277</v>
      </c>
      <c r="B1279" s="122">
        <f>IFERROR(IF(DAY($A1279)=DAY('F-Ahorro Futuro Decimos'!$H$15),'F-Ahorro Futuro Decimos'!$H$14,0),0)</f>
        <v>0</v>
      </c>
      <c r="C1279" s="122">
        <f>IF(A1279='F-Ahorro Futuro Decimos'!$H$18,'F-Ahorro Futuro Decimos'!$H$20,0)</f>
        <v>0</v>
      </c>
      <c r="D1279" s="122">
        <f t="shared" si="19"/>
        <v>0</v>
      </c>
      <c r="E1279" s="121">
        <f>ROUND(D1279*'FR_Mantenimiento tasas'!$C$48/360,5)</f>
        <v>0</v>
      </c>
      <c r="F1279" s="121">
        <f>ROUND(D1279*'FR_Mantenimiento tasas'!$D$48/360,5)</f>
        <v>0</v>
      </c>
    </row>
    <row r="1280" spans="1:6">
      <c r="A1280" s="123">
        <f>IF(OR(A1279='F-Ahorro Futuro Decimos'!$H$16,A1279=""),"",IF(A1279+1&gt;'F-Ahorro Futuro Decimos'!$H$16,'F-Ahorro Futuro Decimos'!$H$16,A1279+1))</f>
        <v>1278</v>
      </c>
      <c r="B1280" s="122">
        <f>IFERROR(IF(DAY($A1280)=DAY('F-Ahorro Futuro Decimos'!$H$15),'F-Ahorro Futuro Decimos'!$H$14,0),0)</f>
        <v>0</v>
      </c>
      <c r="C1280" s="122">
        <f>IF(A1280='F-Ahorro Futuro Decimos'!$H$18,'F-Ahorro Futuro Decimos'!$H$20,0)</f>
        <v>0</v>
      </c>
      <c r="D1280" s="122">
        <f t="shared" si="19"/>
        <v>0</v>
      </c>
      <c r="E1280" s="121">
        <f>ROUND(D1280*'FR_Mantenimiento tasas'!$C$48/360,5)</f>
        <v>0</v>
      </c>
      <c r="F1280" s="121">
        <f>ROUND(D1280*'FR_Mantenimiento tasas'!$D$48/360,5)</f>
        <v>0</v>
      </c>
    </row>
    <row r="1281" spans="1:6">
      <c r="A1281" s="123">
        <f>IF(OR(A1280='F-Ahorro Futuro Decimos'!$H$16,A1280=""),"",IF(A1280+1&gt;'F-Ahorro Futuro Decimos'!$H$16,'F-Ahorro Futuro Decimos'!$H$16,A1280+1))</f>
        <v>1279</v>
      </c>
      <c r="B1281" s="122">
        <f>IFERROR(IF(DAY($A1281)=DAY('F-Ahorro Futuro Decimos'!$H$15),'F-Ahorro Futuro Decimos'!$H$14,0),0)</f>
        <v>0</v>
      </c>
      <c r="C1281" s="122">
        <f>IF(A1281='F-Ahorro Futuro Decimos'!$H$18,'F-Ahorro Futuro Decimos'!$H$20,0)</f>
        <v>0</v>
      </c>
      <c r="D1281" s="122">
        <f t="shared" si="19"/>
        <v>0</v>
      </c>
      <c r="E1281" s="121">
        <f>ROUND(D1281*'FR_Mantenimiento tasas'!$C$48/360,5)</f>
        <v>0</v>
      </c>
      <c r="F1281" s="121">
        <f>ROUND(D1281*'FR_Mantenimiento tasas'!$D$48/360,5)</f>
        <v>0</v>
      </c>
    </row>
    <row r="1282" spans="1:6">
      <c r="A1282" s="123">
        <f>IF(OR(A1281='F-Ahorro Futuro Decimos'!$H$16,A1281=""),"",IF(A1281+1&gt;'F-Ahorro Futuro Decimos'!$H$16,'F-Ahorro Futuro Decimos'!$H$16,A1281+1))</f>
        <v>1280</v>
      </c>
      <c r="B1282" s="122">
        <f>IFERROR(IF(DAY($A1282)=DAY('F-Ahorro Futuro Decimos'!$H$15),'F-Ahorro Futuro Decimos'!$H$14,0),0)</f>
        <v>0</v>
      </c>
      <c r="C1282" s="122">
        <f>IF(A1282='F-Ahorro Futuro Decimos'!$H$18,'F-Ahorro Futuro Decimos'!$H$20,0)</f>
        <v>0</v>
      </c>
      <c r="D1282" s="122">
        <f t="shared" si="19"/>
        <v>0</v>
      </c>
      <c r="E1282" s="121">
        <f>ROUND(D1282*'FR_Mantenimiento tasas'!$C$48/360,5)</f>
        <v>0</v>
      </c>
      <c r="F1282" s="121">
        <f>ROUND(D1282*'FR_Mantenimiento tasas'!$D$48/360,5)</f>
        <v>0</v>
      </c>
    </row>
    <row r="1283" spans="1:6">
      <c r="A1283" s="123">
        <f>IF(OR(A1282='F-Ahorro Futuro Decimos'!$H$16,A1282=""),"",IF(A1282+1&gt;'F-Ahorro Futuro Decimos'!$H$16,'F-Ahorro Futuro Decimos'!$H$16,A1282+1))</f>
        <v>1281</v>
      </c>
      <c r="B1283" s="122">
        <f>IFERROR(IF(DAY($A1283)=DAY('F-Ahorro Futuro Decimos'!$H$15),'F-Ahorro Futuro Decimos'!$H$14,0),0)</f>
        <v>0</v>
      </c>
      <c r="C1283" s="122">
        <f>IF(A1283='F-Ahorro Futuro Decimos'!$H$18,'F-Ahorro Futuro Decimos'!$H$20,0)</f>
        <v>0</v>
      </c>
      <c r="D1283" s="122">
        <f t="shared" si="19"/>
        <v>0</v>
      </c>
      <c r="E1283" s="121">
        <f>ROUND(D1283*'FR_Mantenimiento tasas'!$C$48/360,5)</f>
        <v>0</v>
      </c>
      <c r="F1283" s="121">
        <f>ROUND(D1283*'FR_Mantenimiento tasas'!$D$48/360,5)</f>
        <v>0</v>
      </c>
    </row>
    <row r="1284" spans="1:6">
      <c r="A1284" s="123">
        <f>IF(OR(A1283='F-Ahorro Futuro Decimos'!$H$16,A1283=""),"",IF(A1283+1&gt;'F-Ahorro Futuro Decimos'!$H$16,'F-Ahorro Futuro Decimos'!$H$16,A1283+1))</f>
        <v>1282</v>
      </c>
      <c r="B1284" s="122">
        <f>IFERROR(IF(DAY($A1284)=DAY('F-Ahorro Futuro Decimos'!$H$15),'F-Ahorro Futuro Decimos'!$H$14,0),0)</f>
        <v>0</v>
      </c>
      <c r="C1284" s="122">
        <f>IF(A1284='F-Ahorro Futuro Decimos'!$H$18,'F-Ahorro Futuro Decimos'!$H$20,0)</f>
        <v>0</v>
      </c>
      <c r="D1284" s="122">
        <f t="shared" ref="D1284:D1347" si="20">+B1284+D1283+E1283-C1284</f>
        <v>0</v>
      </c>
      <c r="E1284" s="121">
        <f>ROUND(D1284*'FR_Mantenimiento tasas'!$C$48/360,5)</f>
        <v>0</v>
      </c>
      <c r="F1284" s="121">
        <f>ROUND(D1284*'FR_Mantenimiento tasas'!$D$48/360,5)</f>
        <v>0</v>
      </c>
    </row>
    <row r="1285" spans="1:6">
      <c r="A1285" s="123">
        <f>IF(OR(A1284='F-Ahorro Futuro Decimos'!$H$16,A1284=""),"",IF(A1284+1&gt;'F-Ahorro Futuro Decimos'!$H$16,'F-Ahorro Futuro Decimos'!$H$16,A1284+1))</f>
        <v>1283</v>
      </c>
      <c r="B1285" s="122">
        <f>IFERROR(IF(DAY($A1285)=DAY('F-Ahorro Futuro Decimos'!$H$15),'F-Ahorro Futuro Decimos'!$H$14,0),0)</f>
        <v>0</v>
      </c>
      <c r="C1285" s="122">
        <f>IF(A1285='F-Ahorro Futuro Decimos'!$H$18,'F-Ahorro Futuro Decimos'!$H$20,0)</f>
        <v>0</v>
      </c>
      <c r="D1285" s="122">
        <f t="shared" si="20"/>
        <v>0</v>
      </c>
      <c r="E1285" s="121">
        <f>ROUND(D1285*'FR_Mantenimiento tasas'!$C$48/360,5)</f>
        <v>0</v>
      </c>
      <c r="F1285" s="121">
        <f>ROUND(D1285*'FR_Mantenimiento tasas'!$D$48/360,5)</f>
        <v>0</v>
      </c>
    </row>
    <row r="1286" spans="1:6">
      <c r="A1286" s="123">
        <f>IF(OR(A1285='F-Ahorro Futuro Decimos'!$H$16,A1285=""),"",IF(A1285+1&gt;'F-Ahorro Futuro Decimos'!$H$16,'F-Ahorro Futuro Decimos'!$H$16,A1285+1))</f>
        <v>1284</v>
      </c>
      <c r="B1286" s="122">
        <f>IFERROR(IF(DAY($A1286)=DAY('F-Ahorro Futuro Decimos'!$H$15),'F-Ahorro Futuro Decimos'!$H$14,0),0)</f>
        <v>0</v>
      </c>
      <c r="C1286" s="122">
        <f>IF(A1286='F-Ahorro Futuro Decimos'!$H$18,'F-Ahorro Futuro Decimos'!$H$20,0)</f>
        <v>0</v>
      </c>
      <c r="D1286" s="122">
        <f t="shared" si="20"/>
        <v>0</v>
      </c>
      <c r="E1286" s="121">
        <f>ROUND(D1286*'FR_Mantenimiento tasas'!$C$48/360,5)</f>
        <v>0</v>
      </c>
      <c r="F1286" s="121">
        <f>ROUND(D1286*'FR_Mantenimiento tasas'!$D$48/360,5)</f>
        <v>0</v>
      </c>
    </row>
    <row r="1287" spans="1:6">
      <c r="A1287" s="123">
        <f>IF(OR(A1286='F-Ahorro Futuro Decimos'!$H$16,A1286=""),"",IF(A1286+1&gt;'F-Ahorro Futuro Decimos'!$H$16,'F-Ahorro Futuro Decimos'!$H$16,A1286+1))</f>
        <v>1285</v>
      </c>
      <c r="B1287" s="122">
        <f>IFERROR(IF(DAY($A1287)=DAY('F-Ahorro Futuro Decimos'!$H$15),'F-Ahorro Futuro Decimos'!$H$14,0),0)</f>
        <v>0</v>
      </c>
      <c r="C1287" s="122">
        <f>IF(A1287='F-Ahorro Futuro Decimos'!$H$18,'F-Ahorro Futuro Decimos'!$H$20,0)</f>
        <v>0</v>
      </c>
      <c r="D1287" s="122">
        <f t="shared" si="20"/>
        <v>0</v>
      </c>
      <c r="E1287" s="121">
        <f>ROUND(D1287*'FR_Mantenimiento tasas'!$C$48/360,5)</f>
        <v>0</v>
      </c>
      <c r="F1287" s="121">
        <f>ROUND(D1287*'FR_Mantenimiento tasas'!$D$48/360,5)</f>
        <v>0</v>
      </c>
    </row>
    <row r="1288" spans="1:6">
      <c r="A1288" s="123">
        <f>IF(OR(A1287='F-Ahorro Futuro Decimos'!$H$16,A1287=""),"",IF(A1287+1&gt;'F-Ahorro Futuro Decimos'!$H$16,'F-Ahorro Futuro Decimos'!$H$16,A1287+1))</f>
        <v>1286</v>
      </c>
      <c r="B1288" s="122">
        <f>IFERROR(IF(DAY($A1288)=DAY('F-Ahorro Futuro Decimos'!$H$15),'F-Ahorro Futuro Decimos'!$H$14,0),0)</f>
        <v>0</v>
      </c>
      <c r="C1288" s="122">
        <f>IF(A1288='F-Ahorro Futuro Decimos'!$H$18,'F-Ahorro Futuro Decimos'!$H$20,0)</f>
        <v>0</v>
      </c>
      <c r="D1288" s="122">
        <f t="shared" si="20"/>
        <v>0</v>
      </c>
      <c r="E1288" s="121">
        <f>ROUND(D1288*'FR_Mantenimiento tasas'!$C$48/360,5)</f>
        <v>0</v>
      </c>
      <c r="F1288" s="121">
        <f>ROUND(D1288*'FR_Mantenimiento tasas'!$D$48/360,5)</f>
        <v>0</v>
      </c>
    </row>
    <row r="1289" spans="1:6">
      <c r="A1289" s="123">
        <f>IF(OR(A1288='F-Ahorro Futuro Decimos'!$H$16,A1288=""),"",IF(A1288+1&gt;'F-Ahorro Futuro Decimos'!$H$16,'F-Ahorro Futuro Decimos'!$H$16,A1288+1))</f>
        <v>1287</v>
      </c>
      <c r="B1289" s="122">
        <f>IFERROR(IF(DAY($A1289)=DAY('F-Ahorro Futuro Decimos'!$H$15),'F-Ahorro Futuro Decimos'!$H$14,0),0)</f>
        <v>0</v>
      </c>
      <c r="C1289" s="122">
        <f>IF(A1289='F-Ahorro Futuro Decimos'!$H$18,'F-Ahorro Futuro Decimos'!$H$20,0)</f>
        <v>0</v>
      </c>
      <c r="D1289" s="122">
        <f t="shared" si="20"/>
        <v>0</v>
      </c>
      <c r="E1289" s="121">
        <f>ROUND(D1289*'FR_Mantenimiento tasas'!$C$48/360,5)</f>
        <v>0</v>
      </c>
      <c r="F1289" s="121">
        <f>ROUND(D1289*'FR_Mantenimiento tasas'!$D$48/360,5)</f>
        <v>0</v>
      </c>
    </row>
    <row r="1290" spans="1:6">
      <c r="A1290" s="123">
        <f>IF(OR(A1289='F-Ahorro Futuro Decimos'!$H$16,A1289=""),"",IF(A1289+1&gt;'F-Ahorro Futuro Decimos'!$H$16,'F-Ahorro Futuro Decimos'!$H$16,A1289+1))</f>
        <v>1288</v>
      </c>
      <c r="B1290" s="122">
        <f>IFERROR(IF(DAY($A1290)=DAY('F-Ahorro Futuro Decimos'!$H$15),'F-Ahorro Futuro Decimos'!$H$14,0),0)</f>
        <v>0</v>
      </c>
      <c r="C1290" s="122">
        <f>IF(A1290='F-Ahorro Futuro Decimos'!$H$18,'F-Ahorro Futuro Decimos'!$H$20,0)</f>
        <v>0</v>
      </c>
      <c r="D1290" s="122">
        <f t="shared" si="20"/>
        <v>0</v>
      </c>
      <c r="E1290" s="121">
        <f>ROUND(D1290*'FR_Mantenimiento tasas'!$C$48/360,5)</f>
        <v>0</v>
      </c>
      <c r="F1290" s="121">
        <f>ROUND(D1290*'FR_Mantenimiento tasas'!$D$48/360,5)</f>
        <v>0</v>
      </c>
    </row>
    <row r="1291" spans="1:6">
      <c r="A1291" s="123">
        <f>IF(OR(A1290='F-Ahorro Futuro Decimos'!$H$16,A1290=""),"",IF(A1290+1&gt;'F-Ahorro Futuro Decimos'!$H$16,'F-Ahorro Futuro Decimos'!$H$16,A1290+1))</f>
        <v>1289</v>
      </c>
      <c r="B1291" s="122">
        <f>IFERROR(IF(DAY($A1291)=DAY('F-Ahorro Futuro Decimos'!$H$15),'F-Ahorro Futuro Decimos'!$H$14,0),0)</f>
        <v>0</v>
      </c>
      <c r="C1291" s="122">
        <f>IF(A1291='F-Ahorro Futuro Decimos'!$H$18,'F-Ahorro Futuro Decimos'!$H$20,0)</f>
        <v>0</v>
      </c>
      <c r="D1291" s="122">
        <f t="shared" si="20"/>
        <v>0</v>
      </c>
      <c r="E1291" s="121">
        <f>ROUND(D1291*'FR_Mantenimiento tasas'!$C$48/360,5)</f>
        <v>0</v>
      </c>
      <c r="F1291" s="121">
        <f>ROUND(D1291*'FR_Mantenimiento tasas'!$D$48/360,5)</f>
        <v>0</v>
      </c>
    </row>
    <row r="1292" spans="1:6">
      <c r="A1292" s="123">
        <f>IF(OR(A1291='F-Ahorro Futuro Decimos'!$H$16,A1291=""),"",IF(A1291+1&gt;'F-Ahorro Futuro Decimos'!$H$16,'F-Ahorro Futuro Decimos'!$H$16,A1291+1))</f>
        <v>1290</v>
      </c>
      <c r="B1292" s="122">
        <f>IFERROR(IF(DAY($A1292)=DAY('F-Ahorro Futuro Decimos'!$H$15),'F-Ahorro Futuro Decimos'!$H$14,0),0)</f>
        <v>0</v>
      </c>
      <c r="C1292" s="122">
        <f>IF(A1292='F-Ahorro Futuro Decimos'!$H$18,'F-Ahorro Futuro Decimos'!$H$20,0)</f>
        <v>0</v>
      </c>
      <c r="D1292" s="122">
        <f t="shared" si="20"/>
        <v>0</v>
      </c>
      <c r="E1292" s="121">
        <f>ROUND(D1292*'FR_Mantenimiento tasas'!$C$48/360,5)</f>
        <v>0</v>
      </c>
      <c r="F1292" s="121">
        <f>ROUND(D1292*'FR_Mantenimiento tasas'!$D$48/360,5)</f>
        <v>0</v>
      </c>
    </row>
    <row r="1293" spans="1:6">
      <c r="A1293" s="123">
        <f>IF(OR(A1292='F-Ahorro Futuro Decimos'!$H$16,A1292=""),"",IF(A1292+1&gt;'F-Ahorro Futuro Decimos'!$H$16,'F-Ahorro Futuro Decimos'!$H$16,A1292+1))</f>
        <v>1291</v>
      </c>
      <c r="B1293" s="122">
        <f>IFERROR(IF(DAY($A1293)=DAY('F-Ahorro Futuro Decimos'!$H$15),'F-Ahorro Futuro Decimos'!$H$14,0),0)</f>
        <v>0</v>
      </c>
      <c r="C1293" s="122">
        <f>IF(A1293='F-Ahorro Futuro Decimos'!$H$18,'F-Ahorro Futuro Decimos'!$H$20,0)</f>
        <v>0</v>
      </c>
      <c r="D1293" s="122">
        <f t="shared" si="20"/>
        <v>0</v>
      </c>
      <c r="E1293" s="121">
        <f>ROUND(D1293*'FR_Mantenimiento tasas'!$C$48/360,5)</f>
        <v>0</v>
      </c>
      <c r="F1293" s="121">
        <f>ROUND(D1293*'FR_Mantenimiento tasas'!$D$48/360,5)</f>
        <v>0</v>
      </c>
    </row>
    <row r="1294" spans="1:6">
      <c r="A1294" s="123">
        <f>IF(OR(A1293='F-Ahorro Futuro Decimos'!$H$16,A1293=""),"",IF(A1293+1&gt;'F-Ahorro Futuro Decimos'!$H$16,'F-Ahorro Futuro Decimos'!$H$16,A1293+1))</f>
        <v>1292</v>
      </c>
      <c r="B1294" s="122">
        <f>IFERROR(IF(DAY($A1294)=DAY('F-Ahorro Futuro Decimos'!$H$15),'F-Ahorro Futuro Decimos'!$H$14,0),0)</f>
        <v>0</v>
      </c>
      <c r="C1294" s="122">
        <f>IF(A1294='F-Ahorro Futuro Decimos'!$H$18,'F-Ahorro Futuro Decimos'!$H$20,0)</f>
        <v>0</v>
      </c>
      <c r="D1294" s="122">
        <f t="shared" si="20"/>
        <v>0</v>
      </c>
      <c r="E1294" s="121">
        <f>ROUND(D1294*'FR_Mantenimiento tasas'!$C$48/360,5)</f>
        <v>0</v>
      </c>
      <c r="F1294" s="121">
        <f>ROUND(D1294*'FR_Mantenimiento tasas'!$D$48/360,5)</f>
        <v>0</v>
      </c>
    </row>
    <row r="1295" spans="1:6">
      <c r="A1295" s="123">
        <f>IF(OR(A1294='F-Ahorro Futuro Decimos'!$H$16,A1294=""),"",IF(A1294+1&gt;'F-Ahorro Futuro Decimos'!$H$16,'F-Ahorro Futuro Decimos'!$H$16,A1294+1))</f>
        <v>1293</v>
      </c>
      <c r="B1295" s="122">
        <f>IFERROR(IF(DAY($A1295)=DAY('F-Ahorro Futuro Decimos'!$H$15),'F-Ahorro Futuro Decimos'!$H$14,0),0)</f>
        <v>0</v>
      </c>
      <c r="C1295" s="122">
        <f>IF(A1295='F-Ahorro Futuro Decimos'!$H$18,'F-Ahorro Futuro Decimos'!$H$20,0)</f>
        <v>0</v>
      </c>
      <c r="D1295" s="122">
        <f t="shared" si="20"/>
        <v>0</v>
      </c>
      <c r="E1295" s="121">
        <f>ROUND(D1295*'FR_Mantenimiento tasas'!$C$48/360,5)</f>
        <v>0</v>
      </c>
      <c r="F1295" s="121">
        <f>ROUND(D1295*'FR_Mantenimiento tasas'!$D$48/360,5)</f>
        <v>0</v>
      </c>
    </row>
    <row r="1296" spans="1:6">
      <c r="A1296" s="123">
        <f>IF(OR(A1295='F-Ahorro Futuro Decimos'!$H$16,A1295=""),"",IF(A1295+1&gt;'F-Ahorro Futuro Decimos'!$H$16,'F-Ahorro Futuro Decimos'!$H$16,A1295+1))</f>
        <v>1294</v>
      </c>
      <c r="B1296" s="122">
        <f>IFERROR(IF(DAY($A1296)=DAY('F-Ahorro Futuro Decimos'!$H$15),'F-Ahorro Futuro Decimos'!$H$14,0),0)</f>
        <v>0</v>
      </c>
      <c r="C1296" s="122">
        <f>IF(A1296='F-Ahorro Futuro Decimos'!$H$18,'F-Ahorro Futuro Decimos'!$H$20,0)</f>
        <v>0</v>
      </c>
      <c r="D1296" s="122">
        <f t="shared" si="20"/>
        <v>0</v>
      </c>
      <c r="E1296" s="121">
        <f>ROUND(D1296*'FR_Mantenimiento tasas'!$C$48/360,5)</f>
        <v>0</v>
      </c>
      <c r="F1296" s="121">
        <f>ROUND(D1296*'FR_Mantenimiento tasas'!$D$48/360,5)</f>
        <v>0</v>
      </c>
    </row>
    <row r="1297" spans="1:6">
      <c r="A1297" s="123">
        <f>IF(OR(A1296='F-Ahorro Futuro Decimos'!$H$16,A1296=""),"",IF(A1296+1&gt;'F-Ahorro Futuro Decimos'!$H$16,'F-Ahorro Futuro Decimos'!$H$16,A1296+1))</f>
        <v>1295</v>
      </c>
      <c r="B1297" s="122">
        <f>IFERROR(IF(DAY($A1297)=DAY('F-Ahorro Futuro Decimos'!$H$15),'F-Ahorro Futuro Decimos'!$H$14,0),0)</f>
        <v>0</v>
      </c>
      <c r="C1297" s="122">
        <f>IF(A1297='F-Ahorro Futuro Decimos'!$H$18,'F-Ahorro Futuro Decimos'!$H$20,0)</f>
        <v>0</v>
      </c>
      <c r="D1297" s="122">
        <f t="shared" si="20"/>
        <v>0</v>
      </c>
      <c r="E1297" s="121">
        <f>ROUND(D1297*'FR_Mantenimiento tasas'!$C$48/360,5)</f>
        <v>0</v>
      </c>
      <c r="F1297" s="121">
        <f>ROUND(D1297*'FR_Mantenimiento tasas'!$D$48/360,5)</f>
        <v>0</v>
      </c>
    </row>
    <row r="1298" spans="1:6">
      <c r="A1298" s="123">
        <f>IF(OR(A1297='F-Ahorro Futuro Decimos'!$H$16,A1297=""),"",IF(A1297+1&gt;'F-Ahorro Futuro Decimos'!$H$16,'F-Ahorro Futuro Decimos'!$H$16,A1297+1))</f>
        <v>1296</v>
      </c>
      <c r="B1298" s="122">
        <f>IFERROR(IF(DAY($A1298)=DAY('F-Ahorro Futuro Decimos'!$H$15),'F-Ahorro Futuro Decimos'!$H$14,0),0)</f>
        <v>0</v>
      </c>
      <c r="C1298" s="122">
        <f>IF(A1298='F-Ahorro Futuro Decimos'!$H$18,'F-Ahorro Futuro Decimos'!$H$20,0)</f>
        <v>0</v>
      </c>
      <c r="D1298" s="122">
        <f t="shared" si="20"/>
        <v>0</v>
      </c>
      <c r="E1298" s="121">
        <f>ROUND(D1298*'FR_Mantenimiento tasas'!$C$48/360,5)</f>
        <v>0</v>
      </c>
      <c r="F1298" s="121">
        <f>ROUND(D1298*'FR_Mantenimiento tasas'!$D$48/360,5)</f>
        <v>0</v>
      </c>
    </row>
    <row r="1299" spans="1:6">
      <c r="A1299" s="123">
        <f>IF(OR(A1298='F-Ahorro Futuro Decimos'!$H$16,A1298=""),"",IF(A1298+1&gt;'F-Ahorro Futuro Decimos'!$H$16,'F-Ahorro Futuro Decimos'!$H$16,A1298+1))</f>
        <v>1297</v>
      </c>
      <c r="B1299" s="122">
        <f>IFERROR(IF(DAY($A1299)=DAY('F-Ahorro Futuro Decimos'!$H$15),'F-Ahorro Futuro Decimos'!$H$14,0),0)</f>
        <v>0</v>
      </c>
      <c r="C1299" s="122">
        <f>IF(A1299='F-Ahorro Futuro Decimos'!$H$18,'F-Ahorro Futuro Decimos'!$H$20,0)</f>
        <v>0</v>
      </c>
      <c r="D1299" s="122">
        <f t="shared" si="20"/>
        <v>0</v>
      </c>
      <c r="E1299" s="121">
        <f>ROUND(D1299*'FR_Mantenimiento tasas'!$C$48/360,5)</f>
        <v>0</v>
      </c>
      <c r="F1299" s="121">
        <f>ROUND(D1299*'FR_Mantenimiento tasas'!$D$48/360,5)</f>
        <v>0</v>
      </c>
    </row>
    <row r="1300" spans="1:6">
      <c r="A1300" s="123">
        <f>IF(OR(A1299='F-Ahorro Futuro Decimos'!$H$16,A1299=""),"",IF(A1299+1&gt;'F-Ahorro Futuro Decimos'!$H$16,'F-Ahorro Futuro Decimos'!$H$16,A1299+1))</f>
        <v>1298</v>
      </c>
      <c r="B1300" s="122">
        <f>IFERROR(IF(DAY($A1300)=DAY('F-Ahorro Futuro Decimos'!$H$15),'F-Ahorro Futuro Decimos'!$H$14,0),0)</f>
        <v>0</v>
      </c>
      <c r="C1300" s="122">
        <f>IF(A1300='F-Ahorro Futuro Decimos'!$H$18,'F-Ahorro Futuro Decimos'!$H$20,0)</f>
        <v>0</v>
      </c>
      <c r="D1300" s="122">
        <f t="shared" si="20"/>
        <v>0</v>
      </c>
      <c r="E1300" s="121">
        <f>ROUND(D1300*'FR_Mantenimiento tasas'!$C$48/360,5)</f>
        <v>0</v>
      </c>
      <c r="F1300" s="121">
        <f>ROUND(D1300*'FR_Mantenimiento tasas'!$D$48/360,5)</f>
        <v>0</v>
      </c>
    </row>
    <row r="1301" spans="1:6">
      <c r="A1301" s="123">
        <f>IF(OR(A1300='F-Ahorro Futuro Decimos'!$H$16,A1300=""),"",IF(A1300+1&gt;'F-Ahorro Futuro Decimos'!$H$16,'F-Ahorro Futuro Decimos'!$H$16,A1300+1))</f>
        <v>1299</v>
      </c>
      <c r="B1301" s="122">
        <f>IFERROR(IF(DAY($A1301)=DAY('F-Ahorro Futuro Decimos'!$H$15),'F-Ahorro Futuro Decimos'!$H$14,0),0)</f>
        <v>0</v>
      </c>
      <c r="C1301" s="122">
        <f>IF(A1301='F-Ahorro Futuro Decimos'!$H$18,'F-Ahorro Futuro Decimos'!$H$20,0)</f>
        <v>0</v>
      </c>
      <c r="D1301" s="122">
        <f t="shared" si="20"/>
        <v>0</v>
      </c>
      <c r="E1301" s="121">
        <f>ROUND(D1301*'FR_Mantenimiento tasas'!$C$48/360,5)</f>
        <v>0</v>
      </c>
      <c r="F1301" s="121">
        <f>ROUND(D1301*'FR_Mantenimiento tasas'!$D$48/360,5)</f>
        <v>0</v>
      </c>
    </row>
    <row r="1302" spans="1:6">
      <c r="A1302" s="123">
        <f>IF(OR(A1301='F-Ahorro Futuro Decimos'!$H$16,A1301=""),"",IF(A1301+1&gt;'F-Ahorro Futuro Decimos'!$H$16,'F-Ahorro Futuro Decimos'!$H$16,A1301+1))</f>
        <v>1300</v>
      </c>
      <c r="B1302" s="122">
        <f>IFERROR(IF(DAY($A1302)=DAY('F-Ahorro Futuro Decimos'!$H$15),'F-Ahorro Futuro Decimos'!$H$14,0),0)</f>
        <v>0</v>
      </c>
      <c r="C1302" s="122">
        <f>IF(A1302='F-Ahorro Futuro Decimos'!$H$18,'F-Ahorro Futuro Decimos'!$H$20,0)</f>
        <v>0</v>
      </c>
      <c r="D1302" s="122">
        <f t="shared" si="20"/>
        <v>0</v>
      </c>
      <c r="E1302" s="121">
        <f>ROUND(D1302*'FR_Mantenimiento tasas'!$C$48/360,5)</f>
        <v>0</v>
      </c>
      <c r="F1302" s="121">
        <f>ROUND(D1302*'FR_Mantenimiento tasas'!$D$48/360,5)</f>
        <v>0</v>
      </c>
    </row>
    <row r="1303" spans="1:6">
      <c r="A1303" s="123">
        <f>IF(OR(A1302='F-Ahorro Futuro Decimos'!$H$16,A1302=""),"",IF(A1302+1&gt;'F-Ahorro Futuro Decimos'!$H$16,'F-Ahorro Futuro Decimos'!$H$16,A1302+1))</f>
        <v>1301</v>
      </c>
      <c r="B1303" s="122">
        <f>IFERROR(IF(DAY($A1303)=DAY('F-Ahorro Futuro Decimos'!$H$15),'F-Ahorro Futuro Decimos'!$H$14,0),0)</f>
        <v>0</v>
      </c>
      <c r="C1303" s="122">
        <f>IF(A1303='F-Ahorro Futuro Decimos'!$H$18,'F-Ahorro Futuro Decimos'!$H$20,0)</f>
        <v>0</v>
      </c>
      <c r="D1303" s="122">
        <f t="shared" si="20"/>
        <v>0</v>
      </c>
      <c r="E1303" s="121">
        <f>ROUND(D1303*'FR_Mantenimiento tasas'!$C$48/360,5)</f>
        <v>0</v>
      </c>
      <c r="F1303" s="121">
        <f>ROUND(D1303*'FR_Mantenimiento tasas'!$D$48/360,5)</f>
        <v>0</v>
      </c>
    </row>
    <row r="1304" spans="1:6">
      <c r="A1304" s="123">
        <f>IF(OR(A1303='F-Ahorro Futuro Decimos'!$H$16,A1303=""),"",IF(A1303+1&gt;'F-Ahorro Futuro Decimos'!$H$16,'F-Ahorro Futuro Decimos'!$H$16,A1303+1))</f>
        <v>1302</v>
      </c>
      <c r="B1304" s="122">
        <f>IFERROR(IF(DAY($A1304)=DAY('F-Ahorro Futuro Decimos'!$H$15),'F-Ahorro Futuro Decimos'!$H$14,0),0)</f>
        <v>0</v>
      </c>
      <c r="C1304" s="122">
        <f>IF(A1304='F-Ahorro Futuro Decimos'!$H$18,'F-Ahorro Futuro Decimos'!$H$20,0)</f>
        <v>0</v>
      </c>
      <c r="D1304" s="122">
        <f t="shared" si="20"/>
        <v>0</v>
      </c>
      <c r="E1304" s="121">
        <f>ROUND(D1304*'FR_Mantenimiento tasas'!$C$48/360,5)</f>
        <v>0</v>
      </c>
      <c r="F1304" s="121">
        <f>ROUND(D1304*'FR_Mantenimiento tasas'!$D$48/360,5)</f>
        <v>0</v>
      </c>
    </row>
    <row r="1305" spans="1:6">
      <c r="A1305" s="123">
        <f>IF(OR(A1304='F-Ahorro Futuro Decimos'!$H$16,A1304=""),"",IF(A1304+1&gt;'F-Ahorro Futuro Decimos'!$H$16,'F-Ahorro Futuro Decimos'!$H$16,A1304+1))</f>
        <v>1303</v>
      </c>
      <c r="B1305" s="122">
        <f>IFERROR(IF(DAY($A1305)=DAY('F-Ahorro Futuro Decimos'!$H$15),'F-Ahorro Futuro Decimos'!$H$14,0),0)</f>
        <v>0</v>
      </c>
      <c r="C1305" s="122">
        <f>IF(A1305='F-Ahorro Futuro Decimos'!$H$18,'F-Ahorro Futuro Decimos'!$H$20,0)</f>
        <v>0</v>
      </c>
      <c r="D1305" s="122">
        <f t="shared" si="20"/>
        <v>0</v>
      </c>
      <c r="E1305" s="121">
        <f>ROUND(D1305*'FR_Mantenimiento tasas'!$C$48/360,5)</f>
        <v>0</v>
      </c>
      <c r="F1305" s="121">
        <f>ROUND(D1305*'FR_Mantenimiento tasas'!$D$48/360,5)</f>
        <v>0</v>
      </c>
    </row>
    <row r="1306" spans="1:6">
      <c r="A1306" s="123">
        <f>IF(OR(A1305='F-Ahorro Futuro Decimos'!$H$16,A1305=""),"",IF(A1305+1&gt;'F-Ahorro Futuro Decimos'!$H$16,'F-Ahorro Futuro Decimos'!$H$16,A1305+1))</f>
        <v>1304</v>
      </c>
      <c r="B1306" s="122">
        <f>IFERROR(IF(DAY($A1306)=DAY('F-Ahorro Futuro Decimos'!$H$15),'F-Ahorro Futuro Decimos'!$H$14,0),0)</f>
        <v>0</v>
      </c>
      <c r="C1306" s="122">
        <f>IF(A1306='F-Ahorro Futuro Decimos'!$H$18,'F-Ahorro Futuro Decimos'!$H$20,0)</f>
        <v>0</v>
      </c>
      <c r="D1306" s="122">
        <f t="shared" si="20"/>
        <v>0</v>
      </c>
      <c r="E1306" s="121">
        <f>ROUND(D1306*'FR_Mantenimiento tasas'!$C$48/360,5)</f>
        <v>0</v>
      </c>
      <c r="F1306" s="121">
        <f>ROUND(D1306*'FR_Mantenimiento tasas'!$D$48/360,5)</f>
        <v>0</v>
      </c>
    </row>
    <row r="1307" spans="1:6">
      <c r="A1307" s="123">
        <f>IF(OR(A1306='F-Ahorro Futuro Decimos'!$H$16,A1306=""),"",IF(A1306+1&gt;'F-Ahorro Futuro Decimos'!$H$16,'F-Ahorro Futuro Decimos'!$H$16,A1306+1))</f>
        <v>1305</v>
      </c>
      <c r="B1307" s="122">
        <f>IFERROR(IF(DAY($A1307)=DAY('F-Ahorro Futuro Decimos'!$H$15),'F-Ahorro Futuro Decimos'!$H$14,0),0)</f>
        <v>0</v>
      </c>
      <c r="C1307" s="122">
        <f>IF(A1307='F-Ahorro Futuro Decimos'!$H$18,'F-Ahorro Futuro Decimos'!$H$20,0)</f>
        <v>0</v>
      </c>
      <c r="D1307" s="122">
        <f t="shared" si="20"/>
        <v>0</v>
      </c>
      <c r="E1307" s="121">
        <f>ROUND(D1307*'FR_Mantenimiento tasas'!$C$48/360,5)</f>
        <v>0</v>
      </c>
      <c r="F1307" s="121">
        <f>ROUND(D1307*'FR_Mantenimiento tasas'!$D$48/360,5)</f>
        <v>0</v>
      </c>
    </row>
    <row r="1308" spans="1:6">
      <c r="A1308" s="123">
        <f>IF(OR(A1307='F-Ahorro Futuro Decimos'!$H$16,A1307=""),"",IF(A1307+1&gt;'F-Ahorro Futuro Decimos'!$H$16,'F-Ahorro Futuro Decimos'!$H$16,A1307+1))</f>
        <v>1306</v>
      </c>
      <c r="B1308" s="122">
        <f>IFERROR(IF(DAY($A1308)=DAY('F-Ahorro Futuro Decimos'!$H$15),'F-Ahorro Futuro Decimos'!$H$14,0),0)</f>
        <v>0</v>
      </c>
      <c r="C1308" s="122">
        <f>IF(A1308='F-Ahorro Futuro Decimos'!$H$18,'F-Ahorro Futuro Decimos'!$H$20,0)</f>
        <v>0</v>
      </c>
      <c r="D1308" s="122">
        <f t="shared" si="20"/>
        <v>0</v>
      </c>
      <c r="E1308" s="121">
        <f>ROUND(D1308*'FR_Mantenimiento tasas'!$C$48/360,5)</f>
        <v>0</v>
      </c>
      <c r="F1308" s="121">
        <f>ROUND(D1308*'FR_Mantenimiento tasas'!$D$48/360,5)</f>
        <v>0</v>
      </c>
    </row>
    <row r="1309" spans="1:6">
      <c r="A1309" s="123">
        <f>IF(OR(A1308='F-Ahorro Futuro Decimos'!$H$16,A1308=""),"",IF(A1308+1&gt;'F-Ahorro Futuro Decimos'!$H$16,'F-Ahorro Futuro Decimos'!$H$16,A1308+1))</f>
        <v>1307</v>
      </c>
      <c r="B1309" s="122">
        <f>IFERROR(IF(DAY($A1309)=DAY('F-Ahorro Futuro Decimos'!$H$15),'F-Ahorro Futuro Decimos'!$H$14,0),0)</f>
        <v>0</v>
      </c>
      <c r="C1309" s="122">
        <f>IF(A1309='F-Ahorro Futuro Decimos'!$H$18,'F-Ahorro Futuro Decimos'!$H$20,0)</f>
        <v>0</v>
      </c>
      <c r="D1309" s="122">
        <f t="shared" si="20"/>
        <v>0</v>
      </c>
      <c r="E1309" s="121">
        <f>ROUND(D1309*'FR_Mantenimiento tasas'!$C$48/360,5)</f>
        <v>0</v>
      </c>
      <c r="F1309" s="121">
        <f>ROUND(D1309*'FR_Mantenimiento tasas'!$D$48/360,5)</f>
        <v>0</v>
      </c>
    </row>
    <row r="1310" spans="1:6">
      <c r="A1310" s="123">
        <f>IF(OR(A1309='F-Ahorro Futuro Decimos'!$H$16,A1309=""),"",IF(A1309+1&gt;'F-Ahorro Futuro Decimos'!$H$16,'F-Ahorro Futuro Decimos'!$H$16,A1309+1))</f>
        <v>1308</v>
      </c>
      <c r="B1310" s="122">
        <f>IFERROR(IF(DAY($A1310)=DAY('F-Ahorro Futuro Decimos'!$H$15),'F-Ahorro Futuro Decimos'!$H$14,0),0)</f>
        <v>0</v>
      </c>
      <c r="C1310" s="122">
        <f>IF(A1310='F-Ahorro Futuro Decimos'!$H$18,'F-Ahorro Futuro Decimos'!$H$20,0)</f>
        <v>0</v>
      </c>
      <c r="D1310" s="122">
        <f t="shared" si="20"/>
        <v>0</v>
      </c>
      <c r="E1310" s="121">
        <f>ROUND(D1310*'FR_Mantenimiento tasas'!$C$48/360,5)</f>
        <v>0</v>
      </c>
      <c r="F1310" s="121">
        <f>ROUND(D1310*'FR_Mantenimiento tasas'!$D$48/360,5)</f>
        <v>0</v>
      </c>
    </row>
    <row r="1311" spans="1:6">
      <c r="A1311" s="123">
        <f>IF(OR(A1310='F-Ahorro Futuro Decimos'!$H$16,A1310=""),"",IF(A1310+1&gt;'F-Ahorro Futuro Decimos'!$H$16,'F-Ahorro Futuro Decimos'!$H$16,A1310+1))</f>
        <v>1309</v>
      </c>
      <c r="B1311" s="122">
        <f>IFERROR(IF(DAY($A1311)=DAY('F-Ahorro Futuro Decimos'!$H$15),'F-Ahorro Futuro Decimos'!$H$14,0),0)</f>
        <v>0</v>
      </c>
      <c r="C1311" s="122">
        <f>IF(A1311='F-Ahorro Futuro Decimos'!$H$18,'F-Ahorro Futuro Decimos'!$H$20,0)</f>
        <v>0</v>
      </c>
      <c r="D1311" s="122">
        <f t="shared" si="20"/>
        <v>0</v>
      </c>
      <c r="E1311" s="121">
        <f>ROUND(D1311*'FR_Mantenimiento tasas'!$C$48/360,5)</f>
        <v>0</v>
      </c>
      <c r="F1311" s="121">
        <f>ROUND(D1311*'FR_Mantenimiento tasas'!$D$48/360,5)</f>
        <v>0</v>
      </c>
    </row>
    <row r="1312" spans="1:6">
      <c r="A1312" s="123">
        <f>IF(OR(A1311='F-Ahorro Futuro Decimos'!$H$16,A1311=""),"",IF(A1311+1&gt;'F-Ahorro Futuro Decimos'!$H$16,'F-Ahorro Futuro Decimos'!$H$16,A1311+1))</f>
        <v>1310</v>
      </c>
      <c r="B1312" s="122">
        <f>IFERROR(IF(DAY($A1312)=DAY('F-Ahorro Futuro Decimos'!$H$15),'F-Ahorro Futuro Decimos'!$H$14,0),0)</f>
        <v>0</v>
      </c>
      <c r="C1312" s="122">
        <f>IF(A1312='F-Ahorro Futuro Decimos'!$H$18,'F-Ahorro Futuro Decimos'!$H$20,0)</f>
        <v>0</v>
      </c>
      <c r="D1312" s="122">
        <f t="shared" si="20"/>
        <v>0</v>
      </c>
      <c r="E1312" s="121">
        <f>ROUND(D1312*'FR_Mantenimiento tasas'!$C$48/360,5)</f>
        <v>0</v>
      </c>
      <c r="F1312" s="121">
        <f>ROUND(D1312*'FR_Mantenimiento tasas'!$D$48/360,5)</f>
        <v>0</v>
      </c>
    </row>
    <row r="1313" spans="1:6">
      <c r="A1313" s="123">
        <f>IF(OR(A1312='F-Ahorro Futuro Decimos'!$H$16,A1312=""),"",IF(A1312+1&gt;'F-Ahorro Futuro Decimos'!$H$16,'F-Ahorro Futuro Decimos'!$H$16,A1312+1))</f>
        <v>1311</v>
      </c>
      <c r="B1313" s="122">
        <f>IFERROR(IF(DAY($A1313)=DAY('F-Ahorro Futuro Decimos'!$H$15),'F-Ahorro Futuro Decimos'!$H$14,0),0)</f>
        <v>0</v>
      </c>
      <c r="C1313" s="122">
        <f>IF(A1313='F-Ahorro Futuro Decimos'!$H$18,'F-Ahorro Futuro Decimos'!$H$20,0)</f>
        <v>0</v>
      </c>
      <c r="D1313" s="122">
        <f t="shared" si="20"/>
        <v>0</v>
      </c>
      <c r="E1313" s="121">
        <f>ROUND(D1313*'FR_Mantenimiento tasas'!$C$48/360,5)</f>
        <v>0</v>
      </c>
      <c r="F1313" s="121">
        <f>ROUND(D1313*'FR_Mantenimiento tasas'!$D$48/360,5)</f>
        <v>0</v>
      </c>
    </row>
    <row r="1314" spans="1:6">
      <c r="A1314" s="123">
        <f>IF(OR(A1313='F-Ahorro Futuro Decimos'!$H$16,A1313=""),"",IF(A1313+1&gt;'F-Ahorro Futuro Decimos'!$H$16,'F-Ahorro Futuro Decimos'!$H$16,A1313+1))</f>
        <v>1312</v>
      </c>
      <c r="B1314" s="122">
        <f>IFERROR(IF(DAY($A1314)=DAY('F-Ahorro Futuro Decimos'!$H$15),'F-Ahorro Futuro Decimos'!$H$14,0),0)</f>
        <v>0</v>
      </c>
      <c r="C1314" s="122">
        <f>IF(A1314='F-Ahorro Futuro Decimos'!$H$18,'F-Ahorro Futuro Decimos'!$H$20,0)</f>
        <v>0</v>
      </c>
      <c r="D1314" s="122">
        <f t="shared" si="20"/>
        <v>0</v>
      </c>
      <c r="E1314" s="121">
        <f>ROUND(D1314*'FR_Mantenimiento tasas'!$C$48/360,5)</f>
        <v>0</v>
      </c>
      <c r="F1314" s="121">
        <f>ROUND(D1314*'FR_Mantenimiento tasas'!$D$48/360,5)</f>
        <v>0</v>
      </c>
    </row>
    <row r="1315" spans="1:6">
      <c r="A1315" s="123">
        <f>IF(OR(A1314='F-Ahorro Futuro Decimos'!$H$16,A1314=""),"",IF(A1314+1&gt;'F-Ahorro Futuro Decimos'!$H$16,'F-Ahorro Futuro Decimos'!$H$16,A1314+1))</f>
        <v>1313</v>
      </c>
      <c r="B1315" s="122">
        <f>IFERROR(IF(DAY($A1315)=DAY('F-Ahorro Futuro Decimos'!$H$15),'F-Ahorro Futuro Decimos'!$H$14,0),0)</f>
        <v>0</v>
      </c>
      <c r="C1315" s="122">
        <f>IF(A1315='F-Ahorro Futuro Decimos'!$H$18,'F-Ahorro Futuro Decimos'!$H$20,0)</f>
        <v>0</v>
      </c>
      <c r="D1315" s="122">
        <f t="shared" si="20"/>
        <v>0</v>
      </c>
      <c r="E1315" s="121">
        <f>ROUND(D1315*'FR_Mantenimiento tasas'!$C$48/360,5)</f>
        <v>0</v>
      </c>
      <c r="F1315" s="121">
        <f>ROUND(D1315*'FR_Mantenimiento tasas'!$D$48/360,5)</f>
        <v>0</v>
      </c>
    </row>
    <row r="1316" spans="1:6">
      <c r="A1316" s="123">
        <f>IF(OR(A1315='F-Ahorro Futuro Decimos'!$H$16,A1315=""),"",IF(A1315+1&gt;'F-Ahorro Futuro Decimos'!$H$16,'F-Ahorro Futuro Decimos'!$H$16,A1315+1))</f>
        <v>1314</v>
      </c>
      <c r="B1316" s="122">
        <f>IFERROR(IF(DAY($A1316)=DAY('F-Ahorro Futuro Decimos'!$H$15),'F-Ahorro Futuro Decimos'!$H$14,0),0)</f>
        <v>0</v>
      </c>
      <c r="C1316" s="122">
        <f>IF(A1316='F-Ahorro Futuro Decimos'!$H$18,'F-Ahorro Futuro Decimos'!$H$20,0)</f>
        <v>0</v>
      </c>
      <c r="D1316" s="122">
        <f t="shared" si="20"/>
        <v>0</v>
      </c>
      <c r="E1316" s="121">
        <f>ROUND(D1316*'FR_Mantenimiento tasas'!$C$48/360,5)</f>
        <v>0</v>
      </c>
      <c r="F1316" s="121">
        <f>ROUND(D1316*'FR_Mantenimiento tasas'!$D$48/360,5)</f>
        <v>0</v>
      </c>
    </row>
    <row r="1317" spans="1:6">
      <c r="A1317" s="123">
        <f>IF(OR(A1316='F-Ahorro Futuro Decimos'!$H$16,A1316=""),"",IF(A1316+1&gt;'F-Ahorro Futuro Decimos'!$H$16,'F-Ahorro Futuro Decimos'!$H$16,A1316+1))</f>
        <v>1315</v>
      </c>
      <c r="B1317" s="122">
        <f>IFERROR(IF(DAY($A1317)=DAY('F-Ahorro Futuro Decimos'!$H$15),'F-Ahorro Futuro Decimos'!$H$14,0),0)</f>
        <v>0</v>
      </c>
      <c r="C1317" s="122">
        <f>IF(A1317='F-Ahorro Futuro Decimos'!$H$18,'F-Ahorro Futuro Decimos'!$H$20,0)</f>
        <v>0</v>
      </c>
      <c r="D1317" s="122">
        <f t="shared" si="20"/>
        <v>0</v>
      </c>
      <c r="E1317" s="121">
        <f>ROUND(D1317*'FR_Mantenimiento tasas'!$C$48/360,5)</f>
        <v>0</v>
      </c>
      <c r="F1317" s="121">
        <f>ROUND(D1317*'FR_Mantenimiento tasas'!$D$48/360,5)</f>
        <v>0</v>
      </c>
    </row>
    <row r="1318" spans="1:6">
      <c r="A1318" s="123">
        <f>IF(OR(A1317='F-Ahorro Futuro Decimos'!$H$16,A1317=""),"",IF(A1317+1&gt;'F-Ahorro Futuro Decimos'!$H$16,'F-Ahorro Futuro Decimos'!$H$16,A1317+1))</f>
        <v>1316</v>
      </c>
      <c r="B1318" s="122">
        <f>IFERROR(IF(DAY($A1318)=DAY('F-Ahorro Futuro Decimos'!$H$15),'F-Ahorro Futuro Decimos'!$H$14,0),0)</f>
        <v>0</v>
      </c>
      <c r="C1318" s="122">
        <f>IF(A1318='F-Ahorro Futuro Decimos'!$H$18,'F-Ahorro Futuro Decimos'!$H$20,0)</f>
        <v>0</v>
      </c>
      <c r="D1318" s="122">
        <f t="shared" si="20"/>
        <v>0</v>
      </c>
      <c r="E1318" s="121">
        <f>ROUND(D1318*'FR_Mantenimiento tasas'!$C$48/360,5)</f>
        <v>0</v>
      </c>
      <c r="F1318" s="121">
        <f>ROUND(D1318*'FR_Mantenimiento tasas'!$D$48/360,5)</f>
        <v>0</v>
      </c>
    </row>
    <row r="1319" spans="1:6">
      <c r="A1319" s="123">
        <f>IF(OR(A1318='F-Ahorro Futuro Decimos'!$H$16,A1318=""),"",IF(A1318+1&gt;'F-Ahorro Futuro Decimos'!$H$16,'F-Ahorro Futuro Decimos'!$H$16,A1318+1))</f>
        <v>1317</v>
      </c>
      <c r="B1319" s="122">
        <f>IFERROR(IF(DAY($A1319)=DAY('F-Ahorro Futuro Decimos'!$H$15),'F-Ahorro Futuro Decimos'!$H$14,0),0)</f>
        <v>0</v>
      </c>
      <c r="C1319" s="122">
        <f>IF(A1319='F-Ahorro Futuro Decimos'!$H$18,'F-Ahorro Futuro Decimos'!$H$20,0)</f>
        <v>0</v>
      </c>
      <c r="D1319" s="122">
        <f t="shared" si="20"/>
        <v>0</v>
      </c>
      <c r="E1319" s="121">
        <f>ROUND(D1319*'FR_Mantenimiento tasas'!$C$48/360,5)</f>
        <v>0</v>
      </c>
      <c r="F1319" s="121">
        <f>ROUND(D1319*'FR_Mantenimiento tasas'!$D$48/360,5)</f>
        <v>0</v>
      </c>
    </row>
    <row r="1320" spans="1:6">
      <c r="A1320" s="123">
        <f>IF(OR(A1319='F-Ahorro Futuro Decimos'!$H$16,A1319=""),"",IF(A1319+1&gt;'F-Ahorro Futuro Decimos'!$H$16,'F-Ahorro Futuro Decimos'!$H$16,A1319+1))</f>
        <v>1318</v>
      </c>
      <c r="B1320" s="122">
        <f>IFERROR(IF(DAY($A1320)=DAY('F-Ahorro Futuro Decimos'!$H$15),'F-Ahorro Futuro Decimos'!$H$14,0),0)</f>
        <v>0</v>
      </c>
      <c r="C1320" s="122">
        <f>IF(A1320='F-Ahorro Futuro Decimos'!$H$18,'F-Ahorro Futuro Decimos'!$H$20,0)</f>
        <v>0</v>
      </c>
      <c r="D1320" s="122">
        <f t="shared" si="20"/>
        <v>0</v>
      </c>
      <c r="E1320" s="121">
        <f>ROUND(D1320*'FR_Mantenimiento tasas'!$C$48/360,5)</f>
        <v>0</v>
      </c>
      <c r="F1320" s="121">
        <f>ROUND(D1320*'FR_Mantenimiento tasas'!$D$48/360,5)</f>
        <v>0</v>
      </c>
    </row>
    <row r="1321" spans="1:6">
      <c r="A1321" s="123">
        <f>IF(OR(A1320='F-Ahorro Futuro Decimos'!$H$16,A1320=""),"",IF(A1320+1&gt;'F-Ahorro Futuro Decimos'!$H$16,'F-Ahorro Futuro Decimos'!$H$16,A1320+1))</f>
        <v>1319</v>
      </c>
      <c r="B1321" s="122">
        <f>IFERROR(IF(DAY($A1321)=DAY('F-Ahorro Futuro Decimos'!$H$15),'F-Ahorro Futuro Decimos'!$H$14,0),0)</f>
        <v>0</v>
      </c>
      <c r="C1321" s="122">
        <f>IF(A1321='F-Ahorro Futuro Decimos'!$H$18,'F-Ahorro Futuro Decimos'!$H$20,0)</f>
        <v>0</v>
      </c>
      <c r="D1321" s="122">
        <f t="shared" si="20"/>
        <v>0</v>
      </c>
      <c r="E1321" s="121">
        <f>ROUND(D1321*'FR_Mantenimiento tasas'!$C$48/360,5)</f>
        <v>0</v>
      </c>
      <c r="F1321" s="121">
        <f>ROUND(D1321*'FR_Mantenimiento tasas'!$D$48/360,5)</f>
        <v>0</v>
      </c>
    </row>
    <row r="1322" spans="1:6">
      <c r="A1322" s="123">
        <f>IF(OR(A1321='F-Ahorro Futuro Decimos'!$H$16,A1321=""),"",IF(A1321+1&gt;'F-Ahorro Futuro Decimos'!$H$16,'F-Ahorro Futuro Decimos'!$H$16,A1321+1))</f>
        <v>1320</v>
      </c>
      <c r="B1322" s="122">
        <f>IFERROR(IF(DAY($A1322)=DAY('F-Ahorro Futuro Decimos'!$H$15),'F-Ahorro Futuro Decimos'!$H$14,0),0)</f>
        <v>0</v>
      </c>
      <c r="C1322" s="122">
        <f>IF(A1322='F-Ahorro Futuro Decimos'!$H$18,'F-Ahorro Futuro Decimos'!$H$20,0)</f>
        <v>0</v>
      </c>
      <c r="D1322" s="122">
        <f t="shared" si="20"/>
        <v>0</v>
      </c>
      <c r="E1322" s="121">
        <f>ROUND(D1322*'FR_Mantenimiento tasas'!$C$48/360,5)</f>
        <v>0</v>
      </c>
      <c r="F1322" s="121">
        <f>ROUND(D1322*'FR_Mantenimiento tasas'!$D$48/360,5)</f>
        <v>0</v>
      </c>
    </row>
    <row r="1323" spans="1:6">
      <c r="A1323" s="123">
        <f>IF(OR(A1322='F-Ahorro Futuro Decimos'!$H$16,A1322=""),"",IF(A1322+1&gt;'F-Ahorro Futuro Decimos'!$H$16,'F-Ahorro Futuro Decimos'!$H$16,A1322+1))</f>
        <v>1321</v>
      </c>
      <c r="B1323" s="122">
        <f>IFERROR(IF(DAY($A1323)=DAY('F-Ahorro Futuro Decimos'!$H$15),'F-Ahorro Futuro Decimos'!$H$14,0),0)</f>
        <v>0</v>
      </c>
      <c r="C1323" s="122">
        <f>IF(A1323='F-Ahorro Futuro Decimos'!$H$18,'F-Ahorro Futuro Decimos'!$H$20,0)</f>
        <v>0</v>
      </c>
      <c r="D1323" s="122">
        <f t="shared" si="20"/>
        <v>0</v>
      </c>
      <c r="E1323" s="121">
        <f>ROUND(D1323*'FR_Mantenimiento tasas'!$C$48/360,5)</f>
        <v>0</v>
      </c>
      <c r="F1323" s="121">
        <f>ROUND(D1323*'FR_Mantenimiento tasas'!$D$48/360,5)</f>
        <v>0</v>
      </c>
    </row>
    <row r="1324" spans="1:6">
      <c r="A1324" s="123">
        <f>IF(OR(A1323='F-Ahorro Futuro Decimos'!$H$16,A1323=""),"",IF(A1323+1&gt;'F-Ahorro Futuro Decimos'!$H$16,'F-Ahorro Futuro Decimos'!$H$16,A1323+1))</f>
        <v>1322</v>
      </c>
      <c r="B1324" s="122">
        <f>IFERROR(IF(DAY($A1324)=DAY('F-Ahorro Futuro Decimos'!$H$15),'F-Ahorro Futuro Decimos'!$H$14,0),0)</f>
        <v>0</v>
      </c>
      <c r="C1324" s="122">
        <f>IF(A1324='F-Ahorro Futuro Decimos'!$H$18,'F-Ahorro Futuro Decimos'!$H$20,0)</f>
        <v>0</v>
      </c>
      <c r="D1324" s="122">
        <f t="shared" si="20"/>
        <v>0</v>
      </c>
      <c r="E1324" s="121">
        <f>ROUND(D1324*'FR_Mantenimiento tasas'!$C$48/360,5)</f>
        <v>0</v>
      </c>
      <c r="F1324" s="121">
        <f>ROUND(D1324*'FR_Mantenimiento tasas'!$D$48/360,5)</f>
        <v>0</v>
      </c>
    </row>
    <row r="1325" spans="1:6">
      <c r="A1325" s="123">
        <f>IF(OR(A1324='F-Ahorro Futuro Decimos'!$H$16,A1324=""),"",IF(A1324+1&gt;'F-Ahorro Futuro Decimos'!$H$16,'F-Ahorro Futuro Decimos'!$H$16,A1324+1))</f>
        <v>1323</v>
      </c>
      <c r="B1325" s="122">
        <f>IFERROR(IF(DAY($A1325)=DAY('F-Ahorro Futuro Decimos'!$H$15),'F-Ahorro Futuro Decimos'!$H$14,0),0)</f>
        <v>0</v>
      </c>
      <c r="C1325" s="122">
        <f>IF(A1325='F-Ahorro Futuro Decimos'!$H$18,'F-Ahorro Futuro Decimos'!$H$20,0)</f>
        <v>0</v>
      </c>
      <c r="D1325" s="122">
        <f t="shared" si="20"/>
        <v>0</v>
      </c>
      <c r="E1325" s="121">
        <f>ROUND(D1325*'FR_Mantenimiento tasas'!$C$48/360,5)</f>
        <v>0</v>
      </c>
      <c r="F1325" s="121">
        <f>ROUND(D1325*'FR_Mantenimiento tasas'!$D$48/360,5)</f>
        <v>0</v>
      </c>
    </row>
    <row r="1326" spans="1:6">
      <c r="A1326" s="123">
        <f>IF(OR(A1325='F-Ahorro Futuro Decimos'!$H$16,A1325=""),"",IF(A1325+1&gt;'F-Ahorro Futuro Decimos'!$H$16,'F-Ahorro Futuro Decimos'!$H$16,A1325+1))</f>
        <v>1324</v>
      </c>
      <c r="B1326" s="122">
        <f>IFERROR(IF(DAY($A1326)=DAY('F-Ahorro Futuro Decimos'!$H$15),'F-Ahorro Futuro Decimos'!$H$14,0),0)</f>
        <v>0</v>
      </c>
      <c r="C1326" s="122">
        <f>IF(A1326='F-Ahorro Futuro Decimos'!$H$18,'F-Ahorro Futuro Decimos'!$H$20,0)</f>
        <v>0</v>
      </c>
      <c r="D1326" s="122">
        <f t="shared" si="20"/>
        <v>0</v>
      </c>
      <c r="E1326" s="121">
        <f>ROUND(D1326*'FR_Mantenimiento tasas'!$C$48/360,5)</f>
        <v>0</v>
      </c>
      <c r="F1326" s="121">
        <f>ROUND(D1326*'FR_Mantenimiento tasas'!$D$48/360,5)</f>
        <v>0</v>
      </c>
    </row>
    <row r="1327" spans="1:6">
      <c r="A1327" s="123">
        <f>IF(OR(A1326='F-Ahorro Futuro Decimos'!$H$16,A1326=""),"",IF(A1326+1&gt;'F-Ahorro Futuro Decimos'!$H$16,'F-Ahorro Futuro Decimos'!$H$16,A1326+1))</f>
        <v>1325</v>
      </c>
      <c r="B1327" s="122">
        <f>IFERROR(IF(DAY($A1327)=DAY('F-Ahorro Futuro Decimos'!$H$15),'F-Ahorro Futuro Decimos'!$H$14,0),0)</f>
        <v>0</v>
      </c>
      <c r="C1327" s="122">
        <f>IF(A1327='F-Ahorro Futuro Decimos'!$H$18,'F-Ahorro Futuro Decimos'!$H$20,0)</f>
        <v>0</v>
      </c>
      <c r="D1327" s="122">
        <f t="shared" si="20"/>
        <v>0</v>
      </c>
      <c r="E1327" s="121">
        <f>ROUND(D1327*'FR_Mantenimiento tasas'!$C$48/360,5)</f>
        <v>0</v>
      </c>
      <c r="F1327" s="121">
        <f>ROUND(D1327*'FR_Mantenimiento tasas'!$D$48/360,5)</f>
        <v>0</v>
      </c>
    </row>
    <row r="1328" spans="1:6">
      <c r="A1328" s="123">
        <f>IF(OR(A1327='F-Ahorro Futuro Decimos'!$H$16,A1327=""),"",IF(A1327+1&gt;'F-Ahorro Futuro Decimos'!$H$16,'F-Ahorro Futuro Decimos'!$H$16,A1327+1))</f>
        <v>1326</v>
      </c>
      <c r="B1328" s="122">
        <f>IFERROR(IF(DAY($A1328)=DAY('F-Ahorro Futuro Decimos'!$H$15),'F-Ahorro Futuro Decimos'!$H$14,0),0)</f>
        <v>0</v>
      </c>
      <c r="C1328" s="122">
        <f>IF(A1328='F-Ahorro Futuro Decimos'!$H$18,'F-Ahorro Futuro Decimos'!$H$20,0)</f>
        <v>0</v>
      </c>
      <c r="D1328" s="122">
        <f t="shared" si="20"/>
        <v>0</v>
      </c>
      <c r="E1328" s="121">
        <f>ROUND(D1328*'FR_Mantenimiento tasas'!$C$48/360,5)</f>
        <v>0</v>
      </c>
      <c r="F1328" s="121">
        <f>ROUND(D1328*'FR_Mantenimiento tasas'!$D$48/360,5)</f>
        <v>0</v>
      </c>
    </row>
    <row r="1329" spans="1:6">
      <c r="A1329" s="123">
        <f>IF(OR(A1328='F-Ahorro Futuro Decimos'!$H$16,A1328=""),"",IF(A1328+1&gt;'F-Ahorro Futuro Decimos'!$H$16,'F-Ahorro Futuro Decimos'!$H$16,A1328+1))</f>
        <v>1327</v>
      </c>
      <c r="B1329" s="122">
        <f>IFERROR(IF(DAY($A1329)=DAY('F-Ahorro Futuro Decimos'!$H$15),'F-Ahorro Futuro Decimos'!$H$14,0),0)</f>
        <v>0</v>
      </c>
      <c r="C1329" s="122">
        <f>IF(A1329='F-Ahorro Futuro Decimos'!$H$18,'F-Ahorro Futuro Decimos'!$H$20,0)</f>
        <v>0</v>
      </c>
      <c r="D1329" s="122">
        <f t="shared" si="20"/>
        <v>0</v>
      </c>
      <c r="E1329" s="121">
        <f>ROUND(D1329*'FR_Mantenimiento tasas'!$C$48/360,5)</f>
        <v>0</v>
      </c>
      <c r="F1329" s="121">
        <f>ROUND(D1329*'FR_Mantenimiento tasas'!$D$48/360,5)</f>
        <v>0</v>
      </c>
    </row>
    <row r="1330" spans="1:6">
      <c r="A1330" s="123">
        <f>IF(OR(A1329='F-Ahorro Futuro Decimos'!$H$16,A1329=""),"",IF(A1329+1&gt;'F-Ahorro Futuro Decimos'!$H$16,'F-Ahorro Futuro Decimos'!$H$16,A1329+1))</f>
        <v>1328</v>
      </c>
      <c r="B1330" s="122">
        <f>IFERROR(IF(DAY($A1330)=DAY('F-Ahorro Futuro Decimos'!$H$15),'F-Ahorro Futuro Decimos'!$H$14,0),0)</f>
        <v>0</v>
      </c>
      <c r="C1330" s="122">
        <f>IF(A1330='F-Ahorro Futuro Decimos'!$H$18,'F-Ahorro Futuro Decimos'!$H$20,0)</f>
        <v>0</v>
      </c>
      <c r="D1330" s="122">
        <f t="shared" si="20"/>
        <v>0</v>
      </c>
      <c r="E1330" s="121">
        <f>ROUND(D1330*'FR_Mantenimiento tasas'!$C$48/360,5)</f>
        <v>0</v>
      </c>
      <c r="F1330" s="121">
        <f>ROUND(D1330*'FR_Mantenimiento tasas'!$D$48/360,5)</f>
        <v>0</v>
      </c>
    </row>
    <row r="1331" spans="1:6">
      <c r="A1331" s="123">
        <f>IF(OR(A1330='F-Ahorro Futuro Decimos'!$H$16,A1330=""),"",IF(A1330+1&gt;'F-Ahorro Futuro Decimos'!$H$16,'F-Ahorro Futuro Decimos'!$H$16,A1330+1))</f>
        <v>1329</v>
      </c>
      <c r="B1331" s="122">
        <f>IFERROR(IF(DAY($A1331)=DAY('F-Ahorro Futuro Decimos'!$H$15),'F-Ahorro Futuro Decimos'!$H$14,0),0)</f>
        <v>0</v>
      </c>
      <c r="C1331" s="122">
        <f>IF(A1331='F-Ahorro Futuro Decimos'!$H$18,'F-Ahorro Futuro Decimos'!$H$20,0)</f>
        <v>0</v>
      </c>
      <c r="D1331" s="122">
        <f t="shared" si="20"/>
        <v>0</v>
      </c>
      <c r="E1331" s="121">
        <f>ROUND(D1331*'FR_Mantenimiento tasas'!$C$48/360,5)</f>
        <v>0</v>
      </c>
      <c r="F1331" s="121">
        <f>ROUND(D1331*'FR_Mantenimiento tasas'!$D$48/360,5)</f>
        <v>0</v>
      </c>
    </row>
    <row r="1332" spans="1:6">
      <c r="A1332" s="123">
        <f>IF(OR(A1331='F-Ahorro Futuro Decimos'!$H$16,A1331=""),"",IF(A1331+1&gt;'F-Ahorro Futuro Decimos'!$H$16,'F-Ahorro Futuro Decimos'!$H$16,A1331+1))</f>
        <v>1330</v>
      </c>
      <c r="B1332" s="122">
        <f>IFERROR(IF(DAY($A1332)=DAY('F-Ahorro Futuro Decimos'!$H$15),'F-Ahorro Futuro Decimos'!$H$14,0),0)</f>
        <v>0</v>
      </c>
      <c r="C1332" s="122">
        <f>IF(A1332='F-Ahorro Futuro Decimos'!$H$18,'F-Ahorro Futuro Decimos'!$H$20,0)</f>
        <v>0</v>
      </c>
      <c r="D1332" s="122">
        <f t="shared" si="20"/>
        <v>0</v>
      </c>
      <c r="E1332" s="121">
        <f>ROUND(D1332*'FR_Mantenimiento tasas'!$C$48/360,5)</f>
        <v>0</v>
      </c>
      <c r="F1332" s="121">
        <f>ROUND(D1332*'FR_Mantenimiento tasas'!$D$48/360,5)</f>
        <v>0</v>
      </c>
    </row>
    <row r="1333" spans="1:6">
      <c r="A1333" s="123">
        <f>IF(OR(A1332='F-Ahorro Futuro Decimos'!$H$16,A1332=""),"",IF(A1332+1&gt;'F-Ahorro Futuro Decimos'!$H$16,'F-Ahorro Futuro Decimos'!$H$16,A1332+1))</f>
        <v>1331</v>
      </c>
      <c r="B1333" s="122">
        <f>IFERROR(IF(DAY($A1333)=DAY('F-Ahorro Futuro Decimos'!$H$15),'F-Ahorro Futuro Decimos'!$H$14,0),0)</f>
        <v>0</v>
      </c>
      <c r="C1333" s="122">
        <f>IF(A1333='F-Ahorro Futuro Decimos'!$H$18,'F-Ahorro Futuro Decimos'!$H$20,0)</f>
        <v>0</v>
      </c>
      <c r="D1333" s="122">
        <f t="shared" si="20"/>
        <v>0</v>
      </c>
      <c r="E1333" s="121">
        <f>ROUND(D1333*'FR_Mantenimiento tasas'!$C$48/360,5)</f>
        <v>0</v>
      </c>
      <c r="F1333" s="121">
        <f>ROUND(D1333*'FR_Mantenimiento tasas'!$D$48/360,5)</f>
        <v>0</v>
      </c>
    </row>
    <row r="1334" spans="1:6">
      <c r="A1334" s="123">
        <f>IF(OR(A1333='F-Ahorro Futuro Decimos'!$H$16,A1333=""),"",IF(A1333+1&gt;'F-Ahorro Futuro Decimos'!$H$16,'F-Ahorro Futuro Decimos'!$H$16,A1333+1))</f>
        <v>1332</v>
      </c>
      <c r="B1334" s="122">
        <f>IFERROR(IF(DAY($A1334)=DAY('F-Ahorro Futuro Decimos'!$H$15),'F-Ahorro Futuro Decimos'!$H$14,0),0)</f>
        <v>0</v>
      </c>
      <c r="C1334" s="122">
        <f>IF(A1334='F-Ahorro Futuro Decimos'!$H$18,'F-Ahorro Futuro Decimos'!$H$20,0)</f>
        <v>0</v>
      </c>
      <c r="D1334" s="122">
        <f t="shared" si="20"/>
        <v>0</v>
      </c>
      <c r="E1334" s="121">
        <f>ROUND(D1334*'FR_Mantenimiento tasas'!$C$48/360,5)</f>
        <v>0</v>
      </c>
      <c r="F1334" s="121">
        <f>ROUND(D1334*'FR_Mantenimiento tasas'!$D$48/360,5)</f>
        <v>0</v>
      </c>
    </row>
    <row r="1335" spans="1:6">
      <c r="A1335" s="123">
        <f>IF(OR(A1334='F-Ahorro Futuro Decimos'!$H$16,A1334=""),"",IF(A1334+1&gt;'F-Ahorro Futuro Decimos'!$H$16,'F-Ahorro Futuro Decimos'!$H$16,A1334+1))</f>
        <v>1333</v>
      </c>
      <c r="B1335" s="122">
        <f>IFERROR(IF(DAY($A1335)=DAY('F-Ahorro Futuro Decimos'!$H$15),'F-Ahorro Futuro Decimos'!$H$14,0),0)</f>
        <v>0</v>
      </c>
      <c r="C1335" s="122">
        <f>IF(A1335='F-Ahorro Futuro Decimos'!$H$18,'F-Ahorro Futuro Decimos'!$H$20,0)</f>
        <v>0</v>
      </c>
      <c r="D1335" s="122">
        <f t="shared" si="20"/>
        <v>0</v>
      </c>
      <c r="E1335" s="121">
        <f>ROUND(D1335*'FR_Mantenimiento tasas'!$C$48/360,5)</f>
        <v>0</v>
      </c>
      <c r="F1335" s="121">
        <f>ROUND(D1335*'FR_Mantenimiento tasas'!$D$48/360,5)</f>
        <v>0</v>
      </c>
    </row>
    <row r="1336" spans="1:6">
      <c r="A1336" s="123">
        <f>IF(OR(A1335='F-Ahorro Futuro Decimos'!$H$16,A1335=""),"",IF(A1335+1&gt;'F-Ahorro Futuro Decimos'!$H$16,'F-Ahorro Futuro Decimos'!$H$16,A1335+1))</f>
        <v>1334</v>
      </c>
      <c r="B1336" s="122">
        <f>IFERROR(IF(DAY($A1336)=DAY('F-Ahorro Futuro Decimos'!$H$15),'F-Ahorro Futuro Decimos'!$H$14,0),0)</f>
        <v>0</v>
      </c>
      <c r="C1336" s="122">
        <f>IF(A1336='F-Ahorro Futuro Decimos'!$H$18,'F-Ahorro Futuro Decimos'!$H$20,0)</f>
        <v>0</v>
      </c>
      <c r="D1336" s="122">
        <f t="shared" si="20"/>
        <v>0</v>
      </c>
      <c r="E1336" s="121">
        <f>ROUND(D1336*'FR_Mantenimiento tasas'!$C$48/360,5)</f>
        <v>0</v>
      </c>
      <c r="F1336" s="121">
        <f>ROUND(D1336*'FR_Mantenimiento tasas'!$D$48/360,5)</f>
        <v>0</v>
      </c>
    </row>
    <row r="1337" spans="1:6">
      <c r="A1337" s="123">
        <f>IF(OR(A1336='F-Ahorro Futuro Decimos'!$H$16,A1336=""),"",IF(A1336+1&gt;'F-Ahorro Futuro Decimos'!$H$16,'F-Ahorro Futuro Decimos'!$H$16,A1336+1))</f>
        <v>1335</v>
      </c>
      <c r="B1337" s="122">
        <f>IFERROR(IF(DAY($A1337)=DAY('F-Ahorro Futuro Decimos'!$H$15),'F-Ahorro Futuro Decimos'!$H$14,0),0)</f>
        <v>0</v>
      </c>
      <c r="C1337" s="122">
        <f>IF(A1337='F-Ahorro Futuro Decimos'!$H$18,'F-Ahorro Futuro Decimos'!$H$20,0)</f>
        <v>0</v>
      </c>
      <c r="D1337" s="122">
        <f t="shared" si="20"/>
        <v>0</v>
      </c>
      <c r="E1337" s="121">
        <f>ROUND(D1337*'FR_Mantenimiento tasas'!$C$48/360,5)</f>
        <v>0</v>
      </c>
      <c r="F1337" s="121">
        <f>ROUND(D1337*'FR_Mantenimiento tasas'!$D$48/360,5)</f>
        <v>0</v>
      </c>
    </row>
    <row r="1338" spans="1:6">
      <c r="A1338" s="123">
        <f>IF(OR(A1337='F-Ahorro Futuro Decimos'!$H$16,A1337=""),"",IF(A1337+1&gt;'F-Ahorro Futuro Decimos'!$H$16,'F-Ahorro Futuro Decimos'!$H$16,A1337+1))</f>
        <v>1336</v>
      </c>
      <c r="B1338" s="122">
        <f>IFERROR(IF(DAY($A1338)=DAY('F-Ahorro Futuro Decimos'!$H$15),'F-Ahorro Futuro Decimos'!$H$14,0),0)</f>
        <v>0</v>
      </c>
      <c r="C1338" s="122">
        <f>IF(A1338='F-Ahorro Futuro Decimos'!$H$18,'F-Ahorro Futuro Decimos'!$H$20,0)</f>
        <v>0</v>
      </c>
      <c r="D1338" s="122">
        <f t="shared" si="20"/>
        <v>0</v>
      </c>
      <c r="E1338" s="121">
        <f>ROUND(D1338*'FR_Mantenimiento tasas'!$C$48/360,5)</f>
        <v>0</v>
      </c>
      <c r="F1338" s="121">
        <f>ROUND(D1338*'FR_Mantenimiento tasas'!$D$48/360,5)</f>
        <v>0</v>
      </c>
    </row>
    <row r="1339" spans="1:6">
      <c r="A1339" s="123">
        <f>IF(OR(A1338='F-Ahorro Futuro Decimos'!$H$16,A1338=""),"",IF(A1338+1&gt;'F-Ahorro Futuro Decimos'!$H$16,'F-Ahorro Futuro Decimos'!$H$16,A1338+1))</f>
        <v>1337</v>
      </c>
      <c r="B1339" s="122">
        <f>IFERROR(IF(DAY($A1339)=DAY('F-Ahorro Futuro Decimos'!$H$15),'F-Ahorro Futuro Decimos'!$H$14,0),0)</f>
        <v>0</v>
      </c>
      <c r="C1339" s="122">
        <f>IF(A1339='F-Ahorro Futuro Decimos'!$H$18,'F-Ahorro Futuro Decimos'!$H$20,0)</f>
        <v>0</v>
      </c>
      <c r="D1339" s="122">
        <f t="shared" si="20"/>
        <v>0</v>
      </c>
      <c r="E1339" s="121">
        <f>ROUND(D1339*'FR_Mantenimiento tasas'!$C$48/360,5)</f>
        <v>0</v>
      </c>
      <c r="F1339" s="121">
        <f>ROUND(D1339*'FR_Mantenimiento tasas'!$D$48/360,5)</f>
        <v>0</v>
      </c>
    </row>
    <row r="1340" spans="1:6">
      <c r="A1340" s="123">
        <f>IF(OR(A1339='F-Ahorro Futuro Decimos'!$H$16,A1339=""),"",IF(A1339+1&gt;'F-Ahorro Futuro Decimos'!$H$16,'F-Ahorro Futuro Decimos'!$H$16,A1339+1))</f>
        <v>1338</v>
      </c>
      <c r="B1340" s="122">
        <f>IFERROR(IF(DAY($A1340)=DAY('F-Ahorro Futuro Decimos'!$H$15),'F-Ahorro Futuro Decimos'!$H$14,0),0)</f>
        <v>0</v>
      </c>
      <c r="C1340" s="122">
        <f>IF(A1340='F-Ahorro Futuro Decimos'!$H$18,'F-Ahorro Futuro Decimos'!$H$20,0)</f>
        <v>0</v>
      </c>
      <c r="D1340" s="122">
        <f t="shared" si="20"/>
        <v>0</v>
      </c>
      <c r="E1340" s="121">
        <f>ROUND(D1340*'FR_Mantenimiento tasas'!$C$48/360,5)</f>
        <v>0</v>
      </c>
      <c r="F1340" s="121">
        <f>ROUND(D1340*'FR_Mantenimiento tasas'!$D$48/360,5)</f>
        <v>0</v>
      </c>
    </row>
    <row r="1341" spans="1:6">
      <c r="A1341" s="123">
        <f>IF(OR(A1340='F-Ahorro Futuro Decimos'!$H$16,A1340=""),"",IF(A1340+1&gt;'F-Ahorro Futuro Decimos'!$H$16,'F-Ahorro Futuro Decimos'!$H$16,A1340+1))</f>
        <v>1339</v>
      </c>
      <c r="B1341" s="122">
        <f>IFERROR(IF(DAY($A1341)=DAY('F-Ahorro Futuro Decimos'!$H$15),'F-Ahorro Futuro Decimos'!$H$14,0),0)</f>
        <v>0</v>
      </c>
      <c r="C1341" s="122">
        <f>IF(A1341='F-Ahorro Futuro Decimos'!$H$18,'F-Ahorro Futuro Decimos'!$H$20,0)</f>
        <v>0</v>
      </c>
      <c r="D1341" s="122">
        <f t="shared" si="20"/>
        <v>0</v>
      </c>
      <c r="E1341" s="121">
        <f>ROUND(D1341*'FR_Mantenimiento tasas'!$C$48/360,5)</f>
        <v>0</v>
      </c>
      <c r="F1341" s="121">
        <f>ROUND(D1341*'FR_Mantenimiento tasas'!$D$48/360,5)</f>
        <v>0</v>
      </c>
    </row>
    <row r="1342" spans="1:6">
      <c r="A1342" s="123">
        <f>IF(OR(A1341='F-Ahorro Futuro Decimos'!$H$16,A1341=""),"",IF(A1341+1&gt;'F-Ahorro Futuro Decimos'!$H$16,'F-Ahorro Futuro Decimos'!$H$16,A1341+1))</f>
        <v>1340</v>
      </c>
      <c r="B1342" s="122">
        <f>IFERROR(IF(DAY($A1342)=DAY('F-Ahorro Futuro Decimos'!$H$15),'F-Ahorro Futuro Decimos'!$H$14,0),0)</f>
        <v>0</v>
      </c>
      <c r="C1342" s="122">
        <f>IF(A1342='F-Ahorro Futuro Decimos'!$H$18,'F-Ahorro Futuro Decimos'!$H$20,0)</f>
        <v>0</v>
      </c>
      <c r="D1342" s="122">
        <f t="shared" si="20"/>
        <v>0</v>
      </c>
      <c r="E1342" s="121">
        <f>ROUND(D1342*'FR_Mantenimiento tasas'!$C$48/360,5)</f>
        <v>0</v>
      </c>
      <c r="F1342" s="121">
        <f>ROUND(D1342*'FR_Mantenimiento tasas'!$D$48/360,5)</f>
        <v>0</v>
      </c>
    </row>
    <row r="1343" spans="1:6">
      <c r="A1343" s="123">
        <f>IF(OR(A1342='F-Ahorro Futuro Decimos'!$H$16,A1342=""),"",IF(A1342+1&gt;'F-Ahorro Futuro Decimos'!$H$16,'F-Ahorro Futuro Decimos'!$H$16,A1342+1))</f>
        <v>1341</v>
      </c>
      <c r="B1343" s="122">
        <f>IFERROR(IF(DAY($A1343)=DAY('F-Ahorro Futuro Decimos'!$H$15),'F-Ahorro Futuro Decimos'!$H$14,0),0)</f>
        <v>0</v>
      </c>
      <c r="C1343" s="122">
        <f>IF(A1343='F-Ahorro Futuro Decimos'!$H$18,'F-Ahorro Futuro Decimos'!$H$20,0)</f>
        <v>0</v>
      </c>
      <c r="D1343" s="122">
        <f t="shared" si="20"/>
        <v>0</v>
      </c>
      <c r="E1343" s="121">
        <f>ROUND(D1343*'FR_Mantenimiento tasas'!$C$48/360,5)</f>
        <v>0</v>
      </c>
      <c r="F1343" s="121">
        <f>ROUND(D1343*'FR_Mantenimiento tasas'!$D$48/360,5)</f>
        <v>0</v>
      </c>
    </row>
    <row r="1344" spans="1:6">
      <c r="A1344" s="123">
        <f>IF(OR(A1343='F-Ahorro Futuro Decimos'!$H$16,A1343=""),"",IF(A1343+1&gt;'F-Ahorro Futuro Decimos'!$H$16,'F-Ahorro Futuro Decimos'!$H$16,A1343+1))</f>
        <v>1342</v>
      </c>
      <c r="B1344" s="122">
        <f>IFERROR(IF(DAY($A1344)=DAY('F-Ahorro Futuro Decimos'!$H$15),'F-Ahorro Futuro Decimos'!$H$14,0),0)</f>
        <v>0</v>
      </c>
      <c r="C1344" s="122">
        <f>IF(A1344='F-Ahorro Futuro Decimos'!$H$18,'F-Ahorro Futuro Decimos'!$H$20,0)</f>
        <v>0</v>
      </c>
      <c r="D1344" s="122">
        <f t="shared" si="20"/>
        <v>0</v>
      </c>
      <c r="E1344" s="121">
        <f>ROUND(D1344*'FR_Mantenimiento tasas'!$C$48/360,5)</f>
        <v>0</v>
      </c>
      <c r="F1344" s="121">
        <f>ROUND(D1344*'FR_Mantenimiento tasas'!$D$48/360,5)</f>
        <v>0</v>
      </c>
    </row>
    <row r="1345" spans="1:6">
      <c r="A1345" s="123">
        <f>IF(OR(A1344='F-Ahorro Futuro Decimos'!$H$16,A1344=""),"",IF(A1344+1&gt;'F-Ahorro Futuro Decimos'!$H$16,'F-Ahorro Futuro Decimos'!$H$16,A1344+1))</f>
        <v>1343</v>
      </c>
      <c r="B1345" s="122">
        <f>IFERROR(IF(DAY($A1345)=DAY('F-Ahorro Futuro Decimos'!$H$15),'F-Ahorro Futuro Decimos'!$H$14,0),0)</f>
        <v>0</v>
      </c>
      <c r="C1345" s="122">
        <f>IF(A1345='F-Ahorro Futuro Decimos'!$H$18,'F-Ahorro Futuro Decimos'!$H$20,0)</f>
        <v>0</v>
      </c>
      <c r="D1345" s="122">
        <f t="shared" si="20"/>
        <v>0</v>
      </c>
      <c r="E1345" s="121">
        <f>ROUND(D1345*'FR_Mantenimiento tasas'!$C$48/360,5)</f>
        <v>0</v>
      </c>
      <c r="F1345" s="121">
        <f>ROUND(D1345*'FR_Mantenimiento tasas'!$D$48/360,5)</f>
        <v>0</v>
      </c>
    </row>
    <row r="1346" spans="1:6">
      <c r="A1346" s="123">
        <f>IF(OR(A1345='F-Ahorro Futuro Decimos'!$H$16,A1345=""),"",IF(A1345+1&gt;'F-Ahorro Futuro Decimos'!$H$16,'F-Ahorro Futuro Decimos'!$H$16,A1345+1))</f>
        <v>1344</v>
      </c>
      <c r="B1346" s="122">
        <f>IFERROR(IF(DAY($A1346)=DAY('F-Ahorro Futuro Decimos'!$H$15),'F-Ahorro Futuro Decimos'!$H$14,0),0)</f>
        <v>0</v>
      </c>
      <c r="C1346" s="122">
        <f>IF(A1346='F-Ahorro Futuro Decimos'!$H$18,'F-Ahorro Futuro Decimos'!$H$20,0)</f>
        <v>0</v>
      </c>
      <c r="D1346" s="122">
        <f t="shared" si="20"/>
        <v>0</v>
      </c>
      <c r="E1346" s="121">
        <f>ROUND(D1346*'FR_Mantenimiento tasas'!$C$48/360,5)</f>
        <v>0</v>
      </c>
      <c r="F1346" s="121">
        <f>ROUND(D1346*'FR_Mantenimiento tasas'!$D$48/360,5)</f>
        <v>0</v>
      </c>
    </row>
    <row r="1347" spans="1:6">
      <c r="A1347" s="123">
        <f>IF(OR(A1346='F-Ahorro Futuro Decimos'!$H$16,A1346=""),"",IF(A1346+1&gt;'F-Ahorro Futuro Decimos'!$H$16,'F-Ahorro Futuro Decimos'!$H$16,A1346+1))</f>
        <v>1345</v>
      </c>
      <c r="B1347" s="122">
        <f>IFERROR(IF(DAY($A1347)=DAY('F-Ahorro Futuro Decimos'!$H$15),'F-Ahorro Futuro Decimos'!$H$14,0),0)</f>
        <v>0</v>
      </c>
      <c r="C1347" s="122">
        <f>IF(A1347='F-Ahorro Futuro Decimos'!$H$18,'F-Ahorro Futuro Decimos'!$H$20,0)</f>
        <v>0</v>
      </c>
      <c r="D1347" s="122">
        <f t="shared" si="20"/>
        <v>0</v>
      </c>
      <c r="E1347" s="121">
        <f>ROUND(D1347*'FR_Mantenimiento tasas'!$C$48/360,5)</f>
        <v>0</v>
      </c>
      <c r="F1347" s="121">
        <f>ROUND(D1347*'FR_Mantenimiento tasas'!$D$48/360,5)</f>
        <v>0</v>
      </c>
    </row>
    <row r="1348" spans="1:6">
      <c r="A1348" s="123">
        <f>IF(OR(A1347='F-Ahorro Futuro Decimos'!$H$16,A1347=""),"",IF(A1347+1&gt;'F-Ahorro Futuro Decimos'!$H$16,'F-Ahorro Futuro Decimos'!$H$16,A1347+1))</f>
        <v>1346</v>
      </c>
      <c r="B1348" s="122">
        <f>IFERROR(IF(DAY($A1348)=DAY('F-Ahorro Futuro Decimos'!$H$15),'F-Ahorro Futuro Decimos'!$H$14,0),0)</f>
        <v>0</v>
      </c>
      <c r="C1348" s="122">
        <f>IF(A1348='F-Ahorro Futuro Decimos'!$H$18,'F-Ahorro Futuro Decimos'!$H$20,0)</f>
        <v>0</v>
      </c>
      <c r="D1348" s="122">
        <f t="shared" ref="D1348:D1411" si="21">+B1348+D1347+E1347-C1348</f>
        <v>0</v>
      </c>
      <c r="E1348" s="121">
        <f>ROUND(D1348*'FR_Mantenimiento tasas'!$C$48/360,5)</f>
        <v>0</v>
      </c>
      <c r="F1348" s="121">
        <f>ROUND(D1348*'FR_Mantenimiento tasas'!$D$48/360,5)</f>
        <v>0</v>
      </c>
    </row>
    <row r="1349" spans="1:6">
      <c r="A1349" s="123">
        <f>IF(OR(A1348='F-Ahorro Futuro Decimos'!$H$16,A1348=""),"",IF(A1348+1&gt;'F-Ahorro Futuro Decimos'!$H$16,'F-Ahorro Futuro Decimos'!$H$16,A1348+1))</f>
        <v>1347</v>
      </c>
      <c r="B1349" s="122">
        <f>IFERROR(IF(DAY($A1349)=DAY('F-Ahorro Futuro Decimos'!$H$15),'F-Ahorro Futuro Decimos'!$H$14,0),0)</f>
        <v>0</v>
      </c>
      <c r="C1349" s="122">
        <f>IF(A1349='F-Ahorro Futuro Decimos'!$H$18,'F-Ahorro Futuro Decimos'!$H$20,0)</f>
        <v>0</v>
      </c>
      <c r="D1349" s="122">
        <f t="shared" si="21"/>
        <v>0</v>
      </c>
      <c r="E1349" s="121">
        <f>ROUND(D1349*'FR_Mantenimiento tasas'!$C$48/360,5)</f>
        <v>0</v>
      </c>
      <c r="F1349" s="121">
        <f>ROUND(D1349*'FR_Mantenimiento tasas'!$D$48/360,5)</f>
        <v>0</v>
      </c>
    </row>
    <row r="1350" spans="1:6">
      <c r="A1350" s="123">
        <f>IF(OR(A1349='F-Ahorro Futuro Decimos'!$H$16,A1349=""),"",IF(A1349+1&gt;'F-Ahorro Futuro Decimos'!$H$16,'F-Ahorro Futuro Decimos'!$H$16,A1349+1))</f>
        <v>1348</v>
      </c>
      <c r="B1350" s="122">
        <f>IFERROR(IF(DAY($A1350)=DAY('F-Ahorro Futuro Decimos'!$H$15),'F-Ahorro Futuro Decimos'!$H$14,0),0)</f>
        <v>0</v>
      </c>
      <c r="C1350" s="122">
        <f>IF(A1350='F-Ahorro Futuro Decimos'!$H$18,'F-Ahorro Futuro Decimos'!$H$20,0)</f>
        <v>0</v>
      </c>
      <c r="D1350" s="122">
        <f t="shared" si="21"/>
        <v>0</v>
      </c>
      <c r="E1350" s="121">
        <f>ROUND(D1350*'FR_Mantenimiento tasas'!$C$48/360,5)</f>
        <v>0</v>
      </c>
      <c r="F1350" s="121">
        <f>ROUND(D1350*'FR_Mantenimiento tasas'!$D$48/360,5)</f>
        <v>0</v>
      </c>
    </row>
    <row r="1351" spans="1:6">
      <c r="A1351" s="123">
        <f>IF(OR(A1350='F-Ahorro Futuro Decimos'!$H$16,A1350=""),"",IF(A1350+1&gt;'F-Ahorro Futuro Decimos'!$H$16,'F-Ahorro Futuro Decimos'!$H$16,A1350+1))</f>
        <v>1349</v>
      </c>
      <c r="B1351" s="122">
        <f>IFERROR(IF(DAY($A1351)=DAY('F-Ahorro Futuro Decimos'!$H$15),'F-Ahorro Futuro Decimos'!$H$14,0),0)</f>
        <v>0</v>
      </c>
      <c r="C1351" s="122">
        <f>IF(A1351='F-Ahorro Futuro Decimos'!$H$18,'F-Ahorro Futuro Decimos'!$H$20,0)</f>
        <v>0</v>
      </c>
      <c r="D1351" s="122">
        <f t="shared" si="21"/>
        <v>0</v>
      </c>
      <c r="E1351" s="121">
        <f>ROUND(D1351*'FR_Mantenimiento tasas'!$C$48/360,5)</f>
        <v>0</v>
      </c>
      <c r="F1351" s="121">
        <f>ROUND(D1351*'FR_Mantenimiento tasas'!$D$48/360,5)</f>
        <v>0</v>
      </c>
    </row>
    <row r="1352" spans="1:6">
      <c r="A1352" s="123">
        <f>IF(OR(A1351='F-Ahorro Futuro Decimos'!$H$16,A1351=""),"",IF(A1351+1&gt;'F-Ahorro Futuro Decimos'!$H$16,'F-Ahorro Futuro Decimos'!$H$16,A1351+1))</f>
        <v>1350</v>
      </c>
      <c r="B1352" s="122">
        <f>IFERROR(IF(DAY($A1352)=DAY('F-Ahorro Futuro Decimos'!$H$15),'F-Ahorro Futuro Decimos'!$H$14,0),0)</f>
        <v>0</v>
      </c>
      <c r="C1352" s="122">
        <f>IF(A1352='F-Ahorro Futuro Decimos'!$H$18,'F-Ahorro Futuro Decimos'!$H$20,0)</f>
        <v>0</v>
      </c>
      <c r="D1352" s="122">
        <f t="shared" si="21"/>
        <v>0</v>
      </c>
      <c r="E1352" s="121">
        <f>ROUND(D1352*'FR_Mantenimiento tasas'!$C$48/360,5)</f>
        <v>0</v>
      </c>
      <c r="F1352" s="121">
        <f>ROUND(D1352*'FR_Mantenimiento tasas'!$D$48/360,5)</f>
        <v>0</v>
      </c>
    </row>
    <row r="1353" spans="1:6">
      <c r="A1353" s="123">
        <f>IF(OR(A1352='F-Ahorro Futuro Decimos'!$H$16,A1352=""),"",IF(A1352+1&gt;'F-Ahorro Futuro Decimos'!$H$16,'F-Ahorro Futuro Decimos'!$H$16,A1352+1))</f>
        <v>1351</v>
      </c>
      <c r="B1353" s="122">
        <f>IFERROR(IF(DAY($A1353)=DAY('F-Ahorro Futuro Decimos'!$H$15),'F-Ahorro Futuro Decimos'!$H$14,0),0)</f>
        <v>0</v>
      </c>
      <c r="C1353" s="122">
        <f>IF(A1353='F-Ahorro Futuro Decimos'!$H$18,'F-Ahorro Futuro Decimos'!$H$20,0)</f>
        <v>0</v>
      </c>
      <c r="D1353" s="122">
        <f t="shared" si="21"/>
        <v>0</v>
      </c>
      <c r="E1353" s="121">
        <f>ROUND(D1353*'FR_Mantenimiento tasas'!$C$48/360,5)</f>
        <v>0</v>
      </c>
      <c r="F1353" s="121">
        <f>ROUND(D1353*'FR_Mantenimiento tasas'!$D$48/360,5)</f>
        <v>0</v>
      </c>
    </row>
    <row r="1354" spans="1:6">
      <c r="A1354" s="123">
        <f>IF(OR(A1353='F-Ahorro Futuro Decimos'!$H$16,A1353=""),"",IF(A1353+1&gt;'F-Ahorro Futuro Decimos'!$H$16,'F-Ahorro Futuro Decimos'!$H$16,A1353+1))</f>
        <v>1352</v>
      </c>
      <c r="B1354" s="122">
        <f>IFERROR(IF(DAY($A1354)=DAY('F-Ahorro Futuro Decimos'!$H$15),'F-Ahorro Futuro Decimos'!$H$14,0),0)</f>
        <v>0</v>
      </c>
      <c r="C1354" s="122">
        <f>IF(A1354='F-Ahorro Futuro Decimos'!$H$18,'F-Ahorro Futuro Decimos'!$H$20,0)</f>
        <v>0</v>
      </c>
      <c r="D1354" s="122">
        <f t="shared" si="21"/>
        <v>0</v>
      </c>
      <c r="E1354" s="121">
        <f>ROUND(D1354*'FR_Mantenimiento tasas'!$C$48/360,5)</f>
        <v>0</v>
      </c>
      <c r="F1354" s="121">
        <f>ROUND(D1354*'FR_Mantenimiento tasas'!$D$48/360,5)</f>
        <v>0</v>
      </c>
    </row>
    <row r="1355" spans="1:6">
      <c r="A1355" s="123">
        <f>IF(OR(A1354='F-Ahorro Futuro Decimos'!$H$16,A1354=""),"",IF(A1354+1&gt;'F-Ahorro Futuro Decimos'!$H$16,'F-Ahorro Futuro Decimos'!$H$16,A1354+1))</f>
        <v>1353</v>
      </c>
      <c r="B1355" s="122">
        <f>IFERROR(IF(DAY($A1355)=DAY('F-Ahorro Futuro Decimos'!$H$15),'F-Ahorro Futuro Decimos'!$H$14,0),0)</f>
        <v>0</v>
      </c>
      <c r="C1355" s="122">
        <f>IF(A1355='F-Ahorro Futuro Decimos'!$H$18,'F-Ahorro Futuro Decimos'!$H$20,0)</f>
        <v>0</v>
      </c>
      <c r="D1355" s="122">
        <f t="shared" si="21"/>
        <v>0</v>
      </c>
      <c r="E1355" s="121">
        <f>ROUND(D1355*'FR_Mantenimiento tasas'!$C$48/360,5)</f>
        <v>0</v>
      </c>
      <c r="F1355" s="121">
        <f>ROUND(D1355*'FR_Mantenimiento tasas'!$D$48/360,5)</f>
        <v>0</v>
      </c>
    </row>
    <row r="1356" spans="1:6">
      <c r="A1356" s="123">
        <f>IF(OR(A1355='F-Ahorro Futuro Decimos'!$H$16,A1355=""),"",IF(A1355+1&gt;'F-Ahorro Futuro Decimos'!$H$16,'F-Ahorro Futuro Decimos'!$H$16,A1355+1))</f>
        <v>1354</v>
      </c>
      <c r="B1356" s="122">
        <f>IFERROR(IF(DAY($A1356)=DAY('F-Ahorro Futuro Decimos'!$H$15),'F-Ahorro Futuro Decimos'!$H$14,0),0)</f>
        <v>0</v>
      </c>
      <c r="C1356" s="122">
        <f>IF(A1356='F-Ahorro Futuro Decimos'!$H$18,'F-Ahorro Futuro Decimos'!$H$20,0)</f>
        <v>0</v>
      </c>
      <c r="D1356" s="122">
        <f t="shared" si="21"/>
        <v>0</v>
      </c>
      <c r="E1356" s="121">
        <f>ROUND(D1356*'FR_Mantenimiento tasas'!$C$48/360,5)</f>
        <v>0</v>
      </c>
      <c r="F1356" s="121">
        <f>ROUND(D1356*'FR_Mantenimiento tasas'!$D$48/360,5)</f>
        <v>0</v>
      </c>
    </row>
    <row r="1357" spans="1:6">
      <c r="A1357" s="123">
        <f>IF(OR(A1356='F-Ahorro Futuro Decimos'!$H$16,A1356=""),"",IF(A1356+1&gt;'F-Ahorro Futuro Decimos'!$H$16,'F-Ahorro Futuro Decimos'!$H$16,A1356+1))</f>
        <v>1355</v>
      </c>
      <c r="B1357" s="122">
        <f>IFERROR(IF(DAY($A1357)=DAY('F-Ahorro Futuro Decimos'!$H$15),'F-Ahorro Futuro Decimos'!$H$14,0),0)</f>
        <v>0</v>
      </c>
      <c r="C1357" s="122">
        <f>IF(A1357='F-Ahorro Futuro Decimos'!$H$18,'F-Ahorro Futuro Decimos'!$H$20,0)</f>
        <v>0</v>
      </c>
      <c r="D1357" s="122">
        <f t="shared" si="21"/>
        <v>0</v>
      </c>
      <c r="E1357" s="121">
        <f>ROUND(D1357*'FR_Mantenimiento tasas'!$C$48/360,5)</f>
        <v>0</v>
      </c>
      <c r="F1357" s="121">
        <f>ROUND(D1357*'FR_Mantenimiento tasas'!$D$48/360,5)</f>
        <v>0</v>
      </c>
    </row>
    <row r="1358" spans="1:6">
      <c r="A1358" s="123">
        <f>IF(OR(A1357='F-Ahorro Futuro Decimos'!$H$16,A1357=""),"",IF(A1357+1&gt;'F-Ahorro Futuro Decimos'!$H$16,'F-Ahorro Futuro Decimos'!$H$16,A1357+1))</f>
        <v>1356</v>
      </c>
      <c r="B1358" s="122">
        <f>IFERROR(IF(DAY($A1358)=DAY('F-Ahorro Futuro Decimos'!$H$15),'F-Ahorro Futuro Decimos'!$H$14,0),0)</f>
        <v>0</v>
      </c>
      <c r="C1358" s="122">
        <f>IF(A1358='F-Ahorro Futuro Decimos'!$H$18,'F-Ahorro Futuro Decimos'!$H$20,0)</f>
        <v>0</v>
      </c>
      <c r="D1358" s="122">
        <f t="shared" si="21"/>
        <v>0</v>
      </c>
      <c r="E1358" s="121">
        <f>ROUND(D1358*'FR_Mantenimiento tasas'!$C$48/360,5)</f>
        <v>0</v>
      </c>
      <c r="F1358" s="121">
        <f>ROUND(D1358*'FR_Mantenimiento tasas'!$D$48/360,5)</f>
        <v>0</v>
      </c>
    </row>
    <row r="1359" spans="1:6">
      <c r="A1359" s="123">
        <f>IF(OR(A1358='F-Ahorro Futuro Decimos'!$H$16,A1358=""),"",IF(A1358+1&gt;'F-Ahorro Futuro Decimos'!$H$16,'F-Ahorro Futuro Decimos'!$H$16,A1358+1))</f>
        <v>1357</v>
      </c>
      <c r="B1359" s="122">
        <f>IFERROR(IF(DAY($A1359)=DAY('F-Ahorro Futuro Decimos'!$H$15),'F-Ahorro Futuro Decimos'!$H$14,0),0)</f>
        <v>0</v>
      </c>
      <c r="C1359" s="122">
        <f>IF(A1359='F-Ahorro Futuro Decimos'!$H$18,'F-Ahorro Futuro Decimos'!$H$20,0)</f>
        <v>0</v>
      </c>
      <c r="D1359" s="122">
        <f t="shared" si="21"/>
        <v>0</v>
      </c>
      <c r="E1359" s="121">
        <f>ROUND(D1359*'FR_Mantenimiento tasas'!$C$48/360,5)</f>
        <v>0</v>
      </c>
      <c r="F1359" s="121">
        <f>ROUND(D1359*'FR_Mantenimiento tasas'!$D$48/360,5)</f>
        <v>0</v>
      </c>
    </row>
    <row r="1360" spans="1:6">
      <c r="A1360" s="123">
        <f>IF(OR(A1359='F-Ahorro Futuro Decimos'!$H$16,A1359=""),"",IF(A1359+1&gt;'F-Ahorro Futuro Decimos'!$H$16,'F-Ahorro Futuro Decimos'!$H$16,A1359+1))</f>
        <v>1358</v>
      </c>
      <c r="B1360" s="122">
        <f>IFERROR(IF(DAY($A1360)=DAY('F-Ahorro Futuro Decimos'!$H$15),'F-Ahorro Futuro Decimos'!$H$14,0),0)</f>
        <v>0</v>
      </c>
      <c r="C1360" s="122">
        <f>IF(A1360='F-Ahorro Futuro Decimos'!$H$18,'F-Ahorro Futuro Decimos'!$H$20,0)</f>
        <v>0</v>
      </c>
      <c r="D1360" s="122">
        <f t="shared" si="21"/>
        <v>0</v>
      </c>
      <c r="E1360" s="121">
        <f>ROUND(D1360*'FR_Mantenimiento tasas'!$C$48/360,5)</f>
        <v>0</v>
      </c>
      <c r="F1360" s="121">
        <f>ROUND(D1360*'FR_Mantenimiento tasas'!$D$48/360,5)</f>
        <v>0</v>
      </c>
    </row>
    <row r="1361" spans="1:6">
      <c r="A1361" s="123">
        <f>IF(OR(A1360='F-Ahorro Futuro Decimos'!$H$16,A1360=""),"",IF(A1360+1&gt;'F-Ahorro Futuro Decimos'!$H$16,'F-Ahorro Futuro Decimos'!$H$16,A1360+1))</f>
        <v>1359</v>
      </c>
      <c r="B1361" s="122">
        <f>IFERROR(IF(DAY($A1361)=DAY('F-Ahorro Futuro Decimos'!$H$15),'F-Ahorro Futuro Decimos'!$H$14,0),0)</f>
        <v>0</v>
      </c>
      <c r="C1361" s="122">
        <f>IF(A1361='F-Ahorro Futuro Decimos'!$H$18,'F-Ahorro Futuro Decimos'!$H$20,0)</f>
        <v>0</v>
      </c>
      <c r="D1361" s="122">
        <f t="shared" si="21"/>
        <v>0</v>
      </c>
      <c r="E1361" s="121">
        <f>ROUND(D1361*'FR_Mantenimiento tasas'!$C$48/360,5)</f>
        <v>0</v>
      </c>
      <c r="F1361" s="121">
        <f>ROUND(D1361*'FR_Mantenimiento tasas'!$D$48/360,5)</f>
        <v>0</v>
      </c>
    </row>
    <row r="1362" spans="1:6">
      <c r="A1362" s="123">
        <f>IF(OR(A1361='F-Ahorro Futuro Decimos'!$H$16,A1361=""),"",IF(A1361+1&gt;'F-Ahorro Futuro Decimos'!$H$16,'F-Ahorro Futuro Decimos'!$H$16,A1361+1))</f>
        <v>1360</v>
      </c>
      <c r="B1362" s="122">
        <f>IFERROR(IF(DAY($A1362)=DAY('F-Ahorro Futuro Decimos'!$H$15),'F-Ahorro Futuro Decimos'!$H$14,0),0)</f>
        <v>0</v>
      </c>
      <c r="C1362" s="122">
        <f>IF(A1362='F-Ahorro Futuro Decimos'!$H$18,'F-Ahorro Futuro Decimos'!$H$20,0)</f>
        <v>0</v>
      </c>
      <c r="D1362" s="122">
        <f t="shared" si="21"/>
        <v>0</v>
      </c>
      <c r="E1362" s="121">
        <f>ROUND(D1362*'FR_Mantenimiento tasas'!$C$48/360,5)</f>
        <v>0</v>
      </c>
      <c r="F1362" s="121">
        <f>ROUND(D1362*'FR_Mantenimiento tasas'!$D$48/360,5)</f>
        <v>0</v>
      </c>
    </row>
    <row r="1363" spans="1:6">
      <c r="A1363" s="123">
        <f>IF(OR(A1362='F-Ahorro Futuro Decimos'!$H$16,A1362=""),"",IF(A1362+1&gt;'F-Ahorro Futuro Decimos'!$H$16,'F-Ahorro Futuro Decimos'!$H$16,A1362+1))</f>
        <v>1361</v>
      </c>
      <c r="B1363" s="122">
        <f>IFERROR(IF(DAY($A1363)=DAY('F-Ahorro Futuro Decimos'!$H$15),'F-Ahorro Futuro Decimos'!$H$14,0),0)</f>
        <v>0</v>
      </c>
      <c r="C1363" s="122">
        <f>IF(A1363='F-Ahorro Futuro Decimos'!$H$18,'F-Ahorro Futuro Decimos'!$H$20,0)</f>
        <v>0</v>
      </c>
      <c r="D1363" s="122">
        <f t="shared" si="21"/>
        <v>0</v>
      </c>
      <c r="E1363" s="121">
        <f>ROUND(D1363*'FR_Mantenimiento tasas'!$C$48/360,5)</f>
        <v>0</v>
      </c>
      <c r="F1363" s="121">
        <f>ROUND(D1363*'FR_Mantenimiento tasas'!$D$48/360,5)</f>
        <v>0</v>
      </c>
    </row>
    <row r="1364" spans="1:6">
      <c r="A1364" s="123">
        <f>IF(OR(A1363='F-Ahorro Futuro Decimos'!$H$16,A1363=""),"",IF(A1363+1&gt;'F-Ahorro Futuro Decimos'!$H$16,'F-Ahorro Futuro Decimos'!$H$16,A1363+1))</f>
        <v>1362</v>
      </c>
      <c r="B1364" s="122">
        <f>IFERROR(IF(DAY($A1364)=DAY('F-Ahorro Futuro Decimos'!$H$15),'F-Ahorro Futuro Decimos'!$H$14,0),0)</f>
        <v>0</v>
      </c>
      <c r="C1364" s="122">
        <f>IF(A1364='F-Ahorro Futuro Decimos'!$H$18,'F-Ahorro Futuro Decimos'!$H$20,0)</f>
        <v>0</v>
      </c>
      <c r="D1364" s="122">
        <f t="shared" si="21"/>
        <v>0</v>
      </c>
      <c r="E1364" s="121">
        <f>ROUND(D1364*'FR_Mantenimiento tasas'!$C$48/360,5)</f>
        <v>0</v>
      </c>
      <c r="F1364" s="121">
        <f>ROUND(D1364*'FR_Mantenimiento tasas'!$D$48/360,5)</f>
        <v>0</v>
      </c>
    </row>
    <row r="1365" spans="1:6">
      <c r="A1365" s="123">
        <f>IF(OR(A1364='F-Ahorro Futuro Decimos'!$H$16,A1364=""),"",IF(A1364+1&gt;'F-Ahorro Futuro Decimos'!$H$16,'F-Ahorro Futuro Decimos'!$H$16,A1364+1))</f>
        <v>1363</v>
      </c>
      <c r="B1365" s="122">
        <f>IFERROR(IF(DAY($A1365)=DAY('F-Ahorro Futuro Decimos'!$H$15),'F-Ahorro Futuro Decimos'!$H$14,0),0)</f>
        <v>0</v>
      </c>
      <c r="C1365" s="122">
        <f>IF(A1365='F-Ahorro Futuro Decimos'!$H$18,'F-Ahorro Futuro Decimos'!$H$20,0)</f>
        <v>0</v>
      </c>
      <c r="D1365" s="122">
        <f t="shared" si="21"/>
        <v>0</v>
      </c>
      <c r="E1365" s="121">
        <f>ROUND(D1365*'FR_Mantenimiento tasas'!$C$48/360,5)</f>
        <v>0</v>
      </c>
      <c r="F1365" s="121">
        <f>ROUND(D1365*'FR_Mantenimiento tasas'!$D$48/360,5)</f>
        <v>0</v>
      </c>
    </row>
    <row r="1366" spans="1:6">
      <c r="A1366" s="123">
        <f>IF(OR(A1365='F-Ahorro Futuro Decimos'!$H$16,A1365=""),"",IF(A1365+1&gt;'F-Ahorro Futuro Decimos'!$H$16,'F-Ahorro Futuro Decimos'!$H$16,A1365+1))</f>
        <v>1364</v>
      </c>
      <c r="B1366" s="122">
        <f>IFERROR(IF(DAY($A1366)=DAY('F-Ahorro Futuro Decimos'!$H$15),'F-Ahorro Futuro Decimos'!$H$14,0),0)</f>
        <v>0</v>
      </c>
      <c r="C1366" s="122">
        <f>IF(A1366='F-Ahorro Futuro Decimos'!$H$18,'F-Ahorro Futuro Decimos'!$H$20,0)</f>
        <v>0</v>
      </c>
      <c r="D1366" s="122">
        <f t="shared" si="21"/>
        <v>0</v>
      </c>
      <c r="E1366" s="121">
        <f>ROUND(D1366*'FR_Mantenimiento tasas'!$C$48/360,5)</f>
        <v>0</v>
      </c>
      <c r="F1366" s="121">
        <f>ROUND(D1366*'FR_Mantenimiento tasas'!$D$48/360,5)</f>
        <v>0</v>
      </c>
    </row>
    <row r="1367" spans="1:6">
      <c r="A1367" s="123">
        <f>IF(OR(A1366='F-Ahorro Futuro Decimos'!$H$16,A1366=""),"",IF(A1366+1&gt;'F-Ahorro Futuro Decimos'!$H$16,'F-Ahorro Futuro Decimos'!$H$16,A1366+1))</f>
        <v>1365</v>
      </c>
      <c r="B1367" s="122">
        <f>IFERROR(IF(DAY($A1367)=DAY('F-Ahorro Futuro Decimos'!$H$15),'F-Ahorro Futuro Decimos'!$H$14,0),0)</f>
        <v>0</v>
      </c>
      <c r="C1367" s="122">
        <f>IF(A1367='F-Ahorro Futuro Decimos'!$H$18,'F-Ahorro Futuro Decimos'!$H$20,0)</f>
        <v>0</v>
      </c>
      <c r="D1367" s="122">
        <f t="shared" si="21"/>
        <v>0</v>
      </c>
      <c r="E1367" s="121">
        <f>ROUND(D1367*'FR_Mantenimiento tasas'!$C$48/360,5)</f>
        <v>0</v>
      </c>
      <c r="F1367" s="121">
        <f>ROUND(D1367*'FR_Mantenimiento tasas'!$D$48/360,5)</f>
        <v>0</v>
      </c>
    </row>
    <row r="1368" spans="1:6">
      <c r="A1368" s="123">
        <f>IF(OR(A1367='F-Ahorro Futuro Decimos'!$H$16,A1367=""),"",IF(A1367+1&gt;'F-Ahorro Futuro Decimos'!$H$16,'F-Ahorro Futuro Decimos'!$H$16,A1367+1))</f>
        <v>1366</v>
      </c>
      <c r="B1368" s="122">
        <f>IFERROR(IF(DAY($A1368)=DAY('F-Ahorro Futuro Decimos'!$H$15),'F-Ahorro Futuro Decimos'!$H$14,0),0)</f>
        <v>0</v>
      </c>
      <c r="C1368" s="122">
        <f>IF(A1368='F-Ahorro Futuro Decimos'!$H$18,'F-Ahorro Futuro Decimos'!$H$20,0)</f>
        <v>0</v>
      </c>
      <c r="D1368" s="122">
        <f t="shared" si="21"/>
        <v>0</v>
      </c>
      <c r="E1368" s="121">
        <f>ROUND(D1368*'FR_Mantenimiento tasas'!$C$48/360,5)</f>
        <v>0</v>
      </c>
      <c r="F1368" s="121">
        <f>ROUND(D1368*'FR_Mantenimiento tasas'!$D$48/360,5)</f>
        <v>0</v>
      </c>
    </row>
    <row r="1369" spans="1:6">
      <c r="A1369" s="123">
        <f>IF(OR(A1368='F-Ahorro Futuro Decimos'!$H$16,A1368=""),"",IF(A1368+1&gt;'F-Ahorro Futuro Decimos'!$H$16,'F-Ahorro Futuro Decimos'!$H$16,A1368+1))</f>
        <v>1367</v>
      </c>
      <c r="B1369" s="122">
        <f>IFERROR(IF(DAY($A1369)=DAY('F-Ahorro Futuro Decimos'!$H$15),'F-Ahorro Futuro Decimos'!$H$14,0),0)</f>
        <v>0</v>
      </c>
      <c r="C1369" s="122">
        <f>IF(A1369='F-Ahorro Futuro Decimos'!$H$18,'F-Ahorro Futuro Decimos'!$H$20,0)</f>
        <v>0</v>
      </c>
      <c r="D1369" s="122">
        <f t="shared" si="21"/>
        <v>0</v>
      </c>
      <c r="E1369" s="121">
        <f>ROUND(D1369*'FR_Mantenimiento tasas'!$C$48/360,5)</f>
        <v>0</v>
      </c>
      <c r="F1369" s="121">
        <f>ROUND(D1369*'FR_Mantenimiento tasas'!$D$48/360,5)</f>
        <v>0</v>
      </c>
    </row>
    <row r="1370" spans="1:6">
      <c r="A1370" s="123">
        <f>IF(OR(A1369='F-Ahorro Futuro Decimos'!$H$16,A1369=""),"",IF(A1369+1&gt;'F-Ahorro Futuro Decimos'!$H$16,'F-Ahorro Futuro Decimos'!$H$16,A1369+1))</f>
        <v>1368</v>
      </c>
      <c r="B1370" s="122">
        <f>IFERROR(IF(DAY($A1370)=DAY('F-Ahorro Futuro Decimos'!$H$15),'F-Ahorro Futuro Decimos'!$H$14,0),0)</f>
        <v>0</v>
      </c>
      <c r="C1370" s="122">
        <f>IF(A1370='F-Ahorro Futuro Decimos'!$H$18,'F-Ahorro Futuro Decimos'!$H$20,0)</f>
        <v>0</v>
      </c>
      <c r="D1370" s="122">
        <f t="shared" si="21"/>
        <v>0</v>
      </c>
      <c r="E1370" s="121">
        <f>ROUND(D1370*'FR_Mantenimiento tasas'!$C$48/360,5)</f>
        <v>0</v>
      </c>
      <c r="F1370" s="121">
        <f>ROUND(D1370*'FR_Mantenimiento tasas'!$D$48/360,5)</f>
        <v>0</v>
      </c>
    </row>
    <row r="1371" spans="1:6">
      <c r="A1371" s="123">
        <f>IF(OR(A1370='F-Ahorro Futuro Decimos'!$H$16,A1370=""),"",IF(A1370+1&gt;'F-Ahorro Futuro Decimos'!$H$16,'F-Ahorro Futuro Decimos'!$H$16,A1370+1))</f>
        <v>1369</v>
      </c>
      <c r="B1371" s="122">
        <f>IFERROR(IF(DAY($A1371)=DAY('F-Ahorro Futuro Decimos'!$H$15),'F-Ahorro Futuro Decimos'!$H$14,0),0)</f>
        <v>0</v>
      </c>
      <c r="C1371" s="122">
        <f>IF(A1371='F-Ahorro Futuro Decimos'!$H$18,'F-Ahorro Futuro Decimos'!$H$20,0)</f>
        <v>0</v>
      </c>
      <c r="D1371" s="122">
        <f t="shared" si="21"/>
        <v>0</v>
      </c>
      <c r="E1371" s="121">
        <f>ROUND(D1371*'FR_Mantenimiento tasas'!$C$48/360,5)</f>
        <v>0</v>
      </c>
      <c r="F1371" s="121">
        <f>ROUND(D1371*'FR_Mantenimiento tasas'!$D$48/360,5)</f>
        <v>0</v>
      </c>
    </row>
    <row r="1372" spans="1:6">
      <c r="A1372" s="123">
        <f>IF(OR(A1371='F-Ahorro Futuro Decimos'!$H$16,A1371=""),"",IF(A1371+1&gt;'F-Ahorro Futuro Decimos'!$H$16,'F-Ahorro Futuro Decimos'!$H$16,A1371+1))</f>
        <v>1370</v>
      </c>
      <c r="B1372" s="122">
        <f>IFERROR(IF(DAY($A1372)=DAY('F-Ahorro Futuro Decimos'!$H$15),'F-Ahorro Futuro Decimos'!$H$14,0),0)</f>
        <v>0</v>
      </c>
      <c r="C1372" s="122">
        <f>IF(A1372='F-Ahorro Futuro Decimos'!$H$18,'F-Ahorro Futuro Decimos'!$H$20,0)</f>
        <v>0</v>
      </c>
      <c r="D1372" s="122">
        <f t="shared" si="21"/>
        <v>0</v>
      </c>
      <c r="E1372" s="121">
        <f>ROUND(D1372*'FR_Mantenimiento tasas'!$C$48/360,5)</f>
        <v>0</v>
      </c>
      <c r="F1372" s="121">
        <f>ROUND(D1372*'FR_Mantenimiento tasas'!$D$48/360,5)</f>
        <v>0</v>
      </c>
    </row>
    <row r="1373" spans="1:6">
      <c r="A1373" s="123">
        <f>IF(OR(A1372='F-Ahorro Futuro Decimos'!$H$16,A1372=""),"",IF(A1372+1&gt;'F-Ahorro Futuro Decimos'!$H$16,'F-Ahorro Futuro Decimos'!$H$16,A1372+1))</f>
        <v>1371</v>
      </c>
      <c r="B1373" s="122">
        <f>IFERROR(IF(DAY($A1373)=DAY('F-Ahorro Futuro Decimos'!$H$15),'F-Ahorro Futuro Decimos'!$H$14,0),0)</f>
        <v>0</v>
      </c>
      <c r="C1373" s="122">
        <f>IF(A1373='F-Ahorro Futuro Decimos'!$H$18,'F-Ahorro Futuro Decimos'!$H$20,0)</f>
        <v>0</v>
      </c>
      <c r="D1373" s="122">
        <f t="shared" si="21"/>
        <v>0</v>
      </c>
      <c r="E1373" s="121">
        <f>ROUND(D1373*'FR_Mantenimiento tasas'!$C$48/360,5)</f>
        <v>0</v>
      </c>
      <c r="F1373" s="121">
        <f>ROUND(D1373*'FR_Mantenimiento tasas'!$D$48/360,5)</f>
        <v>0</v>
      </c>
    </row>
    <row r="1374" spans="1:6">
      <c r="A1374" s="123">
        <f>IF(OR(A1373='F-Ahorro Futuro Decimos'!$H$16,A1373=""),"",IF(A1373+1&gt;'F-Ahorro Futuro Decimos'!$H$16,'F-Ahorro Futuro Decimos'!$H$16,A1373+1))</f>
        <v>1372</v>
      </c>
      <c r="B1374" s="122">
        <f>IFERROR(IF(DAY($A1374)=DAY('F-Ahorro Futuro Decimos'!$H$15),'F-Ahorro Futuro Decimos'!$H$14,0),0)</f>
        <v>0</v>
      </c>
      <c r="C1374" s="122">
        <f>IF(A1374='F-Ahorro Futuro Decimos'!$H$18,'F-Ahorro Futuro Decimos'!$H$20,0)</f>
        <v>0</v>
      </c>
      <c r="D1374" s="122">
        <f t="shared" si="21"/>
        <v>0</v>
      </c>
      <c r="E1374" s="121">
        <f>ROUND(D1374*'FR_Mantenimiento tasas'!$C$48/360,5)</f>
        <v>0</v>
      </c>
      <c r="F1374" s="121">
        <f>ROUND(D1374*'FR_Mantenimiento tasas'!$D$48/360,5)</f>
        <v>0</v>
      </c>
    </row>
    <row r="1375" spans="1:6">
      <c r="A1375" s="123">
        <f>IF(OR(A1374='F-Ahorro Futuro Decimos'!$H$16,A1374=""),"",IF(A1374+1&gt;'F-Ahorro Futuro Decimos'!$H$16,'F-Ahorro Futuro Decimos'!$H$16,A1374+1))</f>
        <v>1373</v>
      </c>
      <c r="B1375" s="122">
        <f>IFERROR(IF(DAY($A1375)=DAY('F-Ahorro Futuro Decimos'!$H$15),'F-Ahorro Futuro Decimos'!$H$14,0),0)</f>
        <v>0</v>
      </c>
      <c r="C1375" s="122">
        <f>IF(A1375='F-Ahorro Futuro Decimos'!$H$18,'F-Ahorro Futuro Decimos'!$H$20,0)</f>
        <v>0</v>
      </c>
      <c r="D1375" s="122">
        <f t="shared" si="21"/>
        <v>0</v>
      </c>
      <c r="E1375" s="121">
        <f>ROUND(D1375*'FR_Mantenimiento tasas'!$C$48/360,5)</f>
        <v>0</v>
      </c>
      <c r="F1375" s="121">
        <f>ROUND(D1375*'FR_Mantenimiento tasas'!$D$48/360,5)</f>
        <v>0</v>
      </c>
    </row>
    <row r="1376" spans="1:6">
      <c r="A1376" s="123">
        <f>IF(OR(A1375='F-Ahorro Futuro Decimos'!$H$16,A1375=""),"",IF(A1375+1&gt;'F-Ahorro Futuro Decimos'!$H$16,'F-Ahorro Futuro Decimos'!$H$16,A1375+1))</f>
        <v>1374</v>
      </c>
      <c r="B1376" s="122">
        <f>IFERROR(IF(DAY($A1376)=DAY('F-Ahorro Futuro Decimos'!$H$15),'F-Ahorro Futuro Decimos'!$H$14,0),0)</f>
        <v>0</v>
      </c>
      <c r="C1376" s="122">
        <f>IF(A1376='F-Ahorro Futuro Decimos'!$H$18,'F-Ahorro Futuro Decimos'!$H$20,0)</f>
        <v>0</v>
      </c>
      <c r="D1376" s="122">
        <f t="shared" si="21"/>
        <v>0</v>
      </c>
      <c r="E1376" s="121">
        <f>ROUND(D1376*'FR_Mantenimiento tasas'!$C$48/360,5)</f>
        <v>0</v>
      </c>
      <c r="F1376" s="121">
        <f>ROUND(D1376*'FR_Mantenimiento tasas'!$D$48/360,5)</f>
        <v>0</v>
      </c>
    </row>
    <row r="1377" spans="1:6">
      <c r="A1377" s="123">
        <f>IF(OR(A1376='F-Ahorro Futuro Decimos'!$H$16,A1376=""),"",IF(A1376+1&gt;'F-Ahorro Futuro Decimos'!$H$16,'F-Ahorro Futuro Decimos'!$H$16,A1376+1))</f>
        <v>1375</v>
      </c>
      <c r="B1377" s="122">
        <f>IFERROR(IF(DAY($A1377)=DAY('F-Ahorro Futuro Decimos'!$H$15),'F-Ahorro Futuro Decimos'!$H$14,0),0)</f>
        <v>0</v>
      </c>
      <c r="C1377" s="122">
        <f>IF(A1377='F-Ahorro Futuro Decimos'!$H$18,'F-Ahorro Futuro Decimos'!$H$20,0)</f>
        <v>0</v>
      </c>
      <c r="D1377" s="122">
        <f t="shared" si="21"/>
        <v>0</v>
      </c>
      <c r="E1377" s="121">
        <f>ROUND(D1377*'FR_Mantenimiento tasas'!$C$48/360,5)</f>
        <v>0</v>
      </c>
      <c r="F1377" s="121">
        <f>ROUND(D1377*'FR_Mantenimiento tasas'!$D$48/360,5)</f>
        <v>0</v>
      </c>
    </row>
    <row r="1378" spans="1:6">
      <c r="A1378" s="123">
        <f>IF(OR(A1377='F-Ahorro Futuro Decimos'!$H$16,A1377=""),"",IF(A1377+1&gt;'F-Ahorro Futuro Decimos'!$H$16,'F-Ahorro Futuro Decimos'!$H$16,A1377+1))</f>
        <v>1376</v>
      </c>
      <c r="B1378" s="122">
        <f>IFERROR(IF(DAY($A1378)=DAY('F-Ahorro Futuro Decimos'!$H$15),'F-Ahorro Futuro Decimos'!$H$14,0),0)</f>
        <v>0</v>
      </c>
      <c r="C1378" s="122">
        <f>IF(A1378='F-Ahorro Futuro Decimos'!$H$18,'F-Ahorro Futuro Decimos'!$H$20,0)</f>
        <v>0</v>
      </c>
      <c r="D1378" s="122">
        <f t="shared" si="21"/>
        <v>0</v>
      </c>
      <c r="E1378" s="121">
        <f>ROUND(D1378*'FR_Mantenimiento tasas'!$C$48/360,5)</f>
        <v>0</v>
      </c>
      <c r="F1378" s="121">
        <f>ROUND(D1378*'FR_Mantenimiento tasas'!$D$48/360,5)</f>
        <v>0</v>
      </c>
    </row>
    <row r="1379" spans="1:6">
      <c r="A1379" s="123">
        <f>IF(OR(A1378='F-Ahorro Futuro Decimos'!$H$16,A1378=""),"",IF(A1378+1&gt;'F-Ahorro Futuro Decimos'!$H$16,'F-Ahorro Futuro Decimos'!$H$16,A1378+1))</f>
        <v>1377</v>
      </c>
      <c r="B1379" s="122">
        <f>IFERROR(IF(DAY($A1379)=DAY('F-Ahorro Futuro Decimos'!$H$15),'F-Ahorro Futuro Decimos'!$H$14,0),0)</f>
        <v>0</v>
      </c>
      <c r="C1379" s="122">
        <f>IF(A1379='F-Ahorro Futuro Decimos'!$H$18,'F-Ahorro Futuro Decimos'!$H$20,0)</f>
        <v>0</v>
      </c>
      <c r="D1379" s="122">
        <f t="shared" si="21"/>
        <v>0</v>
      </c>
      <c r="E1379" s="121">
        <f>ROUND(D1379*'FR_Mantenimiento tasas'!$C$48/360,5)</f>
        <v>0</v>
      </c>
      <c r="F1379" s="121">
        <f>ROUND(D1379*'FR_Mantenimiento tasas'!$D$48/360,5)</f>
        <v>0</v>
      </c>
    </row>
    <row r="1380" spans="1:6">
      <c r="A1380" s="123">
        <f>IF(OR(A1379='F-Ahorro Futuro Decimos'!$H$16,A1379=""),"",IF(A1379+1&gt;'F-Ahorro Futuro Decimos'!$H$16,'F-Ahorro Futuro Decimos'!$H$16,A1379+1))</f>
        <v>1378</v>
      </c>
      <c r="B1380" s="122">
        <f>IFERROR(IF(DAY($A1380)=DAY('F-Ahorro Futuro Decimos'!$H$15),'F-Ahorro Futuro Decimos'!$H$14,0),0)</f>
        <v>0</v>
      </c>
      <c r="C1380" s="122">
        <f>IF(A1380='F-Ahorro Futuro Decimos'!$H$18,'F-Ahorro Futuro Decimos'!$H$20,0)</f>
        <v>0</v>
      </c>
      <c r="D1380" s="122">
        <f t="shared" si="21"/>
        <v>0</v>
      </c>
      <c r="E1380" s="121">
        <f>ROUND(D1380*'FR_Mantenimiento tasas'!$C$48/360,5)</f>
        <v>0</v>
      </c>
      <c r="F1380" s="121">
        <f>ROUND(D1380*'FR_Mantenimiento tasas'!$D$48/360,5)</f>
        <v>0</v>
      </c>
    </row>
    <row r="1381" spans="1:6">
      <c r="A1381" s="123">
        <f>IF(OR(A1380='F-Ahorro Futuro Decimos'!$H$16,A1380=""),"",IF(A1380+1&gt;'F-Ahorro Futuro Decimos'!$H$16,'F-Ahorro Futuro Decimos'!$H$16,A1380+1))</f>
        <v>1379</v>
      </c>
      <c r="B1381" s="122">
        <f>IFERROR(IF(DAY($A1381)=DAY('F-Ahorro Futuro Decimos'!$H$15),'F-Ahorro Futuro Decimos'!$H$14,0),0)</f>
        <v>0</v>
      </c>
      <c r="C1381" s="122">
        <f>IF(A1381='F-Ahorro Futuro Decimos'!$H$18,'F-Ahorro Futuro Decimos'!$H$20,0)</f>
        <v>0</v>
      </c>
      <c r="D1381" s="122">
        <f t="shared" si="21"/>
        <v>0</v>
      </c>
      <c r="E1381" s="121">
        <f>ROUND(D1381*'FR_Mantenimiento tasas'!$C$48/360,5)</f>
        <v>0</v>
      </c>
      <c r="F1381" s="121">
        <f>ROUND(D1381*'FR_Mantenimiento tasas'!$D$48/360,5)</f>
        <v>0</v>
      </c>
    </row>
    <row r="1382" spans="1:6">
      <c r="A1382" s="123">
        <f>IF(OR(A1381='F-Ahorro Futuro Decimos'!$H$16,A1381=""),"",IF(A1381+1&gt;'F-Ahorro Futuro Decimos'!$H$16,'F-Ahorro Futuro Decimos'!$H$16,A1381+1))</f>
        <v>1380</v>
      </c>
      <c r="B1382" s="122">
        <f>IFERROR(IF(DAY($A1382)=DAY('F-Ahorro Futuro Decimos'!$H$15),'F-Ahorro Futuro Decimos'!$H$14,0),0)</f>
        <v>0</v>
      </c>
      <c r="C1382" s="122">
        <f>IF(A1382='F-Ahorro Futuro Decimos'!$H$18,'F-Ahorro Futuro Decimos'!$H$20,0)</f>
        <v>0</v>
      </c>
      <c r="D1382" s="122">
        <f t="shared" si="21"/>
        <v>0</v>
      </c>
      <c r="E1382" s="121">
        <f>ROUND(D1382*'FR_Mantenimiento tasas'!$C$48/360,5)</f>
        <v>0</v>
      </c>
      <c r="F1382" s="121">
        <f>ROUND(D1382*'FR_Mantenimiento tasas'!$D$48/360,5)</f>
        <v>0</v>
      </c>
    </row>
    <row r="1383" spans="1:6">
      <c r="A1383" s="123">
        <f>IF(OR(A1382='F-Ahorro Futuro Decimos'!$H$16,A1382=""),"",IF(A1382+1&gt;'F-Ahorro Futuro Decimos'!$H$16,'F-Ahorro Futuro Decimos'!$H$16,A1382+1))</f>
        <v>1381</v>
      </c>
      <c r="B1383" s="122">
        <f>IFERROR(IF(DAY($A1383)=DAY('F-Ahorro Futuro Decimos'!$H$15),'F-Ahorro Futuro Decimos'!$H$14,0),0)</f>
        <v>0</v>
      </c>
      <c r="C1383" s="122">
        <f>IF(A1383='F-Ahorro Futuro Decimos'!$H$18,'F-Ahorro Futuro Decimos'!$H$20,0)</f>
        <v>0</v>
      </c>
      <c r="D1383" s="122">
        <f t="shared" si="21"/>
        <v>0</v>
      </c>
      <c r="E1383" s="121">
        <f>ROUND(D1383*'FR_Mantenimiento tasas'!$C$48/360,5)</f>
        <v>0</v>
      </c>
      <c r="F1383" s="121">
        <f>ROUND(D1383*'FR_Mantenimiento tasas'!$D$48/360,5)</f>
        <v>0</v>
      </c>
    </row>
    <row r="1384" spans="1:6">
      <c r="A1384" s="123">
        <f>IF(OR(A1383='F-Ahorro Futuro Decimos'!$H$16,A1383=""),"",IF(A1383+1&gt;'F-Ahorro Futuro Decimos'!$H$16,'F-Ahorro Futuro Decimos'!$H$16,A1383+1))</f>
        <v>1382</v>
      </c>
      <c r="B1384" s="122">
        <f>IFERROR(IF(DAY($A1384)=DAY('F-Ahorro Futuro Decimos'!$H$15),'F-Ahorro Futuro Decimos'!$H$14,0),0)</f>
        <v>0</v>
      </c>
      <c r="C1384" s="122">
        <f>IF(A1384='F-Ahorro Futuro Decimos'!$H$18,'F-Ahorro Futuro Decimos'!$H$20,0)</f>
        <v>0</v>
      </c>
      <c r="D1384" s="122">
        <f t="shared" si="21"/>
        <v>0</v>
      </c>
      <c r="E1384" s="121">
        <f>ROUND(D1384*'FR_Mantenimiento tasas'!$C$48/360,5)</f>
        <v>0</v>
      </c>
      <c r="F1384" s="121">
        <f>ROUND(D1384*'FR_Mantenimiento tasas'!$D$48/360,5)</f>
        <v>0</v>
      </c>
    </row>
    <row r="1385" spans="1:6">
      <c r="A1385" s="123">
        <f>IF(OR(A1384='F-Ahorro Futuro Decimos'!$H$16,A1384=""),"",IF(A1384+1&gt;'F-Ahorro Futuro Decimos'!$H$16,'F-Ahorro Futuro Decimos'!$H$16,A1384+1))</f>
        <v>1383</v>
      </c>
      <c r="B1385" s="122">
        <f>IFERROR(IF(DAY($A1385)=DAY('F-Ahorro Futuro Decimos'!$H$15),'F-Ahorro Futuro Decimos'!$H$14,0),0)</f>
        <v>0</v>
      </c>
      <c r="C1385" s="122">
        <f>IF(A1385='F-Ahorro Futuro Decimos'!$H$18,'F-Ahorro Futuro Decimos'!$H$20,0)</f>
        <v>0</v>
      </c>
      <c r="D1385" s="122">
        <f t="shared" si="21"/>
        <v>0</v>
      </c>
      <c r="E1385" s="121">
        <f>ROUND(D1385*'FR_Mantenimiento tasas'!$C$48/360,5)</f>
        <v>0</v>
      </c>
      <c r="F1385" s="121">
        <f>ROUND(D1385*'FR_Mantenimiento tasas'!$D$48/360,5)</f>
        <v>0</v>
      </c>
    </row>
    <row r="1386" spans="1:6">
      <c r="A1386" s="123">
        <f>IF(OR(A1385='F-Ahorro Futuro Decimos'!$H$16,A1385=""),"",IF(A1385+1&gt;'F-Ahorro Futuro Decimos'!$H$16,'F-Ahorro Futuro Decimos'!$H$16,A1385+1))</f>
        <v>1384</v>
      </c>
      <c r="B1386" s="122">
        <f>IFERROR(IF(DAY($A1386)=DAY('F-Ahorro Futuro Decimos'!$H$15),'F-Ahorro Futuro Decimos'!$H$14,0),0)</f>
        <v>0</v>
      </c>
      <c r="C1386" s="122">
        <f>IF(A1386='F-Ahorro Futuro Decimos'!$H$18,'F-Ahorro Futuro Decimos'!$H$20,0)</f>
        <v>0</v>
      </c>
      <c r="D1386" s="122">
        <f t="shared" si="21"/>
        <v>0</v>
      </c>
      <c r="E1386" s="121">
        <f>ROUND(D1386*'FR_Mantenimiento tasas'!$C$48/360,5)</f>
        <v>0</v>
      </c>
      <c r="F1386" s="121">
        <f>ROUND(D1386*'FR_Mantenimiento tasas'!$D$48/360,5)</f>
        <v>0</v>
      </c>
    </row>
    <row r="1387" spans="1:6">
      <c r="A1387" s="123">
        <f>IF(OR(A1386='F-Ahorro Futuro Decimos'!$H$16,A1386=""),"",IF(A1386+1&gt;'F-Ahorro Futuro Decimos'!$H$16,'F-Ahorro Futuro Decimos'!$H$16,A1386+1))</f>
        <v>1385</v>
      </c>
      <c r="B1387" s="122">
        <f>IFERROR(IF(DAY($A1387)=DAY('F-Ahorro Futuro Decimos'!$H$15),'F-Ahorro Futuro Decimos'!$H$14,0),0)</f>
        <v>0</v>
      </c>
      <c r="C1387" s="122">
        <f>IF(A1387='F-Ahorro Futuro Decimos'!$H$18,'F-Ahorro Futuro Decimos'!$H$20,0)</f>
        <v>0</v>
      </c>
      <c r="D1387" s="122">
        <f t="shared" si="21"/>
        <v>0</v>
      </c>
      <c r="E1387" s="121">
        <f>ROUND(D1387*'FR_Mantenimiento tasas'!$C$48/360,5)</f>
        <v>0</v>
      </c>
      <c r="F1387" s="121">
        <f>ROUND(D1387*'FR_Mantenimiento tasas'!$D$48/360,5)</f>
        <v>0</v>
      </c>
    </row>
    <row r="1388" spans="1:6">
      <c r="A1388" s="123">
        <f>IF(OR(A1387='F-Ahorro Futuro Decimos'!$H$16,A1387=""),"",IF(A1387+1&gt;'F-Ahorro Futuro Decimos'!$H$16,'F-Ahorro Futuro Decimos'!$H$16,A1387+1))</f>
        <v>1386</v>
      </c>
      <c r="B1388" s="122">
        <f>IFERROR(IF(DAY($A1388)=DAY('F-Ahorro Futuro Decimos'!$H$15),'F-Ahorro Futuro Decimos'!$H$14,0),0)</f>
        <v>0</v>
      </c>
      <c r="C1388" s="122">
        <f>IF(A1388='F-Ahorro Futuro Decimos'!$H$18,'F-Ahorro Futuro Decimos'!$H$20,0)</f>
        <v>0</v>
      </c>
      <c r="D1388" s="122">
        <f t="shared" si="21"/>
        <v>0</v>
      </c>
      <c r="E1388" s="121">
        <f>ROUND(D1388*'FR_Mantenimiento tasas'!$C$48/360,5)</f>
        <v>0</v>
      </c>
      <c r="F1388" s="121">
        <f>ROUND(D1388*'FR_Mantenimiento tasas'!$D$48/360,5)</f>
        <v>0</v>
      </c>
    </row>
    <row r="1389" spans="1:6">
      <c r="A1389" s="123">
        <f>IF(OR(A1388='F-Ahorro Futuro Decimos'!$H$16,A1388=""),"",IF(A1388+1&gt;'F-Ahorro Futuro Decimos'!$H$16,'F-Ahorro Futuro Decimos'!$H$16,A1388+1))</f>
        <v>1387</v>
      </c>
      <c r="B1389" s="122">
        <f>IFERROR(IF(DAY($A1389)=DAY('F-Ahorro Futuro Decimos'!$H$15),'F-Ahorro Futuro Decimos'!$H$14,0),0)</f>
        <v>0</v>
      </c>
      <c r="C1389" s="122">
        <f>IF(A1389='F-Ahorro Futuro Decimos'!$H$18,'F-Ahorro Futuro Decimos'!$H$20,0)</f>
        <v>0</v>
      </c>
      <c r="D1389" s="122">
        <f t="shared" si="21"/>
        <v>0</v>
      </c>
      <c r="E1389" s="121">
        <f>ROUND(D1389*'FR_Mantenimiento tasas'!$C$48/360,5)</f>
        <v>0</v>
      </c>
      <c r="F1389" s="121">
        <f>ROUND(D1389*'FR_Mantenimiento tasas'!$D$48/360,5)</f>
        <v>0</v>
      </c>
    </row>
    <row r="1390" spans="1:6">
      <c r="A1390" s="123">
        <f>IF(OR(A1389='F-Ahorro Futuro Decimos'!$H$16,A1389=""),"",IF(A1389+1&gt;'F-Ahorro Futuro Decimos'!$H$16,'F-Ahorro Futuro Decimos'!$H$16,A1389+1))</f>
        <v>1388</v>
      </c>
      <c r="B1390" s="122">
        <f>IFERROR(IF(DAY($A1390)=DAY('F-Ahorro Futuro Decimos'!$H$15),'F-Ahorro Futuro Decimos'!$H$14,0),0)</f>
        <v>0</v>
      </c>
      <c r="C1390" s="122">
        <f>IF(A1390='F-Ahorro Futuro Decimos'!$H$18,'F-Ahorro Futuro Decimos'!$H$20,0)</f>
        <v>0</v>
      </c>
      <c r="D1390" s="122">
        <f t="shared" si="21"/>
        <v>0</v>
      </c>
      <c r="E1390" s="121">
        <f>ROUND(D1390*'FR_Mantenimiento tasas'!$C$48/360,5)</f>
        <v>0</v>
      </c>
      <c r="F1390" s="121">
        <f>ROUND(D1390*'FR_Mantenimiento tasas'!$D$48/360,5)</f>
        <v>0</v>
      </c>
    </row>
    <row r="1391" spans="1:6">
      <c r="A1391" s="123">
        <f>IF(OR(A1390='F-Ahorro Futuro Decimos'!$H$16,A1390=""),"",IF(A1390+1&gt;'F-Ahorro Futuro Decimos'!$H$16,'F-Ahorro Futuro Decimos'!$H$16,A1390+1))</f>
        <v>1389</v>
      </c>
      <c r="B1391" s="122">
        <f>IFERROR(IF(DAY($A1391)=DAY('F-Ahorro Futuro Decimos'!$H$15),'F-Ahorro Futuro Decimos'!$H$14,0),0)</f>
        <v>0</v>
      </c>
      <c r="C1391" s="122">
        <f>IF(A1391='F-Ahorro Futuro Decimos'!$H$18,'F-Ahorro Futuro Decimos'!$H$20,0)</f>
        <v>0</v>
      </c>
      <c r="D1391" s="122">
        <f t="shared" si="21"/>
        <v>0</v>
      </c>
      <c r="E1391" s="121">
        <f>ROUND(D1391*'FR_Mantenimiento tasas'!$C$48/360,5)</f>
        <v>0</v>
      </c>
      <c r="F1391" s="121">
        <f>ROUND(D1391*'FR_Mantenimiento tasas'!$D$48/360,5)</f>
        <v>0</v>
      </c>
    </row>
    <row r="1392" spans="1:6">
      <c r="A1392" s="123">
        <f>IF(OR(A1391='F-Ahorro Futuro Decimos'!$H$16,A1391=""),"",IF(A1391+1&gt;'F-Ahorro Futuro Decimos'!$H$16,'F-Ahorro Futuro Decimos'!$H$16,A1391+1))</f>
        <v>1390</v>
      </c>
      <c r="B1392" s="122">
        <f>IFERROR(IF(DAY($A1392)=DAY('F-Ahorro Futuro Decimos'!$H$15),'F-Ahorro Futuro Decimos'!$H$14,0),0)</f>
        <v>0</v>
      </c>
      <c r="C1392" s="122">
        <f>IF(A1392='F-Ahorro Futuro Decimos'!$H$18,'F-Ahorro Futuro Decimos'!$H$20,0)</f>
        <v>0</v>
      </c>
      <c r="D1392" s="122">
        <f t="shared" si="21"/>
        <v>0</v>
      </c>
      <c r="E1392" s="121">
        <f>ROUND(D1392*'FR_Mantenimiento tasas'!$C$48/360,5)</f>
        <v>0</v>
      </c>
      <c r="F1392" s="121">
        <f>ROUND(D1392*'FR_Mantenimiento tasas'!$D$48/360,5)</f>
        <v>0</v>
      </c>
    </row>
    <row r="1393" spans="1:6">
      <c r="A1393" s="123">
        <f>IF(OR(A1392='F-Ahorro Futuro Decimos'!$H$16,A1392=""),"",IF(A1392+1&gt;'F-Ahorro Futuro Decimos'!$H$16,'F-Ahorro Futuro Decimos'!$H$16,A1392+1))</f>
        <v>1391</v>
      </c>
      <c r="B1393" s="122">
        <f>IFERROR(IF(DAY($A1393)=DAY('F-Ahorro Futuro Decimos'!$H$15),'F-Ahorro Futuro Decimos'!$H$14,0),0)</f>
        <v>0</v>
      </c>
      <c r="C1393" s="122">
        <f>IF(A1393='F-Ahorro Futuro Decimos'!$H$18,'F-Ahorro Futuro Decimos'!$H$20,0)</f>
        <v>0</v>
      </c>
      <c r="D1393" s="122">
        <f t="shared" si="21"/>
        <v>0</v>
      </c>
      <c r="E1393" s="121">
        <f>ROUND(D1393*'FR_Mantenimiento tasas'!$C$48/360,5)</f>
        <v>0</v>
      </c>
      <c r="F1393" s="121">
        <f>ROUND(D1393*'FR_Mantenimiento tasas'!$D$48/360,5)</f>
        <v>0</v>
      </c>
    </row>
    <row r="1394" spans="1:6">
      <c r="A1394" s="123">
        <f>IF(OR(A1393='F-Ahorro Futuro Decimos'!$H$16,A1393=""),"",IF(A1393+1&gt;'F-Ahorro Futuro Decimos'!$H$16,'F-Ahorro Futuro Decimos'!$H$16,A1393+1))</f>
        <v>1392</v>
      </c>
      <c r="B1394" s="122">
        <f>IFERROR(IF(DAY($A1394)=DAY('F-Ahorro Futuro Decimos'!$H$15),'F-Ahorro Futuro Decimos'!$H$14,0),0)</f>
        <v>0</v>
      </c>
      <c r="C1394" s="122">
        <f>IF(A1394='F-Ahorro Futuro Decimos'!$H$18,'F-Ahorro Futuro Decimos'!$H$20,0)</f>
        <v>0</v>
      </c>
      <c r="D1394" s="122">
        <f t="shared" si="21"/>
        <v>0</v>
      </c>
      <c r="E1394" s="121">
        <f>ROUND(D1394*'FR_Mantenimiento tasas'!$C$48/360,5)</f>
        <v>0</v>
      </c>
      <c r="F1394" s="121">
        <f>ROUND(D1394*'FR_Mantenimiento tasas'!$D$48/360,5)</f>
        <v>0</v>
      </c>
    </row>
    <row r="1395" spans="1:6">
      <c r="A1395" s="123">
        <f>IF(OR(A1394='F-Ahorro Futuro Decimos'!$H$16,A1394=""),"",IF(A1394+1&gt;'F-Ahorro Futuro Decimos'!$H$16,'F-Ahorro Futuro Decimos'!$H$16,A1394+1))</f>
        <v>1393</v>
      </c>
      <c r="B1395" s="122">
        <f>IFERROR(IF(DAY($A1395)=DAY('F-Ahorro Futuro Decimos'!$H$15),'F-Ahorro Futuro Decimos'!$H$14,0),0)</f>
        <v>0</v>
      </c>
      <c r="C1395" s="122">
        <f>IF(A1395='F-Ahorro Futuro Decimos'!$H$18,'F-Ahorro Futuro Decimos'!$H$20,0)</f>
        <v>0</v>
      </c>
      <c r="D1395" s="122">
        <f t="shared" si="21"/>
        <v>0</v>
      </c>
      <c r="E1395" s="121">
        <f>ROUND(D1395*'FR_Mantenimiento tasas'!$C$48/360,5)</f>
        <v>0</v>
      </c>
      <c r="F1395" s="121">
        <f>ROUND(D1395*'FR_Mantenimiento tasas'!$D$48/360,5)</f>
        <v>0</v>
      </c>
    </row>
    <row r="1396" spans="1:6">
      <c r="A1396" s="123">
        <f>IF(OR(A1395='F-Ahorro Futuro Decimos'!$H$16,A1395=""),"",IF(A1395+1&gt;'F-Ahorro Futuro Decimos'!$H$16,'F-Ahorro Futuro Decimos'!$H$16,A1395+1))</f>
        <v>1394</v>
      </c>
      <c r="B1396" s="122">
        <f>IFERROR(IF(DAY($A1396)=DAY('F-Ahorro Futuro Decimos'!$H$15),'F-Ahorro Futuro Decimos'!$H$14,0),0)</f>
        <v>0</v>
      </c>
      <c r="C1396" s="122">
        <f>IF(A1396='F-Ahorro Futuro Decimos'!$H$18,'F-Ahorro Futuro Decimos'!$H$20,0)</f>
        <v>0</v>
      </c>
      <c r="D1396" s="122">
        <f t="shared" si="21"/>
        <v>0</v>
      </c>
      <c r="E1396" s="121">
        <f>ROUND(D1396*'FR_Mantenimiento tasas'!$C$48/360,5)</f>
        <v>0</v>
      </c>
      <c r="F1396" s="121">
        <f>ROUND(D1396*'FR_Mantenimiento tasas'!$D$48/360,5)</f>
        <v>0</v>
      </c>
    </row>
    <row r="1397" spans="1:6">
      <c r="A1397" s="123">
        <f>IF(OR(A1396='F-Ahorro Futuro Decimos'!$H$16,A1396=""),"",IF(A1396+1&gt;'F-Ahorro Futuro Decimos'!$H$16,'F-Ahorro Futuro Decimos'!$H$16,A1396+1))</f>
        <v>1395</v>
      </c>
      <c r="B1397" s="122">
        <f>IFERROR(IF(DAY($A1397)=DAY('F-Ahorro Futuro Decimos'!$H$15),'F-Ahorro Futuro Decimos'!$H$14,0),0)</f>
        <v>0</v>
      </c>
      <c r="C1397" s="122">
        <f>IF(A1397='F-Ahorro Futuro Decimos'!$H$18,'F-Ahorro Futuro Decimos'!$H$20,0)</f>
        <v>0</v>
      </c>
      <c r="D1397" s="122">
        <f t="shared" si="21"/>
        <v>0</v>
      </c>
      <c r="E1397" s="121">
        <f>ROUND(D1397*'FR_Mantenimiento tasas'!$C$48/360,5)</f>
        <v>0</v>
      </c>
      <c r="F1397" s="121">
        <f>ROUND(D1397*'FR_Mantenimiento tasas'!$D$48/360,5)</f>
        <v>0</v>
      </c>
    </row>
    <row r="1398" spans="1:6">
      <c r="A1398" s="123">
        <f>IF(OR(A1397='F-Ahorro Futuro Decimos'!$H$16,A1397=""),"",IF(A1397+1&gt;'F-Ahorro Futuro Decimos'!$H$16,'F-Ahorro Futuro Decimos'!$H$16,A1397+1))</f>
        <v>1396</v>
      </c>
      <c r="B1398" s="122">
        <f>IFERROR(IF(DAY($A1398)=DAY('F-Ahorro Futuro Decimos'!$H$15),'F-Ahorro Futuro Decimos'!$H$14,0),0)</f>
        <v>0</v>
      </c>
      <c r="C1398" s="122">
        <f>IF(A1398='F-Ahorro Futuro Decimos'!$H$18,'F-Ahorro Futuro Decimos'!$H$20,0)</f>
        <v>0</v>
      </c>
      <c r="D1398" s="122">
        <f t="shared" si="21"/>
        <v>0</v>
      </c>
      <c r="E1398" s="121">
        <f>ROUND(D1398*'FR_Mantenimiento tasas'!$C$48/360,5)</f>
        <v>0</v>
      </c>
      <c r="F1398" s="121">
        <f>ROUND(D1398*'FR_Mantenimiento tasas'!$D$48/360,5)</f>
        <v>0</v>
      </c>
    </row>
    <row r="1399" spans="1:6">
      <c r="A1399" s="123">
        <f>IF(OR(A1398='F-Ahorro Futuro Decimos'!$H$16,A1398=""),"",IF(A1398+1&gt;'F-Ahorro Futuro Decimos'!$H$16,'F-Ahorro Futuro Decimos'!$H$16,A1398+1))</f>
        <v>1397</v>
      </c>
      <c r="B1399" s="122">
        <f>IFERROR(IF(DAY($A1399)=DAY('F-Ahorro Futuro Decimos'!$H$15),'F-Ahorro Futuro Decimos'!$H$14,0),0)</f>
        <v>0</v>
      </c>
      <c r="C1399" s="122">
        <f>IF(A1399='F-Ahorro Futuro Decimos'!$H$18,'F-Ahorro Futuro Decimos'!$H$20,0)</f>
        <v>0</v>
      </c>
      <c r="D1399" s="122">
        <f t="shared" si="21"/>
        <v>0</v>
      </c>
      <c r="E1399" s="121">
        <f>ROUND(D1399*'FR_Mantenimiento tasas'!$C$48/360,5)</f>
        <v>0</v>
      </c>
      <c r="F1399" s="121">
        <f>ROUND(D1399*'FR_Mantenimiento tasas'!$D$48/360,5)</f>
        <v>0</v>
      </c>
    </row>
    <row r="1400" spans="1:6">
      <c r="A1400" s="123">
        <f>IF(OR(A1399='F-Ahorro Futuro Decimos'!$H$16,A1399=""),"",IF(A1399+1&gt;'F-Ahorro Futuro Decimos'!$H$16,'F-Ahorro Futuro Decimos'!$H$16,A1399+1))</f>
        <v>1398</v>
      </c>
      <c r="B1400" s="122">
        <f>IFERROR(IF(DAY($A1400)=DAY('F-Ahorro Futuro Decimos'!$H$15),'F-Ahorro Futuro Decimos'!$H$14,0),0)</f>
        <v>0</v>
      </c>
      <c r="C1400" s="122">
        <f>IF(A1400='F-Ahorro Futuro Decimos'!$H$18,'F-Ahorro Futuro Decimos'!$H$20,0)</f>
        <v>0</v>
      </c>
      <c r="D1400" s="122">
        <f t="shared" si="21"/>
        <v>0</v>
      </c>
      <c r="E1400" s="121">
        <f>ROUND(D1400*'FR_Mantenimiento tasas'!$C$48/360,5)</f>
        <v>0</v>
      </c>
      <c r="F1400" s="121">
        <f>ROUND(D1400*'FR_Mantenimiento tasas'!$D$48/360,5)</f>
        <v>0</v>
      </c>
    </row>
    <row r="1401" spans="1:6">
      <c r="A1401" s="123">
        <f>IF(OR(A1400='F-Ahorro Futuro Decimos'!$H$16,A1400=""),"",IF(A1400+1&gt;'F-Ahorro Futuro Decimos'!$H$16,'F-Ahorro Futuro Decimos'!$H$16,A1400+1))</f>
        <v>1399</v>
      </c>
      <c r="B1401" s="122">
        <f>IFERROR(IF(DAY($A1401)=DAY('F-Ahorro Futuro Decimos'!$H$15),'F-Ahorro Futuro Decimos'!$H$14,0),0)</f>
        <v>0</v>
      </c>
      <c r="C1401" s="122">
        <f>IF(A1401='F-Ahorro Futuro Decimos'!$H$18,'F-Ahorro Futuro Decimos'!$H$20,0)</f>
        <v>0</v>
      </c>
      <c r="D1401" s="122">
        <f t="shared" si="21"/>
        <v>0</v>
      </c>
      <c r="E1401" s="121">
        <f>ROUND(D1401*'FR_Mantenimiento tasas'!$C$48/360,5)</f>
        <v>0</v>
      </c>
      <c r="F1401" s="121">
        <f>ROUND(D1401*'FR_Mantenimiento tasas'!$D$48/360,5)</f>
        <v>0</v>
      </c>
    </row>
    <row r="1402" spans="1:6">
      <c r="A1402" s="123">
        <f>IF(OR(A1401='F-Ahorro Futuro Decimos'!$H$16,A1401=""),"",IF(A1401+1&gt;'F-Ahorro Futuro Decimos'!$H$16,'F-Ahorro Futuro Decimos'!$H$16,A1401+1))</f>
        <v>1400</v>
      </c>
      <c r="B1402" s="122">
        <f>IFERROR(IF(DAY($A1402)=DAY('F-Ahorro Futuro Decimos'!$H$15),'F-Ahorro Futuro Decimos'!$H$14,0),0)</f>
        <v>0</v>
      </c>
      <c r="C1402" s="122">
        <f>IF(A1402='F-Ahorro Futuro Decimos'!$H$18,'F-Ahorro Futuro Decimos'!$H$20,0)</f>
        <v>0</v>
      </c>
      <c r="D1402" s="122">
        <f t="shared" si="21"/>
        <v>0</v>
      </c>
      <c r="E1402" s="121">
        <f>ROUND(D1402*'FR_Mantenimiento tasas'!$C$48/360,5)</f>
        <v>0</v>
      </c>
      <c r="F1402" s="121">
        <f>ROUND(D1402*'FR_Mantenimiento tasas'!$D$48/360,5)</f>
        <v>0</v>
      </c>
    </row>
    <row r="1403" spans="1:6">
      <c r="A1403" s="123">
        <f>IF(OR(A1402='F-Ahorro Futuro Decimos'!$H$16,A1402=""),"",IF(A1402+1&gt;'F-Ahorro Futuro Decimos'!$H$16,'F-Ahorro Futuro Decimos'!$H$16,A1402+1))</f>
        <v>1401</v>
      </c>
      <c r="B1403" s="122">
        <f>IFERROR(IF(DAY($A1403)=DAY('F-Ahorro Futuro Decimos'!$H$15),'F-Ahorro Futuro Decimos'!$H$14,0),0)</f>
        <v>0</v>
      </c>
      <c r="C1403" s="122">
        <f>IF(A1403='F-Ahorro Futuro Decimos'!$H$18,'F-Ahorro Futuro Decimos'!$H$20,0)</f>
        <v>0</v>
      </c>
      <c r="D1403" s="122">
        <f t="shared" si="21"/>
        <v>0</v>
      </c>
      <c r="E1403" s="121">
        <f>ROUND(D1403*'FR_Mantenimiento tasas'!$C$48/360,5)</f>
        <v>0</v>
      </c>
      <c r="F1403" s="121">
        <f>ROUND(D1403*'FR_Mantenimiento tasas'!$D$48/360,5)</f>
        <v>0</v>
      </c>
    </row>
    <row r="1404" spans="1:6">
      <c r="A1404" s="123">
        <f>IF(OR(A1403='F-Ahorro Futuro Decimos'!$H$16,A1403=""),"",IF(A1403+1&gt;'F-Ahorro Futuro Decimos'!$H$16,'F-Ahorro Futuro Decimos'!$H$16,A1403+1))</f>
        <v>1402</v>
      </c>
      <c r="B1404" s="122">
        <f>IFERROR(IF(DAY($A1404)=DAY('F-Ahorro Futuro Decimos'!$H$15),'F-Ahorro Futuro Decimos'!$H$14,0),0)</f>
        <v>0</v>
      </c>
      <c r="C1404" s="122">
        <f>IF(A1404='F-Ahorro Futuro Decimos'!$H$18,'F-Ahorro Futuro Decimos'!$H$20,0)</f>
        <v>0</v>
      </c>
      <c r="D1404" s="122">
        <f t="shared" si="21"/>
        <v>0</v>
      </c>
      <c r="E1404" s="121">
        <f>ROUND(D1404*'FR_Mantenimiento tasas'!$C$48/360,5)</f>
        <v>0</v>
      </c>
      <c r="F1404" s="121">
        <f>ROUND(D1404*'FR_Mantenimiento tasas'!$D$48/360,5)</f>
        <v>0</v>
      </c>
    </row>
    <row r="1405" spans="1:6">
      <c r="A1405" s="123">
        <f>IF(OR(A1404='F-Ahorro Futuro Decimos'!$H$16,A1404=""),"",IF(A1404+1&gt;'F-Ahorro Futuro Decimos'!$H$16,'F-Ahorro Futuro Decimos'!$H$16,A1404+1))</f>
        <v>1403</v>
      </c>
      <c r="B1405" s="122">
        <f>IFERROR(IF(DAY($A1405)=DAY('F-Ahorro Futuro Decimos'!$H$15),'F-Ahorro Futuro Decimos'!$H$14,0),0)</f>
        <v>0</v>
      </c>
      <c r="C1405" s="122">
        <f>IF(A1405='F-Ahorro Futuro Decimos'!$H$18,'F-Ahorro Futuro Decimos'!$H$20,0)</f>
        <v>0</v>
      </c>
      <c r="D1405" s="122">
        <f t="shared" si="21"/>
        <v>0</v>
      </c>
      <c r="E1405" s="121">
        <f>ROUND(D1405*'FR_Mantenimiento tasas'!$C$48/360,5)</f>
        <v>0</v>
      </c>
      <c r="F1405" s="121">
        <f>ROUND(D1405*'FR_Mantenimiento tasas'!$D$48/360,5)</f>
        <v>0</v>
      </c>
    </row>
    <row r="1406" spans="1:6">
      <c r="A1406" s="123">
        <f>IF(OR(A1405='F-Ahorro Futuro Decimos'!$H$16,A1405=""),"",IF(A1405+1&gt;'F-Ahorro Futuro Decimos'!$H$16,'F-Ahorro Futuro Decimos'!$H$16,A1405+1))</f>
        <v>1404</v>
      </c>
      <c r="B1406" s="122">
        <f>IFERROR(IF(DAY($A1406)=DAY('F-Ahorro Futuro Decimos'!$H$15),'F-Ahorro Futuro Decimos'!$H$14,0),0)</f>
        <v>0</v>
      </c>
      <c r="C1406" s="122">
        <f>IF(A1406='F-Ahorro Futuro Decimos'!$H$18,'F-Ahorro Futuro Decimos'!$H$20,0)</f>
        <v>0</v>
      </c>
      <c r="D1406" s="122">
        <f t="shared" si="21"/>
        <v>0</v>
      </c>
      <c r="E1406" s="121">
        <f>ROUND(D1406*'FR_Mantenimiento tasas'!$C$48/360,5)</f>
        <v>0</v>
      </c>
      <c r="F1406" s="121">
        <f>ROUND(D1406*'FR_Mantenimiento tasas'!$D$48/360,5)</f>
        <v>0</v>
      </c>
    </row>
    <row r="1407" spans="1:6">
      <c r="A1407" s="123">
        <f>IF(OR(A1406='F-Ahorro Futuro Decimos'!$H$16,A1406=""),"",IF(A1406+1&gt;'F-Ahorro Futuro Decimos'!$H$16,'F-Ahorro Futuro Decimos'!$H$16,A1406+1))</f>
        <v>1405</v>
      </c>
      <c r="B1407" s="122">
        <f>IFERROR(IF(DAY($A1407)=DAY('F-Ahorro Futuro Decimos'!$H$15),'F-Ahorro Futuro Decimos'!$H$14,0),0)</f>
        <v>0</v>
      </c>
      <c r="C1407" s="122">
        <f>IF(A1407='F-Ahorro Futuro Decimos'!$H$18,'F-Ahorro Futuro Decimos'!$H$20,0)</f>
        <v>0</v>
      </c>
      <c r="D1407" s="122">
        <f t="shared" si="21"/>
        <v>0</v>
      </c>
      <c r="E1407" s="121">
        <f>ROUND(D1407*'FR_Mantenimiento tasas'!$C$48/360,5)</f>
        <v>0</v>
      </c>
      <c r="F1407" s="121">
        <f>ROUND(D1407*'FR_Mantenimiento tasas'!$D$48/360,5)</f>
        <v>0</v>
      </c>
    </row>
    <row r="1408" spans="1:6">
      <c r="A1408" s="123">
        <f>IF(OR(A1407='F-Ahorro Futuro Decimos'!$H$16,A1407=""),"",IF(A1407+1&gt;'F-Ahorro Futuro Decimos'!$H$16,'F-Ahorro Futuro Decimos'!$H$16,A1407+1))</f>
        <v>1406</v>
      </c>
      <c r="B1408" s="122">
        <f>IFERROR(IF(DAY($A1408)=DAY('F-Ahorro Futuro Decimos'!$H$15),'F-Ahorro Futuro Decimos'!$H$14,0),0)</f>
        <v>0</v>
      </c>
      <c r="C1408" s="122">
        <f>IF(A1408='F-Ahorro Futuro Decimos'!$H$18,'F-Ahorro Futuro Decimos'!$H$20,0)</f>
        <v>0</v>
      </c>
      <c r="D1408" s="122">
        <f t="shared" si="21"/>
        <v>0</v>
      </c>
      <c r="E1408" s="121">
        <f>ROUND(D1408*'FR_Mantenimiento tasas'!$C$48/360,5)</f>
        <v>0</v>
      </c>
      <c r="F1408" s="121">
        <f>ROUND(D1408*'FR_Mantenimiento tasas'!$D$48/360,5)</f>
        <v>0</v>
      </c>
    </row>
    <row r="1409" spans="1:6">
      <c r="A1409" s="123">
        <f>IF(OR(A1408='F-Ahorro Futuro Decimos'!$H$16,A1408=""),"",IF(A1408+1&gt;'F-Ahorro Futuro Decimos'!$H$16,'F-Ahorro Futuro Decimos'!$H$16,A1408+1))</f>
        <v>1407</v>
      </c>
      <c r="B1409" s="122">
        <f>IFERROR(IF(DAY($A1409)=DAY('F-Ahorro Futuro Decimos'!$H$15),'F-Ahorro Futuro Decimos'!$H$14,0),0)</f>
        <v>0</v>
      </c>
      <c r="C1409" s="122">
        <f>IF(A1409='F-Ahorro Futuro Decimos'!$H$18,'F-Ahorro Futuro Decimos'!$H$20,0)</f>
        <v>0</v>
      </c>
      <c r="D1409" s="122">
        <f t="shared" si="21"/>
        <v>0</v>
      </c>
      <c r="E1409" s="121">
        <f>ROUND(D1409*'FR_Mantenimiento tasas'!$C$48/360,5)</f>
        <v>0</v>
      </c>
      <c r="F1409" s="121">
        <f>ROUND(D1409*'FR_Mantenimiento tasas'!$D$48/360,5)</f>
        <v>0</v>
      </c>
    </row>
    <row r="1410" spans="1:6">
      <c r="A1410" s="123">
        <f>IF(OR(A1409='F-Ahorro Futuro Decimos'!$H$16,A1409=""),"",IF(A1409+1&gt;'F-Ahorro Futuro Decimos'!$H$16,'F-Ahorro Futuro Decimos'!$H$16,A1409+1))</f>
        <v>1408</v>
      </c>
      <c r="B1410" s="122">
        <f>IFERROR(IF(DAY($A1410)=DAY('F-Ahorro Futuro Decimos'!$H$15),'F-Ahorro Futuro Decimos'!$H$14,0),0)</f>
        <v>0</v>
      </c>
      <c r="C1410" s="122">
        <f>IF(A1410='F-Ahorro Futuro Decimos'!$H$18,'F-Ahorro Futuro Decimos'!$H$20,0)</f>
        <v>0</v>
      </c>
      <c r="D1410" s="122">
        <f t="shared" si="21"/>
        <v>0</v>
      </c>
      <c r="E1410" s="121">
        <f>ROUND(D1410*'FR_Mantenimiento tasas'!$C$48/360,5)</f>
        <v>0</v>
      </c>
      <c r="F1410" s="121">
        <f>ROUND(D1410*'FR_Mantenimiento tasas'!$D$48/360,5)</f>
        <v>0</v>
      </c>
    </row>
    <row r="1411" spans="1:6">
      <c r="A1411" s="123">
        <f>IF(OR(A1410='F-Ahorro Futuro Decimos'!$H$16,A1410=""),"",IF(A1410+1&gt;'F-Ahorro Futuro Decimos'!$H$16,'F-Ahorro Futuro Decimos'!$H$16,A1410+1))</f>
        <v>1409</v>
      </c>
      <c r="B1411" s="122">
        <f>IFERROR(IF(DAY($A1411)=DAY('F-Ahorro Futuro Decimos'!$H$15),'F-Ahorro Futuro Decimos'!$H$14,0),0)</f>
        <v>0</v>
      </c>
      <c r="C1411" s="122">
        <f>IF(A1411='F-Ahorro Futuro Decimos'!$H$18,'F-Ahorro Futuro Decimos'!$H$20,0)</f>
        <v>0</v>
      </c>
      <c r="D1411" s="122">
        <f t="shared" si="21"/>
        <v>0</v>
      </c>
      <c r="E1411" s="121">
        <f>ROUND(D1411*'FR_Mantenimiento tasas'!$C$48/360,5)</f>
        <v>0</v>
      </c>
      <c r="F1411" s="121">
        <f>ROUND(D1411*'FR_Mantenimiento tasas'!$D$48/360,5)</f>
        <v>0</v>
      </c>
    </row>
    <row r="1412" spans="1:6">
      <c r="A1412" s="123">
        <f>IF(OR(A1411='F-Ahorro Futuro Decimos'!$H$16,A1411=""),"",IF(A1411+1&gt;'F-Ahorro Futuro Decimos'!$H$16,'F-Ahorro Futuro Decimos'!$H$16,A1411+1))</f>
        <v>1410</v>
      </c>
      <c r="B1412" s="122">
        <f>IFERROR(IF(DAY($A1412)=DAY('F-Ahorro Futuro Decimos'!$H$15),'F-Ahorro Futuro Decimos'!$H$14,0),0)</f>
        <v>0</v>
      </c>
      <c r="C1412" s="122">
        <f>IF(A1412='F-Ahorro Futuro Decimos'!$H$18,'F-Ahorro Futuro Decimos'!$H$20,0)</f>
        <v>0</v>
      </c>
      <c r="D1412" s="122">
        <f t="shared" ref="D1412:D1475" si="22">+B1412+D1411+E1411-C1412</f>
        <v>0</v>
      </c>
      <c r="E1412" s="121">
        <f>ROUND(D1412*'FR_Mantenimiento tasas'!$C$48/360,5)</f>
        <v>0</v>
      </c>
      <c r="F1412" s="121">
        <f>ROUND(D1412*'FR_Mantenimiento tasas'!$D$48/360,5)</f>
        <v>0</v>
      </c>
    </row>
    <row r="1413" spans="1:6">
      <c r="A1413" s="123">
        <f>IF(OR(A1412='F-Ahorro Futuro Decimos'!$H$16,A1412=""),"",IF(A1412+1&gt;'F-Ahorro Futuro Decimos'!$H$16,'F-Ahorro Futuro Decimos'!$H$16,A1412+1))</f>
        <v>1411</v>
      </c>
      <c r="B1413" s="122">
        <f>IFERROR(IF(DAY($A1413)=DAY('F-Ahorro Futuro Decimos'!$H$15),'F-Ahorro Futuro Decimos'!$H$14,0),0)</f>
        <v>0</v>
      </c>
      <c r="C1413" s="122">
        <f>IF(A1413='F-Ahorro Futuro Decimos'!$H$18,'F-Ahorro Futuro Decimos'!$H$20,0)</f>
        <v>0</v>
      </c>
      <c r="D1413" s="122">
        <f t="shared" si="22"/>
        <v>0</v>
      </c>
      <c r="E1413" s="121">
        <f>ROUND(D1413*'FR_Mantenimiento tasas'!$C$48/360,5)</f>
        <v>0</v>
      </c>
      <c r="F1413" s="121">
        <f>ROUND(D1413*'FR_Mantenimiento tasas'!$D$48/360,5)</f>
        <v>0</v>
      </c>
    </row>
    <row r="1414" spans="1:6">
      <c r="A1414" s="123">
        <f>IF(OR(A1413='F-Ahorro Futuro Decimos'!$H$16,A1413=""),"",IF(A1413+1&gt;'F-Ahorro Futuro Decimos'!$H$16,'F-Ahorro Futuro Decimos'!$H$16,A1413+1))</f>
        <v>1412</v>
      </c>
      <c r="B1414" s="122">
        <f>IFERROR(IF(DAY($A1414)=DAY('F-Ahorro Futuro Decimos'!$H$15),'F-Ahorro Futuro Decimos'!$H$14,0),0)</f>
        <v>0</v>
      </c>
      <c r="C1414" s="122">
        <f>IF(A1414='F-Ahorro Futuro Decimos'!$H$18,'F-Ahorro Futuro Decimos'!$H$20,0)</f>
        <v>0</v>
      </c>
      <c r="D1414" s="122">
        <f t="shared" si="22"/>
        <v>0</v>
      </c>
      <c r="E1414" s="121">
        <f>ROUND(D1414*'FR_Mantenimiento tasas'!$C$48/360,5)</f>
        <v>0</v>
      </c>
      <c r="F1414" s="121">
        <f>ROUND(D1414*'FR_Mantenimiento tasas'!$D$48/360,5)</f>
        <v>0</v>
      </c>
    </row>
    <row r="1415" spans="1:6">
      <c r="A1415" s="123">
        <f>IF(OR(A1414='F-Ahorro Futuro Decimos'!$H$16,A1414=""),"",IF(A1414+1&gt;'F-Ahorro Futuro Decimos'!$H$16,'F-Ahorro Futuro Decimos'!$H$16,A1414+1))</f>
        <v>1413</v>
      </c>
      <c r="B1415" s="122">
        <f>IFERROR(IF(DAY($A1415)=DAY('F-Ahorro Futuro Decimos'!$H$15),'F-Ahorro Futuro Decimos'!$H$14,0),0)</f>
        <v>0</v>
      </c>
      <c r="C1415" s="122">
        <f>IF(A1415='F-Ahorro Futuro Decimos'!$H$18,'F-Ahorro Futuro Decimos'!$H$20,0)</f>
        <v>0</v>
      </c>
      <c r="D1415" s="122">
        <f t="shared" si="22"/>
        <v>0</v>
      </c>
      <c r="E1415" s="121">
        <f>ROUND(D1415*'FR_Mantenimiento tasas'!$C$48/360,5)</f>
        <v>0</v>
      </c>
      <c r="F1415" s="121">
        <f>ROUND(D1415*'FR_Mantenimiento tasas'!$D$48/360,5)</f>
        <v>0</v>
      </c>
    </row>
    <row r="1416" spans="1:6">
      <c r="A1416" s="123">
        <f>IF(OR(A1415='F-Ahorro Futuro Decimos'!$H$16,A1415=""),"",IF(A1415+1&gt;'F-Ahorro Futuro Decimos'!$H$16,'F-Ahorro Futuro Decimos'!$H$16,A1415+1))</f>
        <v>1414</v>
      </c>
      <c r="B1416" s="122">
        <f>IFERROR(IF(DAY($A1416)=DAY('F-Ahorro Futuro Decimos'!$H$15),'F-Ahorro Futuro Decimos'!$H$14,0),0)</f>
        <v>0</v>
      </c>
      <c r="C1416" s="122">
        <f>IF(A1416='F-Ahorro Futuro Decimos'!$H$18,'F-Ahorro Futuro Decimos'!$H$20,0)</f>
        <v>0</v>
      </c>
      <c r="D1416" s="122">
        <f t="shared" si="22"/>
        <v>0</v>
      </c>
      <c r="E1416" s="121">
        <f>ROUND(D1416*'FR_Mantenimiento tasas'!$C$48/360,5)</f>
        <v>0</v>
      </c>
      <c r="F1416" s="121">
        <f>ROUND(D1416*'FR_Mantenimiento tasas'!$D$48/360,5)</f>
        <v>0</v>
      </c>
    </row>
    <row r="1417" spans="1:6">
      <c r="A1417" s="123">
        <f>IF(OR(A1416='F-Ahorro Futuro Decimos'!$H$16,A1416=""),"",IF(A1416+1&gt;'F-Ahorro Futuro Decimos'!$H$16,'F-Ahorro Futuro Decimos'!$H$16,A1416+1))</f>
        <v>1415</v>
      </c>
      <c r="B1417" s="122">
        <f>IFERROR(IF(DAY($A1417)=DAY('F-Ahorro Futuro Decimos'!$H$15),'F-Ahorro Futuro Decimos'!$H$14,0),0)</f>
        <v>0</v>
      </c>
      <c r="C1417" s="122">
        <f>IF(A1417='F-Ahorro Futuro Decimos'!$H$18,'F-Ahorro Futuro Decimos'!$H$20,0)</f>
        <v>0</v>
      </c>
      <c r="D1417" s="122">
        <f t="shared" si="22"/>
        <v>0</v>
      </c>
      <c r="E1417" s="121">
        <f>ROUND(D1417*'FR_Mantenimiento tasas'!$C$48/360,5)</f>
        <v>0</v>
      </c>
      <c r="F1417" s="121">
        <f>ROUND(D1417*'FR_Mantenimiento tasas'!$D$48/360,5)</f>
        <v>0</v>
      </c>
    </row>
    <row r="1418" spans="1:6">
      <c r="A1418" s="123">
        <f>IF(OR(A1417='F-Ahorro Futuro Decimos'!$H$16,A1417=""),"",IF(A1417+1&gt;'F-Ahorro Futuro Decimos'!$H$16,'F-Ahorro Futuro Decimos'!$H$16,A1417+1))</f>
        <v>1416</v>
      </c>
      <c r="B1418" s="122">
        <f>IFERROR(IF(DAY($A1418)=DAY('F-Ahorro Futuro Decimos'!$H$15),'F-Ahorro Futuro Decimos'!$H$14,0),0)</f>
        <v>0</v>
      </c>
      <c r="C1418" s="122">
        <f>IF(A1418='F-Ahorro Futuro Decimos'!$H$18,'F-Ahorro Futuro Decimos'!$H$20,0)</f>
        <v>0</v>
      </c>
      <c r="D1418" s="122">
        <f t="shared" si="22"/>
        <v>0</v>
      </c>
      <c r="E1418" s="121">
        <f>ROUND(D1418*'FR_Mantenimiento tasas'!$C$48/360,5)</f>
        <v>0</v>
      </c>
      <c r="F1418" s="121">
        <f>ROUND(D1418*'FR_Mantenimiento tasas'!$D$48/360,5)</f>
        <v>0</v>
      </c>
    </row>
    <row r="1419" spans="1:6">
      <c r="A1419" s="123">
        <f>IF(OR(A1418='F-Ahorro Futuro Decimos'!$H$16,A1418=""),"",IF(A1418+1&gt;'F-Ahorro Futuro Decimos'!$H$16,'F-Ahorro Futuro Decimos'!$H$16,A1418+1))</f>
        <v>1417</v>
      </c>
      <c r="B1419" s="122">
        <f>IFERROR(IF(DAY($A1419)=DAY('F-Ahorro Futuro Decimos'!$H$15),'F-Ahorro Futuro Decimos'!$H$14,0),0)</f>
        <v>0</v>
      </c>
      <c r="C1419" s="122">
        <f>IF(A1419='F-Ahorro Futuro Decimos'!$H$18,'F-Ahorro Futuro Decimos'!$H$20,0)</f>
        <v>0</v>
      </c>
      <c r="D1419" s="122">
        <f t="shared" si="22"/>
        <v>0</v>
      </c>
      <c r="E1419" s="121">
        <f>ROUND(D1419*'FR_Mantenimiento tasas'!$C$48/360,5)</f>
        <v>0</v>
      </c>
      <c r="F1419" s="121">
        <f>ROUND(D1419*'FR_Mantenimiento tasas'!$D$48/360,5)</f>
        <v>0</v>
      </c>
    </row>
    <row r="1420" spans="1:6">
      <c r="A1420" s="123">
        <f>IF(OR(A1419='F-Ahorro Futuro Decimos'!$H$16,A1419=""),"",IF(A1419+1&gt;'F-Ahorro Futuro Decimos'!$H$16,'F-Ahorro Futuro Decimos'!$H$16,A1419+1))</f>
        <v>1418</v>
      </c>
      <c r="B1420" s="122">
        <f>IFERROR(IF(DAY($A1420)=DAY('F-Ahorro Futuro Decimos'!$H$15),'F-Ahorro Futuro Decimos'!$H$14,0),0)</f>
        <v>0</v>
      </c>
      <c r="C1420" s="122">
        <f>IF(A1420='F-Ahorro Futuro Decimos'!$H$18,'F-Ahorro Futuro Decimos'!$H$20,0)</f>
        <v>0</v>
      </c>
      <c r="D1420" s="122">
        <f t="shared" si="22"/>
        <v>0</v>
      </c>
      <c r="E1420" s="121">
        <f>ROUND(D1420*'FR_Mantenimiento tasas'!$C$48/360,5)</f>
        <v>0</v>
      </c>
      <c r="F1420" s="121">
        <f>ROUND(D1420*'FR_Mantenimiento tasas'!$D$48/360,5)</f>
        <v>0</v>
      </c>
    </row>
    <row r="1421" spans="1:6">
      <c r="A1421" s="123">
        <f>IF(OR(A1420='F-Ahorro Futuro Decimos'!$H$16,A1420=""),"",IF(A1420+1&gt;'F-Ahorro Futuro Decimos'!$H$16,'F-Ahorro Futuro Decimos'!$H$16,A1420+1))</f>
        <v>1419</v>
      </c>
      <c r="B1421" s="122">
        <f>IFERROR(IF(DAY($A1421)=DAY('F-Ahorro Futuro Decimos'!$H$15),'F-Ahorro Futuro Decimos'!$H$14,0),0)</f>
        <v>0</v>
      </c>
      <c r="C1421" s="122">
        <f>IF(A1421='F-Ahorro Futuro Decimos'!$H$18,'F-Ahorro Futuro Decimos'!$H$20,0)</f>
        <v>0</v>
      </c>
      <c r="D1421" s="122">
        <f t="shared" si="22"/>
        <v>0</v>
      </c>
      <c r="E1421" s="121">
        <f>ROUND(D1421*'FR_Mantenimiento tasas'!$C$48/360,5)</f>
        <v>0</v>
      </c>
      <c r="F1421" s="121">
        <f>ROUND(D1421*'FR_Mantenimiento tasas'!$D$48/360,5)</f>
        <v>0</v>
      </c>
    </row>
    <row r="1422" spans="1:6">
      <c r="A1422" s="123">
        <f>IF(OR(A1421='F-Ahorro Futuro Decimos'!$H$16,A1421=""),"",IF(A1421+1&gt;'F-Ahorro Futuro Decimos'!$H$16,'F-Ahorro Futuro Decimos'!$H$16,A1421+1))</f>
        <v>1420</v>
      </c>
      <c r="B1422" s="122">
        <f>IFERROR(IF(DAY($A1422)=DAY('F-Ahorro Futuro Decimos'!$H$15),'F-Ahorro Futuro Decimos'!$H$14,0),0)</f>
        <v>0</v>
      </c>
      <c r="C1422" s="122">
        <f>IF(A1422='F-Ahorro Futuro Decimos'!$H$18,'F-Ahorro Futuro Decimos'!$H$20,0)</f>
        <v>0</v>
      </c>
      <c r="D1422" s="122">
        <f t="shared" si="22"/>
        <v>0</v>
      </c>
      <c r="E1422" s="121">
        <f>ROUND(D1422*'FR_Mantenimiento tasas'!$C$48/360,5)</f>
        <v>0</v>
      </c>
      <c r="F1422" s="121">
        <f>ROUND(D1422*'FR_Mantenimiento tasas'!$D$48/360,5)</f>
        <v>0</v>
      </c>
    </row>
    <row r="1423" spans="1:6">
      <c r="A1423" s="123">
        <f>IF(OR(A1422='F-Ahorro Futuro Decimos'!$H$16,A1422=""),"",IF(A1422+1&gt;'F-Ahorro Futuro Decimos'!$H$16,'F-Ahorro Futuro Decimos'!$H$16,A1422+1))</f>
        <v>1421</v>
      </c>
      <c r="B1423" s="122">
        <f>IFERROR(IF(DAY($A1423)=DAY('F-Ahorro Futuro Decimos'!$H$15),'F-Ahorro Futuro Decimos'!$H$14,0),0)</f>
        <v>0</v>
      </c>
      <c r="C1423" s="122">
        <f>IF(A1423='F-Ahorro Futuro Decimos'!$H$18,'F-Ahorro Futuro Decimos'!$H$20,0)</f>
        <v>0</v>
      </c>
      <c r="D1423" s="122">
        <f t="shared" si="22"/>
        <v>0</v>
      </c>
      <c r="E1423" s="121">
        <f>ROUND(D1423*'FR_Mantenimiento tasas'!$C$48/360,5)</f>
        <v>0</v>
      </c>
      <c r="F1423" s="121">
        <f>ROUND(D1423*'FR_Mantenimiento tasas'!$D$48/360,5)</f>
        <v>0</v>
      </c>
    </row>
    <row r="1424" spans="1:6">
      <c r="A1424" s="123">
        <f>IF(OR(A1423='F-Ahorro Futuro Decimos'!$H$16,A1423=""),"",IF(A1423+1&gt;'F-Ahorro Futuro Decimos'!$H$16,'F-Ahorro Futuro Decimos'!$H$16,A1423+1))</f>
        <v>1422</v>
      </c>
      <c r="B1424" s="122">
        <f>IFERROR(IF(DAY($A1424)=DAY('F-Ahorro Futuro Decimos'!$H$15),'F-Ahorro Futuro Decimos'!$H$14,0),0)</f>
        <v>0</v>
      </c>
      <c r="C1424" s="122">
        <f>IF(A1424='F-Ahorro Futuro Decimos'!$H$18,'F-Ahorro Futuro Decimos'!$H$20,0)</f>
        <v>0</v>
      </c>
      <c r="D1424" s="122">
        <f t="shared" si="22"/>
        <v>0</v>
      </c>
      <c r="E1424" s="121">
        <f>ROUND(D1424*'FR_Mantenimiento tasas'!$C$48/360,5)</f>
        <v>0</v>
      </c>
      <c r="F1424" s="121">
        <f>ROUND(D1424*'FR_Mantenimiento tasas'!$D$48/360,5)</f>
        <v>0</v>
      </c>
    </row>
    <row r="1425" spans="1:6">
      <c r="A1425" s="123">
        <f>IF(OR(A1424='F-Ahorro Futuro Decimos'!$H$16,A1424=""),"",IF(A1424+1&gt;'F-Ahorro Futuro Decimos'!$H$16,'F-Ahorro Futuro Decimos'!$H$16,A1424+1))</f>
        <v>1423</v>
      </c>
      <c r="B1425" s="122">
        <f>IFERROR(IF(DAY($A1425)=DAY('F-Ahorro Futuro Decimos'!$H$15),'F-Ahorro Futuro Decimos'!$H$14,0),0)</f>
        <v>0</v>
      </c>
      <c r="C1425" s="122">
        <f>IF(A1425='F-Ahorro Futuro Decimos'!$H$18,'F-Ahorro Futuro Decimos'!$H$20,0)</f>
        <v>0</v>
      </c>
      <c r="D1425" s="122">
        <f t="shared" si="22"/>
        <v>0</v>
      </c>
      <c r="E1425" s="121">
        <f>ROUND(D1425*'FR_Mantenimiento tasas'!$C$48/360,5)</f>
        <v>0</v>
      </c>
      <c r="F1425" s="121">
        <f>ROUND(D1425*'FR_Mantenimiento tasas'!$D$48/360,5)</f>
        <v>0</v>
      </c>
    </row>
    <row r="1426" spans="1:6">
      <c r="A1426" s="123">
        <f>IF(OR(A1425='F-Ahorro Futuro Decimos'!$H$16,A1425=""),"",IF(A1425+1&gt;'F-Ahorro Futuro Decimos'!$H$16,'F-Ahorro Futuro Decimos'!$H$16,A1425+1))</f>
        <v>1424</v>
      </c>
      <c r="B1426" s="122">
        <f>IFERROR(IF(DAY($A1426)=DAY('F-Ahorro Futuro Decimos'!$H$15),'F-Ahorro Futuro Decimos'!$H$14,0),0)</f>
        <v>0</v>
      </c>
      <c r="C1426" s="122">
        <f>IF(A1426='F-Ahorro Futuro Decimos'!$H$18,'F-Ahorro Futuro Decimos'!$H$20,0)</f>
        <v>0</v>
      </c>
      <c r="D1426" s="122">
        <f t="shared" si="22"/>
        <v>0</v>
      </c>
      <c r="E1426" s="121">
        <f>ROUND(D1426*'FR_Mantenimiento tasas'!$C$48/360,5)</f>
        <v>0</v>
      </c>
      <c r="F1426" s="121">
        <f>ROUND(D1426*'FR_Mantenimiento tasas'!$D$48/360,5)</f>
        <v>0</v>
      </c>
    </row>
    <row r="1427" spans="1:6">
      <c r="A1427" s="123">
        <f>IF(OR(A1426='F-Ahorro Futuro Decimos'!$H$16,A1426=""),"",IF(A1426+1&gt;'F-Ahorro Futuro Decimos'!$H$16,'F-Ahorro Futuro Decimos'!$H$16,A1426+1))</f>
        <v>1425</v>
      </c>
      <c r="B1427" s="122">
        <f>IFERROR(IF(DAY($A1427)=DAY('F-Ahorro Futuro Decimos'!$H$15),'F-Ahorro Futuro Decimos'!$H$14,0),0)</f>
        <v>0</v>
      </c>
      <c r="C1427" s="122">
        <f>IF(A1427='F-Ahorro Futuro Decimos'!$H$18,'F-Ahorro Futuro Decimos'!$H$20,0)</f>
        <v>0</v>
      </c>
      <c r="D1427" s="122">
        <f t="shared" si="22"/>
        <v>0</v>
      </c>
      <c r="E1427" s="121">
        <f>ROUND(D1427*'FR_Mantenimiento tasas'!$C$48/360,5)</f>
        <v>0</v>
      </c>
      <c r="F1427" s="121">
        <f>ROUND(D1427*'FR_Mantenimiento tasas'!$D$48/360,5)</f>
        <v>0</v>
      </c>
    </row>
    <row r="1428" spans="1:6">
      <c r="A1428" s="123">
        <f>IF(OR(A1427='F-Ahorro Futuro Decimos'!$H$16,A1427=""),"",IF(A1427+1&gt;'F-Ahorro Futuro Decimos'!$H$16,'F-Ahorro Futuro Decimos'!$H$16,A1427+1))</f>
        <v>1426</v>
      </c>
      <c r="B1428" s="122">
        <f>IFERROR(IF(DAY($A1428)=DAY('F-Ahorro Futuro Decimos'!$H$15),'F-Ahorro Futuro Decimos'!$H$14,0),0)</f>
        <v>0</v>
      </c>
      <c r="C1428" s="122">
        <f>IF(A1428='F-Ahorro Futuro Decimos'!$H$18,'F-Ahorro Futuro Decimos'!$H$20,0)</f>
        <v>0</v>
      </c>
      <c r="D1428" s="122">
        <f t="shared" si="22"/>
        <v>0</v>
      </c>
      <c r="E1428" s="121">
        <f>ROUND(D1428*'FR_Mantenimiento tasas'!$C$48/360,5)</f>
        <v>0</v>
      </c>
      <c r="F1428" s="121">
        <f>ROUND(D1428*'FR_Mantenimiento tasas'!$D$48/360,5)</f>
        <v>0</v>
      </c>
    </row>
    <row r="1429" spans="1:6">
      <c r="A1429" s="123">
        <f>IF(OR(A1428='F-Ahorro Futuro Decimos'!$H$16,A1428=""),"",IF(A1428+1&gt;'F-Ahorro Futuro Decimos'!$H$16,'F-Ahorro Futuro Decimos'!$H$16,A1428+1))</f>
        <v>1427</v>
      </c>
      <c r="B1429" s="122">
        <f>IFERROR(IF(DAY($A1429)=DAY('F-Ahorro Futuro Decimos'!$H$15),'F-Ahorro Futuro Decimos'!$H$14,0),0)</f>
        <v>0</v>
      </c>
      <c r="C1429" s="122">
        <f>IF(A1429='F-Ahorro Futuro Decimos'!$H$18,'F-Ahorro Futuro Decimos'!$H$20,0)</f>
        <v>0</v>
      </c>
      <c r="D1429" s="122">
        <f t="shared" si="22"/>
        <v>0</v>
      </c>
      <c r="E1429" s="121">
        <f>ROUND(D1429*'FR_Mantenimiento tasas'!$C$48/360,5)</f>
        <v>0</v>
      </c>
      <c r="F1429" s="121">
        <f>ROUND(D1429*'FR_Mantenimiento tasas'!$D$48/360,5)</f>
        <v>0</v>
      </c>
    </row>
    <row r="1430" spans="1:6">
      <c r="A1430" s="123">
        <f>IF(OR(A1429='F-Ahorro Futuro Decimos'!$H$16,A1429=""),"",IF(A1429+1&gt;'F-Ahorro Futuro Decimos'!$H$16,'F-Ahorro Futuro Decimos'!$H$16,A1429+1))</f>
        <v>1428</v>
      </c>
      <c r="B1430" s="122">
        <f>IFERROR(IF(DAY($A1430)=DAY('F-Ahorro Futuro Decimos'!$H$15),'F-Ahorro Futuro Decimos'!$H$14,0),0)</f>
        <v>0</v>
      </c>
      <c r="C1430" s="122">
        <f>IF(A1430='F-Ahorro Futuro Decimos'!$H$18,'F-Ahorro Futuro Decimos'!$H$20,0)</f>
        <v>0</v>
      </c>
      <c r="D1430" s="122">
        <f t="shared" si="22"/>
        <v>0</v>
      </c>
      <c r="E1430" s="121">
        <f>ROUND(D1430*'FR_Mantenimiento tasas'!$C$48/360,5)</f>
        <v>0</v>
      </c>
      <c r="F1430" s="121">
        <f>ROUND(D1430*'FR_Mantenimiento tasas'!$D$48/360,5)</f>
        <v>0</v>
      </c>
    </row>
    <row r="1431" spans="1:6">
      <c r="A1431" s="123">
        <f>IF(OR(A1430='F-Ahorro Futuro Decimos'!$H$16,A1430=""),"",IF(A1430+1&gt;'F-Ahorro Futuro Decimos'!$H$16,'F-Ahorro Futuro Decimos'!$H$16,A1430+1))</f>
        <v>1429</v>
      </c>
      <c r="B1431" s="122">
        <f>IFERROR(IF(DAY($A1431)=DAY('F-Ahorro Futuro Decimos'!$H$15),'F-Ahorro Futuro Decimos'!$H$14,0),0)</f>
        <v>0</v>
      </c>
      <c r="C1431" s="122">
        <f>IF(A1431='F-Ahorro Futuro Decimos'!$H$18,'F-Ahorro Futuro Decimos'!$H$20,0)</f>
        <v>0</v>
      </c>
      <c r="D1431" s="122">
        <f t="shared" si="22"/>
        <v>0</v>
      </c>
      <c r="E1431" s="121">
        <f>ROUND(D1431*'FR_Mantenimiento tasas'!$C$48/360,5)</f>
        <v>0</v>
      </c>
      <c r="F1431" s="121">
        <f>ROUND(D1431*'FR_Mantenimiento tasas'!$D$48/360,5)</f>
        <v>0</v>
      </c>
    </row>
    <row r="1432" spans="1:6">
      <c r="A1432" s="123">
        <f>IF(OR(A1431='F-Ahorro Futuro Decimos'!$H$16,A1431=""),"",IF(A1431+1&gt;'F-Ahorro Futuro Decimos'!$H$16,'F-Ahorro Futuro Decimos'!$H$16,A1431+1))</f>
        <v>1430</v>
      </c>
      <c r="B1432" s="122">
        <f>IFERROR(IF(DAY($A1432)=DAY('F-Ahorro Futuro Decimos'!$H$15),'F-Ahorro Futuro Decimos'!$H$14,0),0)</f>
        <v>0</v>
      </c>
      <c r="C1432" s="122">
        <f>IF(A1432='F-Ahorro Futuro Decimos'!$H$18,'F-Ahorro Futuro Decimos'!$H$20,0)</f>
        <v>0</v>
      </c>
      <c r="D1432" s="122">
        <f t="shared" si="22"/>
        <v>0</v>
      </c>
      <c r="E1432" s="121">
        <f>ROUND(D1432*'FR_Mantenimiento tasas'!$C$48/360,5)</f>
        <v>0</v>
      </c>
      <c r="F1432" s="121">
        <f>ROUND(D1432*'FR_Mantenimiento tasas'!$D$48/360,5)</f>
        <v>0</v>
      </c>
    </row>
    <row r="1433" spans="1:6">
      <c r="A1433" s="123">
        <f>IF(OR(A1432='F-Ahorro Futuro Decimos'!$H$16,A1432=""),"",IF(A1432+1&gt;'F-Ahorro Futuro Decimos'!$H$16,'F-Ahorro Futuro Decimos'!$H$16,A1432+1))</f>
        <v>1431</v>
      </c>
      <c r="B1433" s="122">
        <f>IFERROR(IF(DAY($A1433)=DAY('F-Ahorro Futuro Decimos'!$H$15),'F-Ahorro Futuro Decimos'!$H$14,0),0)</f>
        <v>0</v>
      </c>
      <c r="C1433" s="122">
        <f>IF(A1433='F-Ahorro Futuro Decimos'!$H$18,'F-Ahorro Futuro Decimos'!$H$20,0)</f>
        <v>0</v>
      </c>
      <c r="D1433" s="122">
        <f t="shared" si="22"/>
        <v>0</v>
      </c>
      <c r="E1433" s="121">
        <f>ROUND(D1433*'FR_Mantenimiento tasas'!$C$48/360,5)</f>
        <v>0</v>
      </c>
      <c r="F1433" s="121">
        <f>ROUND(D1433*'FR_Mantenimiento tasas'!$D$48/360,5)</f>
        <v>0</v>
      </c>
    </row>
    <row r="1434" spans="1:6">
      <c r="A1434" s="123">
        <f>IF(OR(A1433='F-Ahorro Futuro Decimos'!$H$16,A1433=""),"",IF(A1433+1&gt;'F-Ahorro Futuro Decimos'!$H$16,'F-Ahorro Futuro Decimos'!$H$16,A1433+1))</f>
        <v>1432</v>
      </c>
      <c r="B1434" s="122">
        <f>IFERROR(IF(DAY($A1434)=DAY('F-Ahorro Futuro Decimos'!$H$15),'F-Ahorro Futuro Decimos'!$H$14,0),0)</f>
        <v>0</v>
      </c>
      <c r="C1434" s="122">
        <f>IF(A1434='F-Ahorro Futuro Decimos'!$H$18,'F-Ahorro Futuro Decimos'!$H$20,0)</f>
        <v>0</v>
      </c>
      <c r="D1434" s="122">
        <f t="shared" si="22"/>
        <v>0</v>
      </c>
      <c r="E1434" s="121">
        <f>ROUND(D1434*'FR_Mantenimiento tasas'!$C$48/360,5)</f>
        <v>0</v>
      </c>
      <c r="F1434" s="121">
        <f>ROUND(D1434*'FR_Mantenimiento tasas'!$D$48/360,5)</f>
        <v>0</v>
      </c>
    </row>
    <row r="1435" spans="1:6">
      <c r="A1435" s="123">
        <f>IF(OR(A1434='F-Ahorro Futuro Decimos'!$H$16,A1434=""),"",IF(A1434+1&gt;'F-Ahorro Futuro Decimos'!$H$16,'F-Ahorro Futuro Decimos'!$H$16,A1434+1))</f>
        <v>1433</v>
      </c>
      <c r="B1435" s="122">
        <f>IFERROR(IF(DAY($A1435)=DAY('F-Ahorro Futuro Decimos'!$H$15),'F-Ahorro Futuro Decimos'!$H$14,0),0)</f>
        <v>0</v>
      </c>
      <c r="C1435" s="122">
        <f>IF(A1435='F-Ahorro Futuro Decimos'!$H$18,'F-Ahorro Futuro Decimos'!$H$20,0)</f>
        <v>0</v>
      </c>
      <c r="D1435" s="122">
        <f t="shared" si="22"/>
        <v>0</v>
      </c>
      <c r="E1435" s="121">
        <f>ROUND(D1435*'FR_Mantenimiento tasas'!$C$48/360,5)</f>
        <v>0</v>
      </c>
      <c r="F1435" s="121">
        <f>ROUND(D1435*'FR_Mantenimiento tasas'!$D$48/360,5)</f>
        <v>0</v>
      </c>
    </row>
    <row r="1436" spans="1:6">
      <c r="A1436" s="123">
        <f>IF(OR(A1435='F-Ahorro Futuro Decimos'!$H$16,A1435=""),"",IF(A1435+1&gt;'F-Ahorro Futuro Decimos'!$H$16,'F-Ahorro Futuro Decimos'!$H$16,A1435+1))</f>
        <v>1434</v>
      </c>
      <c r="B1436" s="122">
        <f>IFERROR(IF(DAY($A1436)=DAY('F-Ahorro Futuro Decimos'!$H$15),'F-Ahorro Futuro Decimos'!$H$14,0),0)</f>
        <v>0</v>
      </c>
      <c r="C1436" s="122">
        <f>IF(A1436='F-Ahorro Futuro Decimos'!$H$18,'F-Ahorro Futuro Decimos'!$H$20,0)</f>
        <v>0</v>
      </c>
      <c r="D1436" s="122">
        <f t="shared" si="22"/>
        <v>0</v>
      </c>
      <c r="E1436" s="121">
        <f>ROUND(D1436*'FR_Mantenimiento tasas'!$C$48/360,5)</f>
        <v>0</v>
      </c>
      <c r="F1436" s="121">
        <f>ROUND(D1436*'FR_Mantenimiento tasas'!$D$48/360,5)</f>
        <v>0</v>
      </c>
    </row>
    <row r="1437" spans="1:6">
      <c r="A1437" s="123">
        <f>IF(OR(A1436='F-Ahorro Futuro Decimos'!$H$16,A1436=""),"",IF(A1436+1&gt;'F-Ahorro Futuro Decimos'!$H$16,'F-Ahorro Futuro Decimos'!$H$16,A1436+1))</f>
        <v>1435</v>
      </c>
      <c r="B1437" s="122">
        <f>IFERROR(IF(DAY($A1437)=DAY('F-Ahorro Futuro Decimos'!$H$15),'F-Ahorro Futuro Decimos'!$H$14,0),0)</f>
        <v>0</v>
      </c>
      <c r="C1437" s="122">
        <f>IF(A1437='F-Ahorro Futuro Decimos'!$H$18,'F-Ahorro Futuro Decimos'!$H$20,0)</f>
        <v>0</v>
      </c>
      <c r="D1437" s="122">
        <f t="shared" si="22"/>
        <v>0</v>
      </c>
      <c r="E1437" s="121">
        <f>ROUND(D1437*'FR_Mantenimiento tasas'!$C$48/360,5)</f>
        <v>0</v>
      </c>
      <c r="F1437" s="121">
        <f>ROUND(D1437*'FR_Mantenimiento tasas'!$D$48/360,5)</f>
        <v>0</v>
      </c>
    </row>
    <row r="1438" spans="1:6">
      <c r="A1438" s="123">
        <f>IF(OR(A1437='F-Ahorro Futuro Decimos'!$H$16,A1437=""),"",IF(A1437+1&gt;'F-Ahorro Futuro Decimos'!$H$16,'F-Ahorro Futuro Decimos'!$H$16,A1437+1))</f>
        <v>1436</v>
      </c>
      <c r="B1438" s="122">
        <f>IFERROR(IF(DAY($A1438)=DAY('F-Ahorro Futuro Decimos'!$H$15),'F-Ahorro Futuro Decimos'!$H$14,0),0)</f>
        <v>0</v>
      </c>
      <c r="C1438" s="122">
        <f>IF(A1438='F-Ahorro Futuro Decimos'!$H$18,'F-Ahorro Futuro Decimos'!$H$20,0)</f>
        <v>0</v>
      </c>
      <c r="D1438" s="122">
        <f t="shared" si="22"/>
        <v>0</v>
      </c>
      <c r="E1438" s="121">
        <f>ROUND(D1438*'FR_Mantenimiento tasas'!$C$48/360,5)</f>
        <v>0</v>
      </c>
      <c r="F1438" s="121">
        <f>ROUND(D1438*'FR_Mantenimiento tasas'!$D$48/360,5)</f>
        <v>0</v>
      </c>
    </row>
    <row r="1439" spans="1:6">
      <c r="A1439" s="123">
        <f>IF(OR(A1438='F-Ahorro Futuro Decimos'!$H$16,A1438=""),"",IF(A1438+1&gt;'F-Ahorro Futuro Decimos'!$H$16,'F-Ahorro Futuro Decimos'!$H$16,A1438+1))</f>
        <v>1437</v>
      </c>
      <c r="B1439" s="122">
        <f>IFERROR(IF(DAY($A1439)=DAY('F-Ahorro Futuro Decimos'!$H$15),'F-Ahorro Futuro Decimos'!$H$14,0),0)</f>
        <v>0</v>
      </c>
      <c r="C1439" s="122">
        <f>IF(A1439='F-Ahorro Futuro Decimos'!$H$18,'F-Ahorro Futuro Decimos'!$H$20,0)</f>
        <v>0</v>
      </c>
      <c r="D1439" s="122">
        <f t="shared" si="22"/>
        <v>0</v>
      </c>
      <c r="E1439" s="121">
        <f>ROUND(D1439*'FR_Mantenimiento tasas'!$C$48/360,5)</f>
        <v>0</v>
      </c>
      <c r="F1439" s="121">
        <f>ROUND(D1439*'FR_Mantenimiento tasas'!$D$48/360,5)</f>
        <v>0</v>
      </c>
    </row>
    <row r="1440" spans="1:6">
      <c r="A1440" s="123">
        <f>IF(OR(A1439='F-Ahorro Futuro Decimos'!$H$16,A1439=""),"",IF(A1439+1&gt;'F-Ahorro Futuro Decimos'!$H$16,'F-Ahorro Futuro Decimos'!$H$16,A1439+1))</f>
        <v>1438</v>
      </c>
      <c r="B1440" s="122">
        <f>IFERROR(IF(DAY($A1440)=DAY('F-Ahorro Futuro Decimos'!$H$15),'F-Ahorro Futuro Decimos'!$H$14,0),0)</f>
        <v>0</v>
      </c>
      <c r="C1440" s="122">
        <f>IF(A1440='F-Ahorro Futuro Decimos'!$H$18,'F-Ahorro Futuro Decimos'!$H$20,0)</f>
        <v>0</v>
      </c>
      <c r="D1440" s="122">
        <f t="shared" si="22"/>
        <v>0</v>
      </c>
      <c r="E1440" s="121">
        <f>ROUND(D1440*'FR_Mantenimiento tasas'!$C$48/360,5)</f>
        <v>0</v>
      </c>
      <c r="F1440" s="121">
        <f>ROUND(D1440*'FR_Mantenimiento tasas'!$D$48/360,5)</f>
        <v>0</v>
      </c>
    </row>
    <row r="1441" spans="1:6">
      <c r="A1441" s="123">
        <f>IF(OR(A1440='F-Ahorro Futuro Decimos'!$H$16,A1440=""),"",IF(A1440+1&gt;'F-Ahorro Futuro Decimos'!$H$16,'F-Ahorro Futuro Decimos'!$H$16,A1440+1))</f>
        <v>1439</v>
      </c>
      <c r="B1441" s="122">
        <f>IFERROR(IF(DAY($A1441)=DAY('F-Ahorro Futuro Decimos'!$H$15),'F-Ahorro Futuro Decimos'!$H$14,0),0)</f>
        <v>0</v>
      </c>
      <c r="C1441" s="122">
        <f>IF(A1441='F-Ahorro Futuro Decimos'!$H$18,'F-Ahorro Futuro Decimos'!$H$20,0)</f>
        <v>0</v>
      </c>
      <c r="D1441" s="122">
        <f t="shared" si="22"/>
        <v>0</v>
      </c>
      <c r="E1441" s="121">
        <f>ROUND(D1441*'FR_Mantenimiento tasas'!$C$48/360,5)</f>
        <v>0</v>
      </c>
      <c r="F1441" s="121">
        <f>ROUND(D1441*'FR_Mantenimiento tasas'!$D$48/360,5)</f>
        <v>0</v>
      </c>
    </row>
    <row r="1442" spans="1:6">
      <c r="A1442" s="123">
        <f>IF(OR(A1441='F-Ahorro Futuro Decimos'!$H$16,A1441=""),"",IF(A1441+1&gt;'F-Ahorro Futuro Decimos'!$H$16,'F-Ahorro Futuro Decimos'!$H$16,A1441+1))</f>
        <v>1440</v>
      </c>
      <c r="B1442" s="122">
        <f>IFERROR(IF(DAY($A1442)=DAY('F-Ahorro Futuro Decimos'!$H$15),'F-Ahorro Futuro Decimos'!$H$14,0),0)</f>
        <v>0</v>
      </c>
      <c r="C1442" s="122">
        <f>IF(A1442='F-Ahorro Futuro Decimos'!$H$18,'F-Ahorro Futuro Decimos'!$H$20,0)</f>
        <v>0</v>
      </c>
      <c r="D1442" s="122">
        <f t="shared" si="22"/>
        <v>0</v>
      </c>
      <c r="E1442" s="121">
        <f>ROUND(D1442*'FR_Mantenimiento tasas'!$C$48/360,5)</f>
        <v>0</v>
      </c>
      <c r="F1442" s="121">
        <f>ROUND(D1442*'FR_Mantenimiento tasas'!$D$48/360,5)</f>
        <v>0</v>
      </c>
    </row>
    <row r="1443" spans="1:6">
      <c r="A1443" s="123">
        <f>IF(OR(A1442='F-Ahorro Futuro Decimos'!$H$16,A1442=""),"",IF(A1442+1&gt;'F-Ahorro Futuro Decimos'!$H$16,'F-Ahorro Futuro Decimos'!$H$16,A1442+1))</f>
        <v>1441</v>
      </c>
      <c r="B1443" s="122">
        <f>IFERROR(IF(DAY($A1443)=DAY('F-Ahorro Futuro Decimos'!$H$15),'F-Ahorro Futuro Decimos'!$H$14,0),0)</f>
        <v>0</v>
      </c>
      <c r="C1443" s="122">
        <f>IF(A1443='F-Ahorro Futuro Decimos'!$H$18,'F-Ahorro Futuro Decimos'!$H$20,0)</f>
        <v>0</v>
      </c>
      <c r="D1443" s="122">
        <f t="shared" si="22"/>
        <v>0</v>
      </c>
      <c r="E1443" s="121">
        <f>ROUND(D1443*'FR_Mantenimiento tasas'!$C$48/360,5)</f>
        <v>0</v>
      </c>
      <c r="F1443" s="121">
        <f>ROUND(D1443*'FR_Mantenimiento tasas'!$D$48/360,5)</f>
        <v>0</v>
      </c>
    </row>
    <row r="1444" spans="1:6">
      <c r="A1444" s="123">
        <f>IF(OR(A1443='F-Ahorro Futuro Decimos'!$H$16,A1443=""),"",IF(A1443+1&gt;'F-Ahorro Futuro Decimos'!$H$16,'F-Ahorro Futuro Decimos'!$H$16,A1443+1))</f>
        <v>1442</v>
      </c>
      <c r="B1444" s="122">
        <f>IFERROR(IF(DAY($A1444)=DAY('F-Ahorro Futuro Decimos'!$H$15),'F-Ahorro Futuro Decimos'!$H$14,0),0)</f>
        <v>0</v>
      </c>
      <c r="C1444" s="122">
        <f>IF(A1444='F-Ahorro Futuro Decimos'!$H$18,'F-Ahorro Futuro Decimos'!$H$20,0)</f>
        <v>0</v>
      </c>
      <c r="D1444" s="122">
        <f t="shared" si="22"/>
        <v>0</v>
      </c>
      <c r="E1444" s="121">
        <f>ROUND(D1444*'FR_Mantenimiento tasas'!$C$48/360,5)</f>
        <v>0</v>
      </c>
      <c r="F1444" s="121">
        <f>ROUND(D1444*'FR_Mantenimiento tasas'!$D$48/360,5)</f>
        <v>0</v>
      </c>
    </row>
    <row r="1445" spans="1:6">
      <c r="A1445" s="123">
        <f>IF(OR(A1444='F-Ahorro Futuro Decimos'!$H$16,A1444=""),"",IF(A1444+1&gt;'F-Ahorro Futuro Decimos'!$H$16,'F-Ahorro Futuro Decimos'!$H$16,A1444+1))</f>
        <v>1443</v>
      </c>
      <c r="B1445" s="122">
        <f>IFERROR(IF(DAY($A1445)=DAY('F-Ahorro Futuro Decimos'!$H$15),'F-Ahorro Futuro Decimos'!$H$14,0),0)</f>
        <v>0</v>
      </c>
      <c r="C1445" s="122">
        <f>IF(A1445='F-Ahorro Futuro Decimos'!$H$18,'F-Ahorro Futuro Decimos'!$H$20,0)</f>
        <v>0</v>
      </c>
      <c r="D1445" s="122">
        <f t="shared" si="22"/>
        <v>0</v>
      </c>
      <c r="E1445" s="121">
        <f>ROUND(D1445*'FR_Mantenimiento tasas'!$C$48/360,5)</f>
        <v>0</v>
      </c>
      <c r="F1445" s="121">
        <f>ROUND(D1445*'FR_Mantenimiento tasas'!$D$48/360,5)</f>
        <v>0</v>
      </c>
    </row>
    <row r="1446" spans="1:6">
      <c r="A1446" s="123">
        <f>IF(OR(A1445='F-Ahorro Futuro Decimos'!$H$16,A1445=""),"",IF(A1445+1&gt;'F-Ahorro Futuro Decimos'!$H$16,'F-Ahorro Futuro Decimos'!$H$16,A1445+1))</f>
        <v>1444</v>
      </c>
      <c r="B1446" s="122">
        <f>IFERROR(IF(DAY($A1446)=DAY('F-Ahorro Futuro Decimos'!$H$15),'F-Ahorro Futuro Decimos'!$H$14,0),0)</f>
        <v>0</v>
      </c>
      <c r="C1446" s="122">
        <f>IF(A1446='F-Ahorro Futuro Decimos'!$H$18,'F-Ahorro Futuro Decimos'!$H$20,0)</f>
        <v>0</v>
      </c>
      <c r="D1446" s="122">
        <f t="shared" si="22"/>
        <v>0</v>
      </c>
      <c r="E1446" s="121">
        <f>ROUND(D1446*'FR_Mantenimiento tasas'!$C$48/360,5)</f>
        <v>0</v>
      </c>
      <c r="F1446" s="121">
        <f>ROUND(D1446*'FR_Mantenimiento tasas'!$D$48/360,5)</f>
        <v>0</v>
      </c>
    </row>
    <row r="1447" spans="1:6">
      <c r="A1447" s="123">
        <f>IF(OR(A1446='F-Ahorro Futuro Decimos'!$H$16,A1446=""),"",IF(A1446+1&gt;'F-Ahorro Futuro Decimos'!$H$16,'F-Ahorro Futuro Decimos'!$H$16,A1446+1))</f>
        <v>1445</v>
      </c>
      <c r="B1447" s="122">
        <f>IFERROR(IF(DAY($A1447)=DAY('F-Ahorro Futuro Decimos'!$H$15),'F-Ahorro Futuro Decimos'!$H$14,0),0)</f>
        <v>0</v>
      </c>
      <c r="C1447" s="122">
        <f>IF(A1447='F-Ahorro Futuro Decimos'!$H$18,'F-Ahorro Futuro Decimos'!$H$20,0)</f>
        <v>0</v>
      </c>
      <c r="D1447" s="122">
        <f t="shared" si="22"/>
        <v>0</v>
      </c>
      <c r="E1447" s="121">
        <f>ROUND(D1447*'FR_Mantenimiento tasas'!$C$48/360,5)</f>
        <v>0</v>
      </c>
      <c r="F1447" s="121">
        <f>ROUND(D1447*'FR_Mantenimiento tasas'!$D$48/360,5)</f>
        <v>0</v>
      </c>
    </row>
    <row r="1448" spans="1:6">
      <c r="A1448" s="123">
        <f>IF(OR(A1447='F-Ahorro Futuro Decimos'!$H$16,A1447=""),"",IF(A1447+1&gt;'F-Ahorro Futuro Decimos'!$H$16,'F-Ahorro Futuro Decimos'!$H$16,A1447+1))</f>
        <v>1446</v>
      </c>
      <c r="B1448" s="122">
        <f>IFERROR(IF(DAY($A1448)=DAY('F-Ahorro Futuro Decimos'!$H$15),'F-Ahorro Futuro Decimos'!$H$14,0),0)</f>
        <v>0</v>
      </c>
      <c r="C1448" s="122">
        <f>IF(A1448='F-Ahorro Futuro Decimos'!$H$18,'F-Ahorro Futuro Decimos'!$H$20,0)</f>
        <v>0</v>
      </c>
      <c r="D1448" s="122">
        <f t="shared" si="22"/>
        <v>0</v>
      </c>
      <c r="E1448" s="121">
        <f>ROUND(D1448*'FR_Mantenimiento tasas'!$C$48/360,5)</f>
        <v>0</v>
      </c>
      <c r="F1448" s="121">
        <f>ROUND(D1448*'FR_Mantenimiento tasas'!$D$48/360,5)</f>
        <v>0</v>
      </c>
    </row>
    <row r="1449" spans="1:6">
      <c r="A1449" s="123">
        <f>IF(OR(A1448='F-Ahorro Futuro Decimos'!$H$16,A1448=""),"",IF(A1448+1&gt;'F-Ahorro Futuro Decimos'!$H$16,'F-Ahorro Futuro Decimos'!$H$16,A1448+1))</f>
        <v>1447</v>
      </c>
      <c r="B1449" s="122">
        <f>IFERROR(IF(DAY($A1449)=DAY('F-Ahorro Futuro Decimos'!$H$15),'F-Ahorro Futuro Decimos'!$H$14,0),0)</f>
        <v>0</v>
      </c>
      <c r="C1449" s="122">
        <f>IF(A1449='F-Ahorro Futuro Decimos'!$H$18,'F-Ahorro Futuro Decimos'!$H$20,0)</f>
        <v>0</v>
      </c>
      <c r="D1449" s="122">
        <f t="shared" si="22"/>
        <v>0</v>
      </c>
      <c r="E1449" s="121">
        <f>ROUND(D1449*'FR_Mantenimiento tasas'!$C$48/360,5)</f>
        <v>0</v>
      </c>
      <c r="F1449" s="121">
        <f>ROUND(D1449*'FR_Mantenimiento tasas'!$D$48/360,5)</f>
        <v>0</v>
      </c>
    </row>
    <row r="1450" spans="1:6">
      <c r="A1450" s="123">
        <f>IF(OR(A1449='F-Ahorro Futuro Decimos'!$H$16,A1449=""),"",IF(A1449+1&gt;'F-Ahorro Futuro Decimos'!$H$16,'F-Ahorro Futuro Decimos'!$H$16,A1449+1))</f>
        <v>1448</v>
      </c>
      <c r="B1450" s="122">
        <f>IFERROR(IF(DAY($A1450)=DAY('F-Ahorro Futuro Decimos'!$H$15),'F-Ahorro Futuro Decimos'!$H$14,0),0)</f>
        <v>0</v>
      </c>
      <c r="C1450" s="122">
        <f>IF(A1450='F-Ahorro Futuro Decimos'!$H$18,'F-Ahorro Futuro Decimos'!$H$20,0)</f>
        <v>0</v>
      </c>
      <c r="D1450" s="122">
        <f t="shared" si="22"/>
        <v>0</v>
      </c>
      <c r="E1450" s="121">
        <f>ROUND(D1450*'FR_Mantenimiento tasas'!$C$48/360,5)</f>
        <v>0</v>
      </c>
      <c r="F1450" s="121">
        <f>ROUND(D1450*'FR_Mantenimiento tasas'!$D$48/360,5)</f>
        <v>0</v>
      </c>
    </row>
    <row r="1451" spans="1:6">
      <c r="A1451" s="123">
        <f>IF(OR(A1450='F-Ahorro Futuro Decimos'!$H$16,A1450=""),"",IF(A1450+1&gt;'F-Ahorro Futuro Decimos'!$H$16,'F-Ahorro Futuro Decimos'!$H$16,A1450+1))</f>
        <v>1449</v>
      </c>
      <c r="B1451" s="122">
        <f>IFERROR(IF(DAY($A1451)=DAY('F-Ahorro Futuro Decimos'!$H$15),'F-Ahorro Futuro Decimos'!$H$14,0),0)</f>
        <v>0</v>
      </c>
      <c r="C1451" s="122">
        <f>IF(A1451='F-Ahorro Futuro Decimos'!$H$18,'F-Ahorro Futuro Decimos'!$H$20,0)</f>
        <v>0</v>
      </c>
      <c r="D1451" s="122">
        <f t="shared" si="22"/>
        <v>0</v>
      </c>
      <c r="E1451" s="121">
        <f>ROUND(D1451*'FR_Mantenimiento tasas'!$C$48/360,5)</f>
        <v>0</v>
      </c>
      <c r="F1451" s="121">
        <f>ROUND(D1451*'FR_Mantenimiento tasas'!$D$48/360,5)</f>
        <v>0</v>
      </c>
    </row>
    <row r="1452" spans="1:6">
      <c r="A1452" s="123">
        <f>IF(OR(A1451='F-Ahorro Futuro Decimos'!$H$16,A1451=""),"",IF(A1451+1&gt;'F-Ahorro Futuro Decimos'!$H$16,'F-Ahorro Futuro Decimos'!$H$16,A1451+1))</f>
        <v>1450</v>
      </c>
      <c r="B1452" s="122">
        <f>IFERROR(IF(DAY($A1452)=DAY('F-Ahorro Futuro Decimos'!$H$15),'F-Ahorro Futuro Decimos'!$H$14,0),0)</f>
        <v>0</v>
      </c>
      <c r="C1452" s="122">
        <f>IF(A1452='F-Ahorro Futuro Decimos'!$H$18,'F-Ahorro Futuro Decimos'!$H$20,0)</f>
        <v>0</v>
      </c>
      <c r="D1452" s="122">
        <f t="shared" si="22"/>
        <v>0</v>
      </c>
      <c r="E1452" s="121">
        <f>ROUND(D1452*'FR_Mantenimiento tasas'!$C$48/360,5)</f>
        <v>0</v>
      </c>
      <c r="F1452" s="121">
        <f>ROUND(D1452*'FR_Mantenimiento tasas'!$D$48/360,5)</f>
        <v>0</v>
      </c>
    </row>
    <row r="1453" spans="1:6">
      <c r="A1453" s="123">
        <f>IF(OR(A1452='F-Ahorro Futuro Decimos'!$H$16,A1452=""),"",IF(A1452+1&gt;'F-Ahorro Futuro Decimos'!$H$16,'F-Ahorro Futuro Decimos'!$H$16,A1452+1))</f>
        <v>1451</v>
      </c>
      <c r="B1453" s="122">
        <f>IFERROR(IF(DAY($A1453)=DAY('F-Ahorro Futuro Decimos'!$H$15),'F-Ahorro Futuro Decimos'!$H$14,0),0)</f>
        <v>0</v>
      </c>
      <c r="C1453" s="122">
        <f>IF(A1453='F-Ahorro Futuro Decimos'!$H$18,'F-Ahorro Futuro Decimos'!$H$20,0)</f>
        <v>0</v>
      </c>
      <c r="D1453" s="122">
        <f t="shared" si="22"/>
        <v>0</v>
      </c>
      <c r="E1453" s="121">
        <f>ROUND(D1453*'FR_Mantenimiento tasas'!$C$48/360,5)</f>
        <v>0</v>
      </c>
      <c r="F1453" s="121">
        <f>ROUND(D1453*'FR_Mantenimiento tasas'!$D$48/360,5)</f>
        <v>0</v>
      </c>
    </row>
    <row r="1454" spans="1:6">
      <c r="A1454" s="123">
        <f>IF(OR(A1453='F-Ahorro Futuro Decimos'!$H$16,A1453=""),"",IF(A1453+1&gt;'F-Ahorro Futuro Decimos'!$H$16,'F-Ahorro Futuro Decimos'!$H$16,A1453+1))</f>
        <v>1452</v>
      </c>
      <c r="B1454" s="122">
        <f>IFERROR(IF(DAY($A1454)=DAY('F-Ahorro Futuro Decimos'!$H$15),'F-Ahorro Futuro Decimos'!$H$14,0),0)</f>
        <v>0</v>
      </c>
      <c r="C1454" s="122">
        <f>IF(A1454='F-Ahorro Futuro Decimos'!$H$18,'F-Ahorro Futuro Decimos'!$H$20,0)</f>
        <v>0</v>
      </c>
      <c r="D1454" s="122">
        <f t="shared" si="22"/>
        <v>0</v>
      </c>
      <c r="E1454" s="121">
        <f>ROUND(D1454*'FR_Mantenimiento tasas'!$C$48/360,5)</f>
        <v>0</v>
      </c>
      <c r="F1454" s="121">
        <f>ROUND(D1454*'FR_Mantenimiento tasas'!$D$48/360,5)</f>
        <v>0</v>
      </c>
    </row>
    <row r="1455" spans="1:6">
      <c r="A1455" s="123">
        <f>IF(OR(A1454='F-Ahorro Futuro Decimos'!$H$16,A1454=""),"",IF(A1454+1&gt;'F-Ahorro Futuro Decimos'!$H$16,'F-Ahorro Futuro Decimos'!$H$16,A1454+1))</f>
        <v>1453</v>
      </c>
      <c r="B1455" s="122">
        <f>IFERROR(IF(DAY($A1455)=DAY('F-Ahorro Futuro Decimos'!$H$15),'F-Ahorro Futuro Decimos'!$H$14,0),0)</f>
        <v>0</v>
      </c>
      <c r="C1455" s="122">
        <f>IF(A1455='F-Ahorro Futuro Decimos'!$H$18,'F-Ahorro Futuro Decimos'!$H$20,0)</f>
        <v>0</v>
      </c>
      <c r="D1455" s="122">
        <f t="shared" si="22"/>
        <v>0</v>
      </c>
      <c r="E1455" s="121">
        <f>ROUND(D1455*'FR_Mantenimiento tasas'!$C$48/360,5)</f>
        <v>0</v>
      </c>
      <c r="F1455" s="121">
        <f>ROUND(D1455*'FR_Mantenimiento tasas'!$D$48/360,5)</f>
        <v>0</v>
      </c>
    </row>
    <row r="1456" spans="1:6">
      <c r="A1456" s="123">
        <f>IF(OR(A1455='F-Ahorro Futuro Decimos'!$H$16,A1455=""),"",IF(A1455+1&gt;'F-Ahorro Futuro Decimos'!$H$16,'F-Ahorro Futuro Decimos'!$H$16,A1455+1))</f>
        <v>1454</v>
      </c>
      <c r="B1456" s="122">
        <f>IFERROR(IF(DAY($A1456)=DAY('F-Ahorro Futuro Decimos'!$H$15),'F-Ahorro Futuro Decimos'!$H$14,0),0)</f>
        <v>0</v>
      </c>
      <c r="C1456" s="122">
        <f>IF(A1456='F-Ahorro Futuro Decimos'!$H$18,'F-Ahorro Futuro Decimos'!$H$20,0)</f>
        <v>0</v>
      </c>
      <c r="D1456" s="122">
        <f t="shared" si="22"/>
        <v>0</v>
      </c>
      <c r="E1456" s="121">
        <f>ROUND(D1456*'FR_Mantenimiento tasas'!$C$48/360,5)</f>
        <v>0</v>
      </c>
      <c r="F1456" s="121">
        <f>ROUND(D1456*'FR_Mantenimiento tasas'!$D$48/360,5)</f>
        <v>0</v>
      </c>
    </row>
    <row r="1457" spans="1:6">
      <c r="A1457" s="123">
        <f>IF(OR(A1456='F-Ahorro Futuro Decimos'!$H$16,A1456=""),"",IF(A1456+1&gt;'F-Ahorro Futuro Decimos'!$H$16,'F-Ahorro Futuro Decimos'!$H$16,A1456+1))</f>
        <v>1455</v>
      </c>
      <c r="B1457" s="122">
        <f>IFERROR(IF(DAY($A1457)=DAY('F-Ahorro Futuro Decimos'!$H$15),'F-Ahorro Futuro Decimos'!$H$14,0),0)</f>
        <v>0</v>
      </c>
      <c r="C1457" s="122">
        <f>IF(A1457='F-Ahorro Futuro Decimos'!$H$18,'F-Ahorro Futuro Decimos'!$H$20,0)</f>
        <v>0</v>
      </c>
      <c r="D1457" s="122">
        <f t="shared" si="22"/>
        <v>0</v>
      </c>
      <c r="E1457" s="121">
        <f>ROUND(D1457*'FR_Mantenimiento tasas'!$C$48/360,5)</f>
        <v>0</v>
      </c>
      <c r="F1457" s="121">
        <f>ROUND(D1457*'FR_Mantenimiento tasas'!$D$48/360,5)</f>
        <v>0</v>
      </c>
    </row>
    <row r="1458" spans="1:6">
      <c r="A1458" s="123">
        <f>IF(OR(A1457='F-Ahorro Futuro Decimos'!$H$16,A1457=""),"",IF(A1457+1&gt;'F-Ahorro Futuro Decimos'!$H$16,'F-Ahorro Futuro Decimos'!$H$16,A1457+1))</f>
        <v>1456</v>
      </c>
      <c r="B1458" s="122">
        <f>IFERROR(IF(DAY($A1458)=DAY('F-Ahorro Futuro Decimos'!$H$15),'F-Ahorro Futuro Decimos'!$H$14,0),0)</f>
        <v>0</v>
      </c>
      <c r="C1458" s="122">
        <f>IF(A1458='F-Ahorro Futuro Decimos'!$H$18,'F-Ahorro Futuro Decimos'!$H$20,0)</f>
        <v>0</v>
      </c>
      <c r="D1458" s="122">
        <f t="shared" si="22"/>
        <v>0</v>
      </c>
      <c r="E1458" s="121">
        <f>ROUND(D1458*'FR_Mantenimiento tasas'!$C$48/360,5)</f>
        <v>0</v>
      </c>
      <c r="F1458" s="121">
        <f>ROUND(D1458*'FR_Mantenimiento tasas'!$D$48/360,5)</f>
        <v>0</v>
      </c>
    </row>
    <row r="1459" spans="1:6">
      <c r="A1459" s="123">
        <f>IF(OR(A1458='F-Ahorro Futuro Decimos'!$H$16,A1458=""),"",IF(A1458+1&gt;'F-Ahorro Futuro Decimos'!$H$16,'F-Ahorro Futuro Decimos'!$H$16,A1458+1))</f>
        <v>1457</v>
      </c>
      <c r="B1459" s="122">
        <f>IFERROR(IF(DAY($A1459)=DAY('F-Ahorro Futuro Decimos'!$H$15),'F-Ahorro Futuro Decimos'!$H$14,0),0)</f>
        <v>0</v>
      </c>
      <c r="C1459" s="122">
        <f>IF(A1459='F-Ahorro Futuro Decimos'!$H$18,'F-Ahorro Futuro Decimos'!$H$20,0)</f>
        <v>0</v>
      </c>
      <c r="D1459" s="122">
        <f t="shared" si="22"/>
        <v>0</v>
      </c>
      <c r="E1459" s="121">
        <f>ROUND(D1459*'FR_Mantenimiento tasas'!$C$48/360,5)</f>
        <v>0</v>
      </c>
      <c r="F1459" s="121">
        <f>ROUND(D1459*'FR_Mantenimiento tasas'!$D$48/360,5)</f>
        <v>0</v>
      </c>
    </row>
    <row r="1460" spans="1:6">
      <c r="A1460" s="123">
        <f>IF(OR(A1459='F-Ahorro Futuro Decimos'!$H$16,A1459=""),"",IF(A1459+1&gt;'F-Ahorro Futuro Decimos'!$H$16,'F-Ahorro Futuro Decimos'!$H$16,A1459+1))</f>
        <v>1458</v>
      </c>
      <c r="B1460" s="122">
        <f>IFERROR(IF(DAY($A1460)=DAY('F-Ahorro Futuro Decimos'!$H$15),'F-Ahorro Futuro Decimos'!$H$14,0),0)</f>
        <v>0</v>
      </c>
      <c r="C1460" s="122">
        <f>IF(A1460='F-Ahorro Futuro Decimos'!$H$18,'F-Ahorro Futuro Decimos'!$H$20,0)</f>
        <v>0</v>
      </c>
      <c r="D1460" s="122">
        <f t="shared" si="22"/>
        <v>0</v>
      </c>
      <c r="E1460" s="121">
        <f>ROUND(D1460*'FR_Mantenimiento tasas'!$C$48/360,5)</f>
        <v>0</v>
      </c>
      <c r="F1460" s="121">
        <f>ROUND(D1460*'FR_Mantenimiento tasas'!$D$48/360,5)</f>
        <v>0</v>
      </c>
    </row>
    <row r="1461" spans="1:6">
      <c r="A1461" s="123">
        <f>IF(OR(A1460='F-Ahorro Futuro Decimos'!$H$16,A1460=""),"",IF(A1460+1&gt;'F-Ahorro Futuro Decimos'!$H$16,'F-Ahorro Futuro Decimos'!$H$16,A1460+1))</f>
        <v>1459</v>
      </c>
      <c r="B1461" s="122">
        <f>IFERROR(IF(DAY($A1461)=DAY('F-Ahorro Futuro Decimos'!$H$15),'F-Ahorro Futuro Decimos'!$H$14,0),0)</f>
        <v>0</v>
      </c>
      <c r="C1461" s="122">
        <f>IF(A1461='F-Ahorro Futuro Decimos'!$H$18,'F-Ahorro Futuro Decimos'!$H$20,0)</f>
        <v>0</v>
      </c>
      <c r="D1461" s="122">
        <f t="shared" si="22"/>
        <v>0</v>
      </c>
      <c r="E1461" s="121">
        <f>ROUND(D1461*'FR_Mantenimiento tasas'!$C$48/360,5)</f>
        <v>0</v>
      </c>
      <c r="F1461" s="121">
        <f>ROUND(D1461*'FR_Mantenimiento tasas'!$D$48/360,5)</f>
        <v>0</v>
      </c>
    </row>
    <row r="1462" spans="1:6">
      <c r="A1462" s="123">
        <f>IF(OR(A1461='F-Ahorro Futuro Decimos'!$H$16,A1461=""),"",IF(A1461+1&gt;'F-Ahorro Futuro Decimos'!$H$16,'F-Ahorro Futuro Decimos'!$H$16,A1461+1))</f>
        <v>1460</v>
      </c>
      <c r="B1462" s="122">
        <f>IFERROR(IF(DAY($A1462)=DAY('F-Ahorro Futuro Decimos'!$H$15),'F-Ahorro Futuro Decimos'!$H$14,0),0)</f>
        <v>0</v>
      </c>
      <c r="C1462" s="122">
        <f>IF(A1462='F-Ahorro Futuro Decimos'!$H$18,'F-Ahorro Futuro Decimos'!$H$20,0)</f>
        <v>0</v>
      </c>
      <c r="D1462" s="122">
        <f t="shared" si="22"/>
        <v>0</v>
      </c>
      <c r="E1462" s="121">
        <f>ROUND(D1462*'FR_Mantenimiento tasas'!$C$48/360,5)</f>
        <v>0</v>
      </c>
      <c r="F1462" s="121">
        <f>ROUND(D1462*'FR_Mantenimiento tasas'!$D$48/360,5)</f>
        <v>0</v>
      </c>
    </row>
    <row r="1463" spans="1:6">
      <c r="A1463" s="123">
        <f>IF(OR(A1462='F-Ahorro Futuro Decimos'!$H$16,A1462=""),"",IF(A1462+1&gt;'F-Ahorro Futuro Decimos'!$H$16,'F-Ahorro Futuro Decimos'!$H$16,A1462+1))</f>
        <v>1461</v>
      </c>
      <c r="B1463" s="122">
        <f>IFERROR(IF(DAY($A1463)=DAY('F-Ahorro Futuro Decimos'!$H$15),'F-Ahorro Futuro Decimos'!$H$14,0),0)</f>
        <v>0</v>
      </c>
      <c r="C1463" s="122">
        <f>IF(A1463='F-Ahorro Futuro Decimos'!$H$18,'F-Ahorro Futuro Decimos'!$H$20,0)</f>
        <v>0</v>
      </c>
      <c r="D1463" s="122">
        <f t="shared" si="22"/>
        <v>0</v>
      </c>
      <c r="E1463" s="121">
        <f>ROUND(D1463*'FR_Mantenimiento tasas'!$C$48/360,5)</f>
        <v>0</v>
      </c>
      <c r="F1463" s="121">
        <f>ROUND(D1463*'FR_Mantenimiento tasas'!$D$48/360,5)</f>
        <v>0</v>
      </c>
    </row>
    <row r="1464" spans="1:6">
      <c r="A1464" s="123">
        <f>IF(OR(A1463='F-Ahorro Futuro Decimos'!$H$16,A1463=""),"",IF(A1463+1&gt;'F-Ahorro Futuro Decimos'!$H$16,'F-Ahorro Futuro Decimos'!$H$16,A1463+1))</f>
        <v>1462</v>
      </c>
      <c r="B1464" s="122">
        <f>IFERROR(IF(DAY($A1464)=DAY('F-Ahorro Futuro Decimos'!$H$15),'F-Ahorro Futuro Decimos'!$H$14,0),0)</f>
        <v>0</v>
      </c>
      <c r="C1464" s="122">
        <f>IF(A1464='F-Ahorro Futuro Decimos'!$H$18,'F-Ahorro Futuro Decimos'!$H$20,0)</f>
        <v>0</v>
      </c>
      <c r="D1464" s="122">
        <f t="shared" si="22"/>
        <v>0</v>
      </c>
      <c r="E1464" s="121">
        <f>ROUND(D1464*'FR_Mantenimiento tasas'!$C$48/360,5)</f>
        <v>0</v>
      </c>
      <c r="F1464" s="121">
        <f>ROUND(D1464*'FR_Mantenimiento tasas'!$D$48/360,5)</f>
        <v>0</v>
      </c>
    </row>
    <row r="1465" spans="1:6">
      <c r="A1465" s="123">
        <f>IF(OR(A1464='F-Ahorro Futuro Decimos'!$H$16,A1464=""),"",IF(A1464+1&gt;'F-Ahorro Futuro Decimos'!$H$16,'F-Ahorro Futuro Decimos'!$H$16,A1464+1))</f>
        <v>1463</v>
      </c>
      <c r="B1465" s="122">
        <f>IFERROR(IF(DAY($A1465)=DAY('F-Ahorro Futuro Decimos'!$H$15),'F-Ahorro Futuro Decimos'!$H$14,0),0)</f>
        <v>0</v>
      </c>
      <c r="C1465" s="122">
        <f>IF(A1465='F-Ahorro Futuro Decimos'!$H$18,'F-Ahorro Futuro Decimos'!$H$20,0)</f>
        <v>0</v>
      </c>
      <c r="D1465" s="122">
        <f t="shared" si="22"/>
        <v>0</v>
      </c>
      <c r="E1465" s="121">
        <f>ROUND(D1465*'FR_Mantenimiento tasas'!$C$48/360,5)</f>
        <v>0</v>
      </c>
      <c r="F1465" s="121">
        <f>ROUND(D1465*'FR_Mantenimiento tasas'!$D$48/360,5)</f>
        <v>0</v>
      </c>
    </row>
    <row r="1466" spans="1:6">
      <c r="A1466" s="123">
        <f>IF(OR(A1465='F-Ahorro Futuro Decimos'!$H$16,A1465=""),"",IF(A1465+1&gt;'F-Ahorro Futuro Decimos'!$H$16,'F-Ahorro Futuro Decimos'!$H$16,A1465+1))</f>
        <v>1464</v>
      </c>
      <c r="B1466" s="122">
        <f>IFERROR(IF(DAY($A1466)=DAY('F-Ahorro Futuro Decimos'!$H$15),'F-Ahorro Futuro Decimos'!$H$14,0),0)</f>
        <v>0</v>
      </c>
      <c r="C1466" s="122">
        <f>IF(A1466='F-Ahorro Futuro Decimos'!$H$18,'F-Ahorro Futuro Decimos'!$H$20,0)</f>
        <v>0</v>
      </c>
      <c r="D1466" s="122">
        <f t="shared" si="22"/>
        <v>0</v>
      </c>
      <c r="E1466" s="121">
        <f>ROUND(D1466*'FR_Mantenimiento tasas'!$C$48/360,5)</f>
        <v>0</v>
      </c>
      <c r="F1466" s="121">
        <f>ROUND(D1466*'FR_Mantenimiento tasas'!$D$48/360,5)</f>
        <v>0</v>
      </c>
    </row>
    <row r="1467" spans="1:6">
      <c r="A1467" s="123">
        <f>IF(OR(A1466='F-Ahorro Futuro Decimos'!$H$16,A1466=""),"",IF(A1466+1&gt;'F-Ahorro Futuro Decimos'!$H$16,'F-Ahorro Futuro Decimos'!$H$16,A1466+1))</f>
        <v>1465</v>
      </c>
      <c r="B1467" s="122">
        <f>IFERROR(IF(DAY($A1467)=DAY('F-Ahorro Futuro Decimos'!$H$15),'F-Ahorro Futuro Decimos'!$H$14,0),0)</f>
        <v>0</v>
      </c>
      <c r="C1467" s="122">
        <f>IF(A1467='F-Ahorro Futuro Decimos'!$H$18,'F-Ahorro Futuro Decimos'!$H$20,0)</f>
        <v>0</v>
      </c>
      <c r="D1467" s="122">
        <f t="shared" si="22"/>
        <v>0</v>
      </c>
      <c r="E1467" s="121">
        <f>ROUND(D1467*'FR_Mantenimiento tasas'!$C$48/360,5)</f>
        <v>0</v>
      </c>
      <c r="F1467" s="121">
        <f>ROUND(D1467*'FR_Mantenimiento tasas'!$D$48/360,5)</f>
        <v>0</v>
      </c>
    </row>
    <row r="1468" spans="1:6">
      <c r="A1468" s="123">
        <f>IF(OR(A1467='F-Ahorro Futuro Decimos'!$H$16,A1467=""),"",IF(A1467+1&gt;'F-Ahorro Futuro Decimos'!$H$16,'F-Ahorro Futuro Decimos'!$H$16,A1467+1))</f>
        <v>1466</v>
      </c>
      <c r="B1468" s="122">
        <f>IFERROR(IF(DAY($A1468)=DAY('F-Ahorro Futuro Decimos'!$H$15),'F-Ahorro Futuro Decimos'!$H$14,0),0)</f>
        <v>0</v>
      </c>
      <c r="C1468" s="122">
        <f>IF(A1468='F-Ahorro Futuro Decimos'!$H$18,'F-Ahorro Futuro Decimos'!$H$20,0)</f>
        <v>0</v>
      </c>
      <c r="D1468" s="122">
        <f t="shared" si="22"/>
        <v>0</v>
      </c>
      <c r="E1468" s="121">
        <f>ROUND(D1468*'FR_Mantenimiento tasas'!$C$48/360,5)</f>
        <v>0</v>
      </c>
      <c r="F1468" s="121">
        <f>ROUND(D1468*'FR_Mantenimiento tasas'!$D$48/360,5)</f>
        <v>0</v>
      </c>
    </row>
    <row r="1469" spans="1:6">
      <c r="A1469" s="123">
        <f>IF(OR(A1468='F-Ahorro Futuro Decimos'!$H$16,A1468=""),"",IF(A1468+1&gt;'F-Ahorro Futuro Decimos'!$H$16,'F-Ahorro Futuro Decimos'!$H$16,A1468+1))</f>
        <v>1467</v>
      </c>
      <c r="B1469" s="122">
        <f>IFERROR(IF(DAY($A1469)=DAY('F-Ahorro Futuro Decimos'!$H$15),'F-Ahorro Futuro Decimos'!$H$14,0),0)</f>
        <v>0</v>
      </c>
      <c r="C1469" s="122">
        <f>IF(A1469='F-Ahorro Futuro Decimos'!$H$18,'F-Ahorro Futuro Decimos'!$H$20,0)</f>
        <v>0</v>
      </c>
      <c r="D1469" s="122">
        <f t="shared" si="22"/>
        <v>0</v>
      </c>
      <c r="E1469" s="121">
        <f>ROUND(D1469*'FR_Mantenimiento tasas'!$C$48/360,5)</f>
        <v>0</v>
      </c>
      <c r="F1469" s="121">
        <f>ROUND(D1469*'FR_Mantenimiento tasas'!$D$48/360,5)</f>
        <v>0</v>
      </c>
    </row>
    <row r="1470" spans="1:6">
      <c r="A1470" s="123">
        <f>IF(OR(A1469='F-Ahorro Futuro Decimos'!$H$16,A1469=""),"",IF(A1469+1&gt;'F-Ahorro Futuro Decimos'!$H$16,'F-Ahorro Futuro Decimos'!$H$16,A1469+1))</f>
        <v>1468</v>
      </c>
      <c r="B1470" s="122">
        <f>IFERROR(IF(DAY($A1470)=DAY('F-Ahorro Futuro Decimos'!$H$15),'F-Ahorro Futuro Decimos'!$H$14,0),0)</f>
        <v>0</v>
      </c>
      <c r="C1470" s="122">
        <f>IF(A1470='F-Ahorro Futuro Decimos'!$H$18,'F-Ahorro Futuro Decimos'!$H$20,0)</f>
        <v>0</v>
      </c>
      <c r="D1470" s="122">
        <f t="shared" si="22"/>
        <v>0</v>
      </c>
      <c r="E1470" s="121">
        <f>ROUND(D1470*'FR_Mantenimiento tasas'!$C$48/360,5)</f>
        <v>0</v>
      </c>
      <c r="F1470" s="121">
        <f>ROUND(D1470*'FR_Mantenimiento tasas'!$D$48/360,5)</f>
        <v>0</v>
      </c>
    </row>
    <row r="1471" spans="1:6">
      <c r="A1471" s="123">
        <f>IF(OR(A1470='F-Ahorro Futuro Decimos'!$H$16,A1470=""),"",IF(A1470+1&gt;'F-Ahorro Futuro Decimos'!$H$16,'F-Ahorro Futuro Decimos'!$H$16,A1470+1))</f>
        <v>1469</v>
      </c>
      <c r="B1471" s="122">
        <f>IFERROR(IF(DAY($A1471)=DAY('F-Ahorro Futuro Decimos'!$H$15),'F-Ahorro Futuro Decimos'!$H$14,0),0)</f>
        <v>0</v>
      </c>
      <c r="C1471" s="122">
        <f>IF(A1471='F-Ahorro Futuro Decimos'!$H$18,'F-Ahorro Futuro Decimos'!$H$20,0)</f>
        <v>0</v>
      </c>
      <c r="D1471" s="122">
        <f t="shared" si="22"/>
        <v>0</v>
      </c>
      <c r="E1471" s="121">
        <f>ROUND(D1471*'FR_Mantenimiento tasas'!$C$48/360,5)</f>
        <v>0</v>
      </c>
      <c r="F1471" s="121">
        <f>ROUND(D1471*'FR_Mantenimiento tasas'!$D$48/360,5)</f>
        <v>0</v>
      </c>
    </row>
    <row r="1472" spans="1:6">
      <c r="A1472" s="123">
        <f>IF(OR(A1471='F-Ahorro Futuro Decimos'!$H$16,A1471=""),"",IF(A1471+1&gt;'F-Ahorro Futuro Decimos'!$H$16,'F-Ahorro Futuro Decimos'!$H$16,A1471+1))</f>
        <v>1470</v>
      </c>
      <c r="B1472" s="122">
        <f>IFERROR(IF(DAY($A1472)=DAY('F-Ahorro Futuro Decimos'!$H$15),'F-Ahorro Futuro Decimos'!$H$14,0),0)</f>
        <v>0</v>
      </c>
      <c r="C1472" s="122">
        <f>IF(A1472='F-Ahorro Futuro Decimos'!$H$18,'F-Ahorro Futuro Decimos'!$H$20,0)</f>
        <v>0</v>
      </c>
      <c r="D1472" s="122">
        <f t="shared" si="22"/>
        <v>0</v>
      </c>
      <c r="E1472" s="121">
        <f>ROUND(D1472*'FR_Mantenimiento tasas'!$C$48/360,5)</f>
        <v>0</v>
      </c>
      <c r="F1472" s="121">
        <f>ROUND(D1472*'FR_Mantenimiento tasas'!$D$48/360,5)</f>
        <v>0</v>
      </c>
    </row>
    <row r="1473" spans="1:6">
      <c r="A1473" s="123">
        <f>IF(OR(A1472='F-Ahorro Futuro Decimos'!$H$16,A1472=""),"",IF(A1472+1&gt;'F-Ahorro Futuro Decimos'!$H$16,'F-Ahorro Futuro Decimos'!$H$16,A1472+1))</f>
        <v>1471</v>
      </c>
      <c r="B1473" s="122">
        <f>IFERROR(IF(DAY($A1473)=DAY('F-Ahorro Futuro Decimos'!$H$15),'F-Ahorro Futuro Decimos'!$H$14,0),0)</f>
        <v>0</v>
      </c>
      <c r="C1473" s="122">
        <f>IF(A1473='F-Ahorro Futuro Decimos'!$H$18,'F-Ahorro Futuro Decimos'!$H$20,0)</f>
        <v>0</v>
      </c>
      <c r="D1473" s="122">
        <f t="shared" si="22"/>
        <v>0</v>
      </c>
      <c r="E1473" s="121">
        <f>ROUND(D1473*'FR_Mantenimiento tasas'!$C$48/360,5)</f>
        <v>0</v>
      </c>
      <c r="F1473" s="121">
        <f>ROUND(D1473*'FR_Mantenimiento tasas'!$D$48/360,5)</f>
        <v>0</v>
      </c>
    </row>
    <row r="1474" spans="1:6">
      <c r="A1474" s="123">
        <f>IF(OR(A1473='F-Ahorro Futuro Decimos'!$H$16,A1473=""),"",IF(A1473+1&gt;'F-Ahorro Futuro Decimos'!$H$16,'F-Ahorro Futuro Decimos'!$H$16,A1473+1))</f>
        <v>1472</v>
      </c>
      <c r="B1474" s="122">
        <f>IFERROR(IF(DAY($A1474)=DAY('F-Ahorro Futuro Decimos'!$H$15),'F-Ahorro Futuro Decimos'!$H$14,0),0)</f>
        <v>0</v>
      </c>
      <c r="C1474" s="122">
        <f>IF(A1474='F-Ahorro Futuro Decimos'!$H$18,'F-Ahorro Futuro Decimos'!$H$20,0)</f>
        <v>0</v>
      </c>
      <c r="D1474" s="122">
        <f t="shared" si="22"/>
        <v>0</v>
      </c>
      <c r="E1474" s="121">
        <f>ROUND(D1474*'FR_Mantenimiento tasas'!$C$48/360,5)</f>
        <v>0</v>
      </c>
      <c r="F1474" s="121">
        <f>ROUND(D1474*'FR_Mantenimiento tasas'!$D$48/360,5)</f>
        <v>0</v>
      </c>
    </row>
    <row r="1475" spans="1:6">
      <c r="A1475" s="123">
        <f>IF(OR(A1474='F-Ahorro Futuro Decimos'!$H$16,A1474=""),"",IF(A1474+1&gt;'F-Ahorro Futuro Decimos'!$H$16,'F-Ahorro Futuro Decimos'!$H$16,A1474+1))</f>
        <v>1473</v>
      </c>
      <c r="B1475" s="122">
        <f>IFERROR(IF(DAY($A1475)=DAY('F-Ahorro Futuro Decimos'!$H$15),'F-Ahorro Futuro Decimos'!$H$14,0),0)</f>
        <v>0</v>
      </c>
      <c r="C1475" s="122">
        <f>IF(A1475='F-Ahorro Futuro Decimos'!$H$18,'F-Ahorro Futuro Decimos'!$H$20,0)</f>
        <v>0</v>
      </c>
      <c r="D1475" s="122">
        <f t="shared" si="22"/>
        <v>0</v>
      </c>
      <c r="E1475" s="121">
        <f>ROUND(D1475*'FR_Mantenimiento tasas'!$C$48/360,5)</f>
        <v>0</v>
      </c>
      <c r="F1475" s="121">
        <f>ROUND(D1475*'FR_Mantenimiento tasas'!$D$48/360,5)</f>
        <v>0</v>
      </c>
    </row>
    <row r="1476" spans="1:6">
      <c r="A1476" s="123">
        <f>IF(OR(A1475='F-Ahorro Futuro Decimos'!$H$16,A1475=""),"",IF(A1475+1&gt;'F-Ahorro Futuro Decimos'!$H$16,'F-Ahorro Futuro Decimos'!$H$16,A1475+1))</f>
        <v>1474</v>
      </c>
      <c r="B1476" s="122">
        <f>IFERROR(IF(DAY($A1476)=DAY('F-Ahorro Futuro Decimos'!$H$15),'F-Ahorro Futuro Decimos'!$H$14,0),0)</f>
        <v>0</v>
      </c>
      <c r="C1476" s="122">
        <f>IF(A1476='F-Ahorro Futuro Decimos'!$H$18,'F-Ahorro Futuro Decimos'!$H$20,0)</f>
        <v>0</v>
      </c>
      <c r="D1476" s="122">
        <f t="shared" ref="D1476:D1539" si="23">+B1476+D1475+E1475-C1476</f>
        <v>0</v>
      </c>
      <c r="E1476" s="121">
        <f>ROUND(D1476*'FR_Mantenimiento tasas'!$C$48/360,5)</f>
        <v>0</v>
      </c>
      <c r="F1476" s="121">
        <f>ROUND(D1476*'FR_Mantenimiento tasas'!$D$48/360,5)</f>
        <v>0</v>
      </c>
    </row>
    <row r="1477" spans="1:6">
      <c r="A1477" s="123">
        <f>IF(OR(A1476='F-Ahorro Futuro Decimos'!$H$16,A1476=""),"",IF(A1476+1&gt;'F-Ahorro Futuro Decimos'!$H$16,'F-Ahorro Futuro Decimos'!$H$16,A1476+1))</f>
        <v>1475</v>
      </c>
      <c r="B1477" s="122">
        <f>IFERROR(IF(DAY($A1477)=DAY('F-Ahorro Futuro Decimos'!$H$15),'F-Ahorro Futuro Decimos'!$H$14,0),0)</f>
        <v>0</v>
      </c>
      <c r="C1477" s="122">
        <f>IF(A1477='F-Ahorro Futuro Decimos'!$H$18,'F-Ahorro Futuro Decimos'!$H$20,0)</f>
        <v>0</v>
      </c>
      <c r="D1477" s="122">
        <f t="shared" si="23"/>
        <v>0</v>
      </c>
      <c r="E1477" s="121">
        <f>ROUND(D1477*'FR_Mantenimiento tasas'!$C$48/360,5)</f>
        <v>0</v>
      </c>
      <c r="F1477" s="121">
        <f>ROUND(D1477*'FR_Mantenimiento tasas'!$D$48/360,5)</f>
        <v>0</v>
      </c>
    </row>
    <row r="1478" spans="1:6">
      <c r="A1478" s="123">
        <f>IF(OR(A1477='F-Ahorro Futuro Decimos'!$H$16,A1477=""),"",IF(A1477+1&gt;'F-Ahorro Futuro Decimos'!$H$16,'F-Ahorro Futuro Decimos'!$H$16,A1477+1))</f>
        <v>1476</v>
      </c>
      <c r="B1478" s="122">
        <f>IFERROR(IF(DAY($A1478)=DAY('F-Ahorro Futuro Decimos'!$H$15),'F-Ahorro Futuro Decimos'!$H$14,0),0)</f>
        <v>0</v>
      </c>
      <c r="C1478" s="122">
        <f>IF(A1478='F-Ahorro Futuro Decimos'!$H$18,'F-Ahorro Futuro Decimos'!$H$20,0)</f>
        <v>0</v>
      </c>
      <c r="D1478" s="122">
        <f t="shared" si="23"/>
        <v>0</v>
      </c>
      <c r="E1478" s="121">
        <f>ROUND(D1478*'FR_Mantenimiento tasas'!$C$48/360,5)</f>
        <v>0</v>
      </c>
      <c r="F1478" s="121">
        <f>ROUND(D1478*'FR_Mantenimiento tasas'!$D$48/360,5)</f>
        <v>0</v>
      </c>
    </row>
    <row r="1479" spans="1:6">
      <c r="A1479" s="123">
        <f>IF(OR(A1478='F-Ahorro Futuro Decimos'!$H$16,A1478=""),"",IF(A1478+1&gt;'F-Ahorro Futuro Decimos'!$H$16,'F-Ahorro Futuro Decimos'!$H$16,A1478+1))</f>
        <v>1477</v>
      </c>
      <c r="B1479" s="122">
        <f>IFERROR(IF(DAY($A1479)=DAY('F-Ahorro Futuro Decimos'!$H$15),'F-Ahorro Futuro Decimos'!$H$14,0),0)</f>
        <v>0</v>
      </c>
      <c r="C1479" s="122">
        <f>IF(A1479='F-Ahorro Futuro Decimos'!$H$18,'F-Ahorro Futuro Decimos'!$H$20,0)</f>
        <v>0</v>
      </c>
      <c r="D1479" s="122">
        <f t="shared" si="23"/>
        <v>0</v>
      </c>
      <c r="E1479" s="121">
        <f>ROUND(D1479*'FR_Mantenimiento tasas'!$C$48/360,5)</f>
        <v>0</v>
      </c>
      <c r="F1479" s="121">
        <f>ROUND(D1479*'FR_Mantenimiento tasas'!$D$48/360,5)</f>
        <v>0</v>
      </c>
    </row>
    <row r="1480" spans="1:6">
      <c r="A1480" s="123">
        <f>IF(OR(A1479='F-Ahorro Futuro Decimos'!$H$16,A1479=""),"",IF(A1479+1&gt;'F-Ahorro Futuro Decimos'!$H$16,'F-Ahorro Futuro Decimos'!$H$16,A1479+1))</f>
        <v>1478</v>
      </c>
      <c r="B1480" s="122">
        <f>IFERROR(IF(DAY($A1480)=DAY('F-Ahorro Futuro Decimos'!$H$15),'F-Ahorro Futuro Decimos'!$H$14,0),0)</f>
        <v>0</v>
      </c>
      <c r="C1480" s="122">
        <f>IF(A1480='F-Ahorro Futuro Decimos'!$H$18,'F-Ahorro Futuro Decimos'!$H$20,0)</f>
        <v>0</v>
      </c>
      <c r="D1480" s="122">
        <f t="shared" si="23"/>
        <v>0</v>
      </c>
      <c r="E1480" s="121">
        <f>ROUND(D1480*'FR_Mantenimiento tasas'!$C$48/360,5)</f>
        <v>0</v>
      </c>
      <c r="F1480" s="121">
        <f>ROUND(D1480*'FR_Mantenimiento tasas'!$D$48/360,5)</f>
        <v>0</v>
      </c>
    </row>
    <row r="1481" spans="1:6">
      <c r="A1481" s="123">
        <f>IF(OR(A1480='F-Ahorro Futuro Decimos'!$H$16,A1480=""),"",IF(A1480+1&gt;'F-Ahorro Futuro Decimos'!$H$16,'F-Ahorro Futuro Decimos'!$H$16,A1480+1))</f>
        <v>1479</v>
      </c>
      <c r="B1481" s="122">
        <f>IFERROR(IF(DAY($A1481)=DAY('F-Ahorro Futuro Decimos'!$H$15),'F-Ahorro Futuro Decimos'!$H$14,0),0)</f>
        <v>0</v>
      </c>
      <c r="C1481" s="122">
        <f>IF(A1481='F-Ahorro Futuro Decimos'!$H$18,'F-Ahorro Futuro Decimos'!$H$20,0)</f>
        <v>0</v>
      </c>
      <c r="D1481" s="122">
        <f t="shared" si="23"/>
        <v>0</v>
      </c>
      <c r="E1481" s="121">
        <f>ROUND(D1481*'FR_Mantenimiento tasas'!$C$48/360,5)</f>
        <v>0</v>
      </c>
      <c r="F1481" s="121">
        <f>ROUND(D1481*'FR_Mantenimiento tasas'!$D$48/360,5)</f>
        <v>0</v>
      </c>
    </row>
    <row r="1482" spans="1:6">
      <c r="A1482" s="123">
        <f>IF(OR(A1481='F-Ahorro Futuro Decimos'!$H$16,A1481=""),"",IF(A1481+1&gt;'F-Ahorro Futuro Decimos'!$H$16,'F-Ahorro Futuro Decimos'!$H$16,A1481+1))</f>
        <v>1480</v>
      </c>
      <c r="B1482" s="122">
        <f>IFERROR(IF(DAY($A1482)=DAY('F-Ahorro Futuro Decimos'!$H$15),'F-Ahorro Futuro Decimos'!$H$14,0),0)</f>
        <v>0</v>
      </c>
      <c r="C1482" s="122">
        <f>IF(A1482='F-Ahorro Futuro Decimos'!$H$18,'F-Ahorro Futuro Decimos'!$H$20,0)</f>
        <v>0</v>
      </c>
      <c r="D1482" s="122">
        <f t="shared" si="23"/>
        <v>0</v>
      </c>
      <c r="E1482" s="121">
        <f>ROUND(D1482*'FR_Mantenimiento tasas'!$C$48/360,5)</f>
        <v>0</v>
      </c>
      <c r="F1482" s="121">
        <f>ROUND(D1482*'FR_Mantenimiento tasas'!$D$48/360,5)</f>
        <v>0</v>
      </c>
    </row>
    <row r="1483" spans="1:6">
      <c r="A1483" s="123">
        <f>IF(OR(A1482='F-Ahorro Futuro Decimos'!$H$16,A1482=""),"",IF(A1482+1&gt;'F-Ahorro Futuro Decimos'!$H$16,'F-Ahorro Futuro Decimos'!$H$16,A1482+1))</f>
        <v>1481</v>
      </c>
      <c r="B1483" s="122">
        <f>IFERROR(IF(DAY($A1483)=DAY('F-Ahorro Futuro Decimos'!$H$15),'F-Ahorro Futuro Decimos'!$H$14,0),0)</f>
        <v>0</v>
      </c>
      <c r="C1483" s="122">
        <f>IF(A1483='F-Ahorro Futuro Decimos'!$H$18,'F-Ahorro Futuro Decimos'!$H$20,0)</f>
        <v>0</v>
      </c>
      <c r="D1483" s="122">
        <f t="shared" si="23"/>
        <v>0</v>
      </c>
      <c r="E1483" s="121">
        <f>ROUND(D1483*'FR_Mantenimiento tasas'!$C$48/360,5)</f>
        <v>0</v>
      </c>
      <c r="F1483" s="121">
        <f>ROUND(D1483*'FR_Mantenimiento tasas'!$D$48/360,5)</f>
        <v>0</v>
      </c>
    </row>
    <row r="1484" spans="1:6">
      <c r="A1484" s="123">
        <f>IF(OR(A1483='F-Ahorro Futuro Decimos'!$H$16,A1483=""),"",IF(A1483+1&gt;'F-Ahorro Futuro Decimos'!$H$16,'F-Ahorro Futuro Decimos'!$H$16,A1483+1))</f>
        <v>1482</v>
      </c>
      <c r="B1484" s="122">
        <f>IFERROR(IF(DAY($A1484)=DAY('F-Ahorro Futuro Decimos'!$H$15),'F-Ahorro Futuro Decimos'!$H$14,0),0)</f>
        <v>0</v>
      </c>
      <c r="C1484" s="122">
        <f>IF(A1484='F-Ahorro Futuro Decimos'!$H$18,'F-Ahorro Futuro Decimos'!$H$20,0)</f>
        <v>0</v>
      </c>
      <c r="D1484" s="122">
        <f t="shared" si="23"/>
        <v>0</v>
      </c>
      <c r="E1484" s="121">
        <f>ROUND(D1484*'FR_Mantenimiento tasas'!$C$48/360,5)</f>
        <v>0</v>
      </c>
      <c r="F1484" s="121">
        <f>ROUND(D1484*'FR_Mantenimiento tasas'!$D$48/360,5)</f>
        <v>0</v>
      </c>
    </row>
    <row r="1485" spans="1:6">
      <c r="A1485" s="123">
        <f>IF(OR(A1484='F-Ahorro Futuro Decimos'!$H$16,A1484=""),"",IF(A1484+1&gt;'F-Ahorro Futuro Decimos'!$H$16,'F-Ahorro Futuro Decimos'!$H$16,A1484+1))</f>
        <v>1483</v>
      </c>
      <c r="B1485" s="122">
        <f>IFERROR(IF(DAY($A1485)=DAY('F-Ahorro Futuro Decimos'!$H$15),'F-Ahorro Futuro Decimos'!$H$14,0),0)</f>
        <v>0</v>
      </c>
      <c r="C1485" s="122">
        <f>IF(A1485='F-Ahorro Futuro Decimos'!$H$18,'F-Ahorro Futuro Decimos'!$H$20,0)</f>
        <v>0</v>
      </c>
      <c r="D1485" s="122">
        <f t="shared" si="23"/>
        <v>0</v>
      </c>
      <c r="E1485" s="121">
        <f>ROUND(D1485*'FR_Mantenimiento tasas'!$C$48/360,5)</f>
        <v>0</v>
      </c>
      <c r="F1485" s="121">
        <f>ROUND(D1485*'FR_Mantenimiento tasas'!$D$48/360,5)</f>
        <v>0</v>
      </c>
    </row>
    <row r="1486" spans="1:6">
      <c r="A1486" s="123">
        <f>IF(OR(A1485='F-Ahorro Futuro Decimos'!$H$16,A1485=""),"",IF(A1485+1&gt;'F-Ahorro Futuro Decimos'!$H$16,'F-Ahorro Futuro Decimos'!$H$16,A1485+1))</f>
        <v>1484</v>
      </c>
      <c r="B1486" s="122">
        <f>IFERROR(IF(DAY($A1486)=DAY('F-Ahorro Futuro Decimos'!$H$15),'F-Ahorro Futuro Decimos'!$H$14,0),0)</f>
        <v>0</v>
      </c>
      <c r="C1486" s="122">
        <f>IF(A1486='F-Ahorro Futuro Decimos'!$H$18,'F-Ahorro Futuro Decimos'!$H$20,0)</f>
        <v>0</v>
      </c>
      <c r="D1486" s="122">
        <f t="shared" si="23"/>
        <v>0</v>
      </c>
      <c r="E1486" s="121">
        <f>ROUND(D1486*'FR_Mantenimiento tasas'!$C$48/360,5)</f>
        <v>0</v>
      </c>
      <c r="F1486" s="121">
        <f>ROUND(D1486*'FR_Mantenimiento tasas'!$D$48/360,5)</f>
        <v>0</v>
      </c>
    </row>
    <row r="1487" spans="1:6">
      <c r="A1487" s="123">
        <f>IF(OR(A1486='F-Ahorro Futuro Decimos'!$H$16,A1486=""),"",IF(A1486+1&gt;'F-Ahorro Futuro Decimos'!$H$16,'F-Ahorro Futuro Decimos'!$H$16,A1486+1))</f>
        <v>1485</v>
      </c>
      <c r="B1487" s="122">
        <f>IFERROR(IF(DAY($A1487)=DAY('F-Ahorro Futuro Decimos'!$H$15),'F-Ahorro Futuro Decimos'!$H$14,0),0)</f>
        <v>0</v>
      </c>
      <c r="C1487" s="122">
        <f>IF(A1487='F-Ahorro Futuro Decimos'!$H$18,'F-Ahorro Futuro Decimos'!$H$20,0)</f>
        <v>0</v>
      </c>
      <c r="D1487" s="122">
        <f t="shared" si="23"/>
        <v>0</v>
      </c>
      <c r="E1487" s="121">
        <f>ROUND(D1487*'FR_Mantenimiento tasas'!$C$48/360,5)</f>
        <v>0</v>
      </c>
      <c r="F1487" s="121">
        <f>ROUND(D1487*'FR_Mantenimiento tasas'!$D$48/360,5)</f>
        <v>0</v>
      </c>
    </row>
    <row r="1488" spans="1:6">
      <c r="A1488" s="123">
        <f>IF(OR(A1487='F-Ahorro Futuro Decimos'!$H$16,A1487=""),"",IF(A1487+1&gt;'F-Ahorro Futuro Decimos'!$H$16,'F-Ahorro Futuro Decimos'!$H$16,A1487+1))</f>
        <v>1486</v>
      </c>
      <c r="B1488" s="122">
        <f>IFERROR(IF(DAY($A1488)=DAY('F-Ahorro Futuro Decimos'!$H$15),'F-Ahorro Futuro Decimos'!$H$14,0),0)</f>
        <v>0</v>
      </c>
      <c r="C1488" s="122">
        <f>IF(A1488='F-Ahorro Futuro Decimos'!$H$18,'F-Ahorro Futuro Decimos'!$H$20,0)</f>
        <v>0</v>
      </c>
      <c r="D1488" s="122">
        <f t="shared" si="23"/>
        <v>0</v>
      </c>
      <c r="E1488" s="121">
        <f>ROUND(D1488*'FR_Mantenimiento tasas'!$C$48/360,5)</f>
        <v>0</v>
      </c>
      <c r="F1488" s="121">
        <f>ROUND(D1488*'FR_Mantenimiento tasas'!$D$48/360,5)</f>
        <v>0</v>
      </c>
    </row>
    <row r="1489" spans="1:6">
      <c r="A1489" s="123">
        <f>IF(OR(A1488='F-Ahorro Futuro Decimos'!$H$16,A1488=""),"",IF(A1488+1&gt;'F-Ahorro Futuro Decimos'!$H$16,'F-Ahorro Futuro Decimos'!$H$16,A1488+1))</f>
        <v>1487</v>
      </c>
      <c r="B1489" s="122">
        <f>IFERROR(IF(DAY($A1489)=DAY('F-Ahorro Futuro Decimos'!$H$15),'F-Ahorro Futuro Decimos'!$H$14,0),0)</f>
        <v>0</v>
      </c>
      <c r="C1489" s="122">
        <f>IF(A1489='F-Ahorro Futuro Decimos'!$H$18,'F-Ahorro Futuro Decimos'!$H$20,0)</f>
        <v>0</v>
      </c>
      <c r="D1489" s="122">
        <f t="shared" si="23"/>
        <v>0</v>
      </c>
      <c r="E1489" s="121">
        <f>ROUND(D1489*'FR_Mantenimiento tasas'!$C$48/360,5)</f>
        <v>0</v>
      </c>
      <c r="F1489" s="121">
        <f>ROUND(D1489*'FR_Mantenimiento tasas'!$D$48/360,5)</f>
        <v>0</v>
      </c>
    </row>
    <row r="1490" spans="1:6">
      <c r="A1490" s="123">
        <f>IF(OR(A1489='F-Ahorro Futuro Decimos'!$H$16,A1489=""),"",IF(A1489+1&gt;'F-Ahorro Futuro Decimos'!$H$16,'F-Ahorro Futuro Decimos'!$H$16,A1489+1))</f>
        <v>1488</v>
      </c>
      <c r="B1490" s="122">
        <f>IFERROR(IF(DAY($A1490)=DAY('F-Ahorro Futuro Decimos'!$H$15),'F-Ahorro Futuro Decimos'!$H$14,0),0)</f>
        <v>0</v>
      </c>
      <c r="C1490" s="122">
        <f>IF(A1490='F-Ahorro Futuro Decimos'!$H$18,'F-Ahorro Futuro Decimos'!$H$20,0)</f>
        <v>0</v>
      </c>
      <c r="D1490" s="122">
        <f t="shared" si="23"/>
        <v>0</v>
      </c>
      <c r="E1490" s="121">
        <f>ROUND(D1490*'FR_Mantenimiento tasas'!$C$48/360,5)</f>
        <v>0</v>
      </c>
      <c r="F1490" s="121">
        <f>ROUND(D1490*'FR_Mantenimiento tasas'!$D$48/360,5)</f>
        <v>0</v>
      </c>
    </row>
    <row r="1491" spans="1:6">
      <c r="A1491" s="123">
        <f>IF(OR(A1490='F-Ahorro Futuro Decimos'!$H$16,A1490=""),"",IF(A1490+1&gt;'F-Ahorro Futuro Decimos'!$H$16,'F-Ahorro Futuro Decimos'!$H$16,A1490+1))</f>
        <v>1489</v>
      </c>
      <c r="B1491" s="122">
        <f>IFERROR(IF(DAY($A1491)=DAY('F-Ahorro Futuro Decimos'!$H$15),'F-Ahorro Futuro Decimos'!$H$14,0),0)</f>
        <v>0</v>
      </c>
      <c r="C1491" s="122">
        <f>IF(A1491='F-Ahorro Futuro Decimos'!$H$18,'F-Ahorro Futuro Decimos'!$H$20,0)</f>
        <v>0</v>
      </c>
      <c r="D1491" s="122">
        <f t="shared" si="23"/>
        <v>0</v>
      </c>
      <c r="E1491" s="121">
        <f>ROUND(D1491*'FR_Mantenimiento tasas'!$C$48/360,5)</f>
        <v>0</v>
      </c>
      <c r="F1491" s="121">
        <f>ROUND(D1491*'FR_Mantenimiento tasas'!$D$48/360,5)</f>
        <v>0</v>
      </c>
    </row>
    <row r="1492" spans="1:6">
      <c r="A1492" s="123">
        <f>IF(OR(A1491='F-Ahorro Futuro Decimos'!$H$16,A1491=""),"",IF(A1491+1&gt;'F-Ahorro Futuro Decimos'!$H$16,'F-Ahorro Futuro Decimos'!$H$16,A1491+1))</f>
        <v>1490</v>
      </c>
      <c r="B1492" s="122">
        <f>IFERROR(IF(DAY($A1492)=DAY('F-Ahorro Futuro Decimos'!$H$15),'F-Ahorro Futuro Decimos'!$H$14,0),0)</f>
        <v>0</v>
      </c>
      <c r="C1492" s="122">
        <f>IF(A1492='F-Ahorro Futuro Decimos'!$H$18,'F-Ahorro Futuro Decimos'!$H$20,0)</f>
        <v>0</v>
      </c>
      <c r="D1492" s="122">
        <f t="shared" si="23"/>
        <v>0</v>
      </c>
      <c r="E1492" s="121">
        <f>ROUND(D1492*'FR_Mantenimiento tasas'!$C$48/360,5)</f>
        <v>0</v>
      </c>
      <c r="F1492" s="121">
        <f>ROUND(D1492*'FR_Mantenimiento tasas'!$D$48/360,5)</f>
        <v>0</v>
      </c>
    </row>
    <row r="1493" spans="1:6">
      <c r="A1493" s="123">
        <f>IF(OR(A1492='F-Ahorro Futuro Decimos'!$H$16,A1492=""),"",IF(A1492+1&gt;'F-Ahorro Futuro Decimos'!$H$16,'F-Ahorro Futuro Decimos'!$H$16,A1492+1))</f>
        <v>1491</v>
      </c>
      <c r="B1493" s="122">
        <f>IFERROR(IF(DAY($A1493)=DAY('F-Ahorro Futuro Decimos'!$H$15),'F-Ahorro Futuro Decimos'!$H$14,0),0)</f>
        <v>0</v>
      </c>
      <c r="C1493" s="122">
        <f>IF(A1493='F-Ahorro Futuro Decimos'!$H$18,'F-Ahorro Futuro Decimos'!$H$20,0)</f>
        <v>0</v>
      </c>
      <c r="D1493" s="122">
        <f t="shared" si="23"/>
        <v>0</v>
      </c>
      <c r="E1493" s="121">
        <f>ROUND(D1493*'FR_Mantenimiento tasas'!$C$48/360,5)</f>
        <v>0</v>
      </c>
      <c r="F1493" s="121">
        <f>ROUND(D1493*'FR_Mantenimiento tasas'!$D$48/360,5)</f>
        <v>0</v>
      </c>
    </row>
    <row r="1494" spans="1:6">
      <c r="A1494" s="123">
        <f>IF(OR(A1493='F-Ahorro Futuro Decimos'!$H$16,A1493=""),"",IF(A1493+1&gt;'F-Ahorro Futuro Decimos'!$H$16,'F-Ahorro Futuro Decimos'!$H$16,A1493+1))</f>
        <v>1492</v>
      </c>
      <c r="B1494" s="122">
        <f>IFERROR(IF(DAY($A1494)=DAY('F-Ahorro Futuro Decimos'!$H$15),'F-Ahorro Futuro Decimos'!$H$14,0),0)</f>
        <v>0</v>
      </c>
      <c r="C1494" s="122">
        <f>IF(A1494='F-Ahorro Futuro Decimos'!$H$18,'F-Ahorro Futuro Decimos'!$H$20,0)</f>
        <v>0</v>
      </c>
      <c r="D1494" s="122">
        <f t="shared" si="23"/>
        <v>0</v>
      </c>
      <c r="E1494" s="121">
        <f>ROUND(D1494*'FR_Mantenimiento tasas'!$C$48/360,5)</f>
        <v>0</v>
      </c>
      <c r="F1494" s="121">
        <f>ROUND(D1494*'FR_Mantenimiento tasas'!$D$48/360,5)</f>
        <v>0</v>
      </c>
    </row>
    <row r="1495" spans="1:6">
      <c r="A1495" s="123">
        <f>IF(OR(A1494='F-Ahorro Futuro Decimos'!$H$16,A1494=""),"",IF(A1494+1&gt;'F-Ahorro Futuro Decimos'!$H$16,'F-Ahorro Futuro Decimos'!$H$16,A1494+1))</f>
        <v>1493</v>
      </c>
      <c r="B1495" s="122">
        <f>IFERROR(IF(DAY($A1495)=DAY('F-Ahorro Futuro Decimos'!$H$15),'F-Ahorro Futuro Decimos'!$H$14,0),0)</f>
        <v>0</v>
      </c>
      <c r="C1495" s="122">
        <f>IF(A1495='F-Ahorro Futuro Decimos'!$H$18,'F-Ahorro Futuro Decimos'!$H$20,0)</f>
        <v>0</v>
      </c>
      <c r="D1495" s="122">
        <f t="shared" si="23"/>
        <v>0</v>
      </c>
      <c r="E1495" s="121">
        <f>ROUND(D1495*'FR_Mantenimiento tasas'!$C$48/360,5)</f>
        <v>0</v>
      </c>
      <c r="F1495" s="121">
        <f>ROUND(D1495*'FR_Mantenimiento tasas'!$D$48/360,5)</f>
        <v>0</v>
      </c>
    </row>
    <row r="1496" spans="1:6">
      <c r="A1496" s="123">
        <f>IF(OR(A1495='F-Ahorro Futuro Decimos'!$H$16,A1495=""),"",IF(A1495+1&gt;'F-Ahorro Futuro Decimos'!$H$16,'F-Ahorro Futuro Decimos'!$H$16,A1495+1))</f>
        <v>1494</v>
      </c>
      <c r="B1496" s="122">
        <f>IFERROR(IF(DAY($A1496)=DAY('F-Ahorro Futuro Decimos'!$H$15),'F-Ahorro Futuro Decimos'!$H$14,0),0)</f>
        <v>0</v>
      </c>
      <c r="C1496" s="122">
        <f>IF(A1496='F-Ahorro Futuro Decimos'!$H$18,'F-Ahorro Futuro Decimos'!$H$20,0)</f>
        <v>0</v>
      </c>
      <c r="D1496" s="122">
        <f t="shared" si="23"/>
        <v>0</v>
      </c>
      <c r="E1496" s="121">
        <f>ROUND(D1496*'FR_Mantenimiento tasas'!$C$48/360,5)</f>
        <v>0</v>
      </c>
      <c r="F1496" s="121">
        <f>ROUND(D1496*'FR_Mantenimiento tasas'!$D$48/360,5)</f>
        <v>0</v>
      </c>
    </row>
    <row r="1497" spans="1:6">
      <c r="A1497" s="123">
        <f>IF(OR(A1496='F-Ahorro Futuro Decimos'!$H$16,A1496=""),"",IF(A1496+1&gt;'F-Ahorro Futuro Decimos'!$H$16,'F-Ahorro Futuro Decimos'!$H$16,A1496+1))</f>
        <v>1495</v>
      </c>
      <c r="B1497" s="122">
        <f>IFERROR(IF(DAY($A1497)=DAY('F-Ahorro Futuro Decimos'!$H$15),'F-Ahorro Futuro Decimos'!$H$14,0),0)</f>
        <v>0</v>
      </c>
      <c r="C1497" s="122">
        <f>IF(A1497='F-Ahorro Futuro Decimos'!$H$18,'F-Ahorro Futuro Decimos'!$H$20,0)</f>
        <v>0</v>
      </c>
      <c r="D1497" s="122">
        <f t="shared" si="23"/>
        <v>0</v>
      </c>
      <c r="E1497" s="121">
        <f>ROUND(D1497*'FR_Mantenimiento tasas'!$C$48/360,5)</f>
        <v>0</v>
      </c>
      <c r="F1497" s="121">
        <f>ROUND(D1497*'FR_Mantenimiento tasas'!$D$48/360,5)</f>
        <v>0</v>
      </c>
    </row>
    <row r="1498" spans="1:6">
      <c r="A1498" s="123">
        <f>IF(OR(A1497='F-Ahorro Futuro Decimos'!$H$16,A1497=""),"",IF(A1497+1&gt;'F-Ahorro Futuro Decimos'!$H$16,'F-Ahorro Futuro Decimos'!$H$16,A1497+1))</f>
        <v>1496</v>
      </c>
      <c r="B1498" s="122">
        <f>IFERROR(IF(DAY($A1498)=DAY('F-Ahorro Futuro Decimos'!$H$15),'F-Ahorro Futuro Decimos'!$H$14,0),0)</f>
        <v>0</v>
      </c>
      <c r="C1498" s="122">
        <f>IF(A1498='F-Ahorro Futuro Decimos'!$H$18,'F-Ahorro Futuro Decimos'!$H$20,0)</f>
        <v>0</v>
      </c>
      <c r="D1498" s="122">
        <f t="shared" si="23"/>
        <v>0</v>
      </c>
      <c r="E1498" s="121">
        <f>ROUND(D1498*'FR_Mantenimiento tasas'!$C$48/360,5)</f>
        <v>0</v>
      </c>
      <c r="F1498" s="121">
        <f>ROUND(D1498*'FR_Mantenimiento tasas'!$D$48/360,5)</f>
        <v>0</v>
      </c>
    </row>
    <row r="1499" spans="1:6">
      <c r="A1499" s="123">
        <f>IF(OR(A1498='F-Ahorro Futuro Decimos'!$H$16,A1498=""),"",IF(A1498+1&gt;'F-Ahorro Futuro Decimos'!$H$16,'F-Ahorro Futuro Decimos'!$H$16,A1498+1))</f>
        <v>1497</v>
      </c>
      <c r="B1499" s="122">
        <f>IFERROR(IF(DAY($A1499)=DAY('F-Ahorro Futuro Decimos'!$H$15),'F-Ahorro Futuro Decimos'!$H$14,0),0)</f>
        <v>0</v>
      </c>
      <c r="C1499" s="122">
        <f>IF(A1499='F-Ahorro Futuro Decimos'!$H$18,'F-Ahorro Futuro Decimos'!$H$20,0)</f>
        <v>0</v>
      </c>
      <c r="D1499" s="122">
        <f t="shared" si="23"/>
        <v>0</v>
      </c>
      <c r="E1499" s="121">
        <f>ROUND(D1499*'FR_Mantenimiento tasas'!$C$48/360,5)</f>
        <v>0</v>
      </c>
      <c r="F1499" s="121">
        <f>ROUND(D1499*'FR_Mantenimiento tasas'!$D$48/360,5)</f>
        <v>0</v>
      </c>
    </row>
    <row r="1500" spans="1:6">
      <c r="A1500" s="123">
        <f>IF(OR(A1499='F-Ahorro Futuro Decimos'!$H$16,A1499=""),"",IF(A1499+1&gt;'F-Ahorro Futuro Decimos'!$H$16,'F-Ahorro Futuro Decimos'!$H$16,A1499+1))</f>
        <v>1498</v>
      </c>
      <c r="B1500" s="122">
        <f>IFERROR(IF(DAY($A1500)=DAY('F-Ahorro Futuro Decimos'!$H$15),'F-Ahorro Futuro Decimos'!$H$14,0),0)</f>
        <v>0</v>
      </c>
      <c r="C1500" s="122">
        <f>IF(A1500='F-Ahorro Futuro Decimos'!$H$18,'F-Ahorro Futuro Decimos'!$H$20,0)</f>
        <v>0</v>
      </c>
      <c r="D1500" s="122">
        <f t="shared" si="23"/>
        <v>0</v>
      </c>
      <c r="E1500" s="121">
        <f>ROUND(D1500*'FR_Mantenimiento tasas'!$C$48/360,5)</f>
        <v>0</v>
      </c>
      <c r="F1500" s="121">
        <f>ROUND(D1500*'FR_Mantenimiento tasas'!$D$48/360,5)</f>
        <v>0</v>
      </c>
    </row>
    <row r="1501" spans="1:6">
      <c r="A1501" s="123">
        <f>IF(OR(A1500='F-Ahorro Futuro Decimos'!$H$16,A1500=""),"",IF(A1500+1&gt;'F-Ahorro Futuro Decimos'!$H$16,'F-Ahorro Futuro Decimos'!$H$16,A1500+1))</f>
        <v>1499</v>
      </c>
      <c r="B1501" s="122">
        <f>IFERROR(IF(DAY($A1501)=DAY('F-Ahorro Futuro Decimos'!$H$15),'F-Ahorro Futuro Decimos'!$H$14,0),0)</f>
        <v>0</v>
      </c>
      <c r="C1501" s="122">
        <f>IF(A1501='F-Ahorro Futuro Decimos'!$H$18,'F-Ahorro Futuro Decimos'!$H$20,0)</f>
        <v>0</v>
      </c>
      <c r="D1501" s="122">
        <f t="shared" si="23"/>
        <v>0</v>
      </c>
      <c r="E1501" s="121">
        <f>ROUND(D1501*'FR_Mantenimiento tasas'!$C$48/360,5)</f>
        <v>0</v>
      </c>
      <c r="F1501" s="121">
        <f>ROUND(D1501*'FR_Mantenimiento tasas'!$D$48/360,5)</f>
        <v>0</v>
      </c>
    </row>
    <row r="1502" spans="1:6">
      <c r="A1502" s="123">
        <f>IF(OR(A1501='F-Ahorro Futuro Decimos'!$H$16,A1501=""),"",IF(A1501+1&gt;'F-Ahorro Futuro Decimos'!$H$16,'F-Ahorro Futuro Decimos'!$H$16,A1501+1))</f>
        <v>1500</v>
      </c>
      <c r="B1502" s="122">
        <f>IFERROR(IF(DAY($A1502)=DAY('F-Ahorro Futuro Decimos'!$H$15),'F-Ahorro Futuro Decimos'!$H$14,0),0)</f>
        <v>0</v>
      </c>
      <c r="C1502" s="122">
        <f>IF(A1502='F-Ahorro Futuro Decimos'!$H$18,'F-Ahorro Futuro Decimos'!$H$20,0)</f>
        <v>0</v>
      </c>
      <c r="D1502" s="122">
        <f t="shared" si="23"/>
        <v>0</v>
      </c>
      <c r="E1502" s="121">
        <f>ROUND(D1502*'FR_Mantenimiento tasas'!$C$48/360,5)</f>
        <v>0</v>
      </c>
      <c r="F1502" s="121">
        <f>ROUND(D1502*'FR_Mantenimiento tasas'!$D$48/360,5)</f>
        <v>0</v>
      </c>
    </row>
    <row r="1503" spans="1:6">
      <c r="A1503" s="123">
        <f>IF(OR(A1502='F-Ahorro Futuro Decimos'!$H$16,A1502=""),"",IF(A1502+1&gt;'F-Ahorro Futuro Decimos'!$H$16,'F-Ahorro Futuro Decimos'!$H$16,A1502+1))</f>
        <v>1501</v>
      </c>
      <c r="B1503" s="122">
        <f>IFERROR(IF(DAY($A1503)=DAY('F-Ahorro Futuro Decimos'!$H$15),'F-Ahorro Futuro Decimos'!$H$14,0),0)</f>
        <v>0</v>
      </c>
      <c r="C1503" s="122">
        <f>IF(A1503='F-Ahorro Futuro Decimos'!$H$18,'F-Ahorro Futuro Decimos'!$H$20,0)</f>
        <v>0</v>
      </c>
      <c r="D1503" s="122">
        <f t="shared" si="23"/>
        <v>0</v>
      </c>
      <c r="E1503" s="121">
        <f>ROUND(D1503*'FR_Mantenimiento tasas'!$C$48/360,5)</f>
        <v>0</v>
      </c>
      <c r="F1503" s="121">
        <f>ROUND(D1503*'FR_Mantenimiento tasas'!$D$48/360,5)</f>
        <v>0</v>
      </c>
    </row>
    <row r="1504" spans="1:6">
      <c r="A1504" s="123">
        <f>IF(OR(A1503='F-Ahorro Futuro Decimos'!$H$16,A1503=""),"",IF(A1503+1&gt;'F-Ahorro Futuro Decimos'!$H$16,'F-Ahorro Futuro Decimos'!$H$16,A1503+1))</f>
        <v>1502</v>
      </c>
      <c r="B1504" s="122">
        <f>IFERROR(IF(DAY($A1504)=DAY('F-Ahorro Futuro Decimos'!$H$15),'F-Ahorro Futuro Decimos'!$H$14,0),0)</f>
        <v>0</v>
      </c>
      <c r="C1504" s="122">
        <f>IF(A1504='F-Ahorro Futuro Decimos'!$H$18,'F-Ahorro Futuro Decimos'!$H$20,0)</f>
        <v>0</v>
      </c>
      <c r="D1504" s="122">
        <f t="shared" si="23"/>
        <v>0</v>
      </c>
      <c r="E1504" s="121">
        <f>ROUND(D1504*'FR_Mantenimiento tasas'!$C$48/360,5)</f>
        <v>0</v>
      </c>
      <c r="F1504" s="121">
        <f>ROUND(D1504*'FR_Mantenimiento tasas'!$D$48/360,5)</f>
        <v>0</v>
      </c>
    </row>
    <row r="1505" spans="1:6">
      <c r="A1505" s="123">
        <f>IF(OR(A1504='F-Ahorro Futuro Decimos'!$H$16,A1504=""),"",IF(A1504+1&gt;'F-Ahorro Futuro Decimos'!$H$16,'F-Ahorro Futuro Decimos'!$H$16,A1504+1))</f>
        <v>1503</v>
      </c>
      <c r="B1505" s="122">
        <f>IFERROR(IF(DAY($A1505)=DAY('F-Ahorro Futuro Decimos'!$H$15),'F-Ahorro Futuro Decimos'!$H$14,0),0)</f>
        <v>0</v>
      </c>
      <c r="C1505" s="122">
        <f>IF(A1505='F-Ahorro Futuro Decimos'!$H$18,'F-Ahorro Futuro Decimos'!$H$20,0)</f>
        <v>0</v>
      </c>
      <c r="D1505" s="122">
        <f t="shared" si="23"/>
        <v>0</v>
      </c>
      <c r="E1505" s="121">
        <f>ROUND(D1505*'FR_Mantenimiento tasas'!$C$48/360,5)</f>
        <v>0</v>
      </c>
      <c r="F1505" s="121">
        <f>ROUND(D1505*'FR_Mantenimiento tasas'!$D$48/360,5)</f>
        <v>0</v>
      </c>
    </row>
    <row r="1506" spans="1:6">
      <c r="A1506" s="123">
        <f>IF(OR(A1505='F-Ahorro Futuro Decimos'!$H$16,A1505=""),"",IF(A1505+1&gt;'F-Ahorro Futuro Decimos'!$H$16,'F-Ahorro Futuro Decimos'!$H$16,A1505+1))</f>
        <v>1504</v>
      </c>
      <c r="B1506" s="122">
        <f>IFERROR(IF(DAY($A1506)=DAY('F-Ahorro Futuro Decimos'!$H$15),'F-Ahorro Futuro Decimos'!$H$14,0),0)</f>
        <v>0</v>
      </c>
      <c r="C1506" s="122">
        <f>IF(A1506='F-Ahorro Futuro Decimos'!$H$18,'F-Ahorro Futuro Decimos'!$H$20,0)</f>
        <v>0</v>
      </c>
      <c r="D1506" s="122">
        <f t="shared" si="23"/>
        <v>0</v>
      </c>
      <c r="E1506" s="121">
        <f>ROUND(D1506*'FR_Mantenimiento tasas'!$C$48/360,5)</f>
        <v>0</v>
      </c>
      <c r="F1506" s="121">
        <f>ROUND(D1506*'FR_Mantenimiento tasas'!$D$48/360,5)</f>
        <v>0</v>
      </c>
    </row>
    <row r="1507" spans="1:6">
      <c r="A1507" s="123">
        <f>IF(OR(A1506='F-Ahorro Futuro Decimos'!$H$16,A1506=""),"",IF(A1506+1&gt;'F-Ahorro Futuro Decimos'!$H$16,'F-Ahorro Futuro Decimos'!$H$16,A1506+1))</f>
        <v>1505</v>
      </c>
      <c r="B1507" s="122">
        <f>IFERROR(IF(DAY($A1507)=DAY('F-Ahorro Futuro Decimos'!$H$15),'F-Ahorro Futuro Decimos'!$H$14,0),0)</f>
        <v>0</v>
      </c>
      <c r="C1507" s="122">
        <f>IF(A1507='F-Ahorro Futuro Decimos'!$H$18,'F-Ahorro Futuro Decimos'!$H$20,0)</f>
        <v>0</v>
      </c>
      <c r="D1507" s="122">
        <f t="shared" si="23"/>
        <v>0</v>
      </c>
      <c r="E1507" s="121">
        <f>ROUND(D1507*'FR_Mantenimiento tasas'!$C$48/360,5)</f>
        <v>0</v>
      </c>
      <c r="F1507" s="121">
        <f>ROUND(D1507*'FR_Mantenimiento tasas'!$D$48/360,5)</f>
        <v>0</v>
      </c>
    </row>
    <row r="1508" spans="1:6">
      <c r="A1508" s="123">
        <f>IF(OR(A1507='F-Ahorro Futuro Decimos'!$H$16,A1507=""),"",IF(A1507+1&gt;'F-Ahorro Futuro Decimos'!$H$16,'F-Ahorro Futuro Decimos'!$H$16,A1507+1))</f>
        <v>1506</v>
      </c>
      <c r="B1508" s="122">
        <f>IFERROR(IF(DAY($A1508)=DAY('F-Ahorro Futuro Decimos'!$H$15),'F-Ahorro Futuro Decimos'!$H$14,0),0)</f>
        <v>0</v>
      </c>
      <c r="C1508" s="122">
        <f>IF(A1508='F-Ahorro Futuro Decimos'!$H$18,'F-Ahorro Futuro Decimos'!$H$20,0)</f>
        <v>0</v>
      </c>
      <c r="D1508" s="122">
        <f t="shared" si="23"/>
        <v>0</v>
      </c>
      <c r="E1508" s="121">
        <f>ROUND(D1508*'FR_Mantenimiento tasas'!$C$48/360,5)</f>
        <v>0</v>
      </c>
      <c r="F1508" s="121">
        <f>ROUND(D1508*'FR_Mantenimiento tasas'!$D$48/360,5)</f>
        <v>0</v>
      </c>
    </row>
    <row r="1509" spans="1:6">
      <c r="A1509" s="123">
        <f>IF(OR(A1508='F-Ahorro Futuro Decimos'!$H$16,A1508=""),"",IF(A1508+1&gt;'F-Ahorro Futuro Decimos'!$H$16,'F-Ahorro Futuro Decimos'!$H$16,A1508+1))</f>
        <v>1507</v>
      </c>
      <c r="B1509" s="122">
        <f>IFERROR(IF(DAY($A1509)=DAY('F-Ahorro Futuro Decimos'!$H$15),'F-Ahorro Futuro Decimos'!$H$14,0),0)</f>
        <v>0</v>
      </c>
      <c r="C1509" s="122">
        <f>IF(A1509='F-Ahorro Futuro Decimos'!$H$18,'F-Ahorro Futuro Decimos'!$H$20,0)</f>
        <v>0</v>
      </c>
      <c r="D1509" s="122">
        <f t="shared" si="23"/>
        <v>0</v>
      </c>
      <c r="E1509" s="121">
        <f>ROUND(D1509*'FR_Mantenimiento tasas'!$C$48/360,5)</f>
        <v>0</v>
      </c>
      <c r="F1509" s="121">
        <f>ROUND(D1509*'FR_Mantenimiento tasas'!$D$48/360,5)</f>
        <v>0</v>
      </c>
    </row>
    <row r="1510" spans="1:6">
      <c r="A1510" s="123">
        <f>IF(OR(A1509='F-Ahorro Futuro Decimos'!$H$16,A1509=""),"",IF(A1509+1&gt;'F-Ahorro Futuro Decimos'!$H$16,'F-Ahorro Futuro Decimos'!$H$16,A1509+1))</f>
        <v>1508</v>
      </c>
      <c r="B1510" s="122">
        <f>IFERROR(IF(DAY($A1510)=DAY('F-Ahorro Futuro Decimos'!$H$15),'F-Ahorro Futuro Decimos'!$H$14,0),0)</f>
        <v>0</v>
      </c>
      <c r="C1510" s="122">
        <f>IF(A1510='F-Ahorro Futuro Decimos'!$H$18,'F-Ahorro Futuro Decimos'!$H$20,0)</f>
        <v>0</v>
      </c>
      <c r="D1510" s="122">
        <f t="shared" si="23"/>
        <v>0</v>
      </c>
      <c r="E1510" s="121">
        <f>ROUND(D1510*'FR_Mantenimiento tasas'!$C$48/360,5)</f>
        <v>0</v>
      </c>
      <c r="F1510" s="121">
        <f>ROUND(D1510*'FR_Mantenimiento tasas'!$D$48/360,5)</f>
        <v>0</v>
      </c>
    </row>
    <row r="1511" spans="1:6">
      <c r="A1511" s="123">
        <f>IF(OR(A1510='F-Ahorro Futuro Decimos'!$H$16,A1510=""),"",IF(A1510+1&gt;'F-Ahorro Futuro Decimos'!$H$16,'F-Ahorro Futuro Decimos'!$H$16,A1510+1))</f>
        <v>1509</v>
      </c>
      <c r="B1511" s="122">
        <f>IFERROR(IF(DAY($A1511)=DAY('F-Ahorro Futuro Decimos'!$H$15),'F-Ahorro Futuro Decimos'!$H$14,0),0)</f>
        <v>0</v>
      </c>
      <c r="C1511" s="122">
        <f>IF(A1511='F-Ahorro Futuro Decimos'!$H$18,'F-Ahorro Futuro Decimos'!$H$20,0)</f>
        <v>0</v>
      </c>
      <c r="D1511" s="122">
        <f t="shared" si="23"/>
        <v>0</v>
      </c>
      <c r="E1511" s="121">
        <f>ROUND(D1511*'FR_Mantenimiento tasas'!$C$48/360,5)</f>
        <v>0</v>
      </c>
      <c r="F1511" s="121">
        <f>ROUND(D1511*'FR_Mantenimiento tasas'!$D$48/360,5)</f>
        <v>0</v>
      </c>
    </row>
    <row r="1512" spans="1:6">
      <c r="A1512" s="123">
        <f>IF(OR(A1511='F-Ahorro Futuro Decimos'!$H$16,A1511=""),"",IF(A1511+1&gt;'F-Ahorro Futuro Decimos'!$H$16,'F-Ahorro Futuro Decimos'!$H$16,A1511+1))</f>
        <v>1510</v>
      </c>
      <c r="B1512" s="122">
        <f>IFERROR(IF(DAY($A1512)=DAY('F-Ahorro Futuro Decimos'!$H$15),'F-Ahorro Futuro Decimos'!$H$14,0),0)</f>
        <v>0</v>
      </c>
      <c r="C1512" s="122">
        <f>IF(A1512='F-Ahorro Futuro Decimos'!$H$18,'F-Ahorro Futuro Decimos'!$H$20,0)</f>
        <v>0</v>
      </c>
      <c r="D1512" s="122">
        <f t="shared" si="23"/>
        <v>0</v>
      </c>
      <c r="E1512" s="121">
        <f>ROUND(D1512*'FR_Mantenimiento tasas'!$C$48/360,5)</f>
        <v>0</v>
      </c>
      <c r="F1512" s="121">
        <f>ROUND(D1512*'FR_Mantenimiento tasas'!$D$48/360,5)</f>
        <v>0</v>
      </c>
    </row>
    <row r="1513" spans="1:6">
      <c r="A1513" s="123">
        <f>IF(OR(A1512='F-Ahorro Futuro Decimos'!$H$16,A1512=""),"",IF(A1512+1&gt;'F-Ahorro Futuro Decimos'!$H$16,'F-Ahorro Futuro Decimos'!$H$16,A1512+1))</f>
        <v>1511</v>
      </c>
      <c r="B1513" s="122">
        <f>IFERROR(IF(DAY($A1513)=DAY('F-Ahorro Futuro Decimos'!$H$15),'F-Ahorro Futuro Decimos'!$H$14,0),0)</f>
        <v>0</v>
      </c>
      <c r="C1513" s="122">
        <f>IF(A1513='F-Ahorro Futuro Decimos'!$H$18,'F-Ahorro Futuro Decimos'!$H$20,0)</f>
        <v>0</v>
      </c>
      <c r="D1513" s="122">
        <f t="shared" si="23"/>
        <v>0</v>
      </c>
      <c r="E1513" s="121">
        <f>ROUND(D1513*'FR_Mantenimiento tasas'!$C$48/360,5)</f>
        <v>0</v>
      </c>
      <c r="F1513" s="121">
        <f>ROUND(D1513*'FR_Mantenimiento tasas'!$D$48/360,5)</f>
        <v>0</v>
      </c>
    </row>
    <row r="1514" spans="1:6">
      <c r="A1514" s="123">
        <f>IF(OR(A1513='F-Ahorro Futuro Decimos'!$H$16,A1513=""),"",IF(A1513+1&gt;'F-Ahorro Futuro Decimos'!$H$16,'F-Ahorro Futuro Decimos'!$H$16,A1513+1))</f>
        <v>1512</v>
      </c>
      <c r="B1514" s="122">
        <f>IFERROR(IF(DAY($A1514)=DAY('F-Ahorro Futuro Decimos'!$H$15),'F-Ahorro Futuro Decimos'!$H$14,0),0)</f>
        <v>0</v>
      </c>
      <c r="C1514" s="122">
        <f>IF(A1514='F-Ahorro Futuro Decimos'!$H$18,'F-Ahorro Futuro Decimos'!$H$20,0)</f>
        <v>0</v>
      </c>
      <c r="D1514" s="122">
        <f t="shared" si="23"/>
        <v>0</v>
      </c>
      <c r="E1514" s="121">
        <f>ROUND(D1514*'FR_Mantenimiento tasas'!$C$48/360,5)</f>
        <v>0</v>
      </c>
      <c r="F1514" s="121">
        <f>ROUND(D1514*'FR_Mantenimiento tasas'!$D$48/360,5)</f>
        <v>0</v>
      </c>
    </row>
    <row r="1515" spans="1:6">
      <c r="A1515" s="123">
        <f>IF(OR(A1514='F-Ahorro Futuro Decimos'!$H$16,A1514=""),"",IF(A1514+1&gt;'F-Ahorro Futuro Decimos'!$H$16,'F-Ahorro Futuro Decimos'!$H$16,A1514+1))</f>
        <v>1513</v>
      </c>
      <c r="B1515" s="122">
        <f>IFERROR(IF(DAY($A1515)=DAY('F-Ahorro Futuro Decimos'!$H$15),'F-Ahorro Futuro Decimos'!$H$14,0),0)</f>
        <v>0</v>
      </c>
      <c r="C1515" s="122">
        <f>IF(A1515='F-Ahorro Futuro Decimos'!$H$18,'F-Ahorro Futuro Decimos'!$H$20,0)</f>
        <v>0</v>
      </c>
      <c r="D1515" s="122">
        <f t="shared" si="23"/>
        <v>0</v>
      </c>
      <c r="E1515" s="121">
        <f>ROUND(D1515*'FR_Mantenimiento tasas'!$C$48/360,5)</f>
        <v>0</v>
      </c>
      <c r="F1515" s="121">
        <f>ROUND(D1515*'FR_Mantenimiento tasas'!$D$48/360,5)</f>
        <v>0</v>
      </c>
    </row>
    <row r="1516" spans="1:6">
      <c r="A1516" s="123">
        <f>IF(OR(A1515='F-Ahorro Futuro Decimos'!$H$16,A1515=""),"",IF(A1515+1&gt;'F-Ahorro Futuro Decimos'!$H$16,'F-Ahorro Futuro Decimos'!$H$16,A1515+1))</f>
        <v>1514</v>
      </c>
      <c r="B1516" s="122">
        <f>IFERROR(IF(DAY($A1516)=DAY('F-Ahorro Futuro Decimos'!$H$15),'F-Ahorro Futuro Decimos'!$H$14,0),0)</f>
        <v>0</v>
      </c>
      <c r="C1516" s="122">
        <f>IF(A1516='F-Ahorro Futuro Decimos'!$H$18,'F-Ahorro Futuro Decimos'!$H$20,0)</f>
        <v>0</v>
      </c>
      <c r="D1516" s="122">
        <f t="shared" si="23"/>
        <v>0</v>
      </c>
      <c r="E1516" s="121">
        <f>ROUND(D1516*'FR_Mantenimiento tasas'!$C$48/360,5)</f>
        <v>0</v>
      </c>
      <c r="F1516" s="121">
        <f>ROUND(D1516*'FR_Mantenimiento tasas'!$D$48/360,5)</f>
        <v>0</v>
      </c>
    </row>
    <row r="1517" spans="1:6">
      <c r="A1517" s="123">
        <f>IF(OR(A1516='F-Ahorro Futuro Decimos'!$H$16,A1516=""),"",IF(A1516+1&gt;'F-Ahorro Futuro Decimos'!$H$16,'F-Ahorro Futuro Decimos'!$H$16,A1516+1))</f>
        <v>1515</v>
      </c>
      <c r="B1517" s="122">
        <f>IFERROR(IF(DAY($A1517)=DAY('F-Ahorro Futuro Decimos'!$H$15),'F-Ahorro Futuro Decimos'!$H$14,0),0)</f>
        <v>0</v>
      </c>
      <c r="C1517" s="122">
        <f>IF(A1517='F-Ahorro Futuro Decimos'!$H$18,'F-Ahorro Futuro Decimos'!$H$20,0)</f>
        <v>0</v>
      </c>
      <c r="D1517" s="122">
        <f t="shared" si="23"/>
        <v>0</v>
      </c>
      <c r="E1517" s="121">
        <f>ROUND(D1517*'FR_Mantenimiento tasas'!$C$48/360,5)</f>
        <v>0</v>
      </c>
      <c r="F1517" s="121">
        <f>ROUND(D1517*'FR_Mantenimiento tasas'!$D$48/360,5)</f>
        <v>0</v>
      </c>
    </row>
    <row r="1518" spans="1:6">
      <c r="A1518" s="123">
        <f>IF(OR(A1517='F-Ahorro Futuro Decimos'!$H$16,A1517=""),"",IF(A1517+1&gt;'F-Ahorro Futuro Decimos'!$H$16,'F-Ahorro Futuro Decimos'!$H$16,A1517+1))</f>
        <v>1516</v>
      </c>
      <c r="B1518" s="122">
        <f>IFERROR(IF(DAY($A1518)=DAY('F-Ahorro Futuro Decimos'!$H$15),'F-Ahorro Futuro Decimos'!$H$14,0),0)</f>
        <v>0</v>
      </c>
      <c r="C1518" s="122">
        <f>IF(A1518='F-Ahorro Futuro Decimos'!$H$18,'F-Ahorro Futuro Decimos'!$H$20,0)</f>
        <v>0</v>
      </c>
      <c r="D1518" s="122">
        <f t="shared" si="23"/>
        <v>0</v>
      </c>
      <c r="E1518" s="121">
        <f>ROUND(D1518*'FR_Mantenimiento tasas'!$C$48/360,5)</f>
        <v>0</v>
      </c>
      <c r="F1518" s="121">
        <f>ROUND(D1518*'FR_Mantenimiento tasas'!$D$48/360,5)</f>
        <v>0</v>
      </c>
    </row>
    <row r="1519" spans="1:6">
      <c r="A1519" s="123">
        <f>IF(OR(A1518='F-Ahorro Futuro Decimos'!$H$16,A1518=""),"",IF(A1518+1&gt;'F-Ahorro Futuro Decimos'!$H$16,'F-Ahorro Futuro Decimos'!$H$16,A1518+1))</f>
        <v>1517</v>
      </c>
      <c r="B1519" s="122">
        <f>IFERROR(IF(DAY($A1519)=DAY('F-Ahorro Futuro Decimos'!$H$15),'F-Ahorro Futuro Decimos'!$H$14,0),0)</f>
        <v>0</v>
      </c>
      <c r="C1519" s="122">
        <f>IF(A1519='F-Ahorro Futuro Decimos'!$H$18,'F-Ahorro Futuro Decimos'!$H$20,0)</f>
        <v>0</v>
      </c>
      <c r="D1519" s="122">
        <f t="shared" si="23"/>
        <v>0</v>
      </c>
      <c r="E1519" s="121">
        <f>ROUND(D1519*'FR_Mantenimiento tasas'!$C$48/360,5)</f>
        <v>0</v>
      </c>
      <c r="F1519" s="121">
        <f>ROUND(D1519*'FR_Mantenimiento tasas'!$D$48/360,5)</f>
        <v>0</v>
      </c>
    </row>
    <row r="1520" spans="1:6">
      <c r="A1520" s="123">
        <f>IF(OR(A1519='F-Ahorro Futuro Decimos'!$H$16,A1519=""),"",IF(A1519+1&gt;'F-Ahorro Futuro Decimos'!$H$16,'F-Ahorro Futuro Decimos'!$H$16,A1519+1))</f>
        <v>1518</v>
      </c>
      <c r="B1520" s="122">
        <f>IFERROR(IF(DAY($A1520)=DAY('F-Ahorro Futuro Decimos'!$H$15),'F-Ahorro Futuro Decimos'!$H$14,0),0)</f>
        <v>0</v>
      </c>
      <c r="C1520" s="122">
        <f>IF(A1520='F-Ahorro Futuro Decimos'!$H$18,'F-Ahorro Futuro Decimos'!$H$20,0)</f>
        <v>0</v>
      </c>
      <c r="D1520" s="122">
        <f t="shared" si="23"/>
        <v>0</v>
      </c>
      <c r="E1520" s="121">
        <f>ROUND(D1520*'FR_Mantenimiento tasas'!$C$48/360,5)</f>
        <v>0</v>
      </c>
      <c r="F1520" s="121">
        <f>ROUND(D1520*'FR_Mantenimiento tasas'!$D$48/360,5)</f>
        <v>0</v>
      </c>
    </row>
    <row r="1521" spans="1:6">
      <c r="A1521" s="123">
        <f>IF(OR(A1520='F-Ahorro Futuro Decimos'!$H$16,A1520=""),"",IF(A1520+1&gt;'F-Ahorro Futuro Decimos'!$H$16,'F-Ahorro Futuro Decimos'!$H$16,A1520+1))</f>
        <v>1519</v>
      </c>
      <c r="B1521" s="122">
        <f>IFERROR(IF(DAY($A1521)=DAY('F-Ahorro Futuro Decimos'!$H$15),'F-Ahorro Futuro Decimos'!$H$14,0),0)</f>
        <v>0</v>
      </c>
      <c r="C1521" s="122">
        <f>IF(A1521='F-Ahorro Futuro Decimos'!$H$18,'F-Ahorro Futuro Decimos'!$H$20,0)</f>
        <v>0</v>
      </c>
      <c r="D1521" s="122">
        <f t="shared" si="23"/>
        <v>0</v>
      </c>
      <c r="E1521" s="121">
        <f>ROUND(D1521*'FR_Mantenimiento tasas'!$C$48/360,5)</f>
        <v>0</v>
      </c>
      <c r="F1521" s="121">
        <f>ROUND(D1521*'FR_Mantenimiento tasas'!$D$48/360,5)</f>
        <v>0</v>
      </c>
    </row>
    <row r="1522" spans="1:6">
      <c r="A1522" s="123">
        <f>IF(OR(A1521='F-Ahorro Futuro Decimos'!$H$16,A1521=""),"",IF(A1521+1&gt;'F-Ahorro Futuro Decimos'!$H$16,'F-Ahorro Futuro Decimos'!$H$16,A1521+1))</f>
        <v>1520</v>
      </c>
      <c r="B1522" s="122">
        <f>IFERROR(IF(DAY($A1522)=DAY('F-Ahorro Futuro Decimos'!$H$15),'F-Ahorro Futuro Decimos'!$H$14,0),0)</f>
        <v>0</v>
      </c>
      <c r="C1522" s="122">
        <f>IF(A1522='F-Ahorro Futuro Decimos'!$H$18,'F-Ahorro Futuro Decimos'!$H$20,0)</f>
        <v>0</v>
      </c>
      <c r="D1522" s="122">
        <f t="shared" si="23"/>
        <v>0</v>
      </c>
      <c r="E1522" s="121">
        <f>ROUND(D1522*'FR_Mantenimiento tasas'!$C$48/360,5)</f>
        <v>0</v>
      </c>
      <c r="F1522" s="121">
        <f>ROUND(D1522*'FR_Mantenimiento tasas'!$D$48/360,5)</f>
        <v>0</v>
      </c>
    </row>
    <row r="1523" spans="1:6">
      <c r="A1523" s="123">
        <f>IF(OR(A1522='F-Ahorro Futuro Decimos'!$H$16,A1522=""),"",IF(A1522+1&gt;'F-Ahorro Futuro Decimos'!$H$16,'F-Ahorro Futuro Decimos'!$H$16,A1522+1))</f>
        <v>1521</v>
      </c>
      <c r="B1523" s="122">
        <f>IFERROR(IF(DAY($A1523)=DAY('F-Ahorro Futuro Decimos'!$H$15),'F-Ahorro Futuro Decimos'!$H$14,0),0)</f>
        <v>0</v>
      </c>
      <c r="C1523" s="122">
        <f>IF(A1523='F-Ahorro Futuro Decimos'!$H$18,'F-Ahorro Futuro Decimos'!$H$20,0)</f>
        <v>0</v>
      </c>
      <c r="D1523" s="122">
        <f t="shared" si="23"/>
        <v>0</v>
      </c>
      <c r="E1523" s="121">
        <f>ROUND(D1523*'FR_Mantenimiento tasas'!$C$48/360,5)</f>
        <v>0</v>
      </c>
      <c r="F1523" s="121">
        <f>ROUND(D1523*'FR_Mantenimiento tasas'!$D$48/360,5)</f>
        <v>0</v>
      </c>
    </row>
    <row r="1524" spans="1:6">
      <c r="A1524" s="123">
        <f>IF(OR(A1523='F-Ahorro Futuro Decimos'!$H$16,A1523=""),"",IF(A1523+1&gt;'F-Ahorro Futuro Decimos'!$H$16,'F-Ahorro Futuro Decimos'!$H$16,A1523+1))</f>
        <v>1522</v>
      </c>
      <c r="B1524" s="122">
        <f>IFERROR(IF(DAY($A1524)=DAY('F-Ahorro Futuro Decimos'!$H$15),'F-Ahorro Futuro Decimos'!$H$14,0),0)</f>
        <v>0</v>
      </c>
      <c r="C1524" s="122">
        <f>IF(A1524='F-Ahorro Futuro Decimos'!$H$18,'F-Ahorro Futuro Decimos'!$H$20,0)</f>
        <v>0</v>
      </c>
      <c r="D1524" s="122">
        <f t="shared" si="23"/>
        <v>0</v>
      </c>
      <c r="E1524" s="121">
        <f>ROUND(D1524*'FR_Mantenimiento tasas'!$C$48/360,5)</f>
        <v>0</v>
      </c>
      <c r="F1524" s="121">
        <f>ROUND(D1524*'FR_Mantenimiento tasas'!$D$48/360,5)</f>
        <v>0</v>
      </c>
    </row>
    <row r="1525" spans="1:6">
      <c r="A1525" s="123">
        <f>IF(OR(A1524='F-Ahorro Futuro Decimos'!$H$16,A1524=""),"",IF(A1524+1&gt;'F-Ahorro Futuro Decimos'!$H$16,'F-Ahorro Futuro Decimos'!$H$16,A1524+1))</f>
        <v>1523</v>
      </c>
      <c r="B1525" s="122">
        <f>IFERROR(IF(DAY($A1525)=DAY('F-Ahorro Futuro Decimos'!$H$15),'F-Ahorro Futuro Decimos'!$H$14,0),0)</f>
        <v>0</v>
      </c>
      <c r="C1525" s="122">
        <f>IF(A1525='F-Ahorro Futuro Decimos'!$H$18,'F-Ahorro Futuro Decimos'!$H$20,0)</f>
        <v>0</v>
      </c>
      <c r="D1525" s="122">
        <f t="shared" si="23"/>
        <v>0</v>
      </c>
      <c r="E1525" s="121">
        <f>ROUND(D1525*'FR_Mantenimiento tasas'!$C$48/360,5)</f>
        <v>0</v>
      </c>
      <c r="F1525" s="121">
        <f>ROUND(D1525*'FR_Mantenimiento tasas'!$D$48/360,5)</f>
        <v>0</v>
      </c>
    </row>
    <row r="1526" spans="1:6">
      <c r="A1526" s="123">
        <f>IF(OR(A1525='F-Ahorro Futuro Decimos'!$H$16,A1525=""),"",IF(A1525+1&gt;'F-Ahorro Futuro Decimos'!$H$16,'F-Ahorro Futuro Decimos'!$H$16,A1525+1))</f>
        <v>1524</v>
      </c>
      <c r="B1526" s="122">
        <f>IFERROR(IF(DAY($A1526)=DAY('F-Ahorro Futuro Decimos'!$H$15),'F-Ahorro Futuro Decimos'!$H$14,0),0)</f>
        <v>0</v>
      </c>
      <c r="C1526" s="122">
        <f>IF(A1526='F-Ahorro Futuro Decimos'!$H$18,'F-Ahorro Futuro Decimos'!$H$20,0)</f>
        <v>0</v>
      </c>
      <c r="D1526" s="122">
        <f t="shared" si="23"/>
        <v>0</v>
      </c>
      <c r="E1526" s="121">
        <f>ROUND(D1526*'FR_Mantenimiento tasas'!$C$48/360,5)</f>
        <v>0</v>
      </c>
      <c r="F1526" s="121">
        <f>ROUND(D1526*'FR_Mantenimiento tasas'!$D$48/360,5)</f>
        <v>0</v>
      </c>
    </row>
    <row r="1527" spans="1:6">
      <c r="A1527" s="123">
        <f>IF(OR(A1526='F-Ahorro Futuro Decimos'!$H$16,A1526=""),"",IF(A1526+1&gt;'F-Ahorro Futuro Decimos'!$H$16,'F-Ahorro Futuro Decimos'!$H$16,A1526+1))</f>
        <v>1525</v>
      </c>
      <c r="B1527" s="122">
        <f>IFERROR(IF(DAY($A1527)=DAY('F-Ahorro Futuro Decimos'!$H$15),'F-Ahorro Futuro Decimos'!$H$14,0),0)</f>
        <v>0</v>
      </c>
      <c r="C1527" s="122">
        <f>IF(A1527='F-Ahorro Futuro Decimos'!$H$18,'F-Ahorro Futuro Decimos'!$H$20,0)</f>
        <v>0</v>
      </c>
      <c r="D1527" s="122">
        <f t="shared" si="23"/>
        <v>0</v>
      </c>
      <c r="E1527" s="121">
        <f>ROUND(D1527*'FR_Mantenimiento tasas'!$C$48/360,5)</f>
        <v>0</v>
      </c>
      <c r="F1527" s="121">
        <f>ROUND(D1527*'FR_Mantenimiento tasas'!$D$48/360,5)</f>
        <v>0</v>
      </c>
    </row>
    <row r="1528" spans="1:6">
      <c r="A1528" s="123">
        <f>IF(OR(A1527='F-Ahorro Futuro Decimos'!$H$16,A1527=""),"",IF(A1527+1&gt;'F-Ahorro Futuro Decimos'!$H$16,'F-Ahorro Futuro Decimos'!$H$16,A1527+1))</f>
        <v>1526</v>
      </c>
      <c r="B1528" s="122">
        <f>IFERROR(IF(DAY($A1528)=DAY('F-Ahorro Futuro Decimos'!$H$15),'F-Ahorro Futuro Decimos'!$H$14,0),0)</f>
        <v>0</v>
      </c>
      <c r="C1528" s="122">
        <f>IF(A1528='F-Ahorro Futuro Decimos'!$H$18,'F-Ahorro Futuro Decimos'!$H$20,0)</f>
        <v>0</v>
      </c>
      <c r="D1528" s="122">
        <f t="shared" si="23"/>
        <v>0</v>
      </c>
      <c r="E1528" s="121">
        <f>ROUND(D1528*'FR_Mantenimiento tasas'!$C$48/360,5)</f>
        <v>0</v>
      </c>
      <c r="F1528" s="121">
        <f>ROUND(D1528*'FR_Mantenimiento tasas'!$D$48/360,5)</f>
        <v>0</v>
      </c>
    </row>
    <row r="1529" spans="1:6">
      <c r="A1529" s="123">
        <f>IF(OR(A1528='F-Ahorro Futuro Decimos'!$H$16,A1528=""),"",IF(A1528+1&gt;'F-Ahorro Futuro Decimos'!$H$16,'F-Ahorro Futuro Decimos'!$H$16,A1528+1))</f>
        <v>1527</v>
      </c>
      <c r="B1529" s="122">
        <f>IFERROR(IF(DAY($A1529)=DAY('F-Ahorro Futuro Decimos'!$H$15),'F-Ahorro Futuro Decimos'!$H$14,0),0)</f>
        <v>0</v>
      </c>
      <c r="C1529" s="122">
        <f>IF(A1529='F-Ahorro Futuro Decimos'!$H$18,'F-Ahorro Futuro Decimos'!$H$20,0)</f>
        <v>0</v>
      </c>
      <c r="D1529" s="122">
        <f t="shared" si="23"/>
        <v>0</v>
      </c>
      <c r="E1529" s="121">
        <f>ROUND(D1529*'FR_Mantenimiento tasas'!$C$48/360,5)</f>
        <v>0</v>
      </c>
      <c r="F1529" s="121">
        <f>ROUND(D1529*'FR_Mantenimiento tasas'!$D$48/360,5)</f>
        <v>0</v>
      </c>
    </row>
    <row r="1530" spans="1:6">
      <c r="A1530" s="123">
        <f>IF(OR(A1529='F-Ahorro Futuro Decimos'!$H$16,A1529=""),"",IF(A1529+1&gt;'F-Ahorro Futuro Decimos'!$H$16,'F-Ahorro Futuro Decimos'!$H$16,A1529+1))</f>
        <v>1528</v>
      </c>
      <c r="B1530" s="122">
        <f>IFERROR(IF(DAY($A1530)=DAY('F-Ahorro Futuro Decimos'!$H$15),'F-Ahorro Futuro Decimos'!$H$14,0),0)</f>
        <v>0</v>
      </c>
      <c r="C1530" s="122">
        <f>IF(A1530='F-Ahorro Futuro Decimos'!$H$18,'F-Ahorro Futuro Decimos'!$H$20,0)</f>
        <v>0</v>
      </c>
      <c r="D1530" s="122">
        <f t="shared" si="23"/>
        <v>0</v>
      </c>
      <c r="E1530" s="121">
        <f>ROUND(D1530*'FR_Mantenimiento tasas'!$C$48/360,5)</f>
        <v>0</v>
      </c>
      <c r="F1530" s="121">
        <f>ROUND(D1530*'FR_Mantenimiento tasas'!$D$48/360,5)</f>
        <v>0</v>
      </c>
    </row>
    <row r="1531" spans="1:6">
      <c r="A1531" s="123">
        <f>IF(OR(A1530='F-Ahorro Futuro Decimos'!$H$16,A1530=""),"",IF(A1530+1&gt;'F-Ahorro Futuro Decimos'!$H$16,'F-Ahorro Futuro Decimos'!$H$16,A1530+1))</f>
        <v>1529</v>
      </c>
      <c r="B1531" s="122">
        <f>IFERROR(IF(DAY($A1531)=DAY('F-Ahorro Futuro Decimos'!$H$15),'F-Ahorro Futuro Decimos'!$H$14,0),0)</f>
        <v>0</v>
      </c>
      <c r="C1531" s="122">
        <f>IF(A1531='F-Ahorro Futuro Decimos'!$H$18,'F-Ahorro Futuro Decimos'!$H$20,0)</f>
        <v>0</v>
      </c>
      <c r="D1531" s="122">
        <f t="shared" si="23"/>
        <v>0</v>
      </c>
      <c r="E1531" s="121">
        <f>ROUND(D1531*'FR_Mantenimiento tasas'!$C$48/360,5)</f>
        <v>0</v>
      </c>
      <c r="F1531" s="121">
        <f>ROUND(D1531*'FR_Mantenimiento tasas'!$D$48/360,5)</f>
        <v>0</v>
      </c>
    </row>
    <row r="1532" spans="1:6">
      <c r="A1532" s="123">
        <f>IF(OR(A1531='F-Ahorro Futuro Decimos'!$H$16,A1531=""),"",IF(A1531+1&gt;'F-Ahorro Futuro Decimos'!$H$16,'F-Ahorro Futuro Decimos'!$H$16,A1531+1))</f>
        <v>1530</v>
      </c>
      <c r="B1532" s="122">
        <f>IFERROR(IF(DAY($A1532)=DAY('F-Ahorro Futuro Decimos'!$H$15),'F-Ahorro Futuro Decimos'!$H$14,0),0)</f>
        <v>0</v>
      </c>
      <c r="C1532" s="122">
        <f>IF(A1532='F-Ahorro Futuro Decimos'!$H$18,'F-Ahorro Futuro Decimos'!$H$20,0)</f>
        <v>0</v>
      </c>
      <c r="D1532" s="122">
        <f t="shared" si="23"/>
        <v>0</v>
      </c>
      <c r="E1532" s="121">
        <f>ROUND(D1532*'FR_Mantenimiento tasas'!$C$48/360,5)</f>
        <v>0</v>
      </c>
      <c r="F1532" s="121">
        <f>ROUND(D1532*'FR_Mantenimiento tasas'!$D$48/360,5)</f>
        <v>0</v>
      </c>
    </row>
    <row r="1533" spans="1:6">
      <c r="A1533" s="123">
        <f>IF(OR(A1532='F-Ahorro Futuro Decimos'!$H$16,A1532=""),"",IF(A1532+1&gt;'F-Ahorro Futuro Decimos'!$H$16,'F-Ahorro Futuro Decimos'!$H$16,A1532+1))</f>
        <v>1531</v>
      </c>
      <c r="B1533" s="122">
        <f>IFERROR(IF(DAY($A1533)=DAY('F-Ahorro Futuro Decimos'!$H$15),'F-Ahorro Futuro Decimos'!$H$14,0),0)</f>
        <v>0</v>
      </c>
      <c r="C1533" s="122">
        <f>IF(A1533='F-Ahorro Futuro Decimos'!$H$18,'F-Ahorro Futuro Decimos'!$H$20,0)</f>
        <v>0</v>
      </c>
      <c r="D1533" s="122">
        <f t="shared" si="23"/>
        <v>0</v>
      </c>
      <c r="E1533" s="121">
        <f>ROUND(D1533*'FR_Mantenimiento tasas'!$C$48/360,5)</f>
        <v>0</v>
      </c>
      <c r="F1533" s="121">
        <f>ROUND(D1533*'FR_Mantenimiento tasas'!$D$48/360,5)</f>
        <v>0</v>
      </c>
    </row>
    <row r="1534" spans="1:6">
      <c r="A1534" s="123">
        <f>IF(OR(A1533='F-Ahorro Futuro Decimos'!$H$16,A1533=""),"",IF(A1533+1&gt;'F-Ahorro Futuro Decimos'!$H$16,'F-Ahorro Futuro Decimos'!$H$16,A1533+1))</f>
        <v>1532</v>
      </c>
      <c r="B1534" s="122">
        <f>IFERROR(IF(DAY($A1534)=DAY('F-Ahorro Futuro Decimos'!$H$15),'F-Ahorro Futuro Decimos'!$H$14,0),0)</f>
        <v>0</v>
      </c>
      <c r="C1534" s="122">
        <f>IF(A1534='F-Ahorro Futuro Decimos'!$H$18,'F-Ahorro Futuro Decimos'!$H$20,0)</f>
        <v>0</v>
      </c>
      <c r="D1534" s="122">
        <f t="shared" si="23"/>
        <v>0</v>
      </c>
      <c r="E1534" s="121">
        <f>ROUND(D1534*'FR_Mantenimiento tasas'!$C$48/360,5)</f>
        <v>0</v>
      </c>
      <c r="F1534" s="121">
        <f>ROUND(D1534*'FR_Mantenimiento tasas'!$D$48/360,5)</f>
        <v>0</v>
      </c>
    </row>
    <row r="1535" spans="1:6">
      <c r="A1535" s="123">
        <f>IF(OR(A1534='F-Ahorro Futuro Decimos'!$H$16,A1534=""),"",IF(A1534+1&gt;'F-Ahorro Futuro Decimos'!$H$16,'F-Ahorro Futuro Decimos'!$H$16,A1534+1))</f>
        <v>1533</v>
      </c>
      <c r="B1535" s="122">
        <f>IFERROR(IF(DAY($A1535)=DAY('F-Ahorro Futuro Decimos'!$H$15),'F-Ahorro Futuro Decimos'!$H$14,0),0)</f>
        <v>0</v>
      </c>
      <c r="C1535" s="122">
        <f>IF(A1535='F-Ahorro Futuro Decimos'!$H$18,'F-Ahorro Futuro Decimos'!$H$20,0)</f>
        <v>0</v>
      </c>
      <c r="D1535" s="122">
        <f t="shared" si="23"/>
        <v>0</v>
      </c>
      <c r="E1535" s="121">
        <f>ROUND(D1535*'FR_Mantenimiento tasas'!$C$48/360,5)</f>
        <v>0</v>
      </c>
      <c r="F1535" s="121">
        <f>ROUND(D1535*'FR_Mantenimiento tasas'!$D$48/360,5)</f>
        <v>0</v>
      </c>
    </row>
    <row r="1536" spans="1:6">
      <c r="A1536" s="123">
        <f>IF(OR(A1535='F-Ahorro Futuro Decimos'!$H$16,A1535=""),"",IF(A1535+1&gt;'F-Ahorro Futuro Decimos'!$H$16,'F-Ahorro Futuro Decimos'!$H$16,A1535+1))</f>
        <v>1534</v>
      </c>
      <c r="B1536" s="122">
        <f>IFERROR(IF(DAY($A1536)=DAY('F-Ahorro Futuro Decimos'!$H$15),'F-Ahorro Futuro Decimos'!$H$14,0),0)</f>
        <v>0</v>
      </c>
      <c r="C1536" s="122">
        <f>IF(A1536='F-Ahorro Futuro Decimos'!$H$18,'F-Ahorro Futuro Decimos'!$H$20,0)</f>
        <v>0</v>
      </c>
      <c r="D1536" s="122">
        <f t="shared" si="23"/>
        <v>0</v>
      </c>
      <c r="E1536" s="121">
        <f>ROUND(D1536*'FR_Mantenimiento tasas'!$C$48/360,5)</f>
        <v>0</v>
      </c>
      <c r="F1536" s="121">
        <f>ROUND(D1536*'FR_Mantenimiento tasas'!$D$48/360,5)</f>
        <v>0</v>
      </c>
    </row>
    <row r="1537" spans="1:6">
      <c r="A1537" s="123">
        <f>IF(OR(A1536='F-Ahorro Futuro Decimos'!$H$16,A1536=""),"",IF(A1536+1&gt;'F-Ahorro Futuro Decimos'!$H$16,'F-Ahorro Futuro Decimos'!$H$16,A1536+1))</f>
        <v>1535</v>
      </c>
      <c r="B1537" s="122">
        <f>IFERROR(IF(DAY($A1537)=DAY('F-Ahorro Futuro Decimos'!$H$15),'F-Ahorro Futuro Decimos'!$H$14,0),0)</f>
        <v>0</v>
      </c>
      <c r="C1537" s="122">
        <f>IF(A1537='F-Ahorro Futuro Decimos'!$H$18,'F-Ahorro Futuro Decimos'!$H$20,0)</f>
        <v>0</v>
      </c>
      <c r="D1537" s="122">
        <f t="shared" si="23"/>
        <v>0</v>
      </c>
      <c r="E1537" s="121">
        <f>ROUND(D1537*'FR_Mantenimiento tasas'!$C$48/360,5)</f>
        <v>0</v>
      </c>
      <c r="F1537" s="121">
        <f>ROUND(D1537*'FR_Mantenimiento tasas'!$D$48/360,5)</f>
        <v>0</v>
      </c>
    </row>
    <row r="1538" spans="1:6">
      <c r="A1538" s="123">
        <f>IF(OR(A1537='F-Ahorro Futuro Decimos'!$H$16,A1537=""),"",IF(A1537+1&gt;'F-Ahorro Futuro Decimos'!$H$16,'F-Ahorro Futuro Decimos'!$H$16,A1537+1))</f>
        <v>1536</v>
      </c>
      <c r="B1538" s="122">
        <f>IFERROR(IF(DAY($A1538)=DAY('F-Ahorro Futuro Decimos'!$H$15),'F-Ahorro Futuro Decimos'!$H$14,0),0)</f>
        <v>0</v>
      </c>
      <c r="C1538" s="122">
        <f>IF(A1538='F-Ahorro Futuro Decimos'!$H$18,'F-Ahorro Futuro Decimos'!$H$20,0)</f>
        <v>0</v>
      </c>
      <c r="D1538" s="122">
        <f t="shared" si="23"/>
        <v>0</v>
      </c>
      <c r="E1538" s="121">
        <f>ROUND(D1538*'FR_Mantenimiento tasas'!$C$48/360,5)</f>
        <v>0</v>
      </c>
      <c r="F1538" s="121">
        <f>ROUND(D1538*'FR_Mantenimiento tasas'!$D$48/360,5)</f>
        <v>0</v>
      </c>
    </row>
    <row r="1539" spans="1:6">
      <c r="A1539" s="123">
        <f>IF(OR(A1538='F-Ahorro Futuro Decimos'!$H$16,A1538=""),"",IF(A1538+1&gt;'F-Ahorro Futuro Decimos'!$H$16,'F-Ahorro Futuro Decimos'!$H$16,A1538+1))</f>
        <v>1537</v>
      </c>
      <c r="B1539" s="122">
        <f>IFERROR(IF(DAY($A1539)=DAY('F-Ahorro Futuro Decimos'!$H$15),'F-Ahorro Futuro Decimos'!$H$14,0),0)</f>
        <v>0</v>
      </c>
      <c r="C1539" s="122">
        <f>IF(A1539='F-Ahorro Futuro Decimos'!$H$18,'F-Ahorro Futuro Decimos'!$H$20,0)</f>
        <v>0</v>
      </c>
      <c r="D1539" s="122">
        <f t="shared" si="23"/>
        <v>0</v>
      </c>
      <c r="E1539" s="121">
        <f>ROUND(D1539*'FR_Mantenimiento tasas'!$C$48/360,5)</f>
        <v>0</v>
      </c>
      <c r="F1539" s="121">
        <f>ROUND(D1539*'FR_Mantenimiento tasas'!$D$48/360,5)</f>
        <v>0</v>
      </c>
    </row>
    <row r="1540" spans="1:6">
      <c r="A1540" s="123">
        <f>IF(OR(A1539='F-Ahorro Futuro Decimos'!$H$16,A1539=""),"",IF(A1539+1&gt;'F-Ahorro Futuro Decimos'!$H$16,'F-Ahorro Futuro Decimos'!$H$16,A1539+1))</f>
        <v>1538</v>
      </c>
      <c r="B1540" s="122">
        <f>IFERROR(IF(DAY($A1540)=DAY('F-Ahorro Futuro Decimos'!$H$15),'F-Ahorro Futuro Decimos'!$H$14,0),0)</f>
        <v>0</v>
      </c>
      <c r="C1540" s="122">
        <f>IF(A1540='F-Ahorro Futuro Decimos'!$H$18,'F-Ahorro Futuro Decimos'!$H$20,0)</f>
        <v>0</v>
      </c>
      <c r="D1540" s="122">
        <f t="shared" ref="D1540:D1603" si="24">+B1540+D1539+E1539-C1540</f>
        <v>0</v>
      </c>
      <c r="E1540" s="121">
        <f>ROUND(D1540*'FR_Mantenimiento tasas'!$C$48/360,5)</f>
        <v>0</v>
      </c>
      <c r="F1540" s="121">
        <f>ROUND(D1540*'FR_Mantenimiento tasas'!$D$48/360,5)</f>
        <v>0</v>
      </c>
    </row>
    <row r="1541" spans="1:6">
      <c r="A1541" s="123">
        <f>IF(OR(A1540='F-Ahorro Futuro Decimos'!$H$16,A1540=""),"",IF(A1540+1&gt;'F-Ahorro Futuro Decimos'!$H$16,'F-Ahorro Futuro Decimos'!$H$16,A1540+1))</f>
        <v>1539</v>
      </c>
      <c r="B1541" s="122">
        <f>IFERROR(IF(DAY($A1541)=DAY('F-Ahorro Futuro Decimos'!$H$15),'F-Ahorro Futuro Decimos'!$H$14,0),0)</f>
        <v>0</v>
      </c>
      <c r="C1541" s="122">
        <f>IF(A1541='F-Ahorro Futuro Decimos'!$H$18,'F-Ahorro Futuro Decimos'!$H$20,0)</f>
        <v>0</v>
      </c>
      <c r="D1541" s="122">
        <f t="shared" si="24"/>
        <v>0</v>
      </c>
      <c r="E1541" s="121">
        <f>ROUND(D1541*'FR_Mantenimiento tasas'!$C$48/360,5)</f>
        <v>0</v>
      </c>
      <c r="F1541" s="121">
        <f>ROUND(D1541*'FR_Mantenimiento tasas'!$D$48/360,5)</f>
        <v>0</v>
      </c>
    </row>
    <row r="1542" spans="1:6">
      <c r="A1542" s="123">
        <f>IF(OR(A1541='F-Ahorro Futuro Decimos'!$H$16,A1541=""),"",IF(A1541+1&gt;'F-Ahorro Futuro Decimos'!$H$16,'F-Ahorro Futuro Decimos'!$H$16,A1541+1))</f>
        <v>1540</v>
      </c>
      <c r="B1542" s="122">
        <f>IFERROR(IF(DAY($A1542)=DAY('F-Ahorro Futuro Decimos'!$H$15),'F-Ahorro Futuro Decimos'!$H$14,0),0)</f>
        <v>0</v>
      </c>
      <c r="C1542" s="122">
        <f>IF(A1542='F-Ahorro Futuro Decimos'!$H$18,'F-Ahorro Futuro Decimos'!$H$20,0)</f>
        <v>0</v>
      </c>
      <c r="D1542" s="122">
        <f t="shared" si="24"/>
        <v>0</v>
      </c>
      <c r="E1542" s="121">
        <f>ROUND(D1542*'FR_Mantenimiento tasas'!$C$48/360,5)</f>
        <v>0</v>
      </c>
      <c r="F1542" s="121">
        <f>ROUND(D1542*'FR_Mantenimiento tasas'!$D$48/360,5)</f>
        <v>0</v>
      </c>
    </row>
    <row r="1543" spans="1:6">
      <c r="A1543" s="123">
        <f>IF(OR(A1542='F-Ahorro Futuro Decimos'!$H$16,A1542=""),"",IF(A1542+1&gt;'F-Ahorro Futuro Decimos'!$H$16,'F-Ahorro Futuro Decimos'!$H$16,A1542+1))</f>
        <v>1541</v>
      </c>
      <c r="B1543" s="122">
        <f>IFERROR(IF(DAY($A1543)=DAY('F-Ahorro Futuro Decimos'!$H$15),'F-Ahorro Futuro Decimos'!$H$14,0),0)</f>
        <v>0</v>
      </c>
      <c r="C1543" s="122">
        <f>IF(A1543='F-Ahorro Futuro Decimos'!$H$18,'F-Ahorro Futuro Decimos'!$H$20,0)</f>
        <v>0</v>
      </c>
      <c r="D1543" s="122">
        <f t="shared" si="24"/>
        <v>0</v>
      </c>
      <c r="E1543" s="121">
        <f>ROUND(D1543*'FR_Mantenimiento tasas'!$C$48/360,5)</f>
        <v>0</v>
      </c>
      <c r="F1543" s="121">
        <f>ROUND(D1543*'FR_Mantenimiento tasas'!$D$48/360,5)</f>
        <v>0</v>
      </c>
    </row>
    <row r="1544" spans="1:6">
      <c r="A1544" s="123">
        <f>IF(OR(A1543='F-Ahorro Futuro Decimos'!$H$16,A1543=""),"",IF(A1543+1&gt;'F-Ahorro Futuro Decimos'!$H$16,'F-Ahorro Futuro Decimos'!$H$16,A1543+1))</f>
        <v>1542</v>
      </c>
      <c r="B1544" s="122">
        <f>IFERROR(IF(DAY($A1544)=DAY('F-Ahorro Futuro Decimos'!$H$15),'F-Ahorro Futuro Decimos'!$H$14,0),0)</f>
        <v>0</v>
      </c>
      <c r="C1544" s="122">
        <f>IF(A1544='F-Ahorro Futuro Decimos'!$H$18,'F-Ahorro Futuro Decimos'!$H$20,0)</f>
        <v>0</v>
      </c>
      <c r="D1544" s="122">
        <f t="shared" si="24"/>
        <v>0</v>
      </c>
      <c r="E1544" s="121">
        <f>ROUND(D1544*'FR_Mantenimiento tasas'!$C$48/360,5)</f>
        <v>0</v>
      </c>
      <c r="F1544" s="121">
        <f>ROUND(D1544*'FR_Mantenimiento tasas'!$D$48/360,5)</f>
        <v>0</v>
      </c>
    </row>
    <row r="1545" spans="1:6">
      <c r="A1545" s="123">
        <f>IF(OR(A1544='F-Ahorro Futuro Decimos'!$H$16,A1544=""),"",IF(A1544+1&gt;'F-Ahorro Futuro Decimos'!$H$16,'F-Ahorro Futuro Decimos'!$H$16,A1544+1))</f>
        <v>1543</v>
      </c>
      <c r="B1545" s="122">
        <f>IFERROR(IF(DAY($A1545)=DAY('F-Ahorro Futuro Decimos'!$H$15),'F-Ahorro Futuro Decimos'!$H$14,0),0)</f>
        <v>0</v>
      </c>
      <c r="C1545" s="122">
        <f>IF(A1545='F-Ahorro Futuro Decimos'!$H$18,'F-Ahorro Futuro Decimos'!$H$20,0)</f>
        <v>0</v>
      </c>
      <c r="D1545" s="122">
        <f t="shared" si="24"/>
        <v>0</v>
      </c>
      <c r="E1545" s="121">
        <f>ROUND(D1545*'FR_Mantenimiento tasas'!$C$48/360,5)</f>
        <v>0</v>
      </c>
      <c r="F1545" s="121">
        <f>ROUND(D1545*'FR_Mantenimiento tasas'!$D$48/360,5)</f>
        <v>0</v>
      </c>
    </row>
    <row r="1546" spans="1:6">
      <c r="A1546" s="123">
        <f>IF(OR(A1545='F-Ahorro Futuro Decimos'!$H$16,A1545=""),"",IF(A1545+1&gt;'F-Ahorro Futuro Decimos'!$H$16,'F-Ahorro Futuro Decimos'!$H$16,A1545+1))</f>
        <v>1544</v>
      </c>
      <c r="B1546" s="122">
        <f>IFERROR(IF(DAY($A1546)=DAY('F-Ahorro Futuro Decimos'!$H$15),'F-Ahorro Futuro Decimos'!$H$14,0),0)</f>
        <v>0</v>
      </c>
      <c r="C1546" s="122">
        <f>IF(A1546='F-Ahorro Futuro Decimos'!$H$18,'F-Ahorro Futuro Decimos'!$H$20,0)</f>
        <v>0</v>
      </c>
      <c r="D1546" s="122">
        <f t="shared" si="24"/>
        <v>0</v>
      </c>
      <c r="E1546" s="121">
        <f>ROUND(D1546*'FR_Mantenimiento tasas'!$C$48/360,5)</f>
        <v>0</v>
      </c>
      <c r="F1546" s="121">
        <f>ROUND(D1546*'FR_Mantenimiento tasas'!$D$48/360,5)</f>
        <v>0</v>
      </c>
    </row>
    <row r="1547" spans="1:6">
      <c r="A1547" s="123">
        <f>IF(OR(A1546='F-Ahorro Futuro Decimos'!$H$16,A1546=""),"",IF(A1546+1&gt;'F-Ahorro Futuro Decimos'!$H$16,'F-Ahorro Futuro Decimos'!$H$16,A1546+1))</f>
        <v>1545</v>
      </c>
      <c r="B1547" s="122">
        <f>IFERROR(IF(DAY($A1547)=DAY('F-Ahorro Futuro Decimos'!$H$15),'F-Ahorro Futuro Decimos'!$H$14,0),0)</f>
        <v>0</v>
      </c>
      <c r="C1547" s="122">
        <f>IF(A1547='F-Ahorro Futuro Decimos'!$H$18,'F-Ahorro Futuro Decimos'!$H$20,0)</f>
        <v>0</v>
      </c>
      <c r="D1547" s="122">
        <f t="shared" si="24"/>
        <v>0</v>
      </c>
      <c r="E1547" s="121">
        <f>ROUND(D1547*'FR_Mantenimiento tasas'!$C$48/360,5)</f>
        <v>0</v>
      </c>
      <c r="F1547" s="121">
        <f>ROUND(D1547*'FR_Mantenimiento tasas'!$D$48/360,5)</f>
        <v>0</v>
      </c>
    </row>
    <row r="1548" spans="1:6">
      <c r="A1548" s="123">
        <f>IF(OR(A1547='F-Ahorro Futuro Decimos'!$H$16,A1547=""),"",IF(A1547+1&gt;'F-Ahorro Futuro Decimos'!$H$16,'F-Ahorro Futuro Decimos'!$H$16,A1547+1))</f>
        <v>1546</v>
      </c>
      <c r="B1548" s="122">
        <f>IFERROR(IF(DAY($A1548)=DAY('F-Ahorro Futuro Decimos'!$H$15),'F-Ahorro Futuro Decimos'!$H$14,0),0)</f>
        <v>0</v>
      </c>
      <c r="C1548" s="122">
        <f>IF(A1548='F-Ahorro Futuro Decimos'!$H$18,'F-Ahorro Futuro Decimos'!$H$20,0)</f>
        <v>0</v>
      </c>
      <c r="D1548" s="122">
        <f t="shared" si="24"/>
        <v>0</v>
      </c>
      <c r="E1548" s="121">
        <f>ROUND(D1548*'FR_Mantenimiento tasas'!$C$48/360,5)</f>
        <v>0</v>
      </c>
      <c r="F1548" s="121">
        <f>ROUND(D1548*'FR_Mantenimiento tasas'!$D$48/360,5)</f>
        <v>0</v>
      </c>
    </row>
    <row r="1549" spans="1:6">
      <c r="A1549" s="123">
        <f>IF(OR(A1548='F-Ahorro Futuro Decimos'!$H$16,A1548=""),"",IF(A1548+1&gt;'F-Ahorro Futuro Decimos'!$H$16,'F-Ahorro Futuro Decimos'!$H$16,A1548+1))</f>
        <v>1547</v>
      </c>
      <c r="B1549" s="122">
        <f>IFERROR(IF(DAY($A1549)=DAY('F-Ahorro Futuro Decimos'!$H$15),'F-Ahorro Futuro Decimos'!$H$14,0),0)</f>
        <v>0</v>
      </c>
      <c r="C1549" s="122">
        <f>IF(A1549='F-Ahorro Futuro Decimos'!$H$18,'F-Ahorro Futuro Decimos'!$H$20,0)</f>
        <v>0</v>
      </c>
      <c r="D1549" s="122">
        <f t="shared" si="24"/>
        <v>0</v>
      </c>
      <c r="E1549" s="121">
        <f>ROUND(D1549*'FR_Mantenimiento tasas'!$C$48/360,5)</f>
        <v>0</v>
      </c>
      <c r="F1549" s="121">
        <f>ROUND(D1549*'FR_Mantenimiento tasas'!$D$48/360,5)</f>
        <v>0</v>
      </c>
    </row>
    <row r="1550" spans="1:6">
      <c r="A1550" s="123">
        <f>IF(OR(A1549='F-Ahorro Futuro Decimos'!$H$16,A1549=""),"",IF(A1549+1&gt;'F-Ahorro Futuro Decimos'!$H$16,'F-Ahorro Futuro Decimos'!$H$16,A1549+1))</f>
        <v>1548</v>
      </c>
      <c r="B1550" s="122">
        <f>IFERROR(IF(DAY($A1550)=DAY('F-Ahorro Futuro Decimos'!$H$15),'F-Ahorro Futuro Decimos'!$H$14,0),0)</f>
        <v>0</v>
      </c>
      <c r="C1550" s="122">
        <f>IF(A1550='F-Ahorro Futuro Decimos'!$H$18,'F-Ahorro Futuro Decimos'!$H$20,0)</f>
        <v>0</v>
      </c>
      <c r="D1550" s="122">
        <f t="shared" si="24"/>
        <v>0</v>
      </c>
      <c r="E1550" s="121">
        <f>ROUND(D1550*'FR_Mantenimiento tasas'!$C$48/360,5)</f>
        <v>0</v>
      </c>
      <c r="F1550" s="121">
        <f>ROUND(D1550*'FR_Mantenimiento tasas'!$D$48/360,5)</f>
        <v>0</v>
      </c>
    </row>
    <row r="1551" spans="1:6">
      <c r="A1551" s="123">
        <f>IF(OR(A1550='F-Ahorro Futuro Decimos'!$H$16,A1550=""),"",IF(A1550+1&gt;'F-Ahorro Futuro Decimos'!$H$16,'F-Ahorro Futuro Decimos'!$H$16,A1550+1))</f>
        <v>1549</v>
      </c>
      <c r="B1551" s="122">
        <f>IFERROR(IF(DAY($A1551)=DAY('F-Ahorro Futuro Decimos'!$H$15),'F-Ahorro Futuro Decimos'!$H$14,0),0)</f>
        <v>0</v>
      </c>
      <c r="C1551" s="122">
        <f>IF(A1551='F-Ahorro Futuro Decimos'!$H$18,'F-Ahorro Futuro Decimos'!$H$20,0)</f>
        <v>0</v>
      </c>
      <c r="D1551" s="122">
        <f t="shared" si="24"/>
        <v>0</v>
      </c>
      <c r="E1551" s="121">
        <f>ROUND(D1551*'FR_Mantenimiento tasas'!$C$48/360,5)</f>
        <v>0</v>
      </c>
      <c r="F1551" s="121">
        <f>ROUND(D1551*'FR_Mantenimiento tasas'!$D$48/360,5)</f>
        <v>0</v>
      </c>
    </row>
    <row r="1552" spans="1:6">
      <c r="A1552" s="123">
        <f>IF(OR(A1551='F-Ahorro Futuro Decimos'!$H$16,A1551=""),"",IF(A1551+1&gt;'F-Ahorro Futuro Decimos'!$H$16,'F-Ahorro Futuro Decimos'!$H$16,A1551+1))</f>
        <v>1550</v>
      </c>
      <c r="B1552" s="122">
        <f>IFERROR(IF(DAY($A1552)=DAY('F-Ahorro Futuro Decimos'!$H$15),'F-Ahorro Futuro Decimos'!$H$14,0),0)</f>
        <v>0</v>
      </c>
      <c r="C1552" s="122">
        <f>IF(A1552='F-Ahorro Futuro Decimos'!$H$18,'F-Ahorro Futuro Decimos'!$H$20,0)</f>
        <v>0</v>
      </c>
      <c r="D1552" s="122">
        <f t="shared" si="24"/>
        <v>0</v>
      </c>
      <c r="E1552" s="121">
        <f>ROUND(D1552*'FR_Mantenimiento tasas'!$C$48/360,5)</f>
        <v>0</v>
      </c>
      <c r="F1552" s="121">
        <f>ROUND(D1552*'FR_Mantenimiento tasas'!$D$48/360,5)</f>
        <v>0</v>
      </c>
    </row>
    <row r="1553" spans="1:6">
      <c r="A1553" s="123">
        <f>IF(OR(A1552='F-Ahorro Futuro Decimos'!$H$16,A1552=""),"",IF(A1552+1&gt;'F-Ahorro Futuro Decimos'!$H$16,'F-Ahorro Futuro Decimos'!$H$16,A1552+1))</f>
        <v>1551</v>
      </c>
      <c r="B1553" s="122">
        <f>IFERROR(IF(DAY($A1553)=DAY('F-Ahorro Futuro Decimos'!$H$15),'F-Ahorro Futuro Decimos'!$H$14,0),0)</f>
        <v>0</v>
      </c>
      <c r="C1553" s="122">
        <f>IF(A1553='F-Ahorro Futuro Decimos'!$H$18,'F-Ahorro Futuro Decimos'!$H$20,0)</f>
        <v>0</v>
      </c>
      <c r="D1553" s="122">
        <f t="shared" si="24"/>
        <v>0</v>
      </c>
      <c r="E1553" s="121">
        <f>ROUND(D1553*'FR_Mantenimiento tasas'!$C$48/360,5)</f>
        <v>0</v>
      </c>
      <c r="F1553" s="121">
        <f>ROUND(D1553*'FR_Mantenimiento tasas'!$D$48/360,5)</f>
        <v>0</v>
      </c>
    </row>
    <row r="1554" spans="1:6">
      <c r="A1554" s="123">
        <f>IF(OR(A1553='F-Ahorro Futuro Decimos'!$H$16,A1553=""),"",IF(A1553+1&gt;'F-Ahorro Futuro Decimos'!$H$16,'F-Ahorro Futuro Decimos'!$H$16,A1553+1))</f>
        <v>1552</v>
      </c>
      <c r="B1554" s="122">
        <f>IFERROR(IF(DAY($A1554)=DAY('F-Ahorro Futuro Decimos'!$H$15),'F-Ahorro Futuro Decimos'!$H$14,0),0)</f>
        <v>0</v>
      </c>
      <c r="C1554" s="122">
        <f>IF(A1554='F-Ahorro Futuro Decimos'!$H$18,'F-Ahorro Futuro Decimos'!$H$20,0)</f>
        <v>0</v>
      </c>
      <c r="D1554" s="122">
        <f t="shared" si="24"/>
        <v>0</v>
      </c>
      <c r="E1554" s="121">
        <f>ROUND(D1554*'FR_Mantenimiento tasas'!$C$48/360,5)</f>
        <v>0</v>
      </c>
      <c r="F1554" s="121">
        <f>ROUND(D1554*'FR_Mantenimiento tasas'!$D$48/360,5)</f>
        <v>0</v>
      </c>
    </row>
    <row r="1555" spans="1:6">
      <c r="A1555" s="123">
        <f>IF(OR(A1554='F-Ahorro Futuro Decimos'!$H$16,A1554=""),"",IF(A1554+1&gt;'F-Ahorro Futuro Decimos'!$H$16,'F-Ahorro Futuro Decimos'!$H$16,A1554+1))</f>
        <v>1553</v>
      </c>
      <c r="B1555" s="122">
        <f>IFERROR(IF(DAY($A1555)=DAY('F-Ahorro Futuro Decimos'!$H$15),'F-Ahorro Futuro Decimos'!$H$14,0),0)</f>
        <v>0</v>
      </c>
      <c r="C1555" s="122">
        <f>IF(A1555='F-Ahorro Futuro Decimos'!$H$18,'F-Ahorro Futuro Decimos'!$H$20,0)</f>
        <v>0</v>
      </c>
      <c r="D1555" s="122">
        <f t="shared" si="24"/>
        <v>0</v>
      </c>
      <c r="E1555" s="121">
        <f>ROUND(D1555*'FR_Mantenimiento tasas'!$C$48/360,5)</f>
        <v>0</v>
      </c>
      <c r="F1555" s="121">
        <f>ROUND(D1555*'FR_Mantenimiento tasas'!$D$48/360,5)</f>
        <v>0</v>
      </c>
    </row>
    <row r="1556" spans="1:6">
      <c r="A1556" s="123">
        <f>IF(OR(A1555='F-Ahorro Futuro Decimos'!$H$16,A1555=""),"",IF(A1555+1&gt;'F-Ahorro Futuro Decimos'!$H$16,'F-Ahorro Futuro Decimos'!$H$16,A1555+1))</f>
        <v>1554</v>
      </c>
      <c r="B1556" s="122">
        <f>IFERROR(IF(DAY($A1556)=DAY('F-Ahorro Futuro Decimos'!$H$15),'F-Ahorro Futuro Decimos'!$H$14,0),0)</f>
        <v>0</v>
      </c>
      <c r="C1556" s="122">
        <f>IF(A1556='F-Ahorro Futuro Decimos'!$H$18,'F-Ahorro Futuro Decimos'!$H$20,0)</f>
        <v>0</v>
      </c>
      <c r="D1556" s="122">
        <f t="shared" si="24"/>
        <v>0</v>
      </c>
      <c r="E1556" s="121">
        <f>ROUND(D1556*'FR_Mantenimiento tasas'!$C$48/360,5)</f>
        <v>0</v>
      </c>
      <c r="F1556" s="121">
        <f>ROUND(D1556*'FR_Mantenimiento tasas'!$D$48/360,5)</f>
        <v>0</v>
      </c>
    </row>
    <row r="1557" spans="1:6">
      <c r="A1557" s="123">
        <f>IF(OR(A1556='F-Ahorro Futuro Decimos'!$H$16,A1556=""),"",IF(A1556+1&gt;'F-Ahorro Futuro Decimos'!$H$16,'F-Ahorro Futuro Decimos'!$H$16,A1556+1))</f>
        <v>1555</v>
      </c>
      <c r="B1557" s="122">
        <f>IFERROR(IF(DAY($A1557)=DAY('F-Ahorro Futuro Decimos'!$H$15),'F-Ahorro Futuro Decimos'!$H$14,0),0)</f>
        <v>0</v>
      </c>
      <c r="C1557" s="122">
        <f>IF(A1557='F-Ahorro Futuro Decimos'!$H$18,'F-Ahorro Futuro Decimos'!$H$20,0)</f>
        <v>0</v>
      </c>
      <c r="D1557" s="122">
        <f t="shared" si="24"/>
        <v>0</v>
      </c>
      <c r="E1557" s="121">
        <f>ROUND(D1557*'FR_Mantenimiento tasas'!$C$48/360,5)</f>
        <v>0</v>
      </c>
      <c r="F1557" s="121">
        <f>ROUND(D1557*'FR_Mantenimiento tasas'!$D$48/360,5)</f>
        <v>0</v>
      </c>
    </row>
    <row r="1558" spans="1:6">
      <c r="A1558" s="123">
        <f>IF(OR(A1557='F-Ahorro Futuro Decimos'!$H$16,A1557=""),"",IF(A1557+1&gt;'F-Ahorro Futuro Decimos'!$H$16,'F-Ahorro Futuro Decimos'!$H$16,A1557+1))</f>
        <v>1556</v>
      </c>
      <c r="B1558" s="122">
        <f>IFERROR(IF(DAY($A1558)=DAY('F-Ahorro Futuro Decimos'!$H$15),'F-Ahorro Futuro Decimos'!$H$14,0),0)</f>
        <v>0</v>
      </c>
      <c r="C1558" s="122">
        <f>IF(A1558='F-Ahorro Futuro Decimos'!$H$18,'F-Ahorro Futuro Decimos'!$H$20,0)</f>
        <v>0</v>
      </c>
      <c r="D1558" s="122">
        <f t="shared" si="24"/>
        <v>0</v>
      </c>
      <c r="E1558" s="121">
        <f>ROUND(D1558*'FR_Mantenimiento tasas'!$C$48/360,5)</f>
        <v>0</v>
      </c>
      <c r="F1558" s="121">
        <f>ROUND(D1558*'FR_Mantenimiento tasas'!$D$48/360,5)</f>
        <v>0</v>
      </c>
    </row>
    <row r="1559" spans="1:6">
      <c r="A1559" s="123">
        <f>IF(OR(A1558='F-Ahorro Futuro Decimos'!$H$16,A1558=""),"",IF(A1558+1&gt;'F-Ahorro Futuro Decimos'!$H$16,'F-Ahorro Futuro Decimos'!$H$16,A1558+1))</f>
        <v>1557</v>
      </c>
      <c r="B1559" s="122">
        <f>IFERROR(IF(DAY($A1559)=DAY('F-Ahorro Futuro Decimos'!$H$15),'F-Ahorro Futuro Decimos'!$H$14,0),0)</f>
        <v>0</v>
      </c>
      <c r="C1559" s="122">
        <f>IF(A1559='F-Ahorro Futuro Decimos'!$H$18,'F-Ahorro Futuro Decimos'!$H$20,0)</f>
        <v>0</v>
      </c>
      <c r="D1559" s="122">
        <f t="shared" si="24"/>
        <v>0</v>
      </c>
      <c r="E1559" s="121">
        <f>ROUND(D1559*'FR_Mantenimiento tasas'!$C$48/360,5)</f>
        <v>0</v>
      </c>
      <c r="F1559" s="121">
        <f>ROUND(D1559*'FR_Mantenimiento tasas'!$D$48/360,5)</f>
        <v>0</v>
      </c>
    </row>
    <row r="1560" spans="1:6">
      <c r="A1560" s="123">
        <f>IF(OR(A1559='F-Ahorro Futuro Decimos'!$H$16,A1559=""),"",IF(A1559+1&gt;'F-Ahorro Futuro Decimos'!$H$16,'F-Ahorro Futuro Decimos'!$H$16,A1559+1))</f>
        <v>1558</v>
      </c>
      <c r="B1560" s="122">
        <f>IFERROR(IF(DAY($A1560)=DAY('F-Ahorro Futuro Decimos'!$H$15),'F-Ahorro Futuro Decimos'!$H$14,0),0)</f>
        <v>0</v>
      </c>
      <c r="C1560" s="122">
        <f>IF(A1560='F-Ahorro Futuro Decimos'!$H$18,'F-Ahorro Futuro Decimos'!$H$20,0)</f>
        <v>0</v>
      </c>
      <c r="D1560" s="122">
        <f t="shared" si="24"/>
        <v>0</v>
      </c>
      <c r="E1560" s="121">
        <f>ROUND(D1560*'FR_Mantenimiento tasas'!$C$48/360,5)</f>
        <v>0</v>
      </c>
      <c r="F1560" s="121">
        <f>ROUND(D1560*'FR_Mantenimiento tasas'!$D$48/360,5)</f>
        <v>0</v>
      </c>
    </row>
    <row r="1561" spans="1:6">
      <c r="A1561" s="123">
        <f>IF(OR(A1560='F-Ahorro Futuro Decimos'!$H$16,A1560=""),"",IF(A1560+1&gt;'F-Ahorro Futuro Decimos'!$H$16,'F-Ahorro Futuro Decimos'!$H$16,A1560+1))</f>
        <v>1559</v>
      </c>
      <c r="B1561" s="122">
        <f>IFERROR(IF(DAY($A1561)=DAY('F-Ahorro Futuro Decimos'!$H$15),'F-Ahorro Futuro Decimos'!$H$14,0),0)</f>
        <v>0</v>
      </c>
      <c r="C1561" s="122">
        <f>IF(A1561='F-Ahorro Futuro Decimos'!$H$18,'F-Ahorro Futuro Decimos'!$H$20,0)</f>
        <v>0</v>
      </c>
      <c r="D1561" s="122">
        <f t="shared" si="24"/>
        <v>0</v>
      </c>
      <c r="E1561" s="121">
        <f>ROUND(D1561*'FR_Mantenimiento tasas'!$C$48/360,5)</f>
        <v>0</v>
      </c>
      <c r="F1561" s="121">
        <f>ROUND(D1561*'FR_Mantenimiento tasas'!$D$48/360,5)</f>
        <v>0</v>
      </c>
    </row>
    <row r="1562" spans="1:6">
      <c r="A1562" s="123">
        <f>IF(OR(A1561='F-Ahorro Futuro Decimos'!$H$16,A1561=""),"",IF(A1561+1&gt;'F-Ahorro Futuro Decimos'!$H$16,'F-Ahorro Futuro Decimos'!$H$16,A1561+1))</f>
        <v>1560</v>
      </c>
      <c r="B1562" s="122">
        <f>IFERROR(IF(DAY($A1562)=DAY('F-Ahorro Futuro Decimos'!$H$15),'F-Ahorro Futuro Decimos'!$H$14,0),0)</f>
        <v>0</v>
      </c>
      <c r="C1562" s="122">
        <f>IF(A1562='F-Ahorro Futuro Decimos'!$H$18,'F-Ahorro Futuro Decimos'!$H$20,0)</f>
        <v>0</v>
      </c>
      <c r="D1562" s="122">
        <f t="shared" si="24"/>
        <v>0</v>
      </c>
      <c r="E1562" s="121">
        <f>ROUND(D1562*'FR_Mantenimiento tasas'!$C$48/360,5)</f>
        <v>0</v>
      </c>
      <c r="F1562" s="121">
        <f>ROUND(D1562*'FR_Mantenimiento tasas'!$D$48/360,5)</f>
        <v>0</v>
      </c>
    </row>
    <row r="1563" spans="1:6">
      <c r="A1563" s="123">
        <f>IF(OR(A1562='F-Ahorro Futuro Decimos'!$H$16,A1562=""),"",IF(A1562+1&gt;'F-Ahorro Futuro Decimos'!$H$16,'F-Ahorro Futuro Decimos'!$H$16,A1562+1))</f>
        <v>1561</v>
      </c>
      <c r="B1563" s="122">
        <f>IFERROR(IF(DAY($A1563)=DAY('F-Ahorro Futuro Decimos'!$H$15),'F-Ahorro Futuro Decimos'!$H$14,0),0)</f>
        <v>0</v>
      </c>
      <c r="C1563" s="122">
        <f>IF(A1563='F-Ahorro Futuro Decimos'!$H$18,'F-Ahorro Futuro Decimos'!$H$20,0)</f>
        <v>0</v>
      </c>
      <c r="D1563" s="122">
        <f t="shared" si="24"/>
        <v>0</v>
      </c>
      <c r="E1563" s="121">
        <f>ROUND(D1563*'FR_Mantenimiento tasas'!$C$48/360,5)</f>
        <v>0</v>
      </c>
      <c r="F1563" s="121">
        <f>ROUND(D1563*'FR_Mantenimiento tasas'!$D$48/360,5)</f>
        <v>0</v>
      </c>
    </row>
    <row r="1564" spans="1:6">
      <c r="A1564" s="123">
        <f>IF(OR(A1563='F-Ahorro Futuro Decimos'!$H$16,A1563=""),"",IF(A1563+1&gt;'F-Ahorro Futuro Decimos'!$H$16,'F-Ahorro Futuro Decimos'!$H$16,A1563+1))</f>
        <v>1562</v>
      </c>
      <c r="B1564" s="122">
        <f>IFERROR(IF(DAY($A1564)=DAY('F-Ahorro Futuro Decimos'!$H$15),'F-Ahorro Futuro Decimos'!$H$14,0),0)</f>
        <v>0</v>
      </c>
      <c r="C1564" s="122">
        <f>IF(A1564='F-Ahorro Futuro Decimos'!$H$18,'F-Ahorro Futuro Decimos'!$H$20,0)</f>
        <v>0</v>
      </c>
      <c r="D1564" s="122">
        <f t="shared" si="24"/>
        <v>0</v>
      </c>
      <c r="E1564" s="121">
        <f>ROUND(D1564*'FR_Mantenimiento tasas'!$C$48/360,5)</f>
        <v>0</v>
      </c>
      <c r="F1564" s="121">
        <f>ROUND(D1564*'FR_Mantenimiento tasas'!$D$48/360,5)</f>
        <v>0</v>
      </c>
    </row>
    <row r="1565" spans="1:6">
      <c r="A1565" s="123">
        <f>IF(OR(A1564='F-Ahorro Futuro Decimos'!$H$16,A1564=""),"",IF(A1564+1&gt;'F-Ahorro Futuro Decimos'!$H$16,'F-Ahorro Futuro Decimos'!$H$16,A1564+1))</f>
        <v>1563</v>
      </c>
      <c r="B1565" s="122">
        <f>IFERROR(IF(DAY($A1565)=DAY('F-Ahorro Futuro Decimos'!$H$15),'F-Ahorro Futuro Decimos'!$H$14,0),0)</f>
        <v>0</v>
      </c>
      <c r="C1565" s="122">
        <f>IF(A1565='F-Ahorro Futuro Decimos'!$H$18,'F-Ahorro Futuro Decimos'!$H$20,0)</f>
        <v>0</v>
      </c>
      <c r="D1565" s="122">
        <f t="shared" si="24"/>
        <v>0</v>
      </c>
      <c r="E1565" s="121">
        <f>ROUND(D1565*'FR_Mantenimiento tasas'!$C$48/360,5)</f>
        <v>0</v>
      </c>
      <c r="F1565" s="121">
        <f>ROUND(D1565*'FR_Mantenimiento tasas'!$D$48/360,5)</f>
        <v>0</v>
      </c>
    </row>
    <row r="1566" spans="1:6">
      <c r="A1566" s="123">
        <f>IF(OR(A1565='F-Ahorro Futuro Decimos'!$H$16,A1565=""),"",IF(A1565+1&gt;'F-Ahorro Futuro Decimos'!$H$16,'F-Ahorro Futuro Decimos'!$H$16,A1565+1))</f>
        <v>1564</v>
      </c>
      <c r="B1566" s="122">
        <f>IFERROR(IF(DAY($A1566)=DAY('F-Ahorro Futuro Decimos'!$H$15),'F-Ahorro Futuro Decimos'!$H$14,0),0)</f>
        <v>0</v>
      </c>
      <c r="C1566" s="122">
        <f>IF(A1566='F-Ahorro Futuro Decimos'!$H$18,'F-Ahorro Futuro Decimos'!$H$20,0)</f>
        <v>0</v>
      </c>
      <c r="D1566" s="122">
        <f t="shared" si="24"/>
        <v>0</v>
      </c>
      <c r="E1566" s="121">
        <f>ROUND(D1566*'FR_Mantenimiento tasas'!$C$48/360,5)</f>
        <v>0</v>
      </c>
      <c r="F1566" s="121">
        <f>ROUND(D1566*'FR_Mantenimiento tasas'!$D$48/360,5)</f>
        <v>0</v>
      </c>
    </row>
    <row r="1567" spans="1:6">
      <c r="A1567" s="123">
        <f>IF(OR(A1566='F-Ahorro Futuro Decimos'!$H$16,A1566=""),"",IF(A1566+1&gt;'F-Ahorro Futuro Decimos'!$H$16,'F-Ahorro Futuro Decimos'!$H$16,A1566+1))</f>
        <v>1565</v>
      </c>
      <c r="B1567" s="122">
        <f>IFERROR(IF(DAY($A1567)=DAY('F-Ahorro Futuro Decimos'!$H$15),'F-Ahorro Futuro Decimos'!$H$14,0),0)</f>
        <v>0</v>
      </c>
      <c r="C1567" s="122">
        <f>IF(A1567='F-Ahorro Futuro Decimos'!$H$18,'F-Ahorro Futuro Decimos'!$H$20,0)</f>
        <v>0</v>
      </c>
      <c r="D1567" s="122">
        <f t="shared" si="24"/>
        <v>0</v>
      </c>
      <c r="E1567" s="121">
        <f>ROUND(D1567*'FR_Mantenimiento tasas'!$C$48/360,5)</f>
        <v>0</v>
      </c>
      <c r="F1567" s="121">
        <f>ROUND(D1567*'FR_Mantenimiento tasas'!$D$48/360,5)</f>
        <v>0</v>
      </c>
    </row>
    <row r="1568" spans="1:6">
      <c r="A1568" s="123">
        <f>IF(OR(A1567='F-Ahorro Futuro Decimos'!$H$16,A1567=""),"",IF(A1567+1&gt;'F-Ahorro Futuro Decimos'!$H$16,'F-Ahorro Futuro Decimos'!$H$16,A1567+1))</f>
        <v>1566</v>
      </c>
      <c r="B1568" s="122">
        <f>IFERROR(IF(DAY($A1568)=DAY('F-Ahorro Futuro Decimos'!$H$15),'F-Ahorro Futuro Decimos'!$H$14,0),0)</f>
        <v>0</v>
      </c>
      <c r="C1568" s="122">
        <f>IF(A1568='F-Ahorro Futuro Decimos'!$H$18,'F-Ahorro Futuro Decimos'!$H$20,0)</f>
        <v>0</v>
      </c>
      <c r="D1568" s="122">
        <f t="shared" si="24"/>
        <v>0</v>
      </c>
      <c r="E1568" s="121">
        <f>ROUND(D1568*'FR_Mantenimiento tasas'!$C$48/360,5)</f>
        <v>0</v>
      </c>
      <c r="F1568" s="121">
        <f>ROUND(D1568*'FR_Mantenimiento tasas'!$D$48/360,5)</f>
        <v>0</v>
      </c>
    </row>
    <row r="1569" spans="1:6">
      <c r="A1569" s="123">
        <f>IF(OR(A1568='F-Ahorro Futuro Decimos'!$H$16,A1568=""),"",IF(A1568+1&gt;'F-Ahorro Futuro Decimos'!$H$16,'F-Ahorro Futuro Decimos'!$H$16,A1568+1))</f>
        <v>1567</v>
      </c>
      <c r="B1569" s="122">
        <f>IFERROR(IF(DAY($A1569)=DAY('F-Ahorro Futuro Decimos'!$H$15),'F-Ahorro Futuro Decimos'!$H$14,0),0)</f>
        <v>0</v>
      </c>
      <c r="C1569" s="122">
        <f>IF(A1569='F-Ahorro Futuro Decimos'!$H$18,'F-Ahorro Futuro Decimos'!$H$20,0)</f>
        <v>0</v>
      </c>
      <c r="D1569" s="122">
        <f t="shared" si="24"/>
        <v>0</v>
      </c>
      <c r="E1569" s="121">
        <f>ROUND(D1569*'FR_Mantenimiento tasas'!$C$48/360,5)</f>
        <v>0</v>
      </c>
      <c r="F1569" s="121">
        <f>ROUND(D1569*'FR_Mantenimiento tasas'!$D$48/360,5)</f>
        <v>0</v>
      </c>
    </row>
    <row r="1570" spans="1:6">
      <c r="A1570" s="123">
        <f>IF(OR(A1569='F-Ahorro Futuro Decimos'!$H$16,A1569=""),"",IF(A1569+1&gt;'F-Ahorro Futuro Decimos'!$H$16,'F-Ahorro Futuro Decimos'!$H$16,A1569+1))</f>
        <v>1568</v>
      </c>
      <c r="B1570" s="122">
        <f>IFERROR(IF(DAY($A1570)=DAY('F-Ahorro Futuro Decimos'!$H$15),'F-Ahorro Futuro Decimos'!$H$14,0),0)</f>
        <v>0</v>
      </c>
      <c r="C1570" s="122">
        <f>IF(A1570='F-Ahorro Futuro Decimos'!$H$18,'F-Ahorro Futuro Decimos'!$H$20,0)</f>
        <v>0</v>
      </c>
      <c r="D1570" s="122">
        <f t="shared" si="24"/>
        <v>0</v>
      </c>
      <c r="E1570" s="121">
        <f>ROUND(D1570*'FR_Mantenimiento tasas'!$C$48/360,5)</f>
        <v>0</v>
      </c>
      <c r="F1570" s="121">
        <f>ROUND(D1570*'FR_Mantenimiento tasas'!$D$48/360,5)</f>
        <v>0</v>
      </c>
    </row>
    <row r="1571" spans="1:6">
      <c r="A1571" s="123">
        <f>IF(OR(A1570='F-Ahorro Futuro Decimos'!$H$16,A1570=""),"",IF(A1570+1&gt;'F-Ahorro Futuro Decimos'!$H$16,'F-Ahorro Futuro Decimos'!$H$16,A1570+1))</f>
        <v>1569</v>
      </c>
      <c r="B1571" s="122">
        <f>IFERROR(IF(DAY($A1571)=DAY('F-Ahorro Futuro Decimos'!$H$15),'F-Ahorro Futuro Decimos'!$H$14,0),0)</f>
        <v>0</v>
      </c>
      <c r="C1571" s="122">
        <f>IF(A1571='F-Ahorro Futuro Decimos'!$H$18,'F-Ahorro Futuro Decimos'!$H$20,0)</f>
        <v>0</v>
      </c>
      <c r="D1571" s="122">
        <f t="shared" si="24"/>
        <v>0</v>
      </c>
      <c r="E1571" s="121">
        <f>ROUND(D1571*'FR_Mantenimiento tasas'!$C$48/360,5)</f>
        <v>0</v>
      </c>
      <c r="F1571" s="121">
        <f>ROUND(D1571*'FR_Mantenimiento tasas'!$D$48/360,5)</f>
        <v>0</v>
      </c>
    </row>
    <row r="1572" spans="1:6">
      <c r="A1572" s="123">
        <f>IF(OR(A1571='F-Ahorro Futuro Decimos'!$H$16,A1571=""),"",IF(A1571+1&gt;'F-Ahorro Futuro Decimos'!$H$16,'F-Ahorro Futuro Decimos'!$H$16,A1571+1))</f>
        <v>1570</v>
      </c>
      <c r="B1572" s="122">
        <f>IFERROR(IF(DAY($A1572)=DAY('F-Ahorro Futuro Decimos'!$H$15),'F-Ahorro Futuro Decimos'!$H$14,0),0)</f>
        <v>0</v>
      </c>
      <c r="C1572" s="122">
        <f>IF(A1572='F-Ahorro Futuro Decimos'!$H$18,'F-Ahorro Futuro Decimos'!$H$20,0)</f>
        <v>0</v>
      </c>
      <c r="D1572" s="122">
        <f t="shared" si="24"/>
        <v>0</v>
      </c>
      <c r="E1572" s="121">
        <f>ROUND(D1572*'FR_Mantenimiento tasas'!$C$48/360,5)</f>
        <v>0</v>
      </c>
      <c r="F1572" s="121">
        <f>ROUND(D1572*'FR_Mantenimiento tasas'!$D$48/360,5)</f>
        <v>0</v>
      </c>
    </row>
    <row r="1573" spans="1:6">
      <c r="A1573" s="123">
        <f>IF(OR(A1572='F-Ahorro Futuro Decimos'!$H$16,A1572=""),"",IF(A1572+1&gt;'F-Ahorro Futuro Decimos'!$H$16,'F-Ahorro Futuro Decimos'!$H$16,A1572+1))</f>
        <v>1571</v>
      </c>
      <c r="B1573" s="122">
        <f>IFERROR(IF(DAY($A1573)=DAY('F-Ahorro Futuro Decimos'!$H$15),'F-Ahorro Futuro Decimos'!$H$14,0),0)</f>
        <v>0</v>
      </c>
      <c r="C1573" s="122">
        <f>IF(A1573='F-Ahorro Futuro Decimos'!$H$18,'F-Ahorro Futuro Decimos'!$H$20,0)</f>
        <v>0</v>
      </c>
      <c r="D1573" s="122">
        <f t="shared" si="24"/>
        <v>0</v>
      </c>
      <c r="E1573" s="121">
        <f>ROUND(D1573*'FR_Mantenimiento tasas'!$C$48/360,5)</f>
        <v>0</v>
      </c>
      <c r="F1573" s="121">
        <f>ROUND(D1573*'FR_Mantenimiento tasas'!$D$48/360,5)</f>
        <v>0</v>
      </c>
    </row>
    <row r="1574" spans="1:6">
      <c r="A1574" s="123">
        <f>IF(OR(A1573='F-Ahorro Futuro Decimos'!$H$16,A1573=""),"",IF(A1573+1&gt;'F-Ahorro Futuro Decimos'!$H$16,'F-Ahorro Futuro Decimos'!$H$16,A1573+1))</f>
        <v>1572</v>
      </c>
      <c r="B1574" s="122">
        <f>IFERROR(IF(DAY($A1574)=DAY('F-Ahorro Futuro Decimos'!$H$15),'F-Ahorro Futuro Decimos'!$H$14,0),0)</f>
        <v>0</v>
      </c>
      <c r="C1574" s="122">
        <f>IF(A1574='F-Ahorro Futuro Decimos'!$H$18,'F-Ahorro Futuro Decimos'!$H$20,0)</f>
        <v>0</v>
      </c>
      <c r="D1574" s="122">
        <f t="shared" si="24"/>
        <v>0</v>
      </c>
      <c r="E1574" s="121">
        <f>ROUND(D1574*'FR_Mantenimiento tasas'!$C$48/360,5)</f>
        <v>0</v>
      </c>
      <c r="F1574" s="121">
        <f>ROUND(D1574*'FR_Mantenimiento tasas'!$D$48/360,5)</f>
        <v>0</v>
      </c>
    </row>
    <row r="1575" spans="1:6">
      <c r="A1575" s="123">
        <f>IF(OR(A1574='F-Ahorro Futuro Decimos'!$H$16,A1574=""),"",IF(A1574+1&gt;'F-Ahorro Futuro Decimos'!$H$16,'F-Ahorro Futuro Decimos'!$H$16,A1574+1))</f>
        <v>1573</v>
      </c>
      <c r="B1575" s="122">
        <f>IFERROR(IF(DAY($A1575)=DAY('F-Ahorro Futuro Decimos'!$H$15),'F-Ahorro Futuro Decimos'!$H$14,0),0)</f>
        <v>0</v>
      </c>
      <c r="C1575" s="122">
        <f>IF(A1575='F-Ahorro Futuro Decimos'!$H$18,'F-Ahorro Futuro Decimos'!$H$20,0)</f>
        <v>0</v>
      </c>
      <c r="D1575" s="122">
        <f t="shared" si="24"/>
        <v>0</v>
      </c>
      <c r="E1575" s="121">
        <f>ROUND(D1575*'FR_Mantenimiento tasas'!$C$48/360,5)</f>
        <v>0</v>
      </c>
      <c r="F1575" s="121">
        <f>ROUND(D1575*'FR_Mantenimiento tasas'!$D$48/360,5)</f>
        <v>0</v>
      </c>
    </row>
    <row r="1576" spans="1:6">
      <c r="A1576" s="123">
        <f>IF(OR(A1575='F-Ahorro Futuro Decimos'!$H$16,A1575=""),"",IF(A1575+1&gt;'F-Ahorro Futuro Decimos'!$H$16,'F-Ahorro Futuro Decimos'!$H$16,A1575+1))</f>
        <v>1574</v>
      </c>
      <c r="B1576" s="122">
        <f>IFERROR(IF(DAY($A1576)=DAY('F-Ahorro Futuro Decimos'!$H$15),'F-Ahorro Futuro Decimos'!$H$14,0),0)</f>
        <v>0</v>
      </c>
      <c r="C1576" s="122">
        <f>IF(A1576='F-Ahorro Futuro Decimos'!$H$18,'F-Ahorro Futuro Decimos'!$H$20,0)</f>
        <v>0</v>
      </c>
      <c r="D1576" s="122">
        <f t="shared" si="24"/>
        <v>0</v>
      </c>
      <c r="E1576" s="121">
        <f>ROUND(D1576*'FR_Mantenimiento tasas'!$C$48/360,5)</f>
        <v>0</v>
      </c>
      <c r="F1576" s="121">
        <f>ROUND(D1576*'FR_Mantenimiento tasas'!$D$48/360,5)</f>
        <v>0</v>
      </c>
    </row>
    <row r="1577" spans="1:6">
      <c r="A1577" s="123">
        <f>IF(OR(A1576='F-Ahorro Futuro Decimos'!$H$16,A1576=""),"",IF(A1576+1&gt;'F-Ahorro Futuro Decimos'!$H$16,'F-Ahorro Futuro Decimos'!$H$16,A1576+1))</f>
        <v>1575</v>
      </c>
      <c r="B1577" s="122">
        <f>IFERROR(IF(DAY($A1577)=DAY('F-Ahorro Futuro Decimos'!$H$15),'F-Ahorro Futuro Decimos'!$H$14,0),0)</f>
        <v>0</v>
      </c>
      <c r="C1577" s="122">
        <f>IF(A1577='F-Ahorro Futuro Decimos'!$H$18,'F-Ahorro Futuro Decimos'!$H$20,0)</f>
        <v>0</v>
      </c>
      <c r="D1577" s="122">
        <f t="shared" si="24"/>
        <v>0</v>
      </c>
      <c r="E1577" s="121">
        <f>ROUND(D1577*'FR_Mantenimiento tasas'!$C$48/360,5)</f>
        <v>0</v>
      </c>
      <c r="F1577" s="121">
        <f>ROUND(D1577*'FR_Mantenimiento tasas'!$D$48/360,5)</f>
        <v>0</v>
      </c>
    </row>
    <row r="1578" spans="1:6">
      <c r="A1578" s="123">
        <f>IF(OR(A1577='F-Ahorro Futuro Decimos'!$H$16,A1577=""),"",IF(A1577+1&gt;'F-Ahorro Futuro Decimos'!$H$16,'F-Ahorro Futuro Decimos'!$H$16,A1577+1))</f>
        <v>1576</v>
      </c>
      <c r="B1578" s="122">
        <f>IFERROR(IF(DAY($A1578)=DAY('F-Ahorro Futuro Decimos'!$H$15),'F-Ahorro Futuro Decimos'!$H$14,0),0)</f>
        <v>0</v>
      </c>
      <c r="C1578" s="122">
        <f>IF(A1578='F-Ahorro Futuro Decimos'!$H$18,'F-Ahorro Futuro Decimos'!$H$20,0)</f>
        <v>0</v>
      </c>
      <c r="D1578" s="122">
        <f t="shared" si="24"/>
        <v>0</v>
      </c>
      <c r="E1578" s="121">
        <f>ROUND(D1578*'FR_Mantenimiento tasas'!$C$48/360,5)</f>
        <v>0</v>
      </c>
      <c r="F1578" s="121">
        <f>ROUND(D1578*'FR_Mantenimiento tasas'!$D$48/360,5)</f>
        <v>0</v>
      </c>
    </row>
    <row r="1579" spans="1:6">
      <c r="A1579" s="123">
        <f>IF(OR(A1578='F-Ahorro Futuro Decimos'!$H$16,A1578=""),"",IF(A1578+1&gt;'F-Ahorro Futuro Decimos'!$H$16,'F-Ahorro Futuro Decimos'!$H$16,A1578+1))</f>
        <v>1577</v>
      </c>
      <c r="B1579" s="122">
        <f>IFERROR(IF(DAY($A1579)=DAY('F-Ahorro Futuro Decimos'!$H$15),'F-Ahorro Futuro Decimos'!$H$14,0),0)</f>
        <v>0</v>
      </c>
      <c r="C1579" s="122">
        <f>IF(A1579='F-Ahorro Futuro Decimos'!$H$18,'F-Ahorro Futuro Decimos'!$H$20,0)</f>
        <v>0</v>
      </c>
      <c r="D1579" s="122">
        <f t="shared" si="24"/>
        <v>0</v>
      </c>
      <c r="E1579" s="121">
        <f>ROUND(D1579*'FR_Mantenimiento tasas'!$C$48/360,5)</f>
        <v>0</v>
      </c>
      <c r="F1579" s="121">
        <f>ROUND(D1579*'FR_Mantenimiento tasas'!$D$48/360,5)</f>
        <v>0</v>
      </c>
    </row>
    <row r="1580" spans="1:6">
      <c r="A1580" s="123">
        <f>IF(OR(A1579='F-Ahorro Futuro Decimos'!$H$16,A1579=""),"",IF(A1579+1&gt;'F-Ahorro Futuro Decimos'!$H$16,'F-Ahorro Futuro Decimos'!$H$16,A1579+1))</f>
        <v>1578</v>
      </c>
      <c r="B1580" s="122">
        <f>IFERROR(IF(DAY($A1580)=DAY('F-Ahorro Futuro Decimos'!$H$15),'F-Ahorro Futuro Decimos'!$H$14,0),0)</f>
        <v>0</v>
      </c>
      <c r="C1580" s="122">
        <f>IF(A1580='F-Ahorro Futuro Decimos'!$H$18,'F-Ahorro Futuro Decimos'!$H$20,0)</f>
        <v>0</v>
      </c>
      <c r="D1580" s="122">
        <f t="shared" si="24"/>
        <v>0</v>
      </c>
      <c r="E1580" s="121">
        <f>ROUND(D1580*'FR_Mantenimiento tasas'!$C$48/360,5)</f>
        <v>0</v>
      </c>
      <c r="F1580" s="121">
        <f>ROUND(D1580*'FR_Mantenimiento tasas'!$D$48/360,5)</f>
        <v>0</v>
      </c>
    </row>
    <row r="1581" spans="1:6">
      <c r="A1581" s="123">
        <f>IF(OR(A1580='F-Ahorro Futuro Decimos'!$H$16,A1580=""),"",IF(A1580+1&gt;'F-Ahorro Futuro Decimos'!$H$16,'F-Ahorro Futuro Decimos'!$H$16,A1580+1))</f>
        <v>1579</v>
      </c>
      <c r="B1581" s="122">
        <f>IFERROR(IF(DAY($A1581)=DAY('F-Ahorro Futuro Decimos'!$H$15),'F-Ahorro Futuro Decimos'!$H$14,0),0)</f>
        <v>0</v>
      </c>
      <c r="C1581" s="122">
        <f>IF(A1581='F-Ahorro Futuro Decimos'!$H$18,'F-Ahorro Futuro Decimos'!$H$20,0)</f>
        <v>0</v>
      </c>
      <c r="D1581" s="122">
        <f t="shared" si="24"/>
        <v>0</v>
      </c>
      <c r="E1581" s="121">
        <f>ROUND(D1581*'FR_Mantenimiento tasas'!$C$48/360,5)</f>
        <v>0</v>
      </c>
      <c r="F1581" s="121">
        <f>ROUND(D1581*'FR_Mantenimiento tasas'!$D$48/360,5)</f>
        <v>0</v>
      </c>
    </row>
    <row r="1582" spans="1:6">
      <c r="A1582" s="123">
        <f>IF(OR(A1581='F-Ahorro Futuro Decimos'!$H$16,A1581=""),"",IF(A1581+1&gt;'F-Ahorro Futuro Decimos'!$H$16,'F-Ahorro Futuro Decimos'!$H$16,A1581+1))</f>
        <v>1580</v>
      </c>
      <c r="B1582" s="122">
        <f>IFERROR(IF(DAY($A1582)=DAY('F-Ahorro Futuro Decimos'!$H$15),'F-Ahorro Futuro Decimos'!$H$14,0),0)</f>
        <v>0</v>
      </c>
      <c r="C1582" s="122">
        <f>IF(A1582='F-Ahorro Futuro Decimos'!$H$18,'F-Ahorro Futuro Decimos'!$H$20,0)</f>
        <v>0</v>
      </c>
      <c r="D1582" s="122">
        <f t="shared" si="24"/>
        <v>0</v>
      </c>
      <c r="E1582" s="121">
        <f>ROUND(D1582*'FR_Mantenimiento tasas'!$C$48/360,5)</f>
        <v>0</v>
      </c>
      <c r="F1582" s="121">
        <f>ROUND(D1582*'FR_Mantenimiento tasas'!$D$48/360,5)</f>
        <v>0</v>
      </c>
    </row>
    <row r="1583" spans="1:6">
      <c r="A1583" s="123">
        <f>IF(OR(A1582='F-Ahorro Futuro Decimos'!$H$16,A1582=""),"",IF(A1582+1&gt;'F-Ahorro Futuro Decimos'!$H$16,'F-Ahorro Futuro Decimos'!$H$16,A1582+1))</f>
        <v>1581</v>
      </c>
      <c r="B1583" s="122">
        <f>IFERROR(IF(DAY($A1583)=DAY('F-Ahorro Futuro Decimos'!$H$15),'F-Ahorro Futuro Decimos'!$H$14,0),0)</f>
        <v>0</v>
      </c>
      <c r="C1583" s="122">
        <f>IF(A1583='F-Ahorro Futuro Decimos'!$H$18,'F-Ahorro Futuro Decimos'!$H$20,0)</f>
        <v>0</v>
      </c>
      <c r="D1583" s="122">
        <f t="shared" si="24"/>
        <v>0</v>
      </c>
      <c r="E1583" s="121">
        <f>ROUND(D1583*'FR_Mantenimiento tasas'!$C$48/360,5)</f>
        <v>0</v>
      </c>
      <c r="F1583" s="121">
        <f>ROUND(D1583*'FR_Mantenimiento tasas'!$D$48/360,5)</f>
        <v>0</v>
      </c>
    </row>
    <row r="1584" spans="1:6">
      <c r="A1584" s="123">
        <f>IF(OR(A1583='F-Ahorro Futuro Decimos'!$H$16,A1583=""),"",IF(A1583+1&gt;'F-Ahorro Futuro Decimos'!$H$16,'F-Ahorro Futuro Decimos'!$H$16,A1583+1))</f>
        <v>1582</v>
      </c>
      <c r="B1584" s="122">
        <f>IFERROR(IF(DAY($A1584)=DAY('F-Ahorro Futuro Decimos'!$H$15),'F-Ahorro Futuro Decimos'!$H$14,0),0)</f>
        <v>0</v>
      </c>
      <c r="C1584" s="122">
        <f>IF(A1584='F-Ahorro Futuro Decimos'!$H$18,'F-Ahorro Futuro Decimos'!$H$20,0)</f>
        <v>0</v>
      </c>
      <c r="D1584" s="122">
        <f t="shared" si="24"/>
        <v>0</v>
      </c>
      <c r="E1584" s="121">
        <f>ROUND(D1584*'FR_Mantenimiento tasas'!$C$48/360,5)</f>
        <v>0</v>
      </c>
      <c r="F1584" s="121">
        <f>ROUND(D1584*'FR_Mantenimiento tasas'!$D$48/360,5)</f>
        <v>0</v>
      </c>
    </row>
    <row r="1585" spans="1:6">
      <c r="A1585" s="123">
        <f>IF(OR(A1584='F-Ahorro Futuro Decimos'!$H$16,A1584=""),"",IF(A1584+1&gt;'F-Ahorro Futuro Decimos'!$H$16,'F-Ahorro Futuro Decimos'!$H$16,A1584+1))</f>
        <v>1583</v>
      </c>
      <c r="B1585" s="122">
        <f>IFERROR(IF(DAY($A1585)=DAY('F-Ahorro Futuro Decimos'!$H$15),'F-Ahorro Futuro Decimos'!$H$14,0),0)</f>
        <v>0</v>
      </c>
      <c r="C1585" s="122">
        <f>IF(A1585='F-Ahorro Futuro Decimos'!$H$18,'F-Ahorro Futuro Decimos'!$H$20,0)</f>
        <v>0</v>
      </c>
      <c r="D1585" s="122">
        <f t="shared" si="24"/>
        <v>0</v>
      </c>
      <c r="E1585" s="121">
        <f>ROUND(D1585*'FR_Mantenimiento tasas'!$C$48/360,5)</f>
        <v>0</v>
      </c>
      <c r="F1585" s="121">
        <f>ROUND(D1585*'FR_Mantenimiento tasas'!$D$48/360,5)</f>
        <v>0</v>
      </c>
    </row>
    <row r="1586" spans="1:6">
      <c r="A1586" s="123">
        <f>IF(OR(A1585='F-Ahorro Futuro Decimos'!$H$16,A1585=""),"",IF(A1585+1&gt;'F-Ahorro Futuro Decimos'!$H$16,'F-Ahorro Futuro Decimos'!$H$16,A1585+1))</f>
        <v>1584</v>
      </c>
      <c r="B1586" s="122">
        <f>IFERROR(IF(DAY($A1586)=DAY('F-Ahorro Futuro Decimos'!$H$15),'F-Ahorro Futuro Decimos'!$H$14,0),0)</f>
        <v>0</v>
      </c>
      <c r="C1586" s="122">
        <f>IF(A1586='F-Ahorro Futuro Decimos'!$H$18,'F-Ahorro Futuro Decimos'!$H$20,0)</f>
        <v>0</v>
      </c>
      <c r="D1586" s="122">
        <f t="shared" si="24"/>
        <v>0</v>
      </c>
      <c r="E1586" s="121">
        <f>ROUND(D1586*'FR_Mantenimiento tasas'!$C$48/360,5)</f>
        <v>0</v>
      </c>
      <c r="F1586" s="121">
        <f>ROUND(D1586*'FR_Mantenimiento tasas'!$D$48/360,5)</f>
        <v>0</v>
      </c>
    </row>
    <row r="1587" spans="1:6">
      <c r="A1587" s="123">
        <f>IF(OR(A1586='F-Ahorro Futuro Decimos'!$H$16,A1586=""),"",IF(A1586+1&gt;'F-Ahorro Futuro Decimos'!$H$16,'F-Ahorro Futuro Decimos'!$H$16,A1586+1))</f>
        <v>1585</v>
      </c>
      <c r="B1587" s="122">
        <f>IFERROR(IF(DAY($A1587)=DAY('F-Ahorro Futuro Decimos'!$H$15),'F-Ahorro Futuro Decimos'!$H$14,0),0)</f>
        <v>0</v>
      </c>
      <c r="C1587" s="122">
        <f>IF(A1587='F-Ahorro Futuro Decimos'!$H$18,'F-Ahorro Futuro Decimos'!$H$20,0)</f>
        <v>0</v>
      </c>
      <c r="D1587" s="122">
        <f t="shared" si="24"/>
        <v>0</v>
      </c>
      <c r="E1587" s="121">
        <f>ROUND(D1587*'FR_Mantenimiento tasas'!$C$48/360,5)</f>
        <v>0</v>
      </c>
      <c r="F1587" s="121">
        <f>ROUND(D1587*'FR_Mantenimiento tasas'!$D$48/360,5)</f>
        <v>0</v>
      </c>
    </row>
    <row r="1588" spans="1:6">
      <c r="A1588" s="123">
        <f>IF(OR(A1587='F-Ahorro Futuro Decimos'!$H$16,A1587=""),"",IF(A1587+1&gt;'F-Ahorro Futuro Decimos'!$H$16,'F-Ahorro Futuro Decimos'!$H$16,A1587+1))</f>
        <v>1586</v>
      </c>
      <c r="B1588" s="122">
        <f>IFERROR(IF(DAY($A1588)=DAY('F-Ahorro Futuro Decimos'!$H$15),'F-Ahorro Futuro Decimos'!$H$14,0),0)</f>
        <v>0</v>
      </c>
      <c r="C1588" s="122">
        <f>IF(A1588='F-Ahorro Futuro Decimos'!$H$18,'F-Ahorro Futuro Decimos'!$H$20,0)</f>
        <v>0</v>
      </c>
      <c r="D1588" s="122">
        <f t="shared" si="24"/>
        <v>0</v>
      </c>
      <c r="E1588" s="121">
        <f>ROUND(D1588*'FR_Mantenimiento tasas'!$C$48/360,5)</f>
        <v>0</v>
      </c>
      <c r="F1588" s="121">
        <f>ROUND(D1588*'FR_Mantenimiento tasas'!$D$48/360,5)</f>
        <v>0</v>
      </c>
    </row>
    <row r="1589" spans="1:6">
      <c r="A1589" s="123">
        <f>IF(OR(A1588='F-Ahorro Futuro Decimos'!$H$16,A1588=""),"",IF(A1588+1&gt;'F-Ahorro Futuro Decimos'!$H$16,'F-Ahorro Futuro Decimos'!$H$16,A1588+1))</f>
        <v>1587</v>
      </c>
      <c r="B1589" s="122">
        <f>IFERROR(IF(DAY($A1589)=DAY('F-Ahorro Futuro Decimos'!$H$15),'F-Ahorro Futuro Decimos'!$H$14,0),0)</f>
        <v>0</v>
      </c>
      <c r="C1589" s="122">
        <f>IF(A1589='F-Ahorro Futuro Decimos'!$H$18,'F-Ahorro Futuro Decimos'!$H$20,0)</f>
        <v>0</v>
      </c>
      <c r="D1589" s="122">
        <f t="shared" si="24"/>
        <v>0</v>
      </c>
      <c r="E1589" s="121">
        <f>ROUND(D1589*'FR_Mantenimiento tasas'!$C$48/360,5)</f>
        <v>0</v>
      </c>
      <c r="F1589" s="121">
        <f>ROUND(D1589*'FR_Mantenimiento tasas'!$D$48/360,5)</f>
        <v>0</v>
      </c>
    </row>
    <row r="1590" spans="1:6">
      <c r="A1590" s="123">
        <f>IF(OR(A1589='F-Ahorro Futuro Decimos'!$H$16,A1589=""),"",IF(A1589+1&gt;'F-Ahorro Futuro Decimos'!$H$16,'F-Ahorro Futuro Decimos'!$H$16,A1589+1))</f>
        <v>1588</v>
      </c>
      <c r="B1590" s="122">
        <f>IFERROR(IF(DAY($A1590)=DAY('F-Ahorro Futuro Decimos'!$H$15),'F-Ahorro Futuro Decimos'!$H$14,0),0)</f>
        <v>0</v>
      </c>
      <c r="C1590" s="122">
        <f>IF(A1590='F-Ahorro Futuro Decimos'!$H$18,'F-Ahorro Futuro Decimos'!$H$20,0)</f>
        <v>0</v>
      </c>
      <c r="D1590" s="122">
        <f t="shared" si="24"/>
        <v>0</v>
      </c>
      <c r="E1590" s="121">
        <f>ROUND(D1590*'FR_Mantenimiento tasas'!$C$48/360,5)</f>
        <v>0</v>
      </c>
      <c r="F1590" s="121">
        <f>ROUND(D1590*'FR_Mantenimiento tasas'!$D$48/360,5)</f>
        <v>0</v>
      </c>
    </row>
    <row r="1591" spans="1:6">
      <c r="A1591" s="123">
        <f>IF(OR(A1590='F-Ahorro Futuro Decimos'!$H$16,A1590=""),"",IF(A1590+1&gt;'F-Ahorro Futuro Decimos'!$H$16,'F-Ahorro Futuro Decimos'!$H$16,A1590+1))</f>
        <v>1589</v>
      </c>
      <c r="B1591" s="122">
        <f>IFERROR(IF(DAY($A1591)=DAY('F-Ahorro Futuro Decimos'!$H$15),'F-Ahorro Futuro Decimos'!$H$14,0),0)</f>
        <v>0</v>
      </c>
      <c r="C1591" s="122">
        <f>IF(A1591='F-Ahorro Futuro Decimos'!$H$18,'F-Ahorro Futuro Decimos'!$H$20,0)</f>
        <v>0</v>
      </c>
      <c r="D1591" s="122">
        <f t="shared" si="24"/>
        <v>0</v>
      </c>
      <c r="E1591" s="121">
        <f>ROUND(D1591*'FR_Mantenimiento tasas'!$C$48/360,5)</f>
        <v>0</v>
      </c>
      <c r="F1591" s="121">
        <f>ROUND(D1591*'FR_Mantenimiento tasas'!$D$48/360,5)</f>
        <v>0</v>
      </c>
    </row>
    <row r="1592" spans="1:6">
      <c r="A1592" s="123">
        <f>IF(OR(A1591='F-Ahorro Futuro Decimos'!$H$16,A1591=""),"",IF(A1591+1&gt;'F-Ahorro Futuro Decimos'!$H$16,'F-Ahorro Futuro Decimos'!$H$16,A1591+1))</f>
        <v>1590</v>
      </c>
      <c r="B1592" s="122">
        <f>IFERROR(IF(DAY($A1592)=DAY('F-Ahorro Futuro Decimos'!$H$15),'F-Ahorro Futuro Decimos'!$H$14,0),0)</f>
        <v>0</v>
      </c>
      <c r="C1592" s="122">
        <f>IF(A1592='F-Ahorro Futuro Decimos'!$H$18,'F-Ahorro Futuro Decimos'!$H$20,0)</f>
        <v>0</v>
      </c>
      <c r="D1592" s="122">
        <f t="shared" si="24"/>
        <v>0</v>
      </c>
      <c r="E1592" s="121">
        <f>ROUND(D1592*'FR_Mantenimiento tasas'!$C$48/360,5)</f>
        <v>0</v>
      </c>
      <c r="F1592" s="121">
        <f>ROUND(D1592*'FR_Mantenimiento tasas'!$D$48/360,5)</f>
        <v>0</v>
      </c>
    </row>
    <row r="1593" spans="1:6">
      <c r="A1593" s="123">
        <f>IF(OR(A1592='F-Ahorro Futuro Decimos'!$H$16,A1592=""),"",IF(A1592+1&gt;'F-Ahorro Futuro Decimos'!$H$16,'F-Ahorro Futuro Decimos'!$H$16,A1592+1))</f>
        <v>1591</v>
      </c>
      <c r="B1593" s="122">
        <f>IFERROR(IF(DAY($A1593)=DAY('F-Ahorro Futuro Decimos'!$H$15),'F-Ahorro Futuro Decimos'!$H$14,0),0)</f>
        <v>0</v>
      </c>
      <c r="C1593" s="122">
        <f>IF(A1593='F-Ahorro Futuro Decimos'!$H$18,'F-Ahorro Futuro Decimos'!$H$20,0)</f>
        <v>0</v>
      </c>
      <c r="D1593" s="122">
        <f t="shared" si="24"/>
        <v>0</v>
      </c>
      <c r="E1593" s="121">
        <f>ROUND(D1593*'FR_Mantenimiento tasas'!$C$48/360,5)</f>
        <v>0</v>
      </c>
      <c r="F1593" s="121">
        <f>ROUND(D1593*'FR_Mantenimiento tasas'!$D$48/360,5)</f>
        <v>0</v>
      </c>
    </row>
    <row r="1594" spans="1:6">
      <c r="A1594" s="123">
        <f>IF(OR(A1593='F-Ahorro Futuro Decimos'!$H$16,A1593=""),"",IF(A1593+1&gt;'F-Ahorro Futuro Decimos'!$H$16,'F-Ahorro Futuro Decimos'!$H$16,A1593+1))</f>
        <v>1592</v>
      </c>
      <c r="B1594" s="122">
        <f>IFERROR(IF(DAY($A1594)=DAY('F-Ahorro Futuro Decimos'!$H$15),'F-Ahorro Futuro Decimos'!$H$14,0),0)</f>
        <v>0</v>
      </c>
      <c r="C1594" s="122">
        <f>IF(A1594='F-Ahorro Futuro Decimos'!$H$18,'F-Ahorro Futuro Decimos'!$H$20,0)</f>
        <v>0</v>
      </c>
      <c r="D1594" s="122">
        <f t="shared" si="24"/>
        <v>0</v>
      </c>
      <c r="E1594" s="121">
        <f>ROUND(D1594*'FR_Mantenimiento tasas'!$C$48/360,5)</f>
        <v>0</v>
      </c>
      <c r="F1594" s="121">
        <f>ROUND(D1594*'FR_Mantenimiento tasas'!$D$48/360,5)</f>
        <v>0</v>
      </c>
    </row>
    <row r="1595" spans="1:6">
      <c r="A1595" s="123">
        <f>IF(OR(A1594='F-Ahorro Futuro Decimos'!$H$16,A1594=""),"",IF(A1594+1&gt;'F-Ahorro Futuro Decimos'!$H$16,'F-Ahorro Futuro Decimos'!$H$16,A1594+1))</f>
        <v>1593</v>
      </c>
      <c r="B1595" s="122">
        <f>IFERROR(IF(DAY($A1595)=DAY('F-Ahorro Futuro Decimos'!$H$15),'F-Ahorro Futuro Decimos'!$H$14,0),0)</f>
        <v>0</v>
      </c>
      <c r="C1595" s="122">
        <f>IF(A1595='F-Ahorro Futuro Decimos'!$H$18,'F-Ahorro Futuro Decimos'!$H$20,0)</f>
        <v>0</v>
      </c>
      <c r="D1595" s="122">
        <f t="shared" si="24"/>
        <v>0</v>
      </c>
      <c r="E1595" s="121">
        <f>ROUND(D1595*'FR_Mantenimiento tasas'!$C$48/360,5)</f>
        <v>0</v>
      </c>
      <c r="F1595" s="121">
        <f>ROUND(D1595*'FR_Mantenimiento tasas'!$D$48/360,5)</f>
        <v>0</v>
      </c>
    </row>
    <row r="1596" spans="1:6">
      <c r="A1596" s="123">
        <f>IF(OR(A1595='F-Ahorro Futuro Decimos'!$H$16,A1595=""),"",IF(A1595+1&gt;'F-Ahorro Futuro Decimos'!$H$16,'F-Ahorro Futuro Decimos'!$H$16,A1595+1))</f>
        <v>1594</v>
      </c>
      <c r="B1596" s="122">
        <f>IFERROR(IF(DAY($A1596)=DAY('F-Ahorro Futuro Decimos'!$H$15),'F-Ahorro Futuro Decimos'!$H$14,0),0)</f>
        <v>0</v>
      </c>
      <c r="C1596" s="122">
        <f>IF(A1596='F-Ahorro Futuro Decimos'!$H$18,'F-Ahorro Futuro Decimos'!$H$20,0)</f>
        <v>0</v>
      </c>
      <c r="D1596" s="122">
        <f t="shared" si="24"/>
        <v>0</v>
      </c>
      <c r="E1596" s="121">
        <f>ROUND(D1596*'FR_Mantenimiento tasas'!$C$48/360,5)</f>
        <v>0</v>
      </c>
      <c r="F1596" s="121">
        <f>ROUND(D1596*'FR_Mantenimiento tasas'!$D$48/360,5)</f>
        <v>0</v>
      </c>
    </row>
    <row r="1597" spans="1:6">
      <c r="A1597" s="123">
        <f>IF(OR(A1596='F-Ahorro Futuro Decimos'!$H$16,A1596=""),"",IF(A1596+1&gt;'F-Ahorro Futuro Decimos'!$H$16,'F-Ahorro Futuro Decimos'!$H$16,A1596+1))</f>
        <v>1595</v>
      </c>
      <c r="B1597" s="122">
        <f>IFERROR(IF(DAY($A1597)=DAY('F-Ahorro Futuro Decimos'!$H$15),'F-Ahorro Futuro Decimos'!$H$14,0),0)</f>
        <v>0</v>
      </c>
      <c r="C1597" s="122">
        <f>IF(A1597='F-Ahorro Futuro Decimos'!$H$18,'F-Ahorro Futuro Decimos'!$H$20,0)</f>
        <v>0</v>
      </c>
      <c r="D1597" s="122">
        <f t="shared" si="24"/>
        <v>0</v>
      </c>
      <c r="E1597" s="121">
        <f>ROUND(D1597*'FR_Mantenimiento tasas'!$C$48/360,5)</f>
        <v>0</v>
      </c>
      <c r="F1597" s="121">
        <f>ROUND(D1597*'FR_Mantenimiento tasas'!$D$48/360,5)</f>
        <v>0</v>
      </c>
    </row>
    <row r="1598" spans="1:6">
      <c r="A1598" s="123">
        <f>IF(OR(A1597='F-Ahorro Futuro Decimos'!$H$16,A1597=""),"",IF(A1597+1&gt;'F-Ahorro Futuro Decimos'!$H$16,'F-Ahorro Futuro Decimos'!$H$16,A1597+1))</f>
        <v>1596</v>
      </c>
      <c r="B1598" s="122">
        <f>IFERROR(IF(DAY($A1598)=DAY('F-Ahorro Futuro Decimos'!$H$15),'F-Ahorro Futuro Decimos'!$H$14,0),0)</f>
        <v>0</v>
      </c>
      <c r="C1598" s="122">
        <f>IF(A1598='F-Ahorro Futuro Decimos'!$H$18,'F-Ahorro Futuro Decimos'!$H$20,0)</f>
        <v>0</v>
      </c>
      <c r="D1598" s="122">
        <f t="shared" si="24"/>
        <v>0</v>
      </c>
      <c r="E1598" s="121">
        <f>ROUND(D1598*'FR_Mantenimiento tasas'!$C$48/360,5)</f>
        <v>0</v>
      </c>
      <c r="F1598" s="121">
        <f>ROUND(D1598*'FR_Mantenimiento tasas'!$D$48/360,5)</f>
        <v>0</v>
      </c>
    </row>
    <row r="1599" spans="1:6">
      <c r="A1599" s="123">
        <f>IF(OR(A1598='F-Ahorro Futuro Decimos'!$H$16,A1598=""),"",IF(A1598+1&gt;'F-Ahorro Futuro Decimos'!$H$16,'F-Ahorro Futuro Decimos'!$H$16,A1598+1))</f>
        <v>1597</v>
      </c>
      <c r="B1599" s="122">
        <f>IFERROR(IF(DAY($A1599)=DAY('F-Ahorro Futuro Decimos'!$H$15),'F-Ahorro Futuro Decimos'!$H$14,0),0)</f>
        <v>0</v>
      </c>
      <c r="C1599" s="122">
        <f>IF(A1599='F-Ahorro Futuro Decimos'!$H$18,'F-Ahorro Futuro Decimos'!$H$20,0)</f>
        <v>0</v>
      </c>
      <c r="D1599" s="122">
        <f t="shared" si="24"/>
        <v>0</v>
      </c>
      <c r="E1599" s="121">
        <f>ROUND(D1599*'FR_Mantenimiento tasas'!$C$48/360,5)</f>
        <v>0</v>
      </c>
      <c r="F1599" s="121">
        <f>ROUND(D1599*'FR_Mantenimiento tasas'!$D$48/360,5)</f>
        <v>0</v>
      </c>
    </row>
    <row r="1600" spans="1:6">
      <c r="A1600" s="123">
        <f>IF(OR(A1599='F-Ahorro Futuro Decimos'!$H$16,A1599=""),"",IF(A1599+1&gt;'F-Ahorro Futuro Decimos'!$H$16,'F-Ahorro Futuro Decimos'!$H$16,A1599+1))</f>
        <v>1598</v>
      </c>
      <c r="B1600" s="122">
        <f>IFERROR(IF(DAY($A1600)=DAY('F-Ahorro Futuro Decimos'!$H$15),'F-Ahorro Futuro Decimos'!$H$14,0),0)</f>
        <v>0</v>
      </c>
      <c r="C1600" s="122">
        <f>IF(A1600='F-Ahorro Futuro Decimos'!$H$18,'F-Ahorro Futuro Decimos'!$H$20,0)</f>
        <v>0</v>
      </c>
      <c r="D1600" s="122">
        <f t="shared" si="24"/>
        <v>0</v>
      </c>
      <c r="E1600" s="121">
        <f>ROUND(D1600*'FR_Mantenimiento tasas'!$C$48/360,5)</f>
        <v>0</v>
      </c>
      <c r="F1600" s="121">
        <f>ROUND(D1600*'FR_Mantenimiento tasas'!$D$48/360,5)</f>
        <v>0</v>
      </c>
    </row>
    <row r="1601" spans="1:6">
      <c r="A1601" s="123">
        <f>IF(OR(A1600='F-Ahorro Futuro Decimos'!$H$16,A1600=""),"",IF(A1600+1&gt;'F-Ahorro Futuro Decimos'!$H$16,'F-Ahorro Futuro Decimos'!$H$16,A1600+1))</f>
        <v>1599</v>
      </c>
      <c r="B1601" s="122">
        <f>IFERROR(IF(DAY($A1601)=DAY('F-Ahorro Futuro Decimos'!$H$15),'F-Ahorro Futuro Decimos'!$H$14,0),0)</f>
        <v>0</v>
      </c>
      <c r="C1601" s="122">
        <f>IF(A1601='F-Ahorro Futuro Decimos'!$H$18,'F-Ahorro Futuro Decimos'!$H$20,0)</f>
        <v>0</v>
      </c>
      <c r="D1601" s="122">
        <f t="shared" si="24"/>
        <v>0</v>
      </c>
      <c r="E1601" s="121">
        <f>ROUND(D1601*'FR_Mantenimiento tasas'!$C$48/360,5)</f>
        <v>0</v>
      </c>
      <c r="F1601" s="121">
        <f>ROUND(D1601*'FR_Mantenimiento tasas'!$D$48/360,5)</f>
        <v>0</v>
      </c>
    </row>
    <row r="1602" spans="1:6">
      <c r="A1602" s="123">
        <f>IF(OR(A1601='F-Ahorro Futuro Decimos'!$H$16,A1601=""),"",IF(A1601+1&gt;'F-Ahorro Futuro Decimos'!$H$16,'F-Ahorro Futuro Decimos'!$H$16,A1601+1))</f>
        <v>1600</v>
      </c>
      <c r="B1602" s="122">
        <f>IFERROR(IF(DAY($A1602)=DAY('F-Ahorro Futuro Decimos'!$H$15),'F-Ahorro Futuro Decimos'!$H$14,0),0)</f>
        <v>0</v>
      </c>
      <c r="C1602" s="122">
        <f>IF(A1602='F-Ahorro Futuro Decimos'!$H$18,'F-Ahorro Futuro Decimos'!$H$20,0)</f>
        <v>0</v>
      </c>
      <c r="D1602" s="122">
        <f t="shared" si="24"/>
        <v>0</v>
      </c>
      <c r="E1602" s="121">
        <f>ROUND(D1602*'FR_Mantenimiento tasas'!$C$48/360,5)</f>
        <v>0</v>
      </c>
      <c r="F1602" s="121">
        <f>ROUND(D1602*'FR_Mantenimiento tasas'!$D$48/360,5)</f>
        <v>0</v>
      </c>
    </row>
    <row r="1603" spans="1:6">
      <c r="A1603" s="123">
        <f>IF(OR(A1602='F-Ahorro Futuro Decimos'!$H$16,A1602=""),"",IF(A1602+1&gt;'F-Ahorro Futuro Decimos'!$H$16,'F-Ahorro Futuro Decimos'!$H$16,A1602+1))</f>
        <v>1601</v>
      </c>
      <c r="B1603" s="122">
        <f>IFERROR(IF(DAY($A1603)=DAY('F-Ahorro Futuro Decimos'!$H$15),'F-Ahorro Futuro Decimos'!$H$14,0),0)</f>
        <v>0</v>
      </c>
      <c r="C1603" s="122">
        <f>IF(A1603='F-Ahorro Futuro Decimos'!$H$18,'F-Ahorro Futuro Decimos'!$H$20,0)</f>
        <v>0</v>
      </c>
      <c r="D1603" s="122">
        <f t="shared" si="24"/>
        <v>0</v>
      </c>
      <c r="E1603" s="121">
        <f>ROUND(D1603*'FR_Mantenimiento tasas'!$C$48/360,5)</f>
        <v>0</v>
      </c>
      <c r="F1603" s="121">
        <f>ROUND(D1603*'FR_Mantenimiento tasas'!$D$48/360,5)</f>
        <v>0</v>
      </c>
    </row>
    <row r="1604" spans="1:6">
      <c r="A1604" s="123">
        <f>IF(OR(A1603='F-Ahorro Futuro Decimos'!$H$16,A1603=""),"",IF(A1603+1&gt;'F-Ahorro Futuro Decimos'!$H$16,'F-Ahorro Futuro Decimos'!$H$16,A1603+1))</f>
        <v>1602</v>
      </c>
      <c r="B1604" s="122">
        <f>IFERROR(IF(DAY($A1604)=DAY('F-Ahorro Futuro Decimos'!$H$15),'F-Ahorro Futuro Decimos'!$H$14,0),0)</f>
        <v>0</v>
      </c>
      <c r="C1604" s="122">
        <f>IF(A1604='F-Ahorro Futuro Decimos'!$H$18,'F-Ahorro Futuro Decimos'!$H$20,0)</f>
        <v>0</v>
      </c>
      <c r="D1604" s="122">
        <f t="shared" ref="D1604:D1667" si="25">+B1604+D1603+E1603-C1604</f>
        <v>0</v>
      </c>
      <c r="E1604" s="121">
        <f>ROUND(D1604*'FR_Mantenimiento tasas'!$C$48/360,5)</f>
        <v>0</v>
      </c>
      <c r="F1604" s="121">
        <f>ROUND(D1604*'FR_Mantenimiento tasas'!$D$48/360,5)</f>
        <v>0</v>
      </c>
    </row>
    <row r="1605" spans="1:6">
      <c r="A1605" s="123">
        <f>IF(OR(A1604='F-Ahorro Futuro Decimos'!$H$16,A1604=""),"",IF(A1604+1&gt;'F-Ahorro Futuro Decimos'!$H$16,'F-Ahorro Futuro Decimos'!$H$16,A1604+1))</f>
        <v>1603</v>
      </c>
      <c r="B1605" s="122">
        <f>IFERROR(IF(DAY($A1605)=DAY('F-Ahorro Futuro Decimos'!$H$15),'F-Ahorro Futuro Decimos'!$H$14,0),0)</f>
        <v>0</v>
      </c>
      <c r="C1605" s="122">
        <f>IF(A1605='F-Ahorro Futuro Decimos'!$H$18,'F-Ahorro Futuro Decimos'!$H$20,0)</f>
        <v>0</v>
      </c>
      <c r="D1605" s="122">
        <f t="shared" si="25"/>
        <v>0</v>
      </c>
      <c r="E1605" s="121">
        <f>ROUND(D1605*'FR_Mantenimiento tasas'!$C$48/360,5)</f>
        <v>0</v>
      </c>
      <c r="F1605" s="121">
        <f>ROUND(D1605*'FR_Mantenimiento tasas'!$D$48/360,5)</f>
        <v>0</v>
      </c>
    </row>
    <row r="1606" spans="1:6">
      <c r="A1606" s="123">
        <f>IF(OR(A1605='F-Ahorro Futuro Decimos'!$H$16,A1605=""),"",IF(A1605+1&gt;'F-Ahorro Futuro Decimos'!$H$16,'F-Ahorro Futuro Decimos'!$H$16,A1605+1))</f>
        <v>1604</v>
      </c>
      <c r="B1606" s="122">
        <f>IFERROR(IF(DAY($A1606)=DAY('F-Ahorro Futuro Decimos'!$H$15),'F-Ahorro Futuro Decimos'!$H$14,0),0)</f>
        <v>0</v>
      </c>
      <c r="C1606" s="122">
        <f>IF(A1606='F-Ahorro Futuro Decimos'!$H$18,'F-Ahorro Futuro Decimos'!$H$20,0)</f>
        <v>0</v>
      </c>
      <c r="D1606" s="122">
        <f t="shared" si="25"/>
        <v>0</v>
      </c>
      <c r="E1606" s="121">
        <f>ROUND(D1606*'FR_Mantenimiento tasas'!$C$48/360,5)</f>
        <v>0</v>
      </c>
      <c r="F1606" s="121">
        <f>ROUND(D1606*'FR_Mantenimiento tasas'!$D$48/360,5)</f>
        <v>0</v>
      </c>
    </row>
    <row r="1607" spans="1:6">
      <c r="A1607" s="123">
        <f>IF(OR(A1606='F-Ahorro Futuro Decimos'!$H$16,A1606=""),"",IF(A1606+1&gt;'F-Ahorro Futuro Decimos'!$H$16,'F-Ahorro Futuro Decimos'!$H$16,A1606+1))</f>
        <v>1605</v>
      </c>
      <c r="B1607" s="122">
        <f>IFERROR(IF(DAY($A1607)=DAY('F-Ahorro Futuro Decimos'!$H$15),'F-Ahorro Futuro Decimos'!$H$14,0),0)</f>
        <v>0</v>
      </c>
      <c r="C1607" s="122">
        <f>IF(A1607='F-Ahorro Futuro Decimos'!$H$18,'F-Ahorro Futuro Decimos'!$H$20,0)</f>
        <v>0</v>
      </c>
      <c r="D1607" s="122">
        <f t="shared" si="25"/>
        <v>0</v>
      </c>
      <c r="E1607" s="121">
        <f>ROUND(D1607*'FR_Mantenimiento tasas'!$C$48/360,5)</f>
        <v>0</v>
      </c>
      <c r="F1607" s="121">
        <f>ROUND(D1607*'FR_Mantenimiento tasas'!$D$48/360,5)</f>
        <v>0</v>
      </c>
    </row>
    <row r="1608" spans="1:6">
      <c r="A1608" s="123">
        <f>IF(OR(A1607='F-Ahorro Futuro Decimos'!$H$16,A1607=""),"",IF(A1607+1&gt;'F-Ahorro Futuro Decimos'!$H$16,'F-Ahorro Futuro Decimos'!$H$16,A1607+1))</f>
        <v>1606</v>
      </c>
      <c r="B1608" s="122">
        <f>IFERROR(IF(DAY($A1608)=DAY('F-Ahorro Futuro Decimos'!$H$15),'F-Ahorro Futuro Decimos'!$H$14,0),0)</f>
        <v>0</v>
      </c>
      <c r="C1608" s="122">
        <f>IF(A1608='F-Ahorro Futuro Decimos'!$H$18,'F-Ahorro Futuro Decimos'!$H$20,0)</f>
        <v>0</v>
      </c>
      <c r="D1608" s="122">
        <f t="shared" si="25"/>
        <v>0</v>
      </c>
      <c r="E1608" s="121">
        <f>ROUND(D1608*'FR_Mantenimiento tasas'!$C$48/360,5)</f>
        <v>0</v>
      </c>
      <c r="F1608" s="121">
        <f>ROUND(D1608*'FR_Mantenimiento tasas'!$D$48/360,5)</f>
        <v>0</v>
      </c>
    </row>
    <row r="1609" spans="1:6">
      <c r="A1609" s="123">
        <f>IF(OR(A1608='F-Ahorro Futuro Decimos'!$H$16,A1608=""),"",IF(A1608+1&gt;'F-Ahorro Futuro Decimos'!$H$16,'F-Ahorro Futuro Decimos'!$H$16,A1608+1))</f>
        <v>1607</v>
      </c>
      <c r="B1609" s="122">
        <f>IFERROR(IF(DAY($A1609)=DAY('F-Ahorro Futuro Decimos'!$H$15),'F-Ahorro Futuro Decimos'!$H$14,0),0)</f>
        <v>0</v>
      </c>
      <c r="C1609" s="122">
        <f>IF(A1609='F-Ahorro Futuro Decimos'!$H$18,'F-Ahorro Futuro Decimos'!$H$20,0)</f>
        <v>0</v>
      </c>
      <c r="D1609" s="122">
        <f t="shared" si="25"/>
        <v>0</v>
      </c>
      <c r="E1609" s="121">
        <f>ROUND(D1609*'FR_Mantenimiento tasas'!$C$48/360,5)</f>
        <v>0</v>
      </c>
      <c r="F1609" s="121">
        <f>ROUND(D1609*'FR_Mantenimiento tasas'!$D$48/360,5)</f>
        <v>0</v>
      </c>
    </row>
    <row r="1610" spans="1:6">
      <c r="A1610" s="123">
        <f>IF(OR(A1609='F-Ahorro Futuro Decimos'!$H$16,A1609=""),"",IF(A1609+1&gt;'F-Ahorro Futuro Decimos'!$H$16,'F-Ahorro Futuro Decimos'!$H$16,A1609+1))</f>
        <v>1608</v>
      </c>
      <c r="B1610" s="122">
        <f>IFERROR(IF(DAY($A1610)=DAY('F-Ahorro Futuro Decimos'!$H$15),'F-Ahorro Futuro Decimos'!$H$14,0),0)</f>
        <v>0</v>
      </c>
      <c r="C1610" s="122">
        <f>IF(A1610='F-Ahorro Futuro Decimos'!$H$18,'F-Ahorro Futuro Decimos'!$H$20,0)</f>
        <v>0</v>
      </c>
      <c r="D1610" s="122">
        <f t="shared" si="25"/>
        <v>0</v>
      </c>
      <c r="E1610" s="121">
        <f>ROUND(D1610*'FR_Mantenimiento tasas'!$C$48/360,5)</f>
        <v>0</v>
      </c>
      <c r="F1610" s="121">
        <f>ROUND(D1610*'FR_Mantenimiento tasas'!$D$48/360,5)</f>
        <v>0</v>
      </c>
    </row>
    <row r="1611" spans="1:6">
      <c r="A1611" s="123">
        <f>IF(OR(A1610='F-Ahorro Futuro Decimos'!$H$16,A1610=""),"",IF(A1610+1&gt;'F-Ahorro Futuro Decimos'!$H$16,'F-Ahorro Futuro Decimos'!$H$16,A1610+1))</f>
        <v>1609</v>
      </c>
      <c r="B1611" s="122">
        <f>IFERROR(IF(DAY($A1611)=DAY('F-Ahorro Futuro Decimos'!$H$15),'F-Ahorro Futuro Decimos'!$H$14,0),0)</f>
        <v>0</v>
      </c>
      <c r="C1611" s="122">
        <f>IF(A1611='F-Ahorro Futuro Decimos'!$H$18,'F-Ahorro Futuro Decimos'!$H$20,0)</f>
        <v>0</v>
      </c>
      <c r="D1611" s="122">
        <f t="shared" si="25"/>
        <v>0</v>
      </c>
      <c r="E1611" s="121">
        <f>ROUND(D1611*'FR_Mantenimiento tasas'!$C$48/360,5)</f>
        <v>0</v>
      </c>
      <c r="F1611" s="121">
        <f>ROUND(D1611*'FR_Mantenimiento tasas'!$D$48/360,5)</f>
        <v>0</v>
      </c>
    </row>
    <row r="1612" spans="1:6">
      <c r="A1612" s="123">
        <f>IF(OR(A1611='F-Ahorro Futuro Decimos'!$H$16,A1611=""),"",IF(A1611+1&gt;'F-Ahorro Futuro Decimos'!$H$16,'F-Ahorro Futuro Decimos'!$H$16,A1611+1))</f>
        <v>1610</v>
      </c>
      <c r="B1612" s="122">
        <f>IFERROR(IF(DAY($A1612)=DAY('F-Ahorro Futuro Decimos'!$H$15),'F-Ahorro Futuro Decimos'!$H$14,0),0)</f>
        <v>0</v>
      </c>
      <c r="C1612" s="122">
        <f>IF(A1612='F-Ahorro Futuro Decimos'!$H$18,'F-Ahorro Futuro Decimos'!$H$20,0)</f>
        <v>0</v>
      </c>
      <c r="D1612" s="122">
        <f t="shared" si="25"/>
        <v>0</v>
      </c>
      <c r="E1612" s="121">
        <f>ROUND(D1612*'FR_Mantenimiento tasas'!$C$48/360,5)</f>
        <v>0</v>
      </c>
      <c r="F1612" s="121">
        <f>ROUND(D1612*'FR_Mantenimiento tasas'!$D$48/360,5)</f>
        <v>0</v>
      </c>
    </row>
    <row r="1613" spans="1:6">
      <c r="A1613" s="123">
        <f>IF(OR(A1612='F-Ahorro Futuro Decimos'!$H$16,A1612=""),"",IF(A1612+1&gt;'F-Ahorro Futuro Decimos'!$H$16,'F-Ahorro Futuro Decimos'!$H$16,A1612+1))</f>
        <v>1611</v>
      </c>
      <c r="B1613" s="122">
        <f>IFERROR(IF(DAY($A1613)=DAY('F-Ahorro Futuro Decimos'!$H$15),'F-Ahorro Futuro Decimos'!$H$14,0),0)</f>
        <v>0</v>
      </c>
      <c r="C1613" s="122">
        <f>IF(A1613='F-Ahorro Futuro Decimos'!$H$18,'F-Ahorro Futuro Decimos'!$H$20,0)</f>
        <v>0</v>
      </c>
      <c r="D1613" s="122">
        <f t="shared" si="25"/>
        <v>0</v>
      </c>
      <c r="E1613" s="121">
        <f>ROUND(D1613*'FR_Mantenimiento tasas'!$C$48/360,5)</f>
        <v>0</v>
      </c>
      <c r="F1613" s="121">
        <f>ROUND(D1613*'FR_Mantenimiento tasas'!$D$48/360,5)</f>
        <v>0</v>
      </c>
    </row>
    <row r="1614" spans="1:6">
      <c r="A1614" s="123">
        <f>IF(OR(A1613='F-Ahorro Futuro Decimos'!$H$16,A1613=""),"",IF(A1613+1&gt;'F-Ahorro Futuro Decimos'!$H$16,'F-Ahorro Futuro Decimos'!$H$16,A1613+1))</f>
        <v>1612</v>
      </c>
      <c r="B1614" s="122">
        <f>IFERROR(IF(DAY($A1614)=DAY('F-Ahorro Futuro Decimos'!$H$15),'F-Ahorro Futuro Decimos'!$H$14,0),0)</f>
        <v>0</v>
      </c>
      <c r="C1614" s="122">
        <f>IF(A1614='F-Ahorro Futuro Decimos'!$H$18,'F-Ahorro Futuro Decimos'!$H$20,0)</f>
        <v>0</v>
      </c>
      <c r="D1614" s="122">
        <f t="shared" si="25"/>
        <v>0</v>
      </c>
      <c r="E1614" s="121">
        <f>ROUND(D1614*'FR_Mantenimiento tasas'!$C$48/360,5)</f>
        <v>0</v>
      </c>
      <c r="F1614" s="121">
        <f>ROUND(D1614*'FR_Mantenimiento tasas'!$D$48/360,5)</f>
        <v>0</v>
      </c>
    </row>
    <row r="1615" spans="1:6">
      <c r="A1615" s="123">
        <f>IF(OR(A1614='F-Ahorro Futuro Decimos'!$H$16,A1614=""),"",IF(A1614+1&gt;'F-Ahorro Futuro Decimos'!$H$16,'F-Ahorro Futuro Decimos'!$H$16,A1614+1))</f>
        <v>1613</v>
      </c>
      <c r="B1615" s="122">
        <f>IFERROR(IF(DAY($A1615)=DAY('F-Ahorro Futuro Decimos'!$H$15),'F-Ahorro Futuro Decimos'!$H$14,0),0)</f>
        <v>0</v>
      </c>
      <c r="C1615" s="122">
        <f>IF(A1615='F-Ahorro Futuro Decimos'!$H$18,'F-Ahorro Futuro Decimos'!$H$20,0)</f>
        <v>0</v>
      </c>
      <c r="D1615" s="122">
        <f t="shared" si="25"/>
        <v>0</v>
      </c>
      <c r="E1615" s="121">
        <f>ROUND(D1615*'FR_Mantenimiento tasas'!$C$48/360,5)</f>
        <v>0</v>
      </c>
      <c r="F1615" s="121">
        <f>ROUND(D1615*'FR_Mantenimiento tasas'!$D$48/360,5)</f>
        <v>0</v>
      </c>
    </row>
    <row r="1616" spans="1:6">
      <c r="A1616" s="123">
        <f>IF(OR(A1615='F-Ahorro Futuro Decimos'!$H$16,A1615=""),"",IF(A1615+1&gt;'F-Ahorro Futuro Decimos'!$H$16,'F-Ahorro Futuro Decimos'!$H$16,A1615+1))</f>
        <v>1614</v>
      </c>
      <c r="B1616" s="122">
        <f>IFERROR(IF(DAY($A1616)=DAY('F-Ahorro Futuro Decimos'!$H$15),'F-Ahorro Futuro Decimos'!$H$14,0),0)</f>
        <v>0</v>
      </c>
      <c r="C1616" s="122">
        <f>IF(A1616='F-Ahorro Futuro Decimos'!$H$18,'F-Ahorro Futuro Decimos'!$H$20,0)</f>
        <v>0</v>
      </c>
      <c r="D1616" s="122">
        <f t="shared" si="25"/>
        <v>0</v>
      </c>
      <c r="E1616" s="121">
        <f>ROUND(D1616*'FR_Mantenimiento tasas'!$C$48/360,5)</f>
        <v>0</v>
      </c>
      <c r="F1616" s="121">
        <f>ROUND(D1616*'FR_Mantenimiento tasas'!$D$48/360,5)</f>
        <v>0</v>
      </c>
    </row>
    <row r="1617" spans="1:6">
      <c r="A1617" s="123">
        <f>IF(OR(A1616='F-Ahorro Futuro Decimos'!$H$16,A1616=""),"",IF(A1616+1&gt;'F-Ahorro Futuro Decimos'!$H$16,'F-Ahorro Futuro Decimos'!$H$16,A1616+1))</f>
        <v>1615</v>
      </c>
      <c r="B1617" s="122">
        <f>IFERROR(IF(DAY($A1617)=DAY('F-Ahorro Futuro Decimos'!$H$15),'F-Ahorro Futuro Decimos'!$H$14,0),0)</f>
        <v>0</v>
      </c>
      <c r="C1617" s="122">
        <f>IF(A1617='F-Ahorro Futuro Decimos'!$H$18,'F-Ahorro Futuro Decimos'!$H$20,0)</f>
        <v>0</v>
      </c>
      <c r="D1617" s="122">
        <f t="shared" si="25"/>
        <v>0</v>
      </c>
      <c r="E1617" s="121">
        <f>ROUND(D1617*'FR_Mantenimiento tasas'!$C$48/360,5)</f>
        <v>0</v>
      </c>
      <c r="F1617" s="121">
        <f>ROUND(D1617*'FR_Mantenimiento tasas'!$D$48/360,5)</f>
        <v>0</v>
      </c>
    </row>
    <row r="1618" spans="1:6">
      <c r="A1618" s="123">
        <f>IF(OR(A1617='F-Ahorro Futuro Decimos'!$H$16,A1617=""),"",IF(A1617+1&gt;'F-Ahorro Futuro Decimos'!$H$16,'F-Ahorro Futuro Decimos'!$H$16,A1617+1))</f>
        <v>1616</v>
      </c>
      <c r="B1618" s="122">
        <f>IFERROR(IF(DAY($A1618)=DAY('F-Ahorro Futuro Decimos'!$H$15),'F-Ahorro Futuro Decimos'!$H$14,0),0)</f>
        <v>0</v>
      </c>
      <c r="C1618" s="122">
        <f>IF(A1618='F-Ahorro Futuro Decimos'!$H$18,'F-Ahorro Futuro Decimos'!$H$20,0)</f>
        <v>0</v>
      </c>
      <c r="D1618" s="122">
        <f t="shared" si="25"/>
        <v>0</v>
      </c>
      <c r="E1618" s="121">
        <f>ROUND(D1618*'FR_Mantenimiento tasas'!$C$48/360,5)</f>
        <v>0</v>
      </c>
      <c r="F1618" s="121">
        <f>ROUND(D1618*'FR_Mantenimiento tasas'!$D$48/360,5)</f>
        <v>0</v>
      </c>
    </row>
    <row r="1619" spans="1:6">
      <c r="A1619" s="123">
        <f>IF(OR(A1618='F-Ahorro Futuro Decimos'!$H$16,A1618=""),"",IF(A1618+1&gt;'F-Ahorro Futuro Decimos'!$H$16,'F-Ahorro Futuro Decimos'!$H$16,A1618+1))</f>
        <v>1617</v>
      </c>
      <c r="B1619" s="122">
        <f>IFERROR(IF(DAY($A1619)=DAY('F-Ahorro Futuro Decimos'!$H$15),'F-Ahorro Futuro Decimos'!$H$14,0),0)</f>
        <v>0</v>
      </c>
      <c r="C1619" s="122">
        <f>IF(A1619='F-Ahorro Futuro Decimos'!$H$18,'F-Ahorro Futuro Decimos'!$H$20,0)</f>
        <v>0</v>
      </c>
      <c r="D1619" s="122">
        <f t="shared" si="25"/>
        <v>0</v>
      </c>
      <c r="E1619" s="121">
        <f>ROUND(D1619*'FR_Mantenimiento tasas'!$C$48/360,5)</f>
        <v>0</v>
      </c>
      <c r="F1619" s="121">
        <f>ROUND(D1619*'FR_Mantenimiento tasas'!$D$48/360,5)</f>
        <v>0</v>
      </c>
    </row>
    <row r="1620" spans="1:6">
      <c r="A1620" s="123">
        <f>IF(OR(A1619='F-Ahorro Futuro Decimos'!$H$16,A1619=""),"",IF(A1619+1&gt;'F-Ahorro Futuro Decimos'!$H$16,'F-Ahorro Futuro Decimos'!$H$16,A1619+1))</f>
        <v>1618</v>
      </c>
      <c r="B1620" s="122">
        <f>IFERROR(IF(DAY($A1620)=DAY('F-Ahorro Futuro Decimos'!$H$15),'F-Ahorro Futuro Decimos'!$H$14,0),0)</f>
        <v>0</v>
      </c>
      <c r="C1620" s="122">
        <f>IF(A1620='F-Ahorro Futuro Decimos'!$H$18,'F-Ahorro Futuro Decimos'!$H$20,0)</f>
        <v>0</v>
      </c>
      <c r="D1620" s="122">
        <f t="shared" si="25"/>
        <v>0</v>
      </c>
      <c r="E1620" s="121">
        <f>ROUND(D1620*'FR_Mantenimiento tasas'!$C$48/360,5)</f>
        <v>0</v>
      </c>
      <c r="F1620" s="121">
        <f>ROUND(D1620*'FR_Mantenimiento tasas'!$D$48/360,5)</f>
        <v>0</v>
      </c>
    </row>
    <row r="1621" spans="1:6">
      <c r="A1621" s="123">
        <f>IF(OR(A1620='F-Ahorro Futuro Decimos'!$H$16,A1620=""),"",IF(A1620+1&gt;'F-Ahorro Futuro Decimos'!$H$16,'F-Ahorro Futuro Decimos'!$H$16,A1620+1))</f>
        <v>1619</v>
      </c>
      <c r="B1621" s="122">
        <f>IFERROR(IF(DAY($A1621)=DAY('F-Ahorro Futuro Decimos'!$H$15),'F-Ahorro Futuro Decimos'!$H$14,0),0)</f>
        <v>0</v>
      </c>
      <c r="C1621" s="122">
        <f>IF(A1621='F-Ahorro Futuro Decimos'!$H$18,'F-Ahorro Futuro Decimos'!$H$20,0)</f>
        <v>0</v>
      </c>
      <c r="D1621" s="122">
        <f t="shared" si="25"/>
        <v>0</v>
      </c>
      <c r="E1621" s="121">
        <f>ROUND(D1621*'FR_Mantenimiento tasas'!$C$48/360,5)</f>
        <v>0</v>
      </c>
      <c r="F1621" s="121">
        <f>ROUND(D1621*'FR_Mantenimiento tasas'!$D$48/360,5)</f>
        <v>0</v>
      </c>
    </row>
    <row r="1622" spans="1:6">
      <c r="A1622" s="123">
        <f>IF(OR(A1621='F-Ahorro Futuro Decimos'!$H$16,A1621=""),"",IF(A1621+1&gt;'F-Ahorro Futuro Decimos'!$H$16,'F-Ahorro Futuro Decimos'!$H$16,A1621+1))</f>
        <v>1620</v>
      </c>
      <c r="B1622" s="122">
        <f>IFERROR(IF(DAY($A1622)=DAY('F-Ahorro Futuro Decimos'!$H$15),'F-Ahorro Futuro Decimos'!$H$14,0),0)</f>
        <v>0</v>
      </c>
      <c r="C1622" s="122">
        <f>IF(A1622='F-Ahorro Futuro Decimos'!$H$18,'F-Ahorro Futuro Decimos'!$H$20,0)</f>
        <v>0</v>
      </c>
      <c r="D1622" s="122">
        <f t="shared" si="25"/>
        <v>0</v>
      </c>
      <c r="E1622" s="121">
        <f>ROUND(D1622*'FR_Mantenimiento tasas'!$C$48/360,5)</f>
        <v>0</v>
      </c>
      <c r="F1622" s="121">
        <f>ROUND(D1622*'FR_Mantenimiento tasas'!$D$48/360,5)</f>
        <v>0</v>
      </c>
    </row>
    <row r="1623" spans="1:6">
      <c r="A1623" s="123">
        <f>IF(OR(A1622='F-Ahorro Futuro Decimos'!$H$16,A1622=""),"",IF(A1622+1&gt;'F-Ahorro Futuro Decimos'!$H$16,'F-Ahorro Futuro Decimos'!$H$16,A1622+1))</f>
        <v>1621</v>
      </c>
      <c r="B1623" s="122">
        <f>IFERROR(IF(DAY($A1623)=DAY('F-Ahorro Futuro Decimos'!$H$15),'F-Ahorro Futuro Decimos'!$H$14,0),0)</f>
        <v>0</v>
      </c>
      <c r="C1623" s="122">
        <f>IF(A1623='F-Ahorro Futuro Decimos'!$H$18,'F-Ahorro Futuro Decimos'!$H$20,0)</f>
        <v>0</v>
      </c>
      <c r="D1623" s="122">
        <f t="shared" si="25"/>
        <v>0</v>
      </c>
      <c r="E1623" s="121">
        <f>ROUND(D1623*'FR_Mantenimiento tasas'!$C$48/360,5)</f>
        <v>0</v>
      </c>
      <c r="F1623" s="121">
        <f>ROUND(D1623*'FR_Mantenimiento tasas'!$D$48/360,5)</f>
        <v>0</v>
      </c>
    </row>
    <row r="1624" spans="1:6">
      <c r="A1624" s="123">
        <f>IF(OR(A1623='F-Ahorro Futuro Decimos'!$H$16,A1623=""),"",IF(A1623+1&gt;'F-Ahorro Futuro Decimos'!$H$16,'F-Ahorro Futuro Decimos'!$H$16,A1623+1))</f>
        <v>1622</v>
      </c>
      <c r="B1624" s="122">
        <f>IFERROR(IF(DAY($A1624)=DAY('F-Ahorro Futuro Decimos'!$H$15),'F-Ahorro Futuro Decimos'!$H$14,0),0)</f>
        <v>0</v>
      </c>
      <c r="C1624" s="122">
        <f>IF(A1624='F-Ahorro Futuro Decimos'!$H$18,'F-Ahorro Futuro Decimos'!$H$20,0)</f>
        <v>0</v>
      </c>
      <c r="D1624" s="122">
        <f t="shared" si="25"/>
        <v>0</v>
      </c>
      <c r="E1624" s="121">
        <f>ROUND(D1624*'FR_Mantenimiento tasas'!$C$48/360,5)</f>
        <v>0</v>
      </c>
      <c r="F1624" s="121">
        <f>ROUND(D1624*'FR_Mantenimiento tasas'!$D$48/360,5)</f>
        <v>0</v>
      </c>
    </row>
    <row r="1625" spans="1:6">
      <c r="A1625" s="123">
        <f>IF(OR(A1624='F-Ahorro Futuro Decimos'!$H$16,A1624=""),"",IF(A1624+1&gt;'F-Ahorro Futuro Decimos'!$H$16,'F-Ahorro Futuro Decimos'!$H$16,A1624+1))</f>
        <v>1623</v>
      </c>
      <c r="B1625" s="122">
        <f>IFERROR(IF(DAY($A1625)=DAY('F-Ahorro Futuro Decimos'!$H$15),'F-Ahorro Futuro Decimos'!$H$14,0),0)</f>
        <v>0</v>
      </c>
      <c r="C1625" s="122">
        <f>IF(A1625='F-Ahorro Futuro Decimos'!$H$18,'F-Ahorro Futuro Decimos'!$H$20,0)</f>
        <v>0</v>
      </c>
      <c r="D1625" s="122">
        <f t="shared" si="25"/>
        <v>0</v>
      </c>
      <c r="E1625" s="121">
        <f>ROUND(D1625*'FR_Mantenimiento tasas'!$C$48/360,5)</f>
        <v>0</v>
      </c>
      <c r="F1625" s="121">
        <f>ROUND(D1625*'FR_Mantenimiento tasas'!$D$48/360,5)</f>
        <v>0</v>
      </c>
    </row>
    <row r="1626" spans="1:6">
      <c r="A1626" s="123">
        <f>IF(OR(A1625='F-Ahorro Futuro Decimos'!$H$16,A1625=""),"",IF(A1625+1&gt;'F-Ahorro Futuro Decimos'!$H$16,'F-Ahorro Futuro Decimos'!$H$16,A1625+1))</f>
        <v>1624</v>
      </c>
      <c r="B1626" s="122">
        <f>IFERROR(IF(DAY($A1626)=DAY('F-Ahorro Futuro Decimos'!$H$15),'F-Ahorro Futuro Decimos'!$H$14,0),0)</f>
        <v>0</v>
      </c>
      <c r="C1626" s="122">
        <f>IF(A1626='F-Ahorro Futuro Decimos'!$H$18,'F-Ahorro Futuro Decimos'!$H$20,0)</f>
        <v>0</v>
      </c>
      <c r="D1626" s="122">
        <f t="shared" si="25"/>
        <v>0</v>
      </c>
      <c r="E1626" s="121">
        <f>ROUND(D1626*'FR_Mantenimiento tasas'!$C$48/360,5)</f>
        <v>0</v>
      </c>
      <c r="F1626" s="121">
        <f>ROUND(D1626*'FR_Mantenimiento tasas'!$D$48/360,5)</f>
        <v>0</v>
      </c>
    </row>
    <row r="1627" spans="1:6">
      <c r="A1627" s="123">
        <f>IF(OR(A1626='F-Ahorro Futuro Decimos'!$H$16,A1626=""),"",IF(A1626+1&gt;'F-Ahorro Futuro Decimos'!$H$16,'F-Ahorro Futuro Decimos'!$H$16,A1626+1))</f>
        <v>1625</v>
      </c>
      <c r="B1627" s="122">
        <f>IFERROR(IF(DAY($A1627)=DAY('F-Ahorro Futuro Decimos'!$H$15),'F-Ahorro Futuro Decimos'!$H$14,0),0)</f>
        <v>0</v>
      </c>
      <c r="C1627" s="122">
        <f>IF(A1627='F-Ahorro Futuro Decimos'!$H$18,'F-Ahorro Futuro Decimos'!$H$20,0)</f>
        <v>0</v>
      </c>
      <c r="D1627" s="122">
        <f t="shared" si="25"/>
        <v>0</v>
      </c>
      <c r="E1627" s="121">
        <f>ROUND(D1627*'FR_Mantenimiento tasas'!$C$48/360,5)</f>
        <v>0</v>
      </c>
      <c r="F1627" s="121">
        <f>ROUND(D1627*'FR_Mantenimiento tasas'!$D$48/360,5)</f>
        <v>0</v>
      </c>
    </row>
    <row r="1628" spans="1:6">
      <c r="A1628" s="123">
        <f>IF(OR(A1627='F-Ahorro Futuro Decimos'!$H$16,A1627=""),"",IF(A1627+1&gt;'F-Ahorro Futuro Decimos'!$H$16,'F-Ahorro Futuro Decimos'!$H$16,A1627+1))</f>
        <v>1626</v>
      </c>
      <c r="B1628" s="122">
        <f>IFERROR(IF(DAY($A1628)=DAY('F-Ahorro Futuro Decimos'!$H$15),'F-Ahorro Futuro Decimos'!$H$14,0),0)</f>
        <v>0</v>
      </c>
      <c r="C1628" s="122">
        <f>IF(A1628='F-Ahorro Futuro Decimos'!$H$18,'F-Ahorro Futuro Decimos'!$H$20,0)</f>
        <v>0</v>
      </c>
      <c r="D1628" s="122">
        <f t="shared" si="25"/>
        <v>0</v>
      </c>
      <c r="E1628" s="121">
        <f>ROUND(D1628*'FR_Mantenimiento tasas'!$C$48/360,5)</f>
        <v>0</v>
      </c>
      <c r="F1628" s="121">
        <f>ROUND(D1628*'FR_Mantenimiento tasas'!$D$48/360,5)</f>
        <v>0</v>
      </c>
    </row>
    <row r="1629" spans="1:6">
      <c r="A1629" s="123">
        <f>IF(OR(A1628='F-Ahorro Futuro Decimos'!$H$16,A1628=""),"",IF(A1628+1&gt;'F-Ahorro Futuro Decimos'!$H$16,'F-Ahorro Futuro Decimos'!$H$16,A1628+1))</f>
        <v>1627</v>
      </c>
      <c r="B1629" s="122">
        <f>IFERROR(IF(DAY($A1629)=DAY('F-Ahorro Futuro Decimos'!$H$15),'F-Ahorro Futuro Decimos'!$H$14,0),0)</f>
        <v>0</v>
      </c>
      <c r="C1629" s="122">
        <f>IF(A1629='F-Ahorro Futuro Decimos'!$H$18,'F-Ahorro Futuro Decimos'!$H$20,0)</f>
        <v>0</v>
      </c>
      <c r="D1629" s="122">
        <f t="shared" si="25"/>
        <v>0</v>
      </c>
      <c r="E1629" s="121">
        <f>ROUND(D1629*'FR_Mantenimiento tasas'!$C$48/360,5)</f>
        <v>0</v>
      </c>
      <c r="F1629" s="121">
        <f>ROUND(D1629*'FR_Mantenimiento tasas'!$D$48/360,5)</f>
        <v>0</v>
      </c>
    </row>
    <row r="1630" spans="1:6">
      <c r="A1630" s="123">
        <f>IF(OR(A1629='F-Ahorro Futuro Decimos'!$H$16,A1629=""),"",IF(A1629+1&gt;'F-Ahorro Futuro Decimos'!$H$16,'F-Ahorro Futuro Decimos'!$H$16,A1629+1))</f>
        <v>1628</v>
      </c>
      <c r="B1630" s="122">
        <f>IFERROR(IF(DAY($A1630)=DAY('F-Ahorro Futuro Decimos'!$H$15),'F-Ahorro Futuro Decimos'!$H$14,0),0)</f>
        <v>0</v>
      </c>
      <c r="C1630" s="122">
        <f>IF(A1630='F-Ahorro Futuro Decimos'!$H$18,'F-Ahorro Futuro Decimos'!$H$20,0)</f>
        <v>0</v>
      </c>
      <c r="D1630" s="122">
        <f t="shared" si="25"/>
        <v>0</v>
      </c>
      <c r="E1630" s="121">
        <f>ROUND(D1630*'FR_Mantenimiento tasas'!$C$48/360,5)</f>
        <v>0</v>
      </c>
      <c r="F1630" s="121">
        <f>ROUND(D1630*'FR_Mantenimiento tasas'!$D$48/360,5)</f>
        <v>0</v>
      </c>
    </row>
    <row r="1631" spans="1:6">
      <c r="A1631" s="123">
        <f>IF(OR(A1630='F-Ahorro Futuro Decimos'!$H$16,A1630=""),"",IF(A1630+1&gt;'F-Ahorro Futuro Decimos'!$H$16,'F-Ahorro Futuro Decimos'!$H$16,A1630+1))</f>
        <v>1629</v>
      </c>
      <c r="B1631" s="122">
        <f>IFERROR(IF(DAY($A1631)=DAY('F-Ahorro Futuro Decimos'!$H$15),'F-Ahorro Futuro Decimos'!$H$14,0),0)</f>
        <v>0</v>
      </c>
      <c r="C1631" s="122">
        <f>IF(A1631='F-Ahorro Futuro Decimos'!$H$18,'F-Ahorro Futuro Decimos'!$H$20,0)</f>
        <v>0</v>
      </c>
      <c r="D1631" s="122">
        <f t="shared" si="25"/>
        <v>0</v>
      </c>
      <c r="E1631" s="121">
        <f>ROUND(D1631*'FR_Mantenimiento tasas'!$C$48/360,5)</f>
        <v>0</v>
      </c>
      <c r="F1631" s="121">
        <f>ROUND(D1631*'FR_Mantenimiento tasas'!$D$48/360,5)</f>
        <v>0</v>
      </c>
    </row>
    <row r="1632" spans="1:6">
      <c r="A1632" s="123">
        <f>IF(OR(A1631='F-Ahorro Futuro Decimos'!$H$16,A1631=""),"",IF(A1631+1&gt;'F-Ahorro Futuro Decimos'!$H$16,'F-Ahorro Futuro Decimos'!$H$16,A1631+1))</f>
        <v>1630</v>
      </c>
      <c r="B1632" s="122">
        <f>IFERROR(IF(DAY($A1632)=DAY('F-Ahorro Futuro Decimos'!$H$15),'F-Ahorro Futuro Decimos'!$H$14,0),0)</f>
        <v>0</v>
      </c>
      <c r="C1632" s="122">
        <f>IF(A1632='F-Ahorro Futuro Decimos'!$H$18,'F-Ahorro Futuro Decimos'!$H$20,0)</f>
        <v>0</v>
      </c>
      <c r="D1632" s="122">
        <f t="shared" si="25"/>
        <v>0</v>
      </c>
      <c r="E1632" s="121">
        <f>ROUND(D1632*'FR_Mantenimiento tasas'!$C$48/360,5)</f>
        <v>0</v>
      </c>
      <c r="F1632" s="121">
        <f>ROUND(D1632*'FR_Mantenimiento tasas'!$D$48/360,5)</f>
        <v>0</v>
      </c>
    </row>
    <row r="1633" spans="1:6">
      <c r="A1633" s="123">
        <f>IF(OR(A1632='F-Ahorro Futuro Decimos'!$H$16,A1632=""),"",IF(A1632+1&gt;'F-Ahorro Futuro Decimos'!$H$16,'F-Ahorro Futuro Decimos'!$H$16,A1632+1))</f>
        <v>1631</v>
      </c>
      <c r="B1633" s="122">
        <f>IFERROR(IF(DAY($A1633)=DAY('F-Ahorro Futuro Decimos'!$H$15),'F-Ahorro Futuro Decimos'!$H$14,0),0)</f>
        <v>0</v>
      </c>
      <c r="C1633" s="122">
        <f>IF(A1633='F-Ahorro Futuro Decimos'!$H$18,'F-Ahorro Futuro Decimos'!$H$20,0)</f>
        <v>0</v>
      </c>
      <c r="D1633" s="122">
        <f t="shared" si="25"/>
        <v>0</v>
      </c>
      <c r="E1633" s="121">
        <f>ROUND(D1633*'FR_Mantenimiento tasas'!$C$48/360,5)</f>
        <v>0</v>
      </c>
      <c r="F1633" s="121">
        <f>ROUND(D1633*'FR_Mantenimiento tasas'!$D$48/360,5)</f>
        <v>0</v>
      </c>
    </row>
    <row r="1634" spans="1:6">
      <c r="A1634" s="123">
        <f>IF(OR(A1633='F-Ahorro Futuro Decimos'!$H$16,A1633=""),"",IF(A1633+1&gt;'F-Ahorro Futuro Decimos'!$H$16,'F-Ahorro Futuro Decimos'!$H$16,A1633+1))</f>
        <v>1632</v>
      </c>
      <c r="B1634" s="122">
        <f>IFERROR(IF(DAY($A1634)=DAY('F-Ahorro Futuro Decimos'!$H$15),'F-Ahorro Futuro Decimos'!$H$14,0),0)</f>
        <v>0</v>
      </c>
      <c r="C1634" s="122">
        <f>IF(A1634='F-Ahorro Futuro Decimos'!$H$18,'F-Ahorro Futuro Decimos'!$H$20,0)</f>
        <v>0</v>
      </c>
      <c r="D1634" s="122">
        <f t="shared" si="25"/>
        <v>0</v>
      </c>
      <c r="E1634" s="121">
        <f>ROUND(D1634*'FR_Mantenimiento tasas'!$C$48/360,5)</f>
        <v>0</v>
      </c>
      <c r="F1634" s="121">
        <f>ROUND(D1634*'FR_Mantenimiento tasas'!$D$48/360,5)</f>
        <v>0</v>
      </c>
    </row>
    <row r="1635" spans="1:6">
      <c r="A1635" s="123">
        <f>IF(OR(A1634='F-Ahorro Futuro Decimos'!$H$16,A1634=""),"",IF(A1634+1&gt;'F-Ahorro Futuro Decimos'!$H$16,'F-Ahorro Futuro Decimos'!$H$16,A1634+1))</f>
        <v>1633</v>
      </c>
      <c r="B1635" s="122">
        <f>IFERROR(IF(DAY($A1635)=DAY('F-Ahorro Futuro Decimos'!$H$15),'F-Ahorro Futuro Decimos'!$H$14,0),0)</f>
        <v>0</v>
      </c>
      <c r="C1635" s="122">
        <f>IF(A1635='F-Ahorro Futuro Decimos'!$H$18,'F-Ahorro Futuro Decimos'!$H$20,0)</f>
        <v>0</v>
      </c>
      <c r="D1635" s="122">
        <f t="shared" si="25"/>
        <v>0</v>
      </c>
      <c r="E1635" s="121">
        <f>ROUND(D1635*'FR_Mantenimiento tasas'!$C$48/360,5)</f>
        <v>0</v>
      </c>
      <c r="F1635" s="121">
        <f>ROUND(D1635*'FR_Mantenimiento tasas'!$D$48/360,5)</f>
        <v>0</v>
      </c>
    </row>
    <row r="1636" spans="1:6">
      <c r="A1636" s="123">
        <f>IF(OR(A1635='F-Ahorro Futuro Decimos'!$H$16,A1635=""),"",IF(A1635+1&gt;'F-Ahorro Futuro Decimos'!$H$16,'F-Ahorro Futuro Decimos'!$H$16,A1635+1))</f>
        <v>1634</v>
      </c>
      <c r="B1636" s="122">
        <f>IFERROR(IF(DAY($A1636)=DAY('F-Ahorro Futuro Decimos'!$H$15),'F-Ahorro Futuro Decimos'!$H$14,0),0)</f>
        <v>0</v>
      </c>
      <c r="C1636" s="122">
        <f>IF(A1636='F-Ahorro Futuro Decimos'!$H$18,'F-Ahorro Futuro Decimos'!$H$20,0)</f>
        <v>0</v>
      </c>
      <c r="D1636" s="122">
        <f t="shared" si="25"/>
        <v>0</v>
      </c>
      <c r="E1636" s="121">
        <f>ROUND(D1636*'FR_Mantenimiento tasas'!$C$48/360,5)</f>
        <v>0</v>
      </c>
      <c r="F1636" s="121">
        <f>ROUND(D1636*'FR_Mantenimiento tasas'!$D$48/360,5)</f>
        <v>0</v>
      </c>
    </row>
    <row r="1637" spans="1:6">
      <c r="A1637" s="123">
        <f>IF(OR(A1636='F-Ahorro Futuro Decimos'!$H$16,A1636=""),"",IF(A1636+1&gt;'F-Ahorro Futuro Decimos'!$H$16,'F-Ahorro Futuro Decimos'!$H$16,A1636+1))</f>
        <v>1635</v>
      </c>
      <c r="B1637" s="122">
        <f>IFERROR(IF(DAY($A1637)=DAY('F-Ahorro Futuro Decimos'!$H$15),'F-Ahorro Futuro Decimos'!$H$14,0),0)</f>
        <v>0</v>
      </c>
      <c r="C1637" s="122">
        <f>IF(A1637='F-Ahorro Futuro Decimos'!$H$18,'F-Ahorro Futuro Decimos'!$H$20,0)</f>
        <v>0</v>
      </c>
      <c r="D1637" s="122">
        <f t="shared" si="25"/>
        <v>0</v>
      </c>
      <c r="E1637" s="121">
        <f>ROUND(D1637*'FR_Mantenimiento tasas'!$C$48/360,5)</f>
        <v>0</v>
      </c>
      <c r="F1637" s="121">
        <f>ROUND(D1637*'FR_Mantenimiento tasas'!$D$48/360,5)</f>
        <v>0</v>
      </c>
    </row>
    <row r="1638" spans="1:6">
      <c r="A1638" s="123">
        <f>IF(OR(A1637='F-Ahorro Futuro Decimos'!$H$16,A1637=""),"",IF(A1637+1&gt;'F-Ahorro Futuro Decimos'!$H$16,'F-Ahorro Futuro Decimos'!$H$16,A1637+1))</f>
        <v>1636</v>
      </c>
      <c r="B1638" s="122">
        <f>IFERROR(IF(DAY($A1638)=DAY('F-Ahorro Futuro Decimos'!$H$15),'F-Ahorro Futuro Decimos'!$H$14,0),0)</f>
        <v>0</v>
      </c>
      <c r="C1638" s="122">
        <f>IF(A1638='F-Ahorro Futuro Decimos'!$H$18,'F-Ahorro Futuro Decimos'!$H$20,0)</f>
        <v>0</v>
      </c>
      <c r="D1638" s="122">
        <f t="shared" si="25"/>
        <v>0</v>
      </c>
      <c r="E1638" s="121">
        <f>ROUND(D1638*'FR_Mantenimiento tasas'!$C$48/360,5)</f>
        <v>0</v>
      </c>
      <c r="F1638" s="121">
        <f>ROUND(D1638*'FR_Mantenimiento tasas'!$D$48/360,5)</f>
        <v>0</v>
      </c>
    </row>
    <row r="1639" spans="1:6">
      <c r="A1639" s="123">
        <f>IF(OR(A1638='F-Ahorro Futuro Decimos'!$H$16,A1638=""),"",IF(A1638+1&gt;'F-Ahorro Futuro Decimos'!$H$16,'F-Ahorro Futuro Decimos'!$H$16,A1638+1))</f>
        <v>1637</v>
      </c>
      <c r="B1639" s="122">
        <f>IFERROR(IF(DAY($A1639)=DAY('F-Ahorro Futuro Decimos'!$H$15),'F-Ahorro Futuro Decimos'!$H$14,0),0)</f>
        <v>0</v>
      </c>
      <c r="C1639" s="122">
        <f>IF(A1639='F-Ahorro Futuro Decimos'!$H$18,'F-Ahorro Futuro Decimos'!$H$20,0)</f>
        <v>0</v>
      </c>
      <c r="D1639" s="122">
        <f t="shared" si="25"/>
        <v>0</v>
      </c>
      <c r="E1639" s="121">
        <f>ROUND(D1639*'FR_Mantenimiento tasas'!$C$48/360,5)</f>
        <v>0</v>
      </c>
      <c r="F1639" s="121">
        <f>ROUND(D1639*'FR_Mantenimiento tasas'!$D$48/360,5)</f>
        <v>0</v>
      </c>
    </row>
    <row r="1640" spans="1:6">
      <c r="A1640" s="123">
        <f>IF(OR(A1639='F-Ahorro Futuro Decimos'!$H$16,A1639=""),"",IF(A1639+1&gt;'F-Ahorro Futuro Decimos'!$H$16,'F-Ahorro Futuro Decimos'!$H$16,A1639+1))</f>
        <v>1638</v>
      </c>
      <c r="B1640" s="122">
        <f>IFERROR(IF(DAY($A1640)=DAY('F-Ahorro Futuro Decimos'!$H$15),'F-Ahorro Futuro Decimos'!$H$14,0),0)</f>
        <v>0</v>
      </c>
      <c r="C1640" s="122">
        <f>IF(A1640='F-Ahorro Futuro Decimos'!$H$18,'F-Ahorro Futuro Decimos'!$H$20,0)</f>
        <v>0</v>
      </c>
      <c r="D1640" s="122">
        <f t="shared" si="25"/>
        <v>0</v>
      </c>
      <c r="E1640" s="121">
        <f>ROUND(D1640*'FR_Mantenimiento tasas'!$C$48/360,5)</f>
        <v>0</v>
      </c>
      <c r="F1640" s="121">
        <f>ROUND(D1640*'FR_Mantenimiento tasas'!$D$48/360,5)</f>
        <v>0</v>
      </c>
    </row>
    <row r="1641" spans="1:6">
      <c r="A1641" s="123">
        <f>IF(OR(A1640='F-Ahorro Futuro Decimos'!$H$16,A1640=""),"",IF(A1640+1&gt;'F-Ahorro Futuro Decimos'!$H$16,'F-Ahorro Futuro Decimos'!$H$16,A1640+1))</f>
        <v>1639</v>
      </c>
      <c r="B1641" s="122">
        <f>IFERROR(IF(DAY($A1641)=DAY('F-Ahorro Futuro Decimos'!$H$15),'F-Ahorro Futuro Decimos'!$H$14,0),0)</f>
        <v>0</v>
      </c>
      <c r="C1641" s="122">
        <f>IF(A1641='F-Ahorro Futuro Decimos'!$H$18,'F-Ahorro Futuro Decimos'!$H$20,0)</f>
        <v>0</v>
      </c>
      <c r="D1641" s="122">
        <f t="shared" si="25"/>
        <v>0</v>
      </c>
      <c r="E1641" s="121">
        <f>ROUND(D1641*'FR_Mantenimiento tasas'!$C$48/360,5)</f>
        <v>0</v>
      </c>
      <c r="F1641" s="121">
        <f>ROUND(D1641*'FR_Mantenimiento tasas'!$D$48/360,5)</f>
        <v>0</v>
      </c>
    </row>
    <row r="1642" spans="1:6">
      <c r="A1642" s="123">
        <f>IF(OR(A1641='F-Ahorro Futuro Decimos'!$H$16,A1641=""),"",IF(A1641+1&gt;'F-Ahorro Futuro Decimos'!$H$16,'F-Ahorro Futuro Decimos'!$H$16,A1641+1))</f>
        <v>1640</v>
      </c>
      <c r="B1642" s="122">
        <f>IFERROR(IF(DAY($A1642)=DAY('F-Ahorro Futuro Decimos'!$H$15),'F-Ahorro Futuro Decimos'!$H$14,0),0)</f>
        <v>0</v>
      </c>
      <c r="C1642" s="122">
        <f>IF(A1642='F-Ahorro Futuro Decimos'!$H$18,'F-Ahorro Futuro Decimos'!$H$20,0)</f>
        <v>0</v>
      </c>
      <c r="D1642" s="122">
        <f t="shared" si="25"/>
        <v>0</v>
      </c>
      <c r="E1642" s="121">
        <f>ROUND(D1642*'FR_Mantenimiento tasas'!$C$48/360,5)</f>
        <v>0</v>
      </c>
      <c r="F1642" s="121">
        <f>ROUND(D1642*'FR_Mantenimiento tasas'!$D$48/360,5)</f>
        <v>0</v>
      </c>
    </row>
    <row r="1643" spans="1:6">
      <c r="A1643" s="123">
        <f>IF(OR(A1642='F-Ahorro Futuro Decimos'!$H$16,A1642=""),"",IF(A1642+1&gt;'F-Ahorro Futuro Decimos'!$H$16,'F-Ahorro Futuro Decimos'!$H$16,A1642+1))</f>
        <v>1641</v>
      </c>
      <c r="B1643" s="122">
        <f>IFERROR(IF(DAY($A1643)=DAY('F-Ahorro Futuro Decimos'!$H$15),'F-Ahorro Futuro Decimos'!$H$14,0),0)</f>
        <v>0</v>
      </c>
      <c r="C1643" s="122">
        <f>IF(A1643='F-Ahorro Futuro Decimos'!$H$18,'F-Ahorro Futuro Decimos'!$H$20,0)</f>
        <v>0</v>
      </c>
      <c r="D1643" s="122">
        <f t="shared" si="25"/>
        <v>0</v>
      </c>
      <c r="E1643" s="121">
        <f>ROUND(D1643*'FR_Mantenimiento tasas'!$C$48/360,5)</f>
        <v>0</v>
      </c>
      <c r="F1643" s="121">
        <f>ROUND(D1643*'FR_Mantenimiento tasas'!$D$48/360,5)</f>
        <v>0</v>
      </c>
    </row>
    <row r="1644" spans="1:6">
      <c r="A1644" s="123">
        <f>IF(OR(A1643='F-Ahorro Futuro Decimos'!$H$16,A1643=""),"",IF(A1643+1&gt;'F-Ahorro Futuro Decimos'!$H$16,'F-Ahorro Futuro Decimos'!$H$16,A1643+1))</f>
        <v>1642</v>
      </c>
      <c r="B1644" s="122">
        <f>IFERROR(IF(DAY($A1644)=DAY('F-Ahorro Futuro Decimos'!$H$15),'F-Ahorro Futuro Decimos'!$H$14,0),0)</f>
        <v>0</v>
      </c>
      <c r="C1644" s="122">
        <f>IF(A1644='F-Ahorro Futuro Decimos'!$H$18,'F-Ahorro Futuro Decimos'!$H$20,0)</f>
        <v>0</v>
      </c>
      <c r="D1644" s="122">
        <f t="shared" si="25"/>
        <v>0</v>
      </c>
      <c r="E1644" s="121">
        <f>ROUND(D1644*'FR_Mantenimiento tasas'!$C$48/360,5)</f>
        <v>0</v>
      </c>
      <c r="F1644" s="121">
        <f>ROUND(D1644*'FR_Mantenimiento tasas'!$D$48/360,5)</f>
        <v>0</v>
      </c>
    </row>
    <row r="1645" spans="1:6">
      <c r="A1645" s="123">
        <f>IF(OR(A1644='F-Ahorro Futuro Decimos'!$H$16,A1644=""),"",IF(A1644+1&gt;'F-Ahorro Futuro Decimos'!$H$16,'F-Ahorro Futuro Decimos'!$H$16,A1644+1))</f>
        <v>1643</v>
      </c>
      <c r="B1645" s="122">
        <f>IFERROR(IF(DAY($A1645)=DAY('F-Ahorro Futuro Decimos'!$H$15),'F-Ahorro Futuro Decimos'!$H$14,0),0)</f>
        <v>0</v>
      </c>
      <c r="C1645" s="122">
        <f>IF(A1645='F-Ahorro Futuro Decimos'!$H$18,'F-Ahorro Futuro Decimos'!$H$20,0)</f>
        <v>0</v>
      </c>
      <c r="D1645" s="122">
        <f t="shared" si="25"/>
        <v>0</v>
      </c>
      <c r="E1645" s="121">
        <f>ROUND(D1645*'FR_Mantenimiento tasas'!$C$48/360,5)</f>
        <v>0</v>
      </c>
      <c r="F1645" s="121">
        <f>ROUND(D1645*'FR_Mantenimiento tasas'!$D$48/360,5)</f>
        <v>0</v>
      </c>
    </row>
    <row r="1646" spans="1:6">
      <c r="A1646" s="123">
        <f>IF(OR(A1645='F-Ahorro Futuro Decimos'!$H$16,A1645=""),"",IF(A1645+1&gt;'F-Ahorro Futuro Decimos'!$H$16,'F-Ahorro Futuro Decimos'!$H$16,A1645+1))</f>
        <v>1644</v>
      </c>
      <c r="B1646" s="122">
        <f>IFERROR(IF(DAY($A1646)=DAY('F-Ahorro Futuro Decimos'!$H$15),'F-Ahorro Futuro Decimos'!$H$14,0),0)</f>
        <v>0</v>
      </c>
      <c r="C1646" s="122">
        <f>IF(A1646='F-Ahorro Futuro Decimos'!$H$18,'F-Ahorro Futuro Decimos'!$H$20,0)</f>
        <v>0</v>
      </c>
      <c r="D1646" s="122">
        <f t="shared" si="25"/>
        <v>0</v>
      </c>
      <c r="E1646" s="121">
        <f>ROUND(D1646*'FR_Mantenimiento tasas'!$C$48/360,5)</f>
        <v>0</v>
      </c>
      <c r="F1646" s="121">
        <f>ROUND(D1646*'FR_Mantenimiento tasas'!$D$48/360,5)</f>
        <v>0</v>
      </c>
    </row>
    <row r="1647" spans="1:6">
      <c r="A1647" s="123">
        <f>IF(OR(A1646='F-Ahorro Futuro Decimos'!$H$16,A1646=""),"",IF(A1646+1&gt;'F-Ahorro Futuro Decimos'!$H$16,'F-Ahorro Futuro Decimos'!$H$16,A1646+1))</f>
        <v>1645</v>
      </c>
      <c r="B1647" s="122">
        <f>IFERROR(IF(DAY($A1647)=DAY('F-Ahorro Futuro Decimos'!$H$15),'F-Ahorro Futuro Decimos'!$H$14,0),0)</f>
        <v>0</v>
      </c>
      <c r="C1647" s="122">
        <f>IF(A1647='F-Ahorro Futuro Decimos'!$H$18,'F-Ahorro Futuro Decimos'!$H$20,0)</f>
        <v>0</v>
      </c>
      <c r="D1647" s="122">
        <f t="shared" si="25"/>
        <v>0</v>
      </c>
      <c r="E1647" s="121">
        <f>ROUND(D1647*'FR_Mantenimiento tasas'!$C$48/360,5)</f>
        <v>0</v>
      </c>
      <c r="F1647" s="121">
        <f>ROUND(D1647*'FR_Mantenimiento tasas'!$D$48/360,5)</f>
        <v>0</v>
      </c>
    </row>
    <row r="1648" spans="1:6">
      <c r="A1648" s="123">
        <f>IF(OR(A1647='F-Ahorro Futuro Decimos'!$H$16,A1647=""),"",IF(A1647+1&gt;'F-Ahorro Futuro Decimos'!$H$16,'F-Ahorro Futuro Decimos'!$H$16,A1647+1))</f>
        <v>1646</v>
      </c>
      <c r="B1648" s="122">
        <f>IFERROR(IF(DAY($A1648)=DAY('F-Ahorro Futuro Decimos'!$H$15),'F-Ahorro Futuro Decimos'!$H$14,0),0)</f>
        <v>0</v>
      </c>
      <c r="C1648" s="122">
        <f>IF(A1648='F-Ahorro Futuro Decimos'!$H$18,'F-Ahorro Futuro Decimos'!$H$20,0)</f>
        <v>0</v>
      </c>
      <c r="D1648" s="122">
        <f t="shared" si="25"/>
        <v>0</v>
      </c>
      <c r="E1648" s="121">
        <f>ROUND(D1648*'FR_Mantenimiento tasas'!$C$48/360,5)</f>
        <v>0</v>
      </c>
      <c r="F1648" s="121">
        <f>ROUND(D1648*'FR_Mantenimiento tasas'!$D$48/360,5)</f>
        <v>0</v>
      </c>
    </row>
    <row r="1649" spans="1:6">
      <c r="A1649" s="123">
        <f>IF(OR(A1648='F-Ahorro Futuro Decimos'!$H$16,A1648=""),"",IF(A1648+1&gt;'F-Ahorro Futuro Decimos'!$H$16,'F-Ahorro Futuro Decimos'!$H$16,A1648+1))</f>
        <v>1647</v>
      </c>
      <c r="B1649" s="122">
        <f>IFERROR(IF(DAY($A1649)=DAY('F-Ahorro Futuro Decimos'!$H$15),'F-Ahorro Futuro Decimos'!$H$14,0),0)</f>
        <v>0</v>
      </c>
      <c r="C1649" s="122">
        <f>IF(A1649='F-Ahorro Futuro Decimos'!$H$18,'F-Ahorro Futuro Decimos'!$H$20,0)</f>
        <v>0</v>
      </c>
      <c r="D1649" s="122">
        <f t="shared" si="25"/>
        <v>0</v>
      </c>
      <c r="E1649" s="121">
        <f>ROUND(D1649*'FR_Mantenimiento tasas'!$C$48/360,5)</f>
        <v>0</v>
      </c>
      <c r="F1649" s="121">
        <f>ROUND(D1649*'FR_Mantenimiento tasas'!$D$48/360,5)</f>
        <v>0</v>
      </c>
    </row>
    <row r="1650" spans="1:6">
      <c r="A1650" s="123">
        <f>IF(OR(A1649='F-Ahorro Futuro Decimos'!$H$16,A1649=""),"",IF(A1649+1&gt;'F-Ahorro Futuro Decimos'!$H$16,'F-Ahorro Futuro Decimos'!$H$16,A1649+1))</f>
        <v>1648</v>
      </c>
      <c r="B1650" s="122">
        <f>IFERROR(IF(DAY($A1650)=DAY('F-Ahorro Futuro Decimos'!$H$15),'F-Ahorro Futuro Decimos'!$H$14,0),0)</f>
        <v>0</v>
      </c>
      <c r="C1650" s="122">
        <f>IF(A1650='F-Ahorro Futuro Decimos'!$H$18,'F-Ahorro Futuro Decimos'!$H$20,0)</f>
        <v>0</v>
      </c>
      <c r="D1650" s="122">
        <f t="shared" si="25"/>
        <v>0</v>
      </c>
      <c r="E1650" s="121">
        <f>ROUND(D1650*'FR_Mantenimiento tasas'!$C$48/360,5)</f>
        <v>0</v>
      </c>
      <c r="F1650" s="121">
        <f>ROUND(D1650*'FR_Mantenimiento tasas'!$D$48/360,5)</f>
        <v>0</v>
      </c>
    </row>
    <row r="1651" spans="1:6">
      <c r="A1651" s="123">
        <f>IF(OR(A1650='F-Ahorro Futuro Decimos'!$H$16,A1650=""),"",IF(A1650+1&gt;'F-Ahorro Futuro Decimos'!$H$16,'F-Ahorro Futuro Decimos'!$H$16,A1650+1))</f>
        <v>1649</v>
      </c>
      <c r="B1651" s="122">
        <f>IFERROR(IF(DAY($A1651)=DAY('F-Ahorro Futuro Decimos'!$H$15),'F-Ahorro Futuro Decimos'!$H$14,0),0)</f>
        <v>0</v>
      </c>
      <c r="C1651" s="122">
        <f>IF(A1651='F-Ahorro Futuro Decimos'!$H$18,'F-Ahorro Futuro Decimos'!$H$20,0)</f>
        <v>0</v>
      </c>
      <c r="D1651" s="122">
        <f t="shared" si="25"/>
        <v>0</v>
      </c>
      <c r="E1651" s="121">
        <f>ROUND(D1651*'FR_Mantenimiento tasas'!$C$48/360,5)</f>
        <v>0</v>
      </c>
      <c r="F1651" s="121">
        <f>ROUND(D1651*'FR_Mantenimiento tasas'!$D$48/360,5)</f>
        <v>0</v>
      </c>
    </row>
    <row r="1652" spans="1:6">
      <c r="A1652" s="123">
        <f>IF(OR(A1651='F-Ahorro Futuro Decimos'!$H$16,A1651=""),"",IF(A1651+1&gt;'F-Ahorro Futuro Decimos'!$H$16,'F-Ahorro Futuro Decimos'!$H$16,A1651+1))</f>
        <v>1650</v>
      </c>
      <c r="B1652" s="122">
        <f>IFERROR(IF(DAY($A1652)=DAY('F-Ahorro Futuro Decimos'!$H$15),'F-Ahorro Futuro Decimos'!$H$14,0),0)</f>
        <v>0</v>
      </c>
      <c r="C1652" s="122">
        <f>IF(A1652='F-Ahorro Futuro Decimos'!$H$18,'F-Ahorro Futuro Decimos'!$H$20,0)</f>
        <v>0</v>
      </c>
      <c r="D1652" s="122">
        <f t="shared" si="25"/>
        <v>0</v>
      </c>
      <c r="E1652" s="121">
        <f>ROUND(D1652*'FR_Mantenimiento tasas'!$C$48/360,5)</f>
        <v>0</v>
      </c>
      <c r="F1652" s="121">
        <f>ROUND(D1652*'FR_Mantenimiento tasas'!$D$48/360,5)</f>
        <v>0</v>
      </c>
    </row>
    <row r="1653" spans="1:6">
      <c r="A1653" s="123">
        <f>IF(OR(A1652='F-Ahorro Futuro Decimos'!$H$16,A1652=""),"",IF(A1652+1&gt;'F-Ahorro Futuro Decimos'!$H$16,'F-Ahorro Futuro Decimos'!$H$16,A1652+1))</f>
        <v>1651</v>
      </c>
      <c r="B1653" s="122">
        <f>IFERROR(IF(DAY($A1653)=DAY('F-Ahorro Futuro Decimos'!$H$15),'F-Ahorro Futuro Decimos'!$H$14,0),0)</f>
        <v>0</v>
      </c>
      <c r="C1653" s="122">
        <f>IF(A1653='F-Ahorro Futuro Decimos'!$H$18,'F-Ahorro Futuro Decimos'!$H$20,0)</f>
        <v>0</v>
      </c>
      <c r="D1653" s="122">
        <f t="shared" si="25"/>
        <v>0</v>
      </c>
      <c r="E1653" s="121">
        <f>ROUND(D1653*'FR_Mantenimiento tasas'!$C$48/360,5)</f>
        <v>0</v>
      </c>
      <c r="F1653" s="121">
        <f>ROUND(D1653*'FR_Mantenimiento tasas'!$D$48/360,5)</f>
        <v>0</v>
      </c>
    </row>
    <row r="1654" spans="1:6">
      <c r="A1654" s="123">
        <f>IF(OR(A1653='F-Ahorro Futuro Decimos'!$H$16,A1653=""),"",IF(A1653+1&gt;'F-Ahorro Futuro Decimos'!$H$16,'F-Ahorro Futuro Decimos'!$H$16,A1653+1))</f>
        <v>1652</v>
      </c>
      <c r="B1654" s="122">
        <f>IFERROR(IF(DAY($A1654)=DAY('F-Ahorro Futuro Decimos'!$H$15),'F-Ahorro Futuro Decimos'!$H$14,0),0)</f>
        <v>0</v>
      </c>
      <c r="C1654" s="122">
        <f>IF(A1654='F-Ahorro Futuro Decimos'!$H$18,'F-Ahorro Futuro Decimos'!$H$20,0)</f>
        <v>0</v>
      </c>
      <c r="D1654" s="122">
        <f t="shared" si="25"/>
        <v>0</v>
      </c>
      <c r="E1654" s="121">
        <f>ROUND(D1654*'FR_Mantenimiento tasas'!$C$48/360,5)</f>
        <v>0</v>
      </c>
      <c r="F1654" s="121">
        <f>ROUND(D1654*'FR_Mantenimiento tasas'!$D$48/360,5)</f>
        <v>0</v>
      </c>
    </row>
    <row r="1655" spans="1:6">
      <c r="A1655" s="123">
        <f>IF(OR(A1654='F-Ahorro Futuro Decimos'!$H$16,A1654=""),"",IF(A1654+1&gt;'F-Ahorro Futuro Decimos'!$H$16,'F-Ahorro Futuro Decimos'!$H$16,A1654+1))</f>
        <v>1653</v>
      </c>
      <c r="B1655" s="122">
        <f>IFERROR(IF(DAY($A1655)=DAY('F-Ahorro Futuro Decimos'!$H$15),'F-Ahorro Futuro Decimos'!$H$14,0),0)</f>
        <v>0</v>
      </c>
      <c r="C1655" s="122">
        <f>IF(A1655='F-Ahorro Futuro Decimos'!$H$18,'F-Ahorro Futuro Decimos'!$H$20,0)</f>
        <v>0</v>
      </c>
      <c r="D1655" s="122">
        <f t="shared" si="25"/>
        <v>0</v>
      </c>
      <c r="E1655" s="121">
        <f>ROUND(D1655*'FR_Mantenimiento tasas'!$C$48/360,5)</f>
        <v>0</v>
      </c>
      <c r="F1655" s="121">
        <f>ROUND(D1655*'FR_Mantenimiento tasas'!$D$48/360,5)</f>
        <v>0</v>
      </c>
    </row>
    <row r="1656" spans="1:6">
      <c r="A1656" s="123">
        <f>IF(OR(A1655='F-Ahorro Futuro Decimos'!$H$16,A1655=""),"",IF(A1655+1&gt;'F-Ahorro Futuro Decimos'!$H$16,'F-Ahorro Futuro Decimos'!$H$16,A1655+1))</f>
        <v>1654</v>
      </c>
      <c r="B1656" s="122">
        <f>IFERROR(IF(DAY($A1656)=DAY('F-Ahorro Futuro Decimos'!$H$15),'F-Ahorro Futuro Decimos'!$H$14,0),0)</f>
        <v>0</v>
      </c>
      <c r="C1656" s="122">
        <f>IF(A1656='F-Ahorro Futuro Decimos'!$H$18,'F-Ahorro Futuro Decimos'!$H$20,0)</f>
        <v>0</v>
      </c>
      <c r="D1656" s="122">
        <f t="shared" si="25"/>
        <v>0</v>
      </c>
      <c r="E1656" s="121">
        <f>ROUND(D1656*'FR_Mantenimiento tasas'!$C$48/360,5)</f>
        <v>0</v>
      </c>
      <c r="F1656" s="121">
        <f>ROUND(D1656*'FR_Mantenimiento tasas'!$D$48/360,5)</f>
        <v>0</v>
      </c>
    </row>
    <row r="1657" spans="1:6">
      <c r="A1657" s="123">
        <f>IF(OR(A1656='F-Ahorro Futuro Decimos'!$H$16,A1656=""),"",IF(A1656+1&gt;'F-Ahorro Futuro Decimos'!$H$16,'F-Ahorro Futuro Decimos'!$H$16,A1656+1))</f>
        <v>1655</v>
      </c>
      <c r="B1657" s="122">
        <f>IFERROR(IF(DAY($A1657)=DAY('F-Ahorro Futuro Decimos'!$H$15),'F-Ahorro Futuro Decimos'!$H$14,0),0)</f>
        <v>0</v>
      </c>
      <c r="C1657" s="122">
        <f>IF(A1657='F-Ahorro Futuro Decimos'!$H$18,'F-Ahorro Futuro Decimos'!$H$20,0)</f>
        <v>0</v>
      </c>
      <c r="D1657" s="122">
        <f t="shared" si="25"/>
        <v>0</v>
      </c>
      <c r="E1657" s="121">
        <f>ROUND(D1657*'FR_Mantenimiento tasas'!$C$48/360,5)</f>
        <v>0</v>
      </c>
      <c r="F1657" s="121">
        <f>ROUND(D1657*'FR_Mantenimiento tasas'!$D$48/360,5)</f>
        <v>0</v>
      </c>
    </row>
    <row r="1658" spans="1:6">
      <c r="A1658" s="123">
        <f>IF(OR(A1657='F-Ahorro Futuro Decimos'!$H$16,A1657=""),"",IF(A1657+1&gt;'F-Ahorro Futuro Decimos'!$H$16,'F-Ahorro Futuro Decimos'!$H$16,A1657+1))</f>
        <v>1656</v>
      </c>
      <c r="B1658" s="122">
        <f>IFERROR(IF(DAY($A1658)=DAY('F-Ahorro Futuro Decimos'!$H$15),'F-Ahorro Futuro Decimos'!$H$14,0),0)</f>
        <v>0</v>
      </c>
      <c r="C1658" s="122">
        <f>IF(A1658='F-Ahorro Futuro Decimos'!$H$18,'F-Ahorro Futuro Decimos'!$H$20,0)</f>
        <v>0</v>
      </c>
      <c r="D1658" s="122">
        <f t="shared" si="25"/>
        <v>0</v>
      </c>
      <c r="E1658" s="121">
        <f>ROUND(D1658*'FR_Mantenimiento tasas'!$C$48/360,5)</f>
        <v>0</v>
      </c>
      <c r="F1658" s="121">
        <f>ROUND(D1658*'FR_Mantenimiento tasas'!$D$48/360,5)</f>
        <v>0</v>
      </c>
    </row>
    <row r="1659" spans="1:6">
      <c r="A1659" s="123">
        <f>IF(OR(A1658='F-Ahorro Futuro Decimos'!$H$16,A1658=""),"",IF(A1658+1&gt;'F-Ahorro Futuro Decimos'!$H$16,'F-Ahorro Futuro Decimos'!$H$16,A1658+1))</f>
        <v>1657</v>
      </c>
      <c r="B1659" s="122">
        <f>IFERROR(IF(DAY($A1659)=DAY('F-Ahorro Futuro Decimos'!$H$15),'F-Ahorro Futuro Decimos'!$H$14,0),0)</f>
        <v>0</v>
      </c>
      <c r="C1659" s="122">
        <f>IF(A1659='F-Ahorro Futuro Decimos'!$H$18,'F-Ahorro Futuro Decimos'!$H$20,0)</f>
        <v>0</v>
      </c>
      <c r="D1659" s="122">
        <f t="shared" si="25"/>
        <v>0</v>
      </c>
      <c r="E1659" s="121">
        <f>ROUND(D1659*'FR_Mantenimiento tasas'!$C$48/360,5)</f>
        <v>0</v>
      </c>
      <c r="F1659" s="121">
        <f>ROUND(D1659*'FR_Mantenimiento tasas'!$D$48/360,5)</f>
        <v>0</v>
      </c>
    </row>
    <row r="1660" spans="1:6">
      <c r="A1660" s="123">
        <f>IF(OR(A1659='F-Ahorro Futuro Decimos'!$H$16,A1659=""),"",IF(A1659+1&gt;'F-Ahorro Futuro Decimos'!$H$16,'F-Ahorro Futuro Decimos'!$H$16,A1659+1))</f>
        <v>1658</v>
      </c>
      <c r="B1660" s="122">
        <f>IFERROR(IF(DAY($A1660)=DAY('F-Ahorro Futuro Decimos'!$H$15),'F-Ahorro Futuro Decimos'!$H$14,0),0)</f>
        <v>0</v>
      </c>
      <c r="C1660" s="122">
        <f>IF(A1660='F-Ahorro Futuro Decimos'!$H$18,'F-Ahorro Futuro Decimos'!$H$20,0)</f>
        <v>0</v>
      </c>
      <c r="D1660" s="122">
        <f t="shared" si="25"/>
        <v>0</v>
      </c>
      <c r="E1660" s="121">
        <f>ROUND(D1660*'FR_Mantenimiento tasas'!$C$48/360,5)</f>
        <v>0</v>
      </c>
      <c r="F1660" s="121">
        <f>ROUND(D1660*'FR_Mantenimiento tasas'!$D$48/360,5)</f>
        <v>0</v>
      </c>
    </row>
    <row r="1661" spans="1:6">
      <c r="A1661" s="123">
        <f>IF(OR(A1660='F-Ahorro Futuro Decimos'!$H$16,A1660=""),"",IF(A1660+1&gt;'F-Ahorro Futuro Decimos'!$H$16,'F-Ahorro Futuro Decimos'!$H$16,A1660+1))</f>
        <v>1659</v>
      </c>
      <c r="B1661" s="122">
        <f>IFERROR(IF(DAY($A1661)=DAY('F-Ahorro Futuro Decimos'!$H$15),'F-Ahorro Futuro Decimos'!$H$14,0),0)</f>
        <v>0</v>
      </c>
      <c r="C1661" s="122">
        <f>IF(A1661='F-Ahorro Futuro Decimos'!$H$18,'F-Ahorro Futuro Decimos'!$H$20,0)</f>
        <v>0</v>
      </c>
      <c r="D1661" s="122">
        <f t="shared" si="25"/>
        <v>0</v>
      </c>
      <c r="E1661" s="121">
        <f>ROUND(D1661*'FR_Mantenimiento tasas'!$C$48/360,5)</f>
        <v>0</v>
      </c>
      <c r="F1661" s="121">
        <f>ROUND(D1661*'FR_Mantenimiento tasas'!$D$48/360,5)</f>
        <v>0</v>
      </c>
    </row>
    <row r="1662" spans="1:6">
      <c r="A1662" s="123">
        <f>IF(OR(A1661='F-Ahorro Futuro Decimos'!$H$16,A1661=""),"",IF(A1661+1&gt;'F-Ahorro Futuro Decimos'!$H$16,'F-Ahorro Futuro Decimos'!$H$16,A1661+1))</f>
        <v>1660</v>
      </c>
      <c r="B1662" s="122">
        <f>IFERROR(IF(DAY($A1662)=DAY('F-Ahorro Futuro Decimos'!$H$15),'F-Ahorro Futuro Decimos'!$H$14,0),0)</f>
        <v>0</v>
      </c>
      <c r="C1662" s="122">
        <f>IF(A1662='F-Ahorro Futuro Decimos'!$H$18,'F-Ahorro Futuro Decimos'!$H$20,0)</f>
        <v>0</v>
      </c>
      <c r="D1662" s="122">
        <f t="shared" si="25"/>
        <v>0</v>
      </c>
      <c r="E1662" s="121">
        <f>ROUND(D1662*'FR_Mantenimiento tasas'!$C$48/360,5)</f>
        <v>0</v>
      </c>
      <c r="F1662" s="121">
        <f>ROUND(D1662*'FR_Mantenimiento tasas'!$D$48/360,5)</f>
        <v>0</v>
      </c>
    </row>
    <row r="1663" spans="1:6">
      <c r="A1663" s="123">
        <f>IF(OR(A1662='F-Ahorro Futuro Decimos'!$H$16,A1662=""),"",IF(A1662+1&gt;'F-Ahorro Futuro Decimos'!$H$16,'F-Ahorro Futuro Decimos'!$H$16,A1662+1))</f>
        <v>1661</v>
      </c>
      <c r="B1663" s="122">
        <f>IFERROR(IF(DAY($A1663)=DAY('F-Ahorro Futuro Decimos'!$H$15),'F-Ahorro Futuro Decimos'!$H$14,0),0)</f>
        <v>0</v>
      </c>
      <c r="C1663" s="122">
        <f>IF(A1663='F-Ahorro Futuro Decimos'!$H$18,'F-Ahorro Futuro Decimos'!$H$20,0)</f>
        <v>0</v>
      </c>
      <c r="D1663" s="122">
        <f t="shared" si="25"/>
        <v>0</v>
      </c>
      <c r="E1663" s="121">
        <f>ROUND(D1663*'FR_Mantenimiento tasas'!$C$48/360,5)</f>
        <v>0</v>
      </c>
      <c r="F1663" s="121">
        <f>ROUND(D1663*'FR_Mantenimiento tasas'!$D$48/360,5)</f>
        <v>0</v>
      </c>
    </row>
    <row r="1664" spans="1:6">
      <c r="A1664" s="123">
        <f>IF(OR(A1663='F-Ahorro Futuro Decimos'!$H$16,A1663=""),"",IF(A1663+1&gt;'F-Ahorro Futuro Decimos'!$H$16,'F-Ahorro Futuro Decimos'!$H$16,A1663+1))</f>
        <v>1662</v>
      </c>
      <c r="B1664" s="122">
        <f>IFERROR(IF(DAY($A1664)=DAY('F-Ahorro Futuro Decimos'!$H$15),'F-Ahorro Futuro Decimos'!$H$14,0),0)</f>
        <v>0</v>
      </c>
      <c r="C1664" s="122">
        <f>IF(A1664='F-Ahorro Futuro Decimos'!$H$18,'F-Ahorro Futuro Decimos'!$H$20,0)</f>
        <v>0</v>
      </c>
      <c r="D1664" s="122">
        <f t="shared" si="25"/>
        <v>0</v>
      </c>
      <c r="E1664" s="121">
        <f>ROUND(D1664*'FR_Mantenimiento tasas'!$C$48/360,5)</f>
        <v>0</v>
      </c>
      <c r="F1664" s="121">
        <f>ROUND(D1664*'FR_Mantenimiento tasas'!$D$48/360,5)</f>
        <v>0</v>
      </c>
    </row>
    <row r="1665" spans="1:6">
      <c r="A1665" s="123">
        <f>IF(OR(A1664='F-Ahorro Futuro Decimos'!$H$16,A1664=""),"",IF(A1664+1&gt;'F-Ahorro Futuro Decimos'!$H$16,'F-Ahorro Futuro Decimos'!$H$16,A1664+1))</f>
        <v>1663</v>
      </c>
      <c r="B1665" s="122">
        <f>IFERROR(IF(DAY($A1665)=DAY('F-Ahorro Futuro Decimos'!$H$15),'F-Ahorro Futuro Decimos'!$H$14,0),0)</f>
        <v>0</v>
      </c>
      <c r="C1665" s="122">
        <f>IF(A1665='F-Ahorro Futuro Decimos'!$H$18,'F-Ahorro Futuro Decimos'!$H$20,0)</f>
        <v>0</v>
      </c>
      <c r="D1665" s="122">
        <f t="shared" si="25"/>
        <v>0</v>
      </c>
      <c r="E1665" s="121">
        <f>ROUND(D1665*'FR_Mantenimiento tasas'!$C$48/360,5)</f>
        <v>0</v>
      </c>
      <c r="F1665" s="121">
        <f>ROUND(D1665*'FR_Mantenimiento tasas'!$D$48/360,5)</f>
        <v>0</v>
      </c>
    </row>
    <row r="1666" spans="1:6">
      <c r="A1666" s="123">
        <f>IF(OR(A1665='F-Ahorro Futuro Decimos'!$H$16,A1665=""),"",IF(A1665+1&gt;'F-Ahorro Futuro Decimos'!$H$16,'F-Ahorro Futuro Decimos'!$H$16,A1665+1))</f>
        <v>1664</v>
      </c>
      <c r="B1666" s="122">
        <f>IFERROR(IF(DAY($A1666)=DAY('F-Ahorro Futuro Decimos'!$H$15),'F-Ahorro Futuro Decimos'!$H$14,0),0)</f>
        <v>0</v>
      </c>
      <c r="C1666" s="122">
        <f>IF(A1666='F-Ahorro Futuro Decimos'!$H$18,'F-Ahorro Futuro Decimos'!$H$20,0)</f>
        <v>0</v>
      </c>
      <c r="D1666" s="122">
        <f t="shared" si="25"/>
        <v>0</v>
      </c>
      <c r="E1666" s="121">
        <f>ROUND(D1666*'FR_Mantenimiento tasas'!$C$48/360,5)</f>
        <v>0</v>
      </c>
      <c r="F1666" s="121">
        <f>ROUND(D1666*'FR_Mantenimiento tasas'!$D$48/360,5)</f>
        <v>0</v>
      </c>
    </row>
    <row r="1667" spans="1:6">
      <c r="A1667" s="123">
        <f>IF(OR(A1666='F-Ahorro Futuro Decimos'!$H$16,A1666=""),"",IF(A1666+1&gt;'F-Ahorro Futuro Decimos'!$H$16,'F-Ahorro Futuro Decimos'!$H$16,A1666+1))</f>
        <v>1665</v>
      </c>
      <c r="B1667" s="122">
        <f>IFERROR(IF(DAY($A1667)=DAY('F-Ahorro Futuro Decimos'!$H$15),'F-Ahorro Futuro Decimos'!$H$14,0),0)</f>
        <v>0</v>
      </c>
      <c r="C1667" s="122">
        <f>IF(A1667='F-Ahorro Futuro Decimos'!$H$18,'F-Ahorro Futuro Decimos'!$H$20,0)</f>
        <v>0</v>
      </c>
      <c r="D1667" s="122">
        <f t="shared" si="25"/>
        <v>0</v>
      </c>
      <c r="E1667" s="121">
        <f>ROUND(D1667*'FR_Mantenimiento tasas'!$C$48/360,5)</f>
        <v>0</v>
      </c>
      <c r="F1667" s="121">
        <f>ROUND(D1667*'FR_Mantenimiento tasas'!$D$48/360,5)</f>
        <v>0</v>
      </c>
    </row>
    <row r="1668" spans="1:6">
      <c r="A1668" s="123">
        <f>IF(OR(A1667='F-Ahorro Futuro Decimos'!$H$16,A1667=""),"",IF(A1667+1&gt;'F-Ahorro Futuro Decimos'!$H$16,'F-Ahorro Futuro Decimos'!$H$16,A1667+1))</f>
        <v>1666</v>
      </c>
      <c r="B1668" s="122">
        <f>IFERROR(IF(DAY($A1668)=DAY('F-Ahorro Futuro Decimos'!$H$15),'F-Ahorro Futuro Decimos'!$H$14,0),0)</f>
        <v>0</v>
      </c>
      <c r="C1668" s="122">
        <f>IF(A1668='F-Ahorro Futuro Decimos'!$H$18,'F-Ahorro Futuro Decimos'!$H$20,0)</f>
        <v>0</v>
      </c>
      <c r="D1668" s="122">
        <f t="shared" ref="D1668:D1731" si="26">+B1668+D1667+E1667-C1668</f>
        <v>0</v>
      </c>
      <c r="E1668" s="121">
        <f>ROUND(D1668*'FR_Mantenimiento tasas'!$C$48/360,5)</f>
        <v>0</v>
      </c>
      <c r="F1668" s="121">
        <f>ROUND(D1668*'FR_Mantenimiento tasas'!$D$48/360,5)</f>
        <v>0</v>
      </c>
    </row>
    <row r="1669" spans="1:6">
      <c r="A1669" s="123">
        <f>IF(OR(A1668='F-Ahorro Futuro Decimos'!$H$16,A1668=""),"",IF(A1668+1&gt;'F-Ahorro Futuro Decimos'!$H$16,'F-Ahorro Futuro Decimos'!$H$16,A1668+1))</f>
        <v>1667</v>
      </c>
      <c r="B1669" s="122">
        <f>IFERROR(IF(DAY($A1669)=DAY('F-Ahorro Futuro Decimos'!$H$15),'F-Ahorro Futuro Decimos'!$H$14,0),0)</f>
        <v>0</v>
      </c>
      <c r="C1669" s="122">
        <f>IF(A1669='F-Ahorro Futuro Decimos'!$H$18,'F-Ahorro Futuro Decimos'!$H$20,0)</f>
        <v>0</v>
      </c>
      <c r="D1669" s="122">
        <f t="shared" si="26"/>
        <v>0</v>
      </c>
      <c r="E1669" s="121">
        <f>ROUND(D1669*'FR_Mantenimiento tasas'!$C$48/360,5)</f>
        <v>0</v>
      </c>
      <c r="F1669" s="121">
        <f>ROUND(D1669*'FR_Mantenimiento tasas'!$D$48/360,5)</f>
        <v>0</v>
      </c>
    </row>
    <row r="1670" spans="1:6">
      <c r="A1670" s="123">
        <f>IF(OR(A1669='F-Ahorro Futuro Decimos'!$H$16,A1669=""),"",IF(A1669+1&gt;'F-Ahorro Futuro Decimos'!$H$16,'F-Ahorro Futuro Decimos'!$H$16,A1669+1))</f>
        <v>1668</v>
      </c>
      <c r="B1670" s="122">
        <f>IFERROR(IF(DAY($A1670)=DAY('F-Ahorro Futuro Decimos'!$H$15),'F-Ahorro Futuro Decimos'!$H$14,0),0)</f>
        <v>0</v>
      </c>
      <c r="C1670" s="122">
        <f>IF(A1670='F-Ahorro Futuro Decimos'!$H$18,'F-Ahorro Futuro Decimos'!$H$20,0)</f>
        <v>0</v>
      </c>
      <c r="D1670" s="122">
        <f t="shared" si="26"/>
        <v>0</v>
      </c>
      <c r="E1670" s="121">
        <f>ROUND(D1670*'FR_Mantenimiento tasas'!$C$48/360,5)</f>
        <v>0</v>
      </c>
      <c r="F1670" s="121">
        <f>ROUND(D1670*'FR_Mantenimiento tasas'!$D$48/360,5)</f>
        <v>0</v>
      </c>
    </row>
    <row r="1671" spans="1:6">
      <c r="A1671" s="123">
        <f>IF(OR(A1670='F-Ahorro Futuro Decimos'!$H$16,A1670=""),"",IF(A1670+1&gt;'F-Ahorro Futuro Decimos'!$H$16,'F-Ahorro Futuro Decimos'!$H$16,A1670+1))</f>
        <v>1669</v>
      </c>
      <c r="B1671" s="122">
        <f>IFERROR(IF(DAY($A1671)=DAY('F-Ahorro Futuro Decimos'!$H$15),'F-Ahorro Futuro Decimos'!$H$14,0),0)</f>
        <v>0</v>
      </c>
      <c r="C1671" s="122">
        <f>IF(A1671='F-Ahorro Futuro Decimos'!$H$18,'F-Ahorro Futuro Decimos'!$H$20,0)</f>
        <v>0</v>
      </c>
      <c r="D1671" s="122">
        <f t="shared" si="26"/>
        <v>0</v>
      </c>
      <c r="E1671" s="121">
        <f>ROUND(D1671*'FR_Mantenimiento tasas'!$C$48/360,5)</f>
        <v>0</v>
      </c>
      <c r="F1671" s="121">
        <f>ROUND(D1671*'FR_Mantenimiento tasas'!$D$48/360,5)</f>
        <v>0</v>
      </c>
    </row>
    <row r="1672" spans="1:6">
      <c r="A1672" s="123">
        <f>IF(OR(A1671='F-Ahorro Futuro Decimos'!$H$16,A1671=""),"",IF(A1671+1&gt;'F-Ahorro Futuro Decimos'!$H$16,'F-Ahorro Futuro Decimos'!$H$16,A1671+1))</f>
        <v>1670</v>
      </c>
      <c r="B1672" s="122">
        <f>IFERROR(IF(DAY($A1672)=DAY('F-Ahorro Futuro Decimos'!$H$15),'F-Ahorro Futuro Decimos'!$H$14,0),0)</f>
        <v>0</v>
      </c>
      <c r="C1672" s="122">
        <f>IF(A1672='F-Ahorro Futuro Decimos'!$H$18,'F-Ahorro Futuro Decimos'!$H$20,0)</f>
        <v>0</v>
      </c>
      <c r="D1672" s="122">
        <f t="shared" si="26"/>
        <v>0</v>
      </c>
      <c r="E1672" s="121">
        <f>ROUND(D1672*'FR_Mantenimiento tasas'!$C$48/360,5)</f>
        <v>0</v>
      </c>
      <c r="F1672" s="121">
        <f>ROUND(D1672*'FR_Mantenimiento tasas'!$D$48/360,5)</f>
        <v>0</v>
      </c>
    </row>
    <row r="1673" spans="1:6">
      <c r="A1673" s="123">
        <f>IF(OR(A1672='F-Ahorro Futuro Decimos'!$H$16,A1672=""),"",IF(A1672+1&gt;'F-Ahorro Futuro Decimos'!$H$16,'F-Ahorro Futuro Decimos'!$H$16,A1672+1))</f>
        <v>1671</v>
      </c>
      <c r="B1673" s="122">
        <f>IFERROR(IF(DAY($A1673)=DAY('F-Ahorro Futuro Decimos'!$H$15),'F-Ahorro Futuro Decimos'!$H$14,0),0)</f>
        <v>0</v>
      </c>
      <c r="C1673" s="122">
        <f>IF(A1673='F-Ahorro Futuro Decimos'!$H$18,'F-Ahorro Futuro Decimos'!$H$20,0)</f>
        <v>0</v>
      </c>
      <c r="D1673" s="122">
        <f t="shared" si="26"/>
        <v>0</v>
      </c>
      <c r="E1673" s="121">
        <f>ROUND(D1673*'FR_Mantenimiento tasas'!$C$48/360,5)</f>
        <v>0</v>
      </c>
      <c r="F1673" s="121">
        <f>ROUND(D1673*'FR_Mantenimiento tasas'!$D$48/360,5)</f>
        <v>0</v>
      </c>
    </row>
    <row r="1674" spans="1:6">
      <c r="A1674" s="123">
        <f>IF(OR(A1673='F-Ahorro Futuro Decimos'!$H$16,A1673=""),"",IF(A1673+1&gt;'F-Ahorro Futuro Decimos'!$H$16,'F-Ahorro Futuro Decimos'!$H$16,A1673+1))</f>
        <v>1672</v>
      </c>
      <c r="B1674" s="122">
        <f>IFERROR(IF(DAY($A1674)=DAY('F-Ahorro Futuro Decimos'!$H$15),'F-Ahorro Futuro Decimos'!$H$14,0),0)</f>
        <v>0</v>
      </c>
      <c r="C1674" s="122">
        <f>IF(A1674='F-Ahorro Futuro Decimos'!$H$18,'F-Ahorro Futuro Decimos'!$H$20,0)</f>
        <v>0</v>
      </c>
      <c r="D1674" s="122">
        <f t="shared" si="26"/>
        <v>0</v>
      </c>
      <c r="E1674" s="121">
        <f>ROUND(D1674*'FR_Mantenimiento tasas'!$C$48/360,5)</f>
        <v>0</v>
      </c>
      <c r="F1674" s="121">
        <f>ROUND(D1674*'FR_Mantenimiento tasas'!$D$48/360,5)</f>
        <v>0</v>
      </c>
    </row>
    <row r="1675" spans="1:6">
      <c r="A1675" s="123">
        <f>IF(OR(A1674='F-Ahorro Futuro Decimos'!$H$16,A1674=""),"",IF(A1674+1&gt;'F-Ahorro Futuro Decimos'!$H$16,'F-Ahorro Futuro Decimos'!$H$16,A1674+1))</f>
        <v>1673</v>
      </c>
      <c r="B1675" s="122">
        <f>IFERROR(IF(DAY($A1675)=DAY('F-Ahorro Futuro Decimos'!$H$15),'F-Ahorro Futuro Decimos'!$H$14,0),0)</f>
        <v>0</v>
      </c>
      <c r="C1675" s="122">
        <f>IF(A1675='F-Ahorro Futuro Decimos'!$H$18,'F-Ahorro Futuro Decimos'!$H$20,0)</f>
        <v>0</v>
      </c>
      <c r="D1675" s="122">
        <f t="shared" si="26"/>
        <v>0</v>
      </c>
      <c r="E1675" s="121">
        <f>ROUND(D1675*'FR_Mantenimiento tasas'!$C$48/360,5)</f>
        <v>0</v>
      </c>
      <c r="F1675" s="121">
        <f>ROUND(D1675*'FR_Mantenimiento tasas'!$D$48/360,5)</f>
        <v>0</v>
      </c>
    </row>
    <row r="1676" spans="1:6">
      <c r="A1676" s="123">
        <f>IF(OR(A1675='F-Ahorro Futuro Decimos'!$H$16,A1675=""),"",IF(A1675+1&gt;'F-Ahorro Futuro Decimos'!$H$16,'F-Ahorro Futuro Decimos'!$H$16,A1675+1))</f>
        <v>1674</v>
      </c>
      <c r="B1676" s="122">
        <f>IFERROR(IF(DAY($A1676)=DAY('F-Ahorro Futuro Decimos'!$H$15),'F-Ahorro Futuro Decimos'!$H$14,0),0)</f>
        <v>0</v>
      </c>
      <c r="C1676" s="122">
        <f>IF(A1676='F-Ahorro Futuro Decimos'!$H$18,'F-Ahorro Futuro Decimos'!$H$20,0)</f>
        <v>0</v>
      </c>
      <c r="D1676" s="122">
        <f t="shared" si="26"/>
        <v>0</v>
      </c>
      <c r="E1676" s="121">
        <f>ROUND(D1676*'FR_Mantenimiento tasas'!$C$48/360,5)</f>
        <v>0</v>
      </c>
      <c r="F1676" s="121">
        <f>ROUND(D1676*'FR_Mantenimiento tasas'!$D$48/360,5)</f>
        <v>0</v>
      </c>
    </row>
    <row r="1677" spans="1:6">
      <c r="A1677" s="123">
        <f>IF(OR(A1676='F-Ahorro Futuro Decimos'!$H$16,A1676=""),"",IF(A1676+1&gt;'F-Ahorro Futuro Decimos'!$H$16,'F-Ahorro Futuro Decimos'!$H$16,A1676+1))</f>
        <v>1675</v>
      </c>
      <c r="B1677" s="122">
        <f>IFERROR(IF(DAY($A1677)=DAY('F-Ahorro Futuro Decimos'!$H$15),'F-Ahorro Futuro Decimos'!$H$14,0),0)</f>
        <v>0</v>
      </c>
      <c r="C1677" s="122">
        <f>IF(A1677='F-Ahorro Futuro Decimos'!$H$18,'F-Ahorro Futuro Decimos'!$H$20,0)</f>
        <v>0</v>
      </c>
      <c r="D1677" s="122">
        <f t="shared" si="26"/>
        <v>0</v>
      </c>
      <c r="E1677" s="121">
        <f>ROUND(D1677*'FR_Mantenimiento tasas'!$C$48/360,5)</f>
        <v>0</v>
      </c>
      <c r="F1677" s="121">
        <f>ROUND(D1677*'FR_Mantenimiento tasas'!$D$48/360,5)</f>
        <v>0</v>
      </c>
    </row>
    <row r="1678" spans="1:6">
      <c r="A1678" s="123">
        <f>IF(OR(A1677='F-Ahorro Futuro Decimos'!$H$16,A1677=""),"",IF(A1677+1&gt;'F-Ahorro Futuro Decimos'!$H$16,'F-Ahorro Futuro Decimos'!$H$16,A1677+1))</f>
        <v>1676</v>
      </c>
      <c r="B1678" s="122">
        <f>IFERROR(IF(DAY($A1678)=DAY('F-Ahorro Futuro Decimos'!$H$15),'F-Ahorro Futuro Decimos'!$H$14,0),0)</f>
        <v>0</v>
      </c>
      <c r="C1678" s="122">
        <f>IF(A1678='F-Ahorro Futuro Decimos'!$H$18,'F-Ahorro Futuro Decimos'!$H$20,0)</f>
        <v>0</v>
      </c>
      <c r="D1678" s="122">
        <f t="shared" si="26"/>
        <v>0</v>
      </c>
      <c r="E1678" s="121">
        <f>ROUND(D1678*'FR_Mantenimiento tasas'!$C$48/360,5)</f>
        <v>0</v>
      </c>
      <c r="F1678" s="121">
        <f>ROUND(D1678*'FR_Mantenimiento tasas'!$D$48/360,5)</f>
        <v>0</v>
      </c>
    </row>
    <row r="1679" spans="1:6">
      <c r="A1679" s="123">
        <f>IF(OR(A1678='F-Ahorro Futuro Decimos'!$H$16,A1678=""),"",IF(A1678+1&gt;'F-Ahorro Futuro Decimos'!$H$16,'F-Ahorro Futuro Decimos'!$H$16,A1678+1))</f>
        <v>1677</v>
      </c>
      <c r="B1679" s="122">
        <f>IFERROR(IF(DAY($A1679)=DAY('F-Ahorro Futuro Decimos'!$H$15),'F-Ahorro Futuro Decimos'!$H$14,0),0)</f>
        <v>0</v>
      </c>
      <c r="C1679" s="122">
        <f>IF(A1679='F-Ahorro Futuro Decimos'!$H$18,'F-Ahorro Futuro Decimos'!$H$20,0)</f>
        <v>0</v>
      </c>
      <c r="D1679" s="122">
        <f t="shared" si="26"/>
        <v>0</v>
      </c>
      <c r="E1679" s="121">
        <f>ROUND(D1679*'FR_Mantenimiento tasas'!$C$48/360,5)</f>
        <v>0</v>
      </c>
      <c r="F1679" s="121">
        <f>ROUND(D1679*'FR_Mantenimiento tasas'!$D$48/360,5)</f>
        <v>0</v>
      </c>
    </row>
    <row r="1680" spans="1:6">
      <c r="A1680" s="123">
        <f>IF(OR(A1679='F-Ahorro Futuro Decimos'!$H$16,A1679=""),"",IF(A1679+1&gt;'F-Ahorro Futuro Decimos'!$H$16,'F-Ahorro Futuro Decimos'!$H$16,A1679+1))</f>
        <v>1678</v>
      </c>
      <c r="B1680" s="122">
        <f>IFERROR(IF(DAY($A1680)=DAY('F-Ahorro Futuro Decimos'!$H$15),'F-Ahorro Futuro Decimos'!$H$14,0),0)</f>
        <v>0</v>
      </c>
      <c r="C1680" s="122">
        <f>IF(A1680='F-Ahorro Futuro Decimos'!$H$18,'F-Ahorro Futuro Decimos'!$H$20,0)</f>
        <v>0</v>
      </c>
      <c r="D1680" s="122">
        <f t="shared" si="26"/>
        <v>0</v>
      </c>
      <c r="E1680" s="121">
        <f>ROUND(D1680*'FR_Mantenimiento tasas'!$C$48/360,5)</f>
        <v>0</v>
      </c>
      <c r="F1680" s="121">
        <f>ROUND(D1680*'FR_Mantenimiento tasas'!$D$48/360,5)</f>
        <v>0</v>
      </c>
    </row>
    <row r="1681" spans="1:6">
      <c r="A1681" s="123">
        <f>IF(OR(A1680='F-Ahorro Futuro Decimos'!$H$16,A1680=""),"",IF(A1680+1&gt;'F-Ahorro Futuro Decimos'!$H$16,'F-Ahorro Futuro Decimos'!$H$16,A1680+1))</f>
        <v>1679</v>
      </c>
      <c r="B1681" s="122">
        <f>IFERROR(IF(DAY($A1681)=DAY('F-Ahorro Futuro Decimos'!$H$15),'F-Ahorro Futuro Decimos'!$H$14,0),0)</f>
        <v>0</v>
      </c>
      <c r="C1681" s="122">
        <f>IF(A1681='F-Ahorro Futuro Decimos'!$H$18,'F-Ahorro Futuro Decimos'!$H$20,0)</f>
        <v>0</v>
      </c>
      <c r="D1681" s="122">
        <f t="shared" si="26"/>
        <v>0</v>
      </c>
      <c r="E1681" s="121">
        <f>ROUND(D1681*'FR_Mantenimiento tasas'!$C$48/360,5)</f>
        <v>0</v>
      </c>
      <c r="F1681" s="121">
        <f>ROUND(D1681*'FR_Mantenimiento tasas'!$D$48/360,5)</f>
        <v>0</v>
      </c>
    </row>
    <row r="1682" spans="1:6">
      <c r="A1682" s="123">
        <f>IF(OR(A1681='F-Ahorro Futuro Decimos'!$H$16,A1681=""),"",IF(A1681+1&gt;'F-Ahorro Futuro Decimos'!$H$16,'F-Ahorro Futuro Decimos'!$H$16,A1681+1))</f>
        <v>1680</v>
      </c>
      <c r="B1682" s="122">
        <f>IFERROR(IF(DAY($A1682)=DAY('F-Ahorro Futuro Decimos'!$H$15),'F-Ahorro Futuro Decimos'!$H$14,0),0)</f>
        <v>0</v>
      </c>
      <c r="C1682" s="122">
        <f>IF(A1682='F-Ahorro Futuro Decimos'!$H$18,'F-Ahorro Futuro Decimos'!$H$20,0)</f>
        <v>0</v>
      </c>
      <c r="D1682" s="122">
        <f t="shared" si="26"/>
        <v>0</v>
      </c>
      <c r="E1682" s="121">
        <f>ROUND(D1682*'FR_Mantenimiento tasas'!$C$48/360,5)</f>
        <v>0</v>
      </c>
      <c r="F1682" s="121">
        <f>ROUND(D1682*'FR_Mantenimiento tasas'!$D$48/360,5)</f>
        <v>0</v>
      </c>
    </row>
    <row r="1683" spans="1:6">
      <c r="A1683" s="123">
        <f>IF(OR(A1682='F-Ahorro Futuro Decimos'!$H$16,A1682=""),"",IF(A1682+1&gt;'F-Ahorro Futuro Decimos'!$H$16,'F-Ahorro Futuro Decimos'!$H$16,A1682+1))</f>
        <v>1681</v>
      </c>
      <c r="B1683" s="122">
        <f>IFERROR(IF(DAY($A1683)=DAY('F-Ahorro Futuro Decimos'!$H$15),'F-Ahorro Futuro Decimos'!$H$14,0),0)</f>
        <v>0</v>
      </c>
      <c r="C1683" s="122">
        <f>IF(A1683='F-Ahorro Futuro Decimos'!$H$18,'F-Ahorro Futuro Decimos'!$H$20,0)</f>
        <v>0</v>
      </c>
      <c r="D1683" s="122">
        <f t="shared" si="26"/>
        <v>0</v>
      </c>
      <c r="E1683" s="121">
        <f>ROUND(D1683*'FR_Mantenimiento tasas'!$C$48/360,5)</f>
        <v>0</v>
      </c>
      <c r="F1683" s="121">
        <f>ROUND(D1683*'FR_Mantenimiento tasas'!$D$48/360,5)</f>
        <v>0</v>
      </c>
    </row>
    <row r="1684" spans="1:6">
      <c r="A1684" s="123">
        <f>IF(OR(A1683='F-Ahorro Futuro Decimos'!$H$16,A1683=""),"",IF(A1683+1&gt;'F-Ahorro Futuro Decimos'!$H$16,'F-Ahorro Futuro Decimos'!$H$16,A1683+1))</f>
        <v>1682</v>
      </c>
      <c r="B1684" s="122">
        <f>IFERROR(IF(DAY($A1684)=DAY('F-Ahorro Futuro Decimos'!$H$15),'F-Ahorro Futuro Decimos'!$H$14,0),0)</f>
        <v>0</v>
      </c>
      <c r="C1684" s="122">
        <f>IF(A1684='F-Ahorro Futuro Decimos'!$H$18,'F-Ahorro Futuro Decimos'!$H$20,0)</f>
        <v>0</v>
      </c>
      <c r="D1684" s="122">
        <f t="shared" si="26"/>
        <v>0</v>
      </c>
      <c r="E1684" s="121">
        <f>ROUND(D1684*'FR_Mantenimiento tasas'!$C$48/360,5)</f>
        <v>0</v>
      </c>
      <c r="F1684" s="121">
        <f>ROUND(D1684*'FR_Mantenimiento tasas'!$D$48/360,5)</f>
        <v>0</v>
      </c>
    </row>
    <row r="1685" spans="1:6">
      <c r="A1685" s="123">
        <f>IF(OR(A1684='F-Ahorro Futuro Decimos'!$H$16,A1684=""),"",IF(A1684+1&gt;'F-Ahorro Futuro Decimos'!$H$16,'F-Ahorro Futuro Decimos'!$H$16,A1684+1))</f>
        <v>1683</v>
      </c>
      <c r="B1685" s="122">
        <f>IFERROR(IF(DAY($A1685)=DAY('F-Ahorro Futuro Decimos'!$H$15),'F-Ahorro Futuro Decimos'!$H$14,0),0)</f>
        <v>0</v>
      </c>
      <c r="C1685" s="122">
        <f>IF(A1685='F-Ahorro Futuro Decimos'!$H$18,'F-Ahorro Futuro Decimos'!$H$20,0)</f>
        <v>0</v>
      </c>
      <c r="D1685" s="122">
        <f t="shared" si="26"/>
        <v>0</v>
      </c>
      <c r="E1685" s="121">
        <f>ROUND(D1685*'FR_Mantenimiento tasas'!$C$48/360,5)</f>
        <v>0</v>
      </c>
      <c r="F1685" s="121">
        <f>ROUND(D1685*'FR_Mantenimiento tasas'!$D$48/360,5)</f>
        <v>0</v>
      </c>
    </row>
    <row r="1686" spans="1:6">
      <c r="A1686" s="123">
        <f>IF(OR(A1685='F-Ahorro Futuro Decimos'!$H$16,A1685=""),"",IF(A1685+1&gt;'F-Ahorro Futuro Decimos'!$H$16,'F-Ahorro Futuro Decimos'!$H$16,A1685+1))</f>
        <v>1684</v>
      </c>
      <c r="B1686" s="122">
        <f>IFERROR(IF(DAY($A1686)=DAY('F-Ahorro Futuro Decimos'!$H$15),'F-Ahorro Futuro Decimos'!$H$14,0),0)</f>
        <v>0</v>
      </c>
      <c r="C1686" s="122">
        <f>IF(A1686='F-Ahorro Futuro Decimos'!$H$18,'F-Ahorro Futuro Decimos'!$H$20,0)</f>
        <v>0</v>
      </c>
      <c r="D1686" s="122">
        <f t="shared" si="26"/>
        <v>0</v>
      </c>
      <c r="E1686" s="121">
        <f>ROUND(D1686*'FR_Mantenimiento tasas'!$C$48/360,5)</f>
        <v>0</v>
      </c>
      <c r="F1686" s="121">
        <f>ROUND(D1686*'FR_Mantenimiento tasas'!$D$48/360,5)</f>
        <v>0</v>
      </c>
    </row>
    <row r="1687" spans="1:6">
      <c r="A1687" s="123">
        <f>IF(OR(A1686='F-Ahorro Futuro Decimos'!$H$16,A1686=""),"",IF(A1686+1&gt;'F-Ahorro Futuro Decimos'!$H$16,'F-Ahorro Futuro Decimos'!$H$16,A1686+1))</f>
        <v>1685</v>
      </c>
      <c r="B1687" s="122">
        <f>IFERROR(IF(DAY($A1687)=DAY('F-Ahorro Futuro Decimos'!$H$15),'F-Ahorro Futuro Decimos'!$H$14,0),0)</f>
        <v>0</v>
      </c>
      <c r="C1687" s="122">
        <f>IF(A1687='F-Ahorro Futuro Decimos'!$H$18,'F-Ahorro Futuro Decimos'!$H$20,0)</f>
        <v>0</v>
      </c>
      <c r="D1687" s="122">
        <f t="shared" si="26"/>
        <v>0</v>
      </c>
      <c r="E1687" s="121">
        <f>ROUND(D1687*'FR_Mantenimiento tasas'!$C$48/360,5)</f>
        <v>0</v>
      </c>
      <c r="F1687" s="121">
        <f>ROUND(D1687*'FR_Mantenimiento tasas'!$D$48/360,5)</f>
        <v>0</v>
      </c>
    </row>
    <row r="1688" spans="1:6">
      <c r="A1688" s="123">
        <f>IF(OR(A1687='F-Ahorro Futuro Decimos'!$H$16,A1687=""),"",IF(A1687+1&gt;'F-Ahorro Futuro Decimos'!$H$16,'F-Ahorro Futuro Decimos'!$H$16,A1687+1))</f>
        <v>1686</v>
      </c>
      <c r="B1688" s="122">
        <f>IFERROR(IF(DAY($A1688)=DAY('F-Ahorro Futuro Decimos'!$H$15),'F-Ahorro Futuro Decimos'!$H$14,0),0)</f>
        <v>0</v>
      </c>
      <c r="C1688" s="122">
        <f>IF(A1688='F-Ahorro Futuro Decimos'!$H$18,'F-Ahorro Futuro Decimos'!$H$20,0)</f>
        <v>0</v>
      </c>
      <c r="D1688" s="122">
        <f t="shared" si="26"/>
        <v>0</v>
      </c>
      <c r="E1688" s="121">
        <f>ROUND(D1688*'FR_Mantenimiento tasas'!$C$48/360,5)</f>
        <v>0</v>
      </c>
      <c r="F1688" s="121">
        <f>ROUND(D1688*'FR_Mantenimiento tasas'!$D$48/360,5)</f>
        <v>0</v>
      </c>
    </row>
    <row r="1689" spans="1:6">
      <c r="A1689" s="123">
        <f>IF(OR(A1688='F-Ahorro Futuro Decimos'!$H$16,A1688=""),"",IF(A1688+1&gt;'F-Ahorro Futuro Decimos'!$H$16,'F-Ahorro Futuro Decimos'!$H$16,A1688+1))</f>
        <v>1687</v>
      </c>
      <c r="B1689" s="122">
        <f>IFERROR(IF(DAY($A1689)=DAY('F-Ahorro Futuro Decimos'!$H$15),'F-Ahorro Futuro Decimos'!$H$14,0),0)</f>
        <v>0</v>
      </c>
      <c r="C1689" s="122">
        <f>IF(A1689='F-Ahorro Futuro Decimos'!$H$18,'F-Ahorro Futuro Decimos'!$H$20,0)</f>
        <v>0</v>
      </c>
      <c r="D1689" s="122">
        <f t="shared" si="26"/>
        <v>0</v>
      </c>
      <c r="E1689" s="121">
        <f>ROUND(D1689*'FR_Mantenimiento tasas'!$C$48/360,5)</f>
        <v>0</v>
      </c>
      <c r="F1689" s="121">
        <f>ROUND(D1689*'FR_Mantenimiento tasas'!$D$48/360,5)</f>
        <v>0</v>
      </c>
    </row>
    <row r="1690" spans="1:6">
      <c r="A1690" s="123">
        <f>IF(OR(A1689='F-Ahorro Futuro Decimos'!$H$16,A1689=""),"",IF(A1689+1&gt;'F-Ahorro Futuro Decimos'!$H$16,'F-Ahorro Futuro Decimos'!$H$16,A1689+1))</f>
        <v>1688</v>
      </c>
      <c r="B1690" s="122">
        <f>IFERROR(IF(DAY($A1690)=DAY('F-Ahorro Futuro Decimos'!$H$15),'F-Ahorro Futuro Decimos'!$H$14,0),0)</f>
        <v>0</v>
      </c>
      <c r="C1690" s="122">
        <f>IF(A1690='F-Ahorro Futuro Decimos'!$H$18,'F-Ahorro Futuro Decimos'!$H$20,0)</f>
        <v>0</v>
      </c>
      <c r="D1690" s="122">
        <f t="shared" si="26"/>
        <v>0</v>
      </c>
      <c r="E1690" s="121">
        <f>ROUND(D1690*'FR_Mantenimiento tasas'!$C$48/360,5)</f>
        <v>0</v>
      </c>
      <c r="F1690" s="121">
        <f>ROUND(D1690*'FR_Mantenimiento tasas'!$D$48/360,5)</f>
        <v>0</v>
      </c>
    </row>
    <row r="1691" spans="1:6">
      <c r="A1691" s="123">
        <f>IF(OR(A1690='F-Ahorro Futuro Decimos'!$H$16,A1690=""),"",IF(A1690+1&gt;'F-Ahorro Futuro Decimos'!$H$16,'F-Ahorro Futuro Decimos'!$H$16,A1690+1))</f>
        <v>1689</v>
      </c>
      <c r="B1691" s="122">
        <f>IFERROR(IF(DAY($A1691)=DAY('F-Ahorro Futuro Decimos'!$H$15),'F-Ahorro Futuro Decimos'!$H$14,0),0)</f>
        <v>0</v>
      </c>
      <c r="C1691" s="122">
        <f>IF(A1691='F-Ahorro Futuro Decimos'!$H$18,'F-Ahorro Futuro Decimos'!$H$20,0)</f>
        <v>0</v>
      </c>
      <c r="D1691" s="122">
        <f t="shared" si="26"/>
        <v>0</v>
      </c>
      <c r="E1691" s="121">
        <f>ROUND(D1691*'FR_Mantenimiento tasas'!$C$48/360,5)</f>
        <v>0</v>
      </c>
      <c r="F1691" s="121">
        <f>ROUND(D1691*'FR_Mantenimiento tasas'!$D$48/360,5)</f>
        <v>0</v>
      </c>
    </row>
    <row r="1692" spans="1:6">
      <c r="A1692" s="123">
        <f>IF(OR(A1691='F-Ahorro Futuro Decimos'!$H$16,A1691=""),"",IF(A1691+1&gt;'F-Ahorro Futuro Decimos'!$H$16,'F-Ahorro Futuro Decimos'!$H$16,A1691+1))</f>
        <v>1690</v>
      </c>
      <c r="B1692" s="122">
        <f>IFERROR(IF(DAY($A1692)=DAY('F-Ahorro Futuro Decimos'!$H$15),'F-Ahorro Futuro Decimos'!$H$14,0),0)</f>
        <v>0</v>
      </c>
      <c r="C1692" s="122">
        <f>IF(A1692='F-Ahorro Futuro Decimos'!$H$18,'F-Ahorro Futuro Decimos'!$H$20,0)</f>
        <v>0</v>
      </c>
      <c r="D1692" s="122">
        <f t="shared" si="26"/>
        <v>0</v>
      </c>
      <c r="E1692" s="121">
        <f>ROUND(D1692*'FR_Mantenimiento tasas'!$C$48/360,5)</f>
        <v>0</v>
      </c>
      <c r="F1692" s="121">
        <f>ROUND(D1692*'FR_Mantenimiento tasas'!$D$48/360,5)</f>
        <v>0</v>
      </c>
    </row>
    <row r="1693" spans="1:6">
      <c r="A1693" s="123">
        <f>IF(OR(A1692='F-Ahorro Futuro Decimos'!$H$16,A1692=""),"",IF(A1692+1&gt;'F-Ahorro Futuro Decimos'!$H$16,'F-Ahorro Futuro Decimos'!$H$16,A1692+1))</f>
        <v>1691</v>
      </c>
      <c r="B1693" s="122">
        <f>IFERROR(IF(DAY($A1693)=DAY('F-Ahorro Futuro Decimos'!$H$15),'F-Ahorro Futuro Decimos'!$H$14,0),0)</f>
        <v>0</v>
      </c>
      <c r="C1693" s="122">
        <f>IF(A1693='F-Ahorro Futuro Decimos'!$H$18,'F-Ahorro Futuro Decimos'!$H$20,0)</f>
        <v>0</v>
      </c>
      <c r="D1693" s="122">
        <f t="shared" si="26"/>
        <v>0</v>
      </c>
      <c r="E1693" s="121">
        <f>ROUND(D1693*'FR_Mantenimiento tasas'!$C$48/360,5)</f>
        <v>0</v>
      </c>
      <c r="F1693" s="121">
        <f>ROUND(D1693*'FR_Mantenimiento tasas'!$D$48/360,5)</f>
        <v>0</v>
      </c>
    </row>
    <row r="1694" spans="1:6">
      <c r="A1694" s="123">
        <f>IF(OR(A1693='F-Ahorro Futuro Decimos'!$H$16,A1693=""),"",IF(A1693+1&gt;'F-Ahorro Futuro Decimos'!$H$16,'F-Ahorro Futuro Decimos'!$H$16,A1693+1))</f>
        <v>1692</v>
      </c>
      <c r="B1694" s="122">
        <f>IFERROR(IF(DAY($A1694)=DAY('F-Ahorro Futuro Decimos'!$H$15),'F-Ahorro Futuro Decimos'!$H$14,0),0)</f>
        <v>0</v>
      </c>
      <c r="C1694" s="122">
        <f>IF(A1694='F-Ahorro Futuro Decimos'!$H$18,'F-Ahorro Futuro Decimos'!$H$20,0)</f>
        <v>0</v>
      </c>
      <c r="D1694" s="122">
        <f t="shared" si="26"/>
        <v>0</v>
      </c>
      <c r="E1694" s="121">
        <f>ROUND(D1694*'FR_Mantenimiento tasas'!$C$48/360,5)</f>
        <v>0</v>
      </c>
      <c r="F1694" s="121">
        <f>ROUND(D1694*'FR_Mantenimiento tasas'!$D$48/360,5)</f>
        <v>0</v>
      </c>
    </row>
    <row r="1695" spans="1:6">
      <c r="A1695" s="123">
        <f>IF(OR(A1694='F-Ahorro Futuro Decimos'!$H$16,A1694=""),"",IF(A1694+1&gt;'F-Ahorro Futuro Decimos'!$H$16,'F-Ahorro Futuro Decimos'!$H$16,A1694+1))</f>
        <v>1693</v>
      </c>
      <c r="B1695" s="122">
        <f>IFERROR(IF(DAY($A1695)=DAY('F-Ahorro Futuro Decimos'!$H$15),'F-Ahorro Futuro Decimos'!$H$14,0),0)</f>
        <v>0</v>
      </c>
      <c r="C1695" s="122">
        <f>IF(A1695='F-Ahorro Futuro Decimos'!$H$18,'F-Ahorro Futuro Decimos'!$H$20,0)</f>
        <v>0</v>
      </c>
      <c r="D1695" s="122">
        <f t="shared" si="26"/>
        <v>0</v>
      </c>
      <c r="E1695" s="121">
        <f>ROUND(D1695*'FR_Mantenimiento tasas'!$C$48/360,5)</f>
        <v>0</v>
      </c>
      <c r="F1695" s="121">
        <f>ROUND(D1695*'FR_Mantenimiento tasas'!$D$48/360,5)</f>
        <v>0</v>
      </c>
    </row>
    <row r="1696" spans="1:6">
      <c r="A1696" s="123">
        <f>IF(OR(A1695='F-Ahorro Futuro Decimos'!$H$16,A1695=""),"",IF(A1695+1&gt;'F-Ahorro Futuro Decimos'!$H$16,'F-Ahorro Futuro Decimos'!$H$16,A1695+1))</f>
        <v>1694</v>
      </c>
      <c r="B1696" s="122">
        <f>IFERROR(IF(DAY($A1696)=DAY('F-Ahorro Futuro Decimos'!$H$15),'F-Ahorro Futuro Decimos'!$H$14,0),0)</f>
        <v>0</v>
      </c>
      <c r="C1696" s="122">
        <f>IF(A1696='F-Ahorro Futuro Decimos'!$H$18,'F-Ahorro Futuro Decimos'!$H$20,0)</f>
        <v>0</v>
      </c>
      <c r="D1696" s="122">
        <f t="shared" si="26"/>
        <v>0</v>
      </c>
      <c r="E1696" s="121">
        <f>ROUND(D1696*'FR_Mantenimiento tasas'!$C$48/360,5)</f>
        <v>0</v>
      </c>
      <c r="F1696" s="121">
        <f>ROUND(D1696*'FR_Mantenimiento tasas'!$D$48/360,5)</f>
        <v>0</v>
      </c>
    </row>
    <row r="1697" spans="1:6">
      <c r="A1697" s="123">
        <f>IF(OR(A1696='F-Ahorro Futuro Decimos'!$H$16,A1696=""),"",IF(A1696+1&gt;'F-Ahorro Futuro Decimos'!$H$16,'F-Ahorro Futuro Decimos'!$H$16,A1696+1))</f>
        <v>1695</v>
      </c>
      <c r="B1697" s="122">
        <f>IFERROR(IF(DAY($A1697)=DAY('F-Ahorro Futuro Decimos'!$H$15),'F-Ahorro Futuro Decimos'!$H$14,0),0)</f>
        <v>0</v>
      </c>
      <c r="C1697" s="122">
        <f>IF(A1697='F-Ahorro Futuro Decimos'!$H$18,'F-Ahorro Futuro Decimos'!$H$20,0)</f>
        <v>0</v>
      </c>
      <c r="D1697" s="122">
        <f t="shared" si="26"/>
        <v>0</v>
      </c>
      <c r="E1697" s="121">
        <f>ROUND(D1697*'FR_Mantenimiento tasas'!$C$48/360,5)</f>
        <v>0</v>
      </c>
      <c r="F1697" s="121">
        <f>ROUND(D1697*'FR_Mantenimiento tasas'!$D$48/360,5)</f>
        <v>0</v>
      </c>
    </row>
    <row r="1698" spans="1:6">
      <c r="A1698" s="123">
        <f>IF(OR(A1697='F-Ahorro Futuro Decimos'!$H$16,A1697=""),"",IF(A1697+1&gt;'F-Ahorro Futuro Decimos'!$H$16,'F-Ahorro Futuro Decimos'!$H$16,A1697+1))</f>
        <v>1696</v>
      </c>
      <c r="B1698" s="122">
        <f>IFERROR(IF(DAY($A1698)=DAY('F-Ahorro Futuro Decimos'!$H$15),'F-Ahorro Futuro Decimos'!$H$14,0),0)</f>
        <v>0</v>
      </c>
      <c r="C1698" s="122">
        <f>IF(A1698='F-Ahorro Futuro Decimos'!$H$18,'F-Ahorro Futuro Decimos'!$H$20,0)</f>
        <v>0</v>
      </c>
      <c r="D1698" s="122">
        <f t="shared" si="26"/>
        <v>0</v>
      </c>
      <c r="E1698" s="121">
        <f>ROUND(D1698*'FR_Mantenimiento tasas'!$C$48/360,5)</f>
        <v>0</v>
      </c>
      <c r="F1698" s="121">
        <f>ROUND(D1698*'FR_Mantenimiento tasas'!$D$48/360,5)</f>
        <v>0</v>
      </c>
    </row>
    <row r="1699" spans="1:6">
      <c r="A1699" s="123">
        <f>IF(OR(A1698='F-Ahorro Futuro Decimos'!$H$16,A1698=""),"",IF(A1698+1&gt;'F-Ahorro Futuro Decimos'!$H$16,'F-Ahorro Futuro Decimos'!$H$16,A1698+1))</f>
        <v>1697</v>
      </c>
      <c r="B1699" s="122">
        <f>IFERROR(IF(DAY($A1699)=DAY('F-Ahorro Futuro Decimos'!$H$15),'F-Ahorro Futuro Decimos'!$H$14,0),0)</f>
        <v>0</v>
      </c>
      <c r="C1699" s="122">
        <f>IF(A1699='F-Ahorro Futuro Decimos'!$H$18,'F-Ahorro Futuro Decimos'!$H$20,0)</f>
        <v>0</v>
      </c>
      <c r="D1699" s="122">
        <f t="shared" si="26"/>
        <v>0</v>
      </c>
      <c r="E1699" s="121">
        <f>ROUND(D1699*'FR_Mantenimiento tasas'!$C$48/360,5)</f>
        <v>0</v>
      </c>
      <c r="F1699" s="121">
        <f>ROUND(D1699*'FR_Mantenimiento tasas'!$D$48/360,5)</f>
        <v>0</v>
      </c>
    </row>
    <row r="1700" spans="1:6">
      <c r="A1700" s="123">
        <f>IF(OR(A1699='F-Ahorro Futuro Decimos'!$H$16,A1699=""),"",IF(A1699+1&gt;'F-Ahorro Futuro Decimos'!$H$16,'F-Ahorro Futuro Decimos'!$H$16,A1699+1))</f>
        <v>1698</v>
      </c>
      <c r="B1700" s="122">
        <f>IFERROR(IF(DAY($A1700)=DAY('F-Ahorro Futuro Decimos'!$H$15),'F-Ahorro Futuro Decimos'!$H$14,0),0)</f>
        <v>0</v>
      </c>
      <c r="C1700" s="122">
        <f>IF(A1700='F-Ahorro Futuro Decimos'!$H$18,'F-Ahorro Futuro Decimos'!$H$20,0)</f>
        <v>0</v>
      </c>
      <c r="D1700" s="122">
        <f t="shared" si="26"/>
        <v>0</v>
      </c>
      <c r="E1700" s="121">
        <f>ROUND(D1700*'FR_Mantenimiento tasas'!$C$48/360,5)</f>
        <v>0</v>
      </c>
      <c r="F1700" s="121">
        <f>ROUND(D1700*'FR_Mantenimiento tasas'!$D$48/360,5)</f>
        <v>0</v>
      </c>
    </row>
    <row r="1701" spans="1:6">
      <c r="A1701" s="123">
        <f>IF(OR(A1700='F-Ahorro Futuro Decimos'!$H$16,A1700=""),"",IF(A1700+1&gt;'F-Ahorro Futuro Decimos'!$H$16,'F-Ahorro Futuro Decimos'!$H$16,A1700+1))</f>
        <v>1699</v>
      </c>
      <c r="B1701" s="122">
        <f>IFERROR(IF(DAY($A1701)=DAY('F-Ahorro Futuro Decimos'!$H$15),'F-Ahorro Futuro Decimos'!$H$14,0),0)</f>
        <v>0</v>
      </c>
      <c r="C1701" s="122">
        <f>IF(A1701='F-Ahorro Futuro Decimos'!$H$18,'F-Ahorro Futuro Decimos'!$H$20,0)</f>
        <v>0</v>
      </c>
      <c r="D1701" s="122">
        <f t="shared" si="26"/>
        <v>0</v>
      </c>
      <c r="E1701" s="121">
        <f>ROUND(D1701*'FR_Mantenimiento tasas'!$C$48/360,5)</f>
        <v>0</v>
      </c>
      <c r="F1701" s="121">
        <f>ROUND(D1701*'FR_Mantenimiento tasas'!$D$48/360,5)</f>
        <v>0</v>
      </c>
    </row>
    <row r="1702" spans="1:6">
      <c r="A1702" s="123">
        <f>IF(OR(A1701='F-Ahorro Futuro Decimos'!$H$16,A1701=""),"",IF(A1701+1&gt;'F-Ahorro Futuro Decimos'!$H$16,'F-Ahorro Futuro Decimos'!$H$16,A1701+1))</f>
        <v>1700</v>
      </c>
      <c r="B1702" s="122">
        <f>IFERROR(IF(DAY($A1702)=DAY('F-Ahorro Futuro Decimos'!$H$15),'F-Ahorro Futuro Decimos'!$H$14,0),0)</f>
        <v>0</v>
      </c>
      <c r="C1702" s="122">
        <f>IF(A1702='F-Ahorro Futuro Decimos'!$H$18,'F-Ahorro Futuro Decimos'!$H$20,0)</f>
        <v>0</v>
      </c>
      <c r="D1702" s="122">
        <f t="shared" si="26"/>
        <v>0</v>
      </c>
      <c r="E1702" s="121">
        <f>ROUND(D1702*'FR_Mantenimiento tasas'!$C$48/360,5)</f>
        <v>0</v>
      </c>
      <c r="F1702" s="121">
        <f>ROUND(D1702*'FR_Mantenimiento tasas'!$D$48/360,5)</f>
        <v>0</v>
      </c>
    </row>
    <row r="1703" spans="1:6">
      <c r="A1703" s="123">
        <f>IF(OR(A1702='F-Ahorro Futuro Decimos'!$H$16,A1702=""),"",IF(A1702+1&gt;'F-Ahorro Futuro Decimos'!$H$16,'F-Ahorro Futuro Decimos'!$H$16,A1702+1))</f>
        <v>1701</v>
      </c>
      <c r="B1703" s="122">
        <f>IFERROR(IF(DAY($A1703)=DAY('F-Ahorro Futuro Decimos'!$H$15),'F-Ahorro Futuro Decimos'!$H$14,0),0)</f>
        <v>0</v>
      </c>
      <c r="C1703" s="122">
        <f>IF(A1703='F-Ahorro Futuro Decimos'!$H$18,'F-Ahorro Futuro Decimos'!$H$20,0)</f>
        <v>0</v>
      </c>
      <c r="D1703" s="122">
        <f t="shared" si="26"/>
        <v>0</v>
      </c>
      <c r="E1703" s="121">
        <f>ROUND(D1703*'FR_Mantenimiento tasas'!$C$48/360,5)</f>
        <v>0</v>
      </c>
      <c r="F1703" s="121">
        <f>ROUND(D1703*'FR_Mantenimiento tasas'!$D$48/360,5)</f>
        <v>0</v>
      </c>
    </row>
    <row r="1704" spans="1:6">
      <c r="A1704" s="123">
        <f>IF(OR(A1703='F-Ahorro Futuro Decimos'!$H$16,A1703=""),"",IF(A1703+1&gt;'F-Ahorro Futuro Decimos'!$H$16,'F-Ahorro Futuro Decimos'!$H$16,A1703+1))</f>
        <v>1702</v>
      </c>
      <c r="B1704" s="122">
        <f>IFERROR(IF(DAY($A1704)=DAY('F-Ahorro Futuro Decimos'!$H$15),'F-Ahorro Futuro Decimos'!$H$14,0),0)</f>
        <v>0</v>
      </c>
      <c r="C1704" s="122">
        <f>IF(A1704='F-Ahorro Futuro Decimos'!$H$18,'F-Ahorro Futuro Decimos'!$H$20,0)</f>
        <v>0</v>
      </c>
      <c r="D1704" s="122">
        <f t="shared" si="26"/>
        <v>0</v>
      </c>
      <c r="E1704" s="121">
        <f>ROUND(D1704*'FR_Mantenimiento tasas'!$C$48/360,5)</f>
        <v>0</v>
      </c>
      <c r="F1704" s="121">
        <f>ROUND(D1704*'FR_Mantenimiento tasas'!$D$48/360,5)</f>
        <v>0</v>
      </c>
    </row>
    <row r="1705" spans="1:6">
      <c r="A1705" s="123">
        <f>IF(OR(A1704='F-Ahorro Futuro Decimos'!$H$16,A1704=""),"",IF(A1704+1&gt;'F-Ahorro Futuro Decimos'!$H$16,'F-Ahorro Futuro Decimos'!$H$16,A1704+1))</f>
        <v>1703</v>
      </c>
      <c r="B1705" s="122">
        <f>IFERROR(IF(DAY($A1705)=DAY('F-Ahorro Futuro Decimos'!$H$15),'F-Ahorro Futuro Decimos'!$H$14,0),0)</f>
        <v>0</v>
      </c>
      <c r="C1705" s="122">
        <f>IF(A1705='F-Ahorro Futuro Decimos'!$H$18,'F-Ahorro Futuro Decimos'!$H$20,0)</f>
        <v>0</v>
      </c>
      <c r="D1705" s="122">
        <f t="shared" si="26"/>
        <v>0</v>
      </c>
      <c r="E1705" s="121">
        <f>ROUND(D1705*'FR_Mantenimiento tasas'!$C$48/360,5)</f>
        <v>0</v>
      </c>
      <c r="F1705" s="121">
        <f>ROUND(D1705*'FR_Mantenimiento tasas'!$D$48/360,5)</f>
        <v>0</v>
      </c>
    </row>
    <row r="1706" spans="1:6">
      <c r="A1706" s="123">
        <f>IF(OR(A1705='F-Ahorro Futuro Decimos'!$H$16,A1705=""),"",IF(A1705+1&gt;'F-Ahorro Futuro Decimos'!$H$16,'F-Ahorro Futuro Decimos'!$H$16,A1705+1))</f>
        <v>1704</v>
      </c>
      <c r="B1706" s="122">
        <f>IFERROR(IF(DAY($A1706)=DAY('F-Ahorro Futuro Decimos'!$H$15),'F-Ahorro Futuro Decimos'!$H$14,0),0)</f>
        <v>0</v>
      </c>
      <c r="C1706" s="122">
        <f>IF(A1706='F-Ahorro Futuro Decimos'!$H$18,'F-Ahorro Futuro Decimos'!$H$20,0)</f>
        <v>0</v>
      </c>
      <c r="D1706" s="122">
        <f t="shared" si="26"/>
        <v>0</v>
      </c>
      <c r="E1706" s="121">
        <f>ROUND(D1706*'FR_Mantenimiento tasas'!$C$48/360,5)</f>
        <v>0</v>
      </c>
      <c r="F1706" s="121">
        <f>ROUND(D1706*'FR_Mantenimiento tasas'!$D$48/360,5)</f>
        <v>0</v>
      </c>
    </row>
    <row r="1707" spans="1:6">
      <c r="A1707" s="123">
        <f>IF(OR(A1706='F-Ahorro Futuro Decimos'!$H$16,A1706=""),"",IF(A1706+1&gt;'F-Ahorro Futuro Decimos'!$H$16,'F-Ahorro Futuro Decimos'!$H$16,A1706+1))</f>
        <v>1705</v>
      </c>
      <c r="B1707" s="122">
        <f>IFERROR(IF(DAY($A1707)=DAY('F-Ahorro Futuro Decimos'!$H$15),'F-Ahorro Futuro Decimos'!$H$14,0),0)</f>
        <v>0</v>
      </c>
      <c r="C1707" s="122">
        <f>IF(A1707='F-Ahorro Futuro Decimos'!$H$18,'F-Ahorro Futuro Decimos'!$H$20,0)</f>
        <v>0</v>
      </c>
      <c r="D1707" s="122">
        <f t="shared" si="26"/>
        <v>0</v>
      </c>
      <c r="E1707" s="121">
        <f>ROUND(D1707*'FR_Mantenimiento tasas'!$C$48/360,5)</f>
        <v>0</v>
      </c>
      <c r="F1707" s="121">
        <f>ROUND(D1707*'FR_Mantenimiento tasas'!$D$48/360,5)</f>
        <v>0</v>
      </c>
    </row>
    <row r="1708" spans="1:6">
      <c r="A1708" s="123">
        <f>IF(OR(A1707='F-Ahorro Futuro Decimos'!$H$16,A1707=""),"",IF(A1707+1&gt;'F-Ahorro Futuro Decimos'!$H$16,'F-Ahorro Futuro Decimos'!$H$16,A1707+1))</f>
        <v>1706</v>
      </c>
      <c r="B1708" s="122">
        <f>IFERROR(IF(DAY($A1708)=DAY('F-Ahorro Futuro Decimos'!$H$15),'F-Ahorro Futuro Decimos'!$H$14,0),0)</f>
        <v>0</v>
      </c>
      <c r="C1708" s="122">
        <f>IF(A1708='F-Ahorro Futuro Decimos'!$H$18,'F-Ahorro Futuro Decimos'!$H$20,0)</f>
        <v>0</v>
      </c>
      <c r="D1708" s="122">
        <f t="shared" si="26"/>
        <v>0</v>
      </c>
      <c r="E1708" s="121">
        <f>ROUND(D1708*'FR_Mantenimiento tasas'!$C$48/360,5)</f>
        <v>0</v>
      </c>
      <c r="F1708" s="121">
        <f>ROUND(D1708*'FR_Mantenimiento tasas'!$D$48/360,5)</f>
        <v>0</v>
      </c>
    </row>
    <row r="1709" spans="1:6">
      <c r="A1709" s="123">
        <f>IF(OR(A1708='F-Ahorro Futuro Decimos'!$H$16,A1708=""),"",IF(A1708+1&gt;'F-Ahorro Futuro Decimos'!$H$16,'F-Ahorro Futuro Decimos'!$H$16,A1708+1))</f>
        <v>1707</v>
      </c>
      <c r="B1709" s="122">
        <f>IFERROR(IF(DAY($A1709)=DAY('F-Ahorro Futuro Decimos'!$H$15),'F-Ahorro Futuro Decimos'!$H$14,0),0)</f>
        <v>0</v>
      </c>
      <c r="C1709" s="122">
        <f>IF(A1709='F-Ahorro Futuro Decimos'!$H$18,'F-Ahorro Futuro Decimos'!$H$20,0)</f>
        <v>0</v>
      </c>
      <c r="D1709" s="122">
        <f t="shared" si="26"/>
        <v>0</v>
      </c>
      <c r="E1709" s="121">
        <f>ROUND(D1709*'FR_Mantenimiento tasas'!$C$48/360,5)</f>
        <v>0</v>
      </c>
      <c r="F1709" s="121">
        <f>ROUND(D1709*'FR_Mantenimiento tasas'!$D$48/360,5)</f>
        <v>0</v>
      </c>
    </row>
    <row r="1710" spans="1:6">
      <c r="A1710" s="123">
        <f>IF(OR(A1709='F-Ahorro Futuro Decimos'!$H$16,A1709=""),"",IF(A1709+1&gt;'F-Ahorro Futuro Decimos'!$H$16,'F-Ahorro Futuro Decimos'!$H$16,A1709+1))</f>
        <v>1708</v>
      </c>
      <c r="B1710" s="122">
        <f>IFERROR(IF(DAY($A1710)=DAY('F-Ahorro Futuro Decimos'!$H$15),'F-Ahorro Futuro Decimos'!$H$14,0),0)</f>
        <v>0</v>
      </c>
      <c r="C1710" s="122">
        <f>IF(A1710='F-Ahorro Futuro Decimos'!$H$18,'F-Ahorro Futuro Decimos'!$H$20,0)</f>
        <v>0</v>
      </c>
      <c r="D1710" s="122">
        <f t="shared" si="26"/>
        <v>0</v>
      </c>
      <c r="E1710" s="121">
        <f>ROUND(D1710*'FR_Mantenimiento tasas'!$C$48/360,5)</f>
        <v>0</v>
      </c>
      <c r="F1710" s="121">
        <f>ROUND(D1710*'FR_Mantenimiento tasas'!$D$48/360,5)</f>
        <v>0</v>
      </c>
    </row>
    <row r="1711" spans="1:6">
      <c r="A1711" s="123">
        <f>IF(OR(A1710='F-Ahorro Futuro Decimos'!$H$16,A1710=""),"",IF(A1710+1&gt;'F-Ahorro Futuro Decimos'!$H$16,'F-Ahorro Futuro Decimos'!$H$16,A1710+1))</f>
        <v>1709</v>
      </c>
      <c r="B1711" s="122">
        <f>IFERROR(IF(DAY($A1711)=DAY('F-Ahorro Futuro Decimos'!$H$15),'F-Ahorro Futuro Decimos'!$H$14,0),0)</f>
        <v>0</v>
      </c>
      <c r="C1711" s="122">
        <f>IF(A1711='F-Ahorro Futuro Decimos'!$H$18,'F-Ahorro Futuro Decimos'!$H$20,0)</f>
        <v>0</v>
      </c>
      <c r="D1711" s="122">
        <f t="shared" si="26"/>
        <v>0</v>
      </c>
      <c r="E1711" s="121">
        <f>ROUND(D1711*'FR_Mantenimiento tasas'!$C$48/360,5)</f>
        <v>0</v>
      </c>
      <c r="F1711" s="121">
        <f>ROUND(D1711*'FR_Mantenimiento tasas'!$D$48/360,5)</f>
        <v>0</v>
      </c>
    </row>
    <row r="1712" spans="1:6">
      <c r="A1712" s="123">
        <f>IF(OR(A1711='F-Ahorro Futuro Decimos'!$H$16,A1711=""),"",IF(A1711+1&gt;'F-Ahorro Futuro Decimos'!$H$16,'F-Ahorro Futuro Decimos'!$H$16,A1711+1))</f>
        <v>1710</v>
      </c>
      <c r="B1712" s="122">
        <f>IFERROR(IF(DAY($A1712)=DAY('F-Ahorro Futuro Decimos'!$H$15),'F-Ahorro Futuro Decimos'!$H$14,0),0)</f>
        <v>0</v>
      </c>
      <c r="C1712" s="122">
        <f>IF(A1712='F-Ahorro Futuro Decimos'!$H$18,'F-Ahorro Futuro Decimos'!$H$20,0)</f>
        <v>0</v>
      </c>
      <c r="D1712" s="122">
        <f t="shared" si="26"/>
        <v>0</v>
      </c>
      <c r="E1712" s="121">
        <f>ROUND(D1712*'FR_Mantenimiento tasas'!$C$48/360,5)</f>
        <v>0</v>
      </c>
      <c r="F1712" s="121">
        <f>ROUND(D1712*'FR_Mantenimiento tasas'!$D$48/360,5)</f>
        <v>0</v>
      </c>
    </row>
    <row r="1713" spans="1:6">
      <c r="A1713" s="123">
        <f>IF(OR(A1712='F-Ahorro Futuro Decimos'!$H$16,A1712=""),"",IF(A1712+1&gt;'F-Ahorro Futuro Decimos'!$H$16,'F-Ahorro Futuro Decimos'!$H$16,A1712+1))</f>
        <v>1711</v>
      </c>
      <c r="B1713" s="122">
        <f>IFERROR(IF(DAY($A1713)=DAY('F-Ahorro Futuro Decimos'!$H$15),'F-Ahorro Futuro Decimos'!$H$14,0),0)</f>
        <v>0</v>
      </c>
      <c r="C1713" s="122">
        <f>IF(A1713='F-Ahorro Futuro Decimos'!$H$18,'F-Ahorro Futuro Decimos'!$H$20,0)</f>
        <v>0</v>
      </c>
      <c r="D1713" s="122">
        <f t="shared" si="26"/>
        <v>0</v>
      </c>
      <c r="E1713" s="121">
        <f>ROUND(D1713*'FR_Mantenimiento tasas'!$C$48/360,5)</f>
        <v>0</v>
      </c>
      <c r="F1713" s="121">
        <f>ROUND(D1713*'FR_Mantenimiento tasas'!$D$48/360,5)</f>
        <v>0</v>
      </c>
    </row>
    <row r="1714" spans="1:6">
      <c r="A1714" s="123">
        <f>IF(OR(A1713='F-Ahorro Futuro Decimos'!$H$16,A1713=""),"",IF(A1713+1&gt;'F-Ahorro Futuro Decimos'!$H$16,'F-Ahorro Futuro Decimos'!$H$16,A1713+1))</f>
        <v>1712</v>
      </c>
      <c r="B1714" s="122">
        <f>IFERROR(IF(DAY($A1714)=DAY('F-Ahorro Futuro Decimos'!$H$15),'F-Ahorro Futuro Decimos'!$H$14,0),0)</f>
        <v>0</v>
      </c>
      <c r="C1714" s="122">
        <f>IF(A1714='F-Ahorro Futuro Decimos'!$H$18,'F-Ahorro Futuro Decimos'!$H$20,0)</f>
        <v>0</v>
      </c>
      <c r="D1714" s="122">
        <f t="shared" si="26"/>
        <v>0</v>
      </c>
      <c r="E1714" s="121">
        <f>ROUND(D1714*'FR_Mantenimiento tasas'!$C$48/360,5)</f>
        <v>0</v>
      </c>
      <c r="F1714" s="121">
        <f>ROUND(D1714*'FR_Mantenimiento tasas'!$D$48/360,5)</f>
        <v>0</v>
      </c>
    </row>
    <row r="1715" spans="1:6">
      <c r="A1715" s="123">
        <f>IF(OR(A1714='F-Ahorro Futuro Decimos'!$H$16,A1714=""),"",IF(A1714+1&gt;'F-Ahorro Futuro Decimos'!$H$16,'F-Ahorro Futuro Decimos'!$H$16,A1714+1))</f>
        <v>1713</v>
      </c>
      <c r="B1715" s="122">
        <f>IFERROR(IF(DAY($A1715)=DAY('F-Ahorro Futuro Decimos'!$H$15),'F-Ahorro Futuro Decimos'!$H$14,0),0)</f>
        <v>0</v>
      </c>
      <c r="C1715" s="122">
        <f>IF(A1715='F-Ahorro Futuro Decimos'!$H$18,'F-Ahorro Futuro Decimos'!$H$20,0)</f>
        <v>0</v>
      </c>
      <c r="D1715" s="122">
        <f t="shared" si="26"/>
        <v>0</v>
      </c>
      <c r="E1715" s="121">
        <f>ROUND(D1715*'FR_Mantenimiento tasas'!$C$48/360,5)</f>
        <v>0</v>
      </c>
      <c r="F1715" s="121">
        <f>ROUND(D1715*'FR_Mantenimiento tasas'!$D$48/360,5)</f>
        <v>0</v>
      </c>
    </row>
    <row r="1716" spans="1:6">
      <c r="A1716" s="123">
        <f>IF(OR(A1715='F-Ahorro Futuro Decimos'!$H$16,A1715=""),"",IF(A1715+1&gt;'F-Ahorro Futuro Decimos'!$H$16,'F-Ahorro Futuro Decimos'!$H$16,A1715+1))</f>
        <v>1714</v>
      </c>
      <c r="B1716" s="122">
        <f>IFERROR(IF(DAY($A1716)=DAY('F-Ahorro Futuro Decimos'!$H$15),'F-Ahorro Futuro Decimos'!$H$14,0),0)</f>
        <v>0</v>
      </c>
      <c r="C1716" s="122">
        <f>IF(A1716='F-Ahorro Futuro Decimos'!$H$18,'F-Ahorro Futuro Decimos'!$H$20,0)</f>
        <v>0</v>
      </c>
      <c r="D1716" s="122">
        <f t="shared" si="26"/>
        <v>0</v>
      </c>
      <c r="E1716" s="121">
        <f>ROUND(D1716*'FR_Mantenimiento tasas'!$C$48/360,5)</f>
        <v>0</v>
      </c>
      <c r="F1716" s="121">
        <f>ROUND(D1716*'FR_Mantenimiento tasas'!$D$48/360,5)</f>
        <v>0</v>
      </c>
    </row>
    <row r="1717" spans="1:6">
      <c r="A1717" s="123">
        <f>IF(OR(A1716='F-Ahorro Futuro Decimos'!$H$16,A1716=""),"",IF(A1716+1&gt;'F-Ahorro Futuro Decimos'!$H$16,'F-Ahorro Futuro Decimos'!$H$16,A1716+1))</f>
        <v>1715</v>
      </c>
      <c r="B1717" s="122">
        <f>IFERROR(IF(DAY($A1717)=DAY('F-Ahorro Futuro Decimos'!$H$15),'F-Ahorro Futuro Decimos'!$H$14,0),0)</f>
        <v>0</v>
      </c>
      <c r="C1717" s="122">
        <f>IF(A1717='F-Ahorro Futuro Decimos'!$H$18,'F-Ahorro Futuro Decimos'!$H$20,0)</f>
        <v>0</v>
      </c>
      <c r="D1717" s="122">
        <f t="shared" si="26"/>
        <v>0</v>
      </c>
      <c r="E1717" s="121">
        <f>ROUND(D1717*'FR_Mantenimiento tasas'!$C$48/360,5)</f>
        <v>0</v>
      </c>
      <c r="F1717" s="121">
        <f>ROUND(D1717*'FR_Mantenimiento tasas'!$D$48/360,5)</f>
        <v>0</v>
      </c>
    </row>
    <row r="1718" spans="1:6">
      <c r="A1718" s="123">
        <f>IF(OR(A1717='F-Ahorro Futuro Decimos'!$H$16,A1717=""),"",IF(A1717+1&gt;'F-Ahorro Futuro Decimos'!$H$16,'F-Ahorro Futuro Decimos'!$H$16,A1717+1))</f>
        <v>1716</v>
      </c>
      <c r="B1718" s="122">
        <f>IFERROR(IF(DAY($A1718)=DAY('F-Ahorro Futuro Decimos'!$H$15),'F-Ahorro Futuro Decimos'!$H$14,0),0)</f>
        <v>0</v>
      </c>
      <c r="C1718" s="122">
        <f>IF(A1718='F-Ahorro Futuro Decimos'!$H$18,'F-Ahorro Futuro Decimos'!$H$20,0)</f>
        <v>0</v>
      </c>
      <c r="D1718" s="122">
        <f t="shared" si="26"/>
        <v>0</v>
      </c>
      <c r="E1718" s="121">
        <f>ROUND(D1718*'FR_Mantenimiento tasas'!$C$48/360,5)</f>
        <v>0</v>
      </c>
      <c r="F1718" s="121">
        <f>ROUND(D1718*'FR_Mantenimiento tasas'!$D$48/360,5)</f>
        <v>0</v>
      </c>
    </row>
    <row r="1719" spans="1:6">
      <c r="A1719" s="123">
        <f>IF(OR(A1718='F-Ahorro Futuro Decimos'!$H$16,A1718=""),"",IF(A1718+1&gt;'F-Ahorro Futuro Decimos'!$H$16,'F-Ahorro Futuro Decimos'!$H$16,A1718+1))</f>
        <v>1717</v>
      </c>
      <c r="B1719" s="122">
        <f>IFERROR(IF(DAY($A1719)=DAY('F-Ahorro Futuro Decimos'!$H$15),'F-Ahorro Futuro Decimos'!$H$14,0),0)</f>
        <v>0</v>
      </c>
      <c r="C1719" s="122">
        <f>IF(A1719='F-Ahorro Futuro Decimos'!$H$18,'F-Ahorro Futuro Decimos'!$H$20,0)</f>
        <v>0</v>
      </c>
      <c r="D1719" s="122">
        <f t="shared" si="26"/>
        <v>0</v>
      </c>
      <c r="E1719" s="121">
        <f>ROUND(D1719*'FR_Mantenimiento tasas'!$C$48/360,5)</f>
        <v>0</v>
      </c>
      <c r="F1719" s="121">
        <f>ROUND(D1719*'FR_Mantenimiento tasas'!$D$48/360,5)</f>
        <v>0</v>
      </c>
    </row>
    <row r="1720" spans="1:6">
      <c r="A1720" s="123">
        <f>IF(OR(A1719='F-Ahorro Futuro Decimos'!$H$16,A1719=""),"",IF(A1719+1&gt;'F-Ahorro Futuro Decimos'!$H$16,'F-Ahorro Futuro Decimos'!$H$16,A1719+1))</f>
        <v>1718</v>
      </c>
      <c r="B1720" s="122">
        <f>IFERROR(IF(DAY($A1720)=DAY('F-Ahorro Futuro Decimos'!$H$15),'F-Ahorro Futuro Decimos'!$H$14,0),0)</f>
        <v>0</v>
      </c>
      <c r="C1720" s="122">
        <f>IF(A1720='F-Ahorro Futuro Decimos'!$H$18,'F-Ahorro Futuro Decimos'!$H$20,0)</f>
        <v>0</v>
      </c>
      <c r="D1720" s="122">
        <f t="shared" si="26"/>
        <v>0</v>
      </c>
      <c r="E1720" s="121">
        <f>ROUND(D1720*'FR_Mantenimiento tasas'!$C$48/360,5)</f>
        <v>0</v>
      </c>
      <c r="F1720" s="121">
        <f>ROUND(D1720*'FR_Mantenimiento tasas'!$D$48/360,5)</f>
        <v>0</v>
      </c>
    </row>
    <row r="1721" spans="1:6">
      <c r="A1721" s="123">
        <f>IF(OR(A1720='F-Ahorro Futuro Decimos'!$H$16,A1720=""),"",IF(A1720+1&gt;'F-Ahorro Futuro Decimos'!$H$16,'F-Ahorro Futuro Decimos'!$H$16,A1720+1))</f>
        <v>1719</v>
      </c>
      <c r="B1721" s="122">
        <f>IFERROR(IF(DAY($A1721)=DAY('F-Ahorro Futuro Decimos'!$H$15),'F-Ahorro Futuro Decimos'!$H$14,0),0)</f>
        <v>0</v>
      </c>
      <c r="C1721" s="122">
        <f>IF(A1721='F-Ahorro Futuro Decimos'!$H$18,'F-Ahorro Futuro Decimos'!$H$20,0)</f>
        <v>0</v>
      </c>
      <c r="D1721" s="122">
        <f t="shared" si="26"/>
        <v>0</v>
      </c>
      <c r="E1721" s="121">
        <f>ROUND(D1721*'FR_Mantenimiento tasas'!$C$48/360,5)</f>
        <v>0</v>
      </c>
      <c r="F1721" s="121">
        <f>ROUND(D1721*'FR_Mantenimiento tasas'!$D$48/360,5)</f>
        <v>0</v>
      </c>
    </row>
    <row r="1722" spans="1:6">
      <c r="A1722" s="123">
        <f>IF(OR(A1721='F-Ahorro Futuro Decimos'!$H$16,A1721=""),"",IF(A1721+1&gt;'F-Ahorro Futuro Decimos'!$H$16,'F-Ahorro Futuro Decimos'!$H$16,A1721+1))</f>
        <v>1720</v>
      </c>
      <c r="B1722" s="122">
        <f>IFERROR(IF(DAY($A1722)=DAY('F-Ahorro Futuro Decimos'!$H$15),'F-Ahorro Futuro Decimos'!$H$14,0),0)</f>
        <v>0</v>
      </c>
      <c r="C1722" s="122">
        <f>IF(A1722='F-Ahorro Futuro Decimos'!$H$18,'F-Ahorro Futuro Decimos'!$H$20,0)</f>
        <v>0</v>
      </c>
      <c r="D1722" s="122">
        <f t="shared" si="26"/>
        <v>0</v>
      </c>
      <c r="E1722" s="121">
        <f>ROUND(D1722*'FR_Mantenimiento tasas'!$C$48/360,5)</f>
        <v>0</v>
      </c>
      <c r="F1722" s="121">
        <f>ROUND(D1722*'FR_Mantenimiento tasas'!$D$48/360,5)</f>
        <v>0</v>
      </c>
    </row>
    <row r="1723" spans="1:6">
      <c r="A1723" s="123">
        <f>IF(OR(A1722='F-Ahorro Futuro Decimos'!$H$16,A1722=""),"",IF(A1722+1&gt;'F-Ahorro Futuro Decimos'!$H$16,'F-Ahorro Futuro Decimos'!$H$16,A1722+1))</f>
        <v>1721</v>
      </c>
      <c r="B1723" s="122">
        <f>IFERROR(IF(DAY($A1723)=DAY('F-Ahorro Futuro Decimos'!$H$15),'F-Ahorro Futuro Decimos'!$H$14,0),0)</f>
        <v>0</v>
      </c>
      <c r="C1723" s="122">
        <f>IF(A1723='F-Ahorro Futuro Decimos'!$H$18,'F-Ahorro Futuro Decimos'!$H$20,0)</f>
        <v>0</v>
      </c>
      <c r="D1723" s="122">
        <f t="shared" si="26"/>
        <v>0</v>
      </c>
      <c r="E1723" s="121">
        <f>ROUND(D1723*'FR_Mantenimiento tasas'!$C$48/360,5)</f>
        <v>0</v>
      </c>
      <c r="F1723" s="121">
        <f>ROUND(D1723*'FR_Mantenimiento tasas'!$D$48/360,5)</f>
        <v>0</v>
      </c>
    </row>
    <row r="1724" spans="1:6">
      <c r="A1724" s="123">
        <f>IF(OR(A1723='F-Ahorro Futuro Decimos'!$H$16,A1723=""),"",IF(A1723+1&gt;'F-Ahorro Futuro Decimos'!$H$16,'F-Ahorro Futuro Decimos'!$H$16,A1723+1))</f>
        <v>1722</v>
      </c>
      <c r="B1724" s="122">
        <f>IFERROR(IF(DAY($A1724)=DAY('F-Ahorro Futuro Decimos'!$H$15),'F-Ahorro Futuro Decimos'!$H$14,0),0)</f>
        <v>0</v>
      </c>
      <c r="C1724" s="122">
        <f>IF(A1724='F-Ahorro Futuro Decimos'!$H$18,'F-Ahorro Futuro Decimos'!$H$20,0)</f>
        <v>0</v>
      </c>
      <c r="D1724" s="122">
        <f t="shared" si="26"/>
        <v>0</v>
      </c>
      <c r="E1724" s="121">
        <f>ROUND(D1724*'FR_Mantenimiento tasas'!$C$48/360,5)</f>
        <v>0</v>
      </c>
      <c r="F1724" s="121">
        <f>ROUND(D1724*'FR_Mantenimiento tasas'!$D$48/360,5)</f>
        <v>0</v>
      </c>
    </row>
    <row r="1725" spans="1:6">
      <c r="A1725" s="123">
        <f>IF(OR(A1724='F-Ahorro Futuro Decimos'!$H$16,A1724=""),"",IF(A1724+1&gt;'F-Ahorro Futuro Decimos'!$H$16,'F-Ahorro Futuro Decimos'!$H$16,A1724+1))</f>
        <v>1723</v>
      </c>
      <c r="B1725" s="122">
        <f>IFERROR(IF(DAY($A1725)=DAY('F-Ahorro Futuro Decimos'!$H$15),'F-Ahorro Futuro Decimos'!$H$14,0),0)</f>
        <v>0</v>
      </c>
      <c r="C1725" s="122">
        <f>IF(A1725='F-Ahorro Futuro Decimos'!$H$18,'F-Ahorro Futuro Decimos'!$H$20,0)</f>
        <v>0</v>
      </c>
      <c r="D1725" s="122">
        <f t="shared" si="26"/>
        <v>0</v>
      </c>
      <c r="E1725" s="121">
        <f>ROUND(D1725*'FR_Mantenimiento tasas'!$C$48/360,5)</f>
        <v>0</v>
      </c>
      <c r="F1725" s="121">
        <f>ROUND(D1725*'FR_Mantenimiento tasas'!$D$48/360,5)</f>
        <v>0</v>
      </c>
    </row>
    <row r="1726" spans="1:6">
      <c r="A1726" s="123">
        <f>IF(OR(A1725='F-Ahorro Futuro Decimos'!$H$16,A1725=""),"",IF(A1725+1&gt;'F-Ahorro Futuro Decimos'!$H$16,'F-Ahorro Futuro Decimos'!$H$16,A1725+1))</f>
        <v>1724</v>
      </c>
      <c r="B1726" s="122">
        <f>IFERROR(IF(DAY($A1726)=DAY('F-Ahorro Futuro Decimos'!$H$15),'F-Ahorro Futuro Decimos'!$H$14,0),0)</f>
        <v>0</v>
      </c>
      <c r="C1726" s="122">
        <f>IF(A1726='F-Ahorro Futuro Decimos'!$H$18,'F-Ahorro Futuro Decimos'!$H$20,0)</f>
        <v>0</v>
      </c>
      <c r="D1726" s="122">
        <f t="shared" si="26"/>
        <v>0</v>
      </c>
      <c r="E1726" s="121">
        <f>ROUND(D1726*'FR_Mantenimiento tasas'!$C$48/360,5)</f>
        <v>0</v>
      </c>
      <c r="F1726" s="121">
        <f>ROUND(D1726*'FR_Mantenimiento tasas'!$D$48/360,5)</f>
        <v>0</v>
      </c>
    </row>
    <row r="1727" spans="1:6">
      <c r="A1727" s="123">
        <f>IF(OR(A1726='F-Ahorro Futuro Decimos'!$H$16,A1726=""),"",IF(A1726+1&gt;'F-Ahorro Futuro Decimos'!$H$16,'F-Ahorro Futuro Decimos'!$H$16,A1726+1))</f>
        <v>1725</v>
      </c>
      <c r="B1727" s="122">
        <f>IFERROR(IF(DAY($A1727)=DAY('F-Ahorro Futuro Decimos'!$H$15),'F-Ahorro Futuro Decimos'!$H$14,0),0)</f>
        <v>0</v>
      </c>
      <c r="C1727" s="122">
        <f>IF(A1727='F-Ahorro Futuro Decimos'!$H$18,'F-Ahorro Futuro Decimos'!$H$20,0)</f>
        <v>0</v>
      </c>
      <c r="D1727" s="122">
        <f t="shared" si="26"/>
        <v>0</v>
      </c>
      <c r="E1727" s="121">
        <f>ROUND(D1727*'FR_Mantenimiento tasas'!$C$48/360,5)</f>
        <v>0</v>
      </c>
      <c r="F1727" s="121">
        <f>ROUND(D1727*'FR_Mantenimiento tasas'!$D$48/360,5)</f>
        <v>0</v>
      </c>
    </row>
    <row r="1728" spans="1:6">
      <c r="A1728" s="123">
        <f>IF(OR(A1727='F-Ahorro Futuro Decimos'!$H$16,A1727=""),"",IF(A1727+1&gt;'F-Ahorro Futuro Decimos'!$H$16,'F-Ahorro Futuro Decimos'!$H$16,A1727+1))</f>
        <v>1726</v>
      </c>
      <c r="B1728" s="122">
        <f>IFERROR(IF(DAY($A1728)=DAY('F-Ahorro Futuro Decimos'!$H$15),'F-Ahorro Futuro Decimos'!$H$14,0),0)</f>
        <v>0</v>
      </c>
      <c r="C1728" s="122">
        <f>IF(A1728='F-Ahorro Futuro Decimos'!$H$18,'F-Ahorro Futuro Decimos'!$H$20,0)</f>
        <v>0</v>
      </c>
      <c r="D1728" s="122">
        <f t="shared" si="26"/>
        <v>0</v>
      </c>
      <c r="E1728" s="121">
        <f>ROUND(D1728*'FR_Mantenimiento tasas'!$C$48/360,5)</f>
        <v>0</v>
      </c>
      <c r="F1728" s="121">
        <f>ROUND(D1728*'FR_Mantenimiento tasas'!$D$48/360,5)</f>
        <v>0</v>
      </c>
    </row>
    <row r="1729" spans="1:6">
      <c r="A1729" s="123">
        <f>IF(OR(A1728='F-Ahorro Futuro Decimos'!$H$16,A1728=""),"",IF(A1728+1&gt;'F-Ahorro Futuro Decimos'!$H$16,'F-Ahorro Futuro Decimos'!$H$16,A1728+1))</f>
        <v>1727</v>
      </c>
      <c r="B1729" s="122">
        <f>IFERROR(IF(DAY($A1729)=DAY('F-Ahorro Futuro Decimos'!$H$15),'F-Ahorro Futuro Decimos'!$H$14,0),0)</f>
        <v>0</v>
      </c>
      <c r="C1729" s="122">
        <f>IF(A1729='F-Ahorro Futuro Decimos'!$H$18,'F-Ahorro Futuro Decimos'!$H$20,0)</f>
        <v>0</v>
      </c>
      <c r="D1729" s="122">
        <f t="shared" si="26"/>
        <v>0</v>
      </c>
      <c r="E1729" s="121">
        <f>ROUND(D1729*'FR_Mantenimiento tasas'!$C$48/360,5)</f>
        <v>0</v>
      </c>
      <c r="F1729" s="121">
        <f>ROUND(D1729*'FR_Mantenimiento tasas'!$D$48/360,5)</f>
        <v>0</v>
      </c>
    </row>
    <row r="1730" spans="1:6">
      <c r="A1730" s="123">
        <f>IF(OR(A1729='F-Ahorro Futuro Decimos'!$H$16,A1729=""),"",IF(A1729+1&gt;'F-Ahorro Futuro Decimos'!$H$16,'F-Ahorro Futuro Decimos'!$H$16,A1729+1))</f>
        <v>1728</v>
      </c>
      <c r="B1730" s="122">
        <f>IFERROR(IF(DAY($A1730)=DAY('F-Ahorro Futuro Decimos'!$H$15),'F-Ahorro Futuro Decimos'!$H$14,0),0)</f>
        <v>0</v>
      </c>
      <c r="C1730" s="122">
        <f>IF(A1730='F-Ahorro Futuro Decimos'!$H$18,'F-Ahorro Futuro Decimos'!$H$20,0)</f>
        <v>0</v>
      </c>
      <c r="D1730" s="122">
        <f t="shared" si="26"/>
        <v>0</v>
      </c>
      <c r="E1730" s="121">
        <f>ROUND(D1730*'FR_Mantenimiento tasas'!$C$48/360,5)</f>
        <v>0</v>
      </c>
      <c r="F1730" s="121">
        <f>ROUND(D1730*'FR_Mantenimiento tasas'!$D$48/360,5)</f>
        <v>0</v>
      </c>
    </row>
    <row r="1731" spans="1:6">
      <c r="A1731" s="123">
        <f>IF(OR(A1730='F-Ahorro Futuro Decimos'!$H$16,A1730=""),"",IF(A1730+1&gt;'F-Ahorro Futuro Decimos'!$H$16,'F-Ahorro Futuro Decimos'!$H$16,A1730+1))</f>
        <v>1729</v>
      </c>
      <c r="B1731" s="122">
        <f>IFERROR(IF(DAY($A1731)=DAY('F-Ahorro Futuro Decimos'!$H$15),'F-Ahorro Futuro Decimos'!$H$14,0),0)</f>
        <v>0</v>
      </c>
      <c r="C1731" s="122">
        <f>IF(A1731='F-Ahorro Futuro Decimos'!$H$18,'F-Ahorro Futuro Decimos'!$H$20,0)</f>
        <v>0</v>
      </c>
      <c r="D1731" s="122">
        <f t="shared" si="26"/>
        <v>0</v>
      </c>
      <c r="E1731" s="121">
        <f>ROUND(D1731*'FR_Mantenimiento tasas'!$C$48/360,5)</f>
        <v>0</v>
      </c>
      <c r="F1731" s="121">
        <f>ROUND(D1731*'FR_Mantenimiento tasas'!$D$48/360,5)</f>
        <v>0</v>
      </c>
    </row>
    <row r="1732" spans="1:6">
      <c r="A1732" s="123">
        <f>IF(OR(A1731='F-Ahorro Futuro Decimos'!$H$16,A1731=""),"",IF(A1731+1&gt;'F-Ahorro Futuro Decimos'!$H$16,'F-Ahorro Futuro Decimos'!$H$16,A1731+1))</f>
        <v>1730</v>
      </c>
      <c r="B1732" s="122">
        <f>IFERROR(IF(DAY($A1732)=DAY('F-Ahorro Futuro Decimos'!$H$15),'F-Ahorro Futuro Decimos'!$H$14,0),0)</f>
        <v>0</v>
      </c>
      <c r="C1732" s="122">
        <f>IF(A1732='F-Ahorro Futuro Decimos'!$H$18,'F-Ahorro Futuro Decimos'!$H$20,0)</f>
        <v>0</v>
      </c>
      <c r="D1732" s="122">
        <f t="shared" ref="D1732:D1795" si="27">+B1732+D1731+E1731-C1732</f>
        <v>0</v>
      </c>
      <c r="E1732" s="121">
        <f>ROUND(D1732*'FR_Mantenimiento tasas'!$C$48/360,5)</f>
        <v>0</v>
      </c>
      <c r="F1732" s="121">
        <f>ROUND(D1732*'FR_Mantenimiento tasas'!$D$48/360,5)</f>
        <v>0</v>
      </c>
    </row>
    <row r="1733" spans="1:6">
      <c r="A1733" s="123">
        <f>IF(OR(A1732='F-Ahorro Futuro Decimos'!$H$16,A1732=""),"",IF(A1732+1&gt;'F-Ahorro Futuro Decimos'!$H$16,'F-Ahorro Futuro Decimos'!$H$16,A1732+1))</f>
        <v>1731</v>
      </c>
      <c r="B1733" s="122">
        <f>IFERROR(IF(DAY($A1733)=DAY('F-Ahorro Futuro Decimos'!$H$15),'F-Ahorro Futuro Decimos'!$H$14,0),0)</f>
        <v>0</v>
      </c>
      <c r="C1733" s="122">
        <f>IF(A1733='F-Ahorro Futuro Decimos'!$H$18,'F-Ahorro Futuro Decimos'!$H$20,0)</f>
        <v>0</v>
      </c>
      <c r="D1733" s="122">
        <f t="shared" si="27"/>
        <v>0</v>
      </c>
      <c r="E1733" s="121">
        <f>ROUND(D1733*'FR_Mantenimiento tasas'!$C$48/360,5)</f>
        <v>0</v>
      </c>
      <c r="F1733" s="121">
        <f>ROUND(D1733*'FR_Mantenimiento tasas'!$D$48/360,5)</f>
        <v>0</v>
      </c>
    </row>
    <row r="1734" spans="1:6">
      <c r="A1734" s="123">
        <f>IF(OR(A1733='F-Ahorro Futuro Decimos'!$H$16,A1733=""),"",IF(A1733+1&gt;'F-Ahorro Futuro Decimos'!$H$16,'F-Ahorro Futuro Decimos'!$H$16,A1733+1))</f>
        <v>1732</v>
      </c>
      <c r="B1734" s="122">
        <f>IFERROR(IF(DAY($A1734)=DAY('F-Ahorro Futuro Decimos'!$H$15),'F-Ahorro Futuro Decimos'!$H$14,0),0)</f>
        <v>0</v>
      </c>
      <c r="C1734" s="122">
        <f>IF(A1734='F-Ahorro Futuro Decimos'!$H$18,'F-Ahorro Futuro Decimos'!$H$20,0)</f>
        <v>0</v>
      </c>
      <c r="D1734" s="122">
        <f t="shared" si="27"/>
        <v>0</v>
      </c>
      <c r="E1734" s="121">
        <f>ROUND(D1734*'FR_Mantenimiento tasas'!$C$48/360,5)</f>
        <v>0</v>
      </c>
      <c r="F1734" s="121">
        <f>ROUND(D1734*'FR_Mantenimiento tasas'!$D$48/360,5)</f>
        <v>0</v>
      </c>
    </row>
    <row r="1735" spans="1:6">
      <c r="A1735" s="123">
        <f>IF(OR(A1734='F-Ahorro Futuro Decimos'!$H$16,A1734=""),"",IF(A1734+1&gt;'F-Ahorro Futuro Decimos'!$H$16,'F-Ahorro Futuro Decimos'!$H$16,A1734+1))</f>
        <v>1733</v>
      </c>
      <c r="B1735" s="122">
        <f>IFERROR(IF(DAY($A1735)=DAY('F-Ahorro Futuro Decimos'!$H$15),'F-Ahorro Futuro Decimos'!$H$14,0),0)</f>
        <v>0</v>
      </c>
      <c r="C1735" s="122">
        <f>IF(A1735='F-Ahorro Futuro Decimos'!$H$18,'F-Ahorro Futuro Decimos'!$H$20,0)</f>
        <v>0</v>
      </c>
      <c r="D1735" s="122">
        <f t="shared" si="27"/>
        <v>0</v>
      </c>
      <c r="E1735" s="121">
        <f>ROUND(D1735*'FR_Mantenimiento tasas'!$C$48/360,5)</f>
        <v>0</v>
      </c>
      <c r="F1735" s="121">
        <f>ROUND(D1735*'FR_Mantenimiento tasas'!$D$48/360,5)</f>
        <v>0</v>
      </c>
    </row>
    <row r="1736" spans="1:6">
      <c r="A1736" s="123">
        <f>IF(OR(A1735='F-Ahorro Futuro Decimos'!$H$16,A1735=""),"",IF(A1735+1&gt;'F-Ahorro Futuro Decimos'!$H$16,'F-Ahorro Futuro Decimos'!$H$16,A1735+1))</f>
        <v>1734</v>
      </c>
      <c r="B1736" s="122">
        <f>IFERROR(IF(DAY($A1736)=DAY('F-Ahorro Futuro Decimos'!$H$15),'F-Ahorro Futuro Decimos'!$H$14,0),0)</f>
        <v>0</v>
      </c>
      <c r="C1736" s="122">
        <f>IF(A1736='F-Ahorro Futuro Decimos'!$H$18,'F-Ahorro Futuro Decimos'!$H$20,0)</f>
        <v>0</v>
      </c>
      <c r="D1736" s="122">
        <f t="shared" si="27"/>
        <v>0</v>
      </c>
      <c r="E1736" s="121">
        <f>ROUND(D1736*'FR_Mantenimiento tasas'!$C$48/360,5)</f>
        <v>0</v>
      </c>
      <c r="F1736" s="121">
        <f>ROUND(D1736*'FR_Mantenimiento tasas'!$D$48/360,5)</f>
        <v>0</v>
      </c>
    </row>
    <row r="1737" spans="1:6">
      <c r="A1737" s="123">
        <f>IF(OR(A1736='F-Ahorro Futuro Decimos'!$H$16,A1736=""),"",IF(A1736+1&gt;'F-Ahorro Futuro Decimos'!$H$16,'F-Ahorro Futuro Decimos'!$H$16,A1736+1))</f>
        <v>1735</v>
      </c>
      <c r="B1737" s="122">
        <f>IFERROR(IF(DAY($A1737)=DAY('F-Ahorro Futuro Decimos'!$H$15),'F-Ahorro Futuro Decimos'!$H$14,0),0)</f>
        <v>0</v>
      </c>
      <c r="C1737" s="122">
        <f>IF(A1737='F-Ahorro Futuro Decimos'!$H$18,'F-Ahorro Futuro Decimos'!$H$20,0)</f>
        <v>0</v>
      </c>
      <c r="D1737" s="122">
        <f t="shared" si="27"/>
        <v>0</v>
      </c>
      <c r="E1737" s="121">
        <f>ROUND(D1737*'FR_Mantenimiento tasas'!$C$48/360,5)</f>
        <v>0</v>
      </c>
      <c r="F1737" s="121">
        <f>ROUND(D1737*'FR_Mantenimiento tasas'!$D$48/360,5)</f>
        <v>0</v>
      </c>
    </row>
    <row r="1738" spans="1:6">
      <c r="A1738" s="123">
        <f>IF(OR(A1737='F-Ahorro Futuro Decimos'!$H$16,A1737=""),"",IF(A1737+1&gt;'F-Ahorro Futuro Decimos'!$H$16,'F-Ahorro Futuro Decimos'!$H$16,A1737+1))</f>
        <v>1736</v>
      </c>
      <c r="B1738" s="122">
        <f>IFERROR(IF(DAY($A1738)=DAY('F-Ahorro Futuro Decimos'!$H$15),'F-Ahorro Futuro Decimos'!$H$14,0),0)</f>
        <v>0</v>
      </c>
      <c r="C1738" s="122">
        <f>IF(A1738='F-Ahorro Futuro Decimos'!$H$18,'F-Ahorro Futuro Decimos'!$H$20,0)</f>
        <v>0</v>
      </c>
      <c r="D1738" s="122">
        <f t="shared" si="27"/>
        <v>0</v>
      </c>
      <c r="E1738" s="121">
        <f>ROUND(D1738*'FR_Mantenimiento tasas'!$C$48/360,5)</f>
        <v>0</v>
      </c>
      <c r="F1738" s="121">
        <f>ROUND(D1738*'FR_Mantenimiento tasas'!$D$48/360,5)</f>
        <v>0</v>
      </c>
    </row>
    <row r="1739" spans="1:6">
      <c r="A1739" s="123">
        <f>IF(OR(A1738='F-Ahorro Futuro Decimos'!$H$16,A1738=""),"",IF(A1738+1&gt;'F-Ahorro Futuro Decimos'!$H$16,'F-Ahorro Futuro Decimos'!$H$16,A1738+1))</f>
        <v>1737</v>
      </c>
      <c r="B1739" s="122">
        <f>IFERROR(IF(DAY($A1739)=DAY('F-Ahorro Futuro Decimos'!$H$15),'F-Ahorro Futuro Decimos'!$H$14,0),0)</f>
        <v>0</v>
      </c>
      <c r="C1739" s="122">
        <f>IF(A1739='F-Ahorro Futuro Decimos'!$H$18,'F-Ahorro Futuro Decimos'!$H$20,0)</f>
        <v>0</v>
      </c>
      <c r="D1739" s="122">
        <f t="shared" si="27"/>
        <v>0</v>
      </c>
      <c r="E1739" s="121">
        <f>ROUND(D1739*'FR_Mantenimiento tasas'!$C$48/360,5)</f>
        <v>0</v>
      </c>
      <c r="F1739" s="121">
        <f>ROUND(D1739*'FR_Mantenimiento tasas'!$D$48/360,5)</f>
        <v>0</v>
      </c>
    </row>
    <row r="1740" spans="1:6">
      <c r="A1740" s="123">
        <f>IF(OR(A1739='F-Ahorro Futuro Decimos'!$H$16,A1739=""),"",IF(A1739+1&gt;'F-Ahorro Futuro Decimos'!$H$16,'F-Ahorro Futuro Decimos'!$H$16,A1739+1))</f>
        <v>1738</v>
      </c>
      <c r="B1740" s="122">
        <f>IFERROR(IF(DAY($A1740)=DAY('F-Ahorro Futuro Decimos'!$H$15),'F-Ahorro Futuro Decimos'!$H$14,0),0)</f>
        <v>0</v>
      </c>
      <c r="C1740" s="122">
        <f>IF(A1740='F-Ahorro Futuro Decimos'!$H$18,'F-Ahorro Futuro Decimos'!$H$20,0)</f>
        <v>0</v>
      </c>
      <c r="D1740" s="122">
        <f t="shared" si="27"/>
        <v>0</v>
      </c>
      <c r="E1740" s="121">
        <f>ROUND(D1740*'FR_Mantenimiento tasas'!$C$48/360,5)</f>
        <v>0</v>
      </c>
      <c r="F1740" s="121">
        <f>ROUND(D1740*'FR_Mantenimiento tasas'!$D$48/360,5)</f>
        <v>0</v>
      </c>
    </row>
    <row r="1741" spans="1:6">
      <c r="A1741" s="123">
        <f>IF(OR(A1740='F-Ahorro Futuro Decimos'!$H$16,A1740=""),"",IF(A1740+1&gt;'F-Ahorro Futuro Decimos'!$H$16,'F-Ahorro Futuro Decimos'!$H$16,A1740+1))</f>
        <v>1739</v>
      </c>
      <c r="B1741" s="122">
        <f>IFERROR(IF(DAY($A1741)=DAY('F-Ahorro Futuro Decimos'!$H$15),'F-Ahorro Futuro Decimos'!$H$14,0),0)</f>
        <v>0</v>
      </c>
      <c r="C1741" s="122">
        <f>IF(A1741='F-Ahorro Futuro Decimos'!$H$18,'F-Ahorro Futuro Decimos'!$H$20,0)</f>
        <v>0</v>
      </c>
      <c r="D1741" s="122">
        <f t="shared" si="27"/>
        <v>0</v>
      </c>
      <c r="E1741" s="121">
        <f>ROUND(D1741*'FR_Mantenimiento tasas'!$C$48/360,5)</f>
        <v>0</v>
      </c>
      <c r="F1741" s="121">
        <f>ROUND(D1741*'FR_Mantenimiento tasas'!$D$48/360,5)</f>
        <v>0</v>
      </c>
    </row>
    <row r="1742" spans="1:6">
      <c r="A1742" s="123">
        <f>IF(OR(A1741='F-Ahorro Futuro Decimos'!$H$16,A1741=""),"",IF(A1741+1&gt;'F-Ahorro Futuro Decimos'!$H$16,'F-Ahorro Futuro Decimos'!$H$16,A1741+1))</f>
        <v>1740</v>
      </c>
      <c r="B1742" s="122">
        <f>IFERROR(IF(DAY($A1742)=DAY('F-Ahorro Futuro Decimos'!$H$15),'F-Ahorro Futuro Decimos'!$H$14,0),0)</f>
        <v>0</v>
      </c>
      <c r="C1742" s="122">
        <f>IF(A1742='F-Ahorro Futuro Decimos'!$H$18,'F-Ahorro Futuro Decimos'!$H$20,0)</f>
        <v>0</v>
      </c>
      <c r="D1742" s="122">
        <f t="shared" si="27"/>
        <v>0</v>
      </c>
      <c r="E1742" s="121">
        <f>ROUND(D1742*'FR_Mantenimiento tasas'!$C$48/360,5)</f>
        <v>0</v>
      </c>
      <c r="F1742" s="121">
        <f>ROUND(D1742*'FR_Mantenimiento tasas'!$D$48/360,5)</f>
        <v>0</v>
      </c>
    </row>
    <row r="1743" spans="1:6">
      <c r="A1743" s="123">
        <f>IF(OR(A1742='F-Ahorro Futuro Decimos'!$H$16,A1742=""),"",IF(A1742+1&gt;'F-Ahorro Futuro Decimos'!$H$16,'F-Ahorro Futuro Decimos'!$H$16,A1742+1))</f>
        <v>1741</v>
      </c>
      <c r="B1743" s="122">
        <f>IFERROR(IF(DAY($A1743)=DAY('F-Ahorro Futuro Decimos'!$H$15),'F-Ahorro Futuro Decimos'!$H$14,0),0)</f>
        <v>0</v>
      </c>
      <c r="C1743" s="122">
        <f>IF(A1743='F-Ahorro Futuro Decimos'!$H$18,'F-Ahorro Futuro Decimos'!$H$20,0)</f>
        <v>0</v>
      </c>
      <c r="D1743" s="122">
        <f t="shared" si="27"/>
        <v>0</v>
      </c>
      <c r="E1743" s="121">
        <f>ROUND(D1743*'FR_Mantenimiento tasas'!$C$48/360,5)</f>
        <v>0</v>
      </c>
      <c r="F1743" s="121">
        <f>ROUND(D1743*'FR_Mantenimiento tasas'!$D$48/360,5)</f>
        <v>0</v>
      </c>
    </row>
    <row r="1744" spans="1:6">
      <c r="A1744" s="123">
        <f>IF(OR(A1743='F-Ahorro Futuro Decimos'!$H$16,A1743=""),"",IF(A1743+1&gt;'F-Ahorro Futuro Decimos'!$H$16,'F-Ahorro Futuro Decimos'!$H$16,A1743+1))</f>
        <v>1742</v>
      </c>
      <c r="B1744" s="122">
        <f>IFERROR(IF(DAY($A1744)=DAY('F-Ahorro Futuro Decimos'!$H$15),'F-Ahorro Futuro Decimos'!$H$14,0),0)</f>
        <v>0</v>
      </c>
      <c r="C1744" s="122">
        <f>IF(A1744='F-Ahorro Futuro Decimos'!$H$18,'F-Ahorro Futuro Decimos'!$H$20,0)</f>
        <v>0</v>
      </c>
      <c r="D1744" s="122">
        <f t="shared" si="27"/>
        <v>0</v>
      </c>
      <c r="E1744" s="121">
        <f>ROUND(D1744*'FR_Mantenimiento tasas'!$C$48/360,5)</f>
        <v>0</v>
      </c>
      <c r="F1744" s="121">
        <f>ROUND(D1744*'FR_Mantenimiento tasas'!$D$48/360,5)</f>
        <v>0</v>
      </c>
    </row>
    <row r="1745" spans="1:6">
      <c r="A1745" s="123">
        <f>IF(OR(A1744='F-Ahorro Futuro Decimos'!$H$16,A1744=""),"",IF(A1744+1&gt;'F-Ahorro Futuro Decimos'!$H$16,'F-Ahorro Futuro Decimos'!$H$16,A1744+1))</f>
        <v>1743</v>
      </c>
      <c r="B1745" s="122">
        <f>IFERROR(IF(DAY($A1745)=DAY('F-Ahorro Futuro Decimos'!$H$15),'F-Ahorro Futuro Decimos'!$H$14,0),0)</f>
        <v>0</v>
      </c>
      <c r="C1745" s="122">
        <f>IF(A1745='F-Ahorro Futuro Decimos'!$H$18,'F-Ahorro Futuro Decimos'!$H$20,0)</f>
        <v>0</v>
      </c>
      <c r="D1745" s="122">
        <f t="shared" si="27"/>
        <v>0</v>
      </c>
      <c r="E1745" s="121">
        <f>ROUND(D1745*'FR_Mantenimiento tasas'!$C$48/360,5)</f>
        <v>0</v>
      </c>
      <c r="F1745" s="121">
        <f>ROUND(D1745*'FR_Mantenimiento tasas'!$D$48/360,5)</f>
        <v>0</v>
      </c>
    </row>
    <row r="1746" spans="1:6">
      <c r="A1746" s="123">
        <f>IF(OR(A1745='F-Ahorro Futuro Decimos'!$H$16,A1745=""),"",IF(A1745+1&gt;'F-Ahorro Futuro Decimos'!$H$16,'F-Ahorro Futuro Decimos'!$H$16,A1745+1))</f>
        <v>1744</v>
      </c>
      <c r="B1746" s="122">
        <f>IFERROR(IF(DAY($A1746)=DAY('F-Ahorro Futuro Decimos'!$H$15),'F-Ahorro Futuro Decimos'!$H$14,0),0)</f>
        <v>0</v>
      </c>
      <c r="C1746" s="122">
        <f>IF(A1746='F-Ahorro Futuro Decimos'!$H$18,'F-Ahorro Futuro Decimos'!$H$20,0)</f>
        <v>0</v>
      </c>
      <c r="D1746" s="122">
        <f t="shared" si="27"/>
        <v>0</v>
      </c>
      <c r="E1746" s="121">
        <f>ROUND(D1746*'FR_Mantenimiento tasas'!$C$48/360,5)</f>
        <v>0</v>
      </c>
      <c r="F1746" s="121">
        <f>ROUND(D1746*'FR_Mantenimiento tasas'!$D$48/360,5)</f>
        <v>0</v>
      </c>
    </row>
    <row r="1747" spans="1:6">
      <c r="A1747" s="123">
        <f>IF(OR(A1746='F-Ahorro Futuro Decimos'!$H$16,A1746=""),"",IF(A1746+1&gt;'F-Ahorro Futuro Decimos'!$H$16,'F-Ahorro Futuro Decimos'!$H$16,A1746+1))</f>
        <v>1745</v>
      </c>
      <c r="B1747" s="122">
        <f>IFERROR(IF(DAY($A1747)=DAY('F-Ahorro Futuro Decimos'!$H$15),'F-Ahorro Futuro Decimos'!$H$14,0),0)</f>
        <v>0</v>
      </c>
      <c r="C1747" s="122">
        <f>IF(A1747='F-Ahorro Futuro Decimos'!$H$18,'F-Ahorro Futuro Decimos'!$H$20,0)</f>
        <v>0</v>
      </c>
      <c r="D1747" s="122">
        <f t="shared" si="27"/>
        <v>0</v>
      </c>
      <c r="E1747" s="121">
        <f>ROUND(D1747*'FR_Mantenimiento tasas'!$C$48/360,5)</f>
        <v>0</v>
      </c>
      <c r="F1747" s="121">
        <f>ROUND(D1747*'FR_Mantenimiento tasas'!$D$48/360,5)</f>
        <v>0</v>
      </c>
    </row>
    <row r="1748" spans="1:6">
      <c r="A1748" s="123">
        <f>IF(OR(A1747='F-Ahorro Futuro Decimos'!$H$16,A1747=""),"",IF(A1747+1&gt;'F-Ahorro Futuro Decimos'!$H$16,'F-Ahorro Futuro Decimos'!$H$16,A1747+1))</f>
        <v>1746</v>
      </c>
      <c r="B1748" s="122">
        <f>IFERROR(IF(DAY($A1748)=DAY('F-Ahorro Futuro Decimos'!$H$15),'F-Ahorro Futuro Decimos'!$H$14,0),0)</f>
        <v>0</v>
      </c>
      <c r="C1748" s="122">
        <f>IF(A1748='F-Ahorro Futuro Decimos'!$H$18,'F-Ahorro Futuro Decimos'!$H$20,0)</f>
        <v>0</v>
      </c>
      <c r="D1748" s="122">
        <f t="shared" si="27"/>
        <v>0</v>
      </c>
      <c r="E1748" s="121">
        <f>ROUND(D1748*'FR_Mantenimiento tasas'!$C$48/360,5)</f>
        <v>0</v>
      </c>
      <c r="F1748" s="121">
        <f>ROUND(D1748*'FR_Mantenimiento tasas'!$D$48/360,5)</f>
        <v>0</v>
      </c>
    </row>
    <row r="1749" spans="1:6">
      <c r="A1749" s="123">
        <f>IF(OR(A1748='F-Ahorro Futuro Decimos'!$H$16,A1748=""),"",IF(A1748+1&gt;'F-Ahorro Futuro Decimos'!$H$16,'F-Ahorro Futuro Decimos'!$H$16,A1748+1))</f>
        <v>1747</v>
      </c>
      <c r="B1749" s="122">
        <f>IFERROR(IF(DAY($A1749)=DAY('F-Ahorro Futuro Decimos'!$H$15),'F-Ahorro Futuro Decimos'!$H$14,0),0)</f>
        <v>0</v>
      </c>
      <c r="C1749" s="122">
        <f>IF(A1749='F-Ahorro Futuro Decimos'!$H$18,'F-Ahorro Futuro Decimos'!$H$20,0)</f>
        <v>0</v>
      </c>
      <c r="D1749" s="122">
        <f t="shared" si="27"/>
        <v>0</v>
      </c>
      <c r="E1749" s="121">
        <f>ROUND(D1749*'FR_Mantenimiento tasas'!$C$48/360,5)</f>
        <v>0</v>
      </c>
      <c r="F1749" s="121">
        <f>ROUND(D1749*'FR_Mantenimiento tasas'!$D$48/360,5)</f>
        <v>0</v>
      </c>
    </row>
    <row r="1750" spans="1:6">
      <c r="A1750" s="123">
        <f>IF(OR(A1749='F-Ahorro Futuro Decimos'!$H$16,A1749=""),"",IF(A1749+1&gt;'F-Ahorro Futuro Decimos'!$H$16,'F-Ahorro Futuro Decimos'!$H$16,A1749+1))</f>
        <v>1748</v>
      </c>
      <c r="B1750" s="122">
        <f>IFERROR(IF(DAY($A1750)=DAY('F-Ahorro Futuro Decimos'!$H$15),'F-Ahorro Futuro Decimos'!$H$14,0),0)</f>
        <v>0</v>
      </c>
      <c r="C1750" s="122">
        <f>IF(A1750='F-Ahorro Futuro Decimos'!$H$18,'F-Ahorro Futuro Decimos'!$H$20,0)</f>
        <v>0</v>
      </c>
      <c r="D1750" s="122">
        <f t="shared" si="27"/>
        <v>0</v>
      </c>
      <c r="E1750" s="121">
        <f>ROUND(D1750*'FR_Mantenimiento tasas'!$C$48/360,5)</f>
        <v>0</v>
      </c>
      <c r="F1750" s="121">
        <f>ROUND(D1750*'FR_Mantenimiento tasas'!$D$48/360,5)</f>
        <v>0</v>
      </c>
    </row>
    <row r="1751" spans="1:6">
      <c r="A1751" s="123">
        <f>IF(OR(A1750='F-Ahorro Futuro Decimos'!$H$16,A1750=""),"",IF(A1750+1&gt;'F-Ahorro Futuro Decimos'!$H$16,'F-Ahorro Futuro Decimos'!$H$16,A1750+1))</f>
        <v>1749</v>
      </c>
      <c r="B1751" s="122">
        <f>IFERROR(IF(DAY($A1751)=DAY('F-Ahorro Futuro Decimos'!$H$15),'F-Ahorro Futuro Decimos'!$H$14,0),0)</f>
        <v>0</v>
      </c>
      <c r="C1751" s="122">
        <f>IF(A1751='F-Ahorro Futuro Decimos'!$H$18,'F-Ahorro Futuro Decimos'!$H$20,0)</f>
        <v>0</v>
      </c>
      <c r="D1751" s="122">
        <f t="shared" si="27"/>
        <v>0</v>
      </c>
      <c r="E1751" s="121">
        <f>ROUND(D1751*'FR_Mantenimiento tasas'!$C$48/360,5)</f>
        <v>0</v>
      </c>
      <c r="F1751" s="121">
        <f>ROUND(D1751*'FR_Mantenimiento tasas'!$D$48/360,5)</f>
        <v>0</v>
      </c>
    </row>
    <row r="1752" spans="1:6">
      <c r="A1752" s="123">
        <f>IF(OR(A1751='F-Ahorro Futuro Decimos'!$H$16,A1751=""),"",IF(A1751+1&gt;'F-Ahorro Futuro Decimos'!$H$16,'F-Ahorro Futuro Decimos'!$H$16,A1751+1))</f>
        <v>1750</v>
      </c>
      <c r="B1752" s="122">
        <f>IFERROR(IF(DAY($A1752)=DAY('F-Ahorro Futuro Decimos'!$H$15),'F-Ahorro Futuro Decimos'!$H$14,0),0)</f>
        <v>0</v>
      </c>
      <c r="C1752" s="122">
        <f>IF(A1752='F-Ahorro Futuro Decimos'!$H$18,'F-Ahorro Futuro Decimos'!$H$20,0)</f>
        <v>0</v>
      </c>
      <c r="D1752" s="122">
        <f t="shared" si="27"/>
        <v>0</v>
      </c>
      <c r="E1752" s="121">
        <f>ROUND(D1752*'FR_Mantenimiento tasas'!$C$48/360,5)</f>
        <v>0</v>
      </c>
      <c r="F1752" s="121">
        <f>ROUND(D1752*'FR_Mantenimiento tasas'!$D$48/360,5)</f>
        <v>0</v>
      </c>
    </row>
    <row r="1753" spans="1:6">
      <c r="A1753" s="123">
        <f>IF(OR(A1752='F-Ahorro Futuro Decimos'!$H$16,A1752=""),"",IF(A1752+1&gt;'F-Ahorro Futuro Decimos'!$H$16,'F-Ahorro Futuro Decimos'!$H$16,A1752+1))</f>
        <v>1751</v>
      </c>
      <c r="B1753" s="122">
        <f>IFERROR(IF(DAY($A1753)=DAY('F-Ahorro Futuro Decimos'!$H$15),'F-Ahorro Futuro Decimos'!$H$14,0),0)</f>
        <v>0</v>
      </c>
      <c r="C1753" s="122">
        <f>IF(A1753='F-Ahorro Futuro Decimos'!$H$18,'F-Ahorro Futuro Decimos'!$H$20,0)</f>
        <v>0</v>
      </c>
      <c r="D1753" s="122">
        <f t="shared" si="27"/>
        <v>0</v>
      </c>
      <c r="E1753" s="121">
        <f>ROUND(D1753*'FR_Mantenimiento tasas'!$C$48/360,5)</f>
        <v>0</v>
      </c>
      <c r="F1753" s="121">
        <f>ROUND(D1753*'FR_Mantenimiento tasas'!$D$48/360,5)</f>
        <v>0</v>
      </c>
    </row>
    <row r="1754" spans="1:6">
      <c r="A1754" s="123">
        <f>IF(OR(A1753='F-Ahorro Futuro Decimos'!$H$16,A1753=""),"",IF(A1753+1&gt;'F-Ahorro Futuro Decimos'!$H$16,'F-Ahorro Futuro Decimos'!$H$16,A1753+1))</f>
        <v>1752</v>
      </c>
      <c r="B1754" s="122">
        <f>IFERROR(IF(DAY($A1754)=DAY('F-Ahorro Futuro Decimos'!$H$15),'F-Ahorro Futuro Decimos'!$H$14,0),0)</f>
        <v>0</v>
      </c>
      <c r="C1754" s="122">
        <f>IF(A1754='F-Ahorro Futuro Decimos'!$H$18,'F-Ahorro Futuro Decimos'!$H$20,0)</f>
        <v>0</v>
      </c>
      <c r="D1754" s="122">
        <f t="shared" si="27"/>
        <v>0</v>
      </c>
      <c r="E1754" s="121">
        <f>ROUND(D1754*'FR_Mantenimiento tasas'!$C$48/360,5)</f>
        <v>0</v>
      </c>
      <c r="F1754" s="121">
        <f>ROUND(D1754*'FR_Mantenimiento tasas'!$D$48/360,5)</f>
        <v>0</v>
      </c>
    </row>
    <row r="1755" spans="1:6">
      <c r="A1755" s="123">
        <f>IF(OR(A1754='F-Ahorro Futuro Decimos'!$H$16,A1754=""),"",IF(A1754+1&gt;'F-Ahorro Futuro Decimos'!$H$16,'F-Ahorro Futuro Decimos'!$H$16,A1754+1))</f>
        <v>1753</v>
      </c>
      <c r="B1755" s="122">
        <f>IFERROR(IF(DAY($A1755)=DAY('F-Ahorro Futuro Decimos'!$H$15),'F-Ahorro Futuro Decimos'!$H$14,0),0)</f>
        <v>0</v>
      </c>
      <c r="C1755" s="122">
        <f>IF(A1755='F-Ahorro Futuro Decimos'!$H$18,'F-Ahorro Futuro Decimos'!$H$20,0)</f>
        <v>0</v>
      </c>
      <c r="D1755" s="122">
        <f t="shared" si="27"/>
        <v>0</v>
      </c>
      <c r="E1755" s="121">
        <f>ROUND(D1755*'FR_Mantenimiento tasas'!$C$48/360,5)</f>
        <v>0</v>
      </c>
      <c r="F1755" s="121">
        <f>ROUND(D1755*'FR_Mantenimiento tasas'!$D$48/360,5)</f>
        <v>0</v>
      </c>
    </row>
    <row r="1756" spans="1:6">
      <c r="A1756" s="123">
        <f>IF(OR(A1755='F-Ahorro Futuro Decimos'!$H$16,A1755=""),"",IF(A1755+1&gt;'F-Ahorro Futuro Decimos'!$H$16,'F-Ahorro Futuro Decimos'!$H$16,A1755+1))</f>
        <v>1754</v>
      </c>
      <c r="B1756" s="122">
        <f>IFERROR(IF(DAY($A1756)=DAY('F-Ahorro Futuro Decimos'!$H$15),'F-Ahorro Futuro Decimos'!$H$14,0),0)</f>
        <v>0</v>
      </c>
      <c r="C1756" s="122">
        <f>IF(A1756='F-Ahorro Futuro Decimos'!$H$18,'F-Ahorro Futuro Decimos'!$H$20,0)</f>
        <v>0</v>
      </c>
      <c r="D1756" s="122">
        <f t="shared" si="27"/>
        <v>0</v>
      </c>
      <c r="E1756" s="121">
        <f>ROUND(D1756*'FR_Mantenimiento tasas'!$C$48/360,5)</f>
        <v>0</v>
      </c>
      <c r="F1756" s="121">
        <f>ROUND(D1756*'FR_Mantenimiento tasas'!$D$48/360,5)</f>
        <v>0</v>
      </c>
    </row>
    <row r="1757" spans="1:6">
      <c r="A1757" s="123">
        <f>IF(OR(A1756='F-Ahorro Futuro Decimos'!$H$16,A1756=""),"",IF(A1756+1&gt;'F-Ahorro Futuro Decimos'!$H$16,'F-Ahorro Futuro Decimos'!$H$16,A1756+1))</f>
        <v>1755</v>
      </c>
      <c r="B1757" s="122">
        <f>IFERROR(IF(DAY($A1757)=DAY('F-Ahorro Futuro Decimos'!$H$15),'F-Ahorro Futuro Decimos'!$H$14,0),0)</f>
        <v>0</v>
      </c>
      <c r="C1757" s="122">
        <f>IF(A1757='F-Ahorro Futuro Decimos'!$H$18,'F-Ahorro Futuro Decimos'!$H$20,0)</f>
        <v>0</v>
      </c>
      <c r="D1757" s="122">
        <f t="shared" si="27"/>
        <v>0</v>
      </c>
      <c r="E1757" s="121">
        <f>ROUND(D1757*'FR_Mantenimiento tasas'!$C$48/360,5)</f>
        <v>0</v>
      </c>
      <c r="F1757" s="121">
        <f>ROUND(D1757*'FR_Mantenimiento tasas'!$D$48/360,5)</f>
        <v>0</v>
      </c>
    </row>
    <row r="1758" spans="1:6">
      <c r="A1758" s="123">
        <f>IF(OR(A1757='F-Ahorro Futuro Decimos'!$H$16,A1757=""),"",IF(A1757+1&gt;'F-Ahorro Futuro Decimos'!$H$16,'F-Ahorro Futuro Decimos'!$H$16,A1757+1))</f>
        <v>1756</v>
      </c>
      <c r="B1758" s="122">
        <f>IFERROR(IF(DAY($A1758)=DAY('F-Ahorro Futuro Decimos'!$H$15),'F-Ahorro Futuro Decimos'!$H$14,0),0)</f>
        <v>0</v>
      </c>
      <c r="C1758" s="122">
        <f>IF(A1758='F-Ahorro Futuro Decimos'!$H$18,'F-Ahorro Futuro Decimos'!$H$20,0)</f>
        <v>0</v>
      </c>
      <c r="D1758" s="122">
        <f t="shared" si="27"/>
        <v>0</v>
      </c>
      <c r="E1758" s="121">
        <f>ROUND(D1758*'FR_Mantenimiento tasas'!$C$48/360,5)</f>
        <v>0</v>
      </c>
      <c r="F1758" s="121">
        <f>ROUND(D1758*'FR_Mantenimiento tasas'!$D$48/360,5)</f>
        <v>0</v>
      </c>
    </row>
    <row r="1759" spans="1:6">
      <c r="A1759" s="123">
        <f>IF(OR(A1758='F-Ahorro Futuro Decimos'!$H$16,A1758=""),"",IF(A1758+1&gt;'F-Ahorro Futuro Decimos'!$H$16,'F-Ahorro Futuro Decimos'!$H$16,A1758+1))</f>
        <v>1757</v>
      </c>
      <c r="B1759" s="122">
        <f>IFERROR(IF(DAY($A1759)=DAY('F-Ahorro Futuro Decimos'!$H$15),'F-Ahorro Futuro Decimos'!$H$14,0),0)</f>
        <v>0</v>
      </c>
      <c r="C1759" s="122">
        <f>IF(A1759='F-Ahorro Futuro Decimos'!$H$18,'F-Ahorro Futuro Decimos'!$H$20,0)</f>
        <v>0</v>
      </c>
      <c r="D1759" s="122">
        <f t="shared" si="27"/>
        <v>0</v>
      </c>
      <c r="E1759" s="121">
        <f>ROUND(D1759*'FR_Mantenimiento tasas'!$C$48/360,5)</f>
        <v>0</v>
      </c>
      <c r="F1759" s="121">
        <f>ROUND(D1759*'FR_Mantenimiento tasas'!$D$48/360,5)</f>
        <v>0</v>
      </c>
    </row>
    <row r="1760" spans="1:6">
      <c r="A1760" s="123">
        <f>IF(OR(A1759='F-Ahorro Futuro Decimos'!$H$16,A1759=""),"",IF(A1759+1&gt;'F-Ahorro Futuro Decimos'!$H$16,'F-Ahorro Futuro Decimos'!$H$16,A1759+1))</f>
        <v>1758</v>
      </c>
      <c r="B1760" s="122">
        <f>IFERROR(IF(DAY($A1760)=DAY('F-Ahorro Futuro Decimos'!$H$15),'F-Ahorro Futuro Decimos'!$H$14,0),0)</f>
        <v>0</v>
      </c>
      <c r="C1760" s="122">
        <f>IF(A1760='F-Ahorro Futuro Decimos'!$H$18,'F-Ahorro Futuro Decimos'!$H$20,0)</f>
        <v>0</v>
      </c>
      <c r="D1760" s="122">
        <f t="shared" si="27"/>
        <v>0</v>
      </c>
      <c r="E1760" s="121">
        <f>ROUND(D1760*'FR_Mantenimiento tasas'!$C$48/360,5)</f>
        <v>0</v>
      </c>
      <c r="F1760" s="121">
        <f>ROUND(D1760*'FR_Mantenimiento tasas'!$D$48/360,5)</f>
        <v>0</v>
      </c>
    </row>
    <row r="1761" spans="1:6">
      <c r="A1761" s="123">
        <f>IF(OR(A1760='F-Ahorro Futuro Decimos'!$H$16,A1760=""),"",IF(A1760+1&gt;'F-Ahorro Futuro Decimos'!$H$16,'F-Ahorro Futuro Decimos'!$H$16,A1760+1))</f>
        <v>1759</v>
      </c>
      <c r="B1761" s="122">
        <f>IFERROR(IF(DAY($A1761)=DAY('F-Ahorro Futuro Decimos'!$H$15),'F-Ahorro Futuro Decimos'!$H$14,0),0)</f>
        <v>0</v>
      </c>
      <c r="C1761" s="122">
        <f>IF(A1761='F-Ahorro Futuro Decimos'!$H$18,'F-Ahorro Futuro Decimos'!$H$20,0)</f>
        <v>0</v>
      </c>
      <c r="D1761" s="122">
        <f t="shared" si="27"/>
        <v>0</v>
      </c>
      <c r="E1761" s="121">
        <f>ROUND(D1761*'FR_Mantenimiento tasas'!$C$48/360,5)</f>
        <v>0</v>
      </c>
      <c r="F1761" s="121">
        <f>ROUND(D1761*'FR_Mantenimiento tasas'!$D$48/360,5)</f>
        <v>0</v>
      </c>
    </row>
    <row r="1762" spans="1:6">
      <c r="A1762" s="123">
        <f>IF(OR(A1761='F-Ahorro Futuro Decimos'!$H$16,A1761=""),"",IF(A1761+1&gt;'F-Ahorro Futuro Decimos'!$H$16,'F-Ahorro Futuro Decimos'!$H$16,A1761+1))</f>
        <v>1760</v>
      </c>
      <c r="B1762" s="122">
        <f>IFERROR(IF(DAY($A1762)=DAY('F-Ahorro Futuro Decimos'!$H$15),'F-Ahorro Futuro Decimos'!$H$14,0),0)</f>
        <v>0</v>
      </c>
      <c r="C1762" s="122">
        <f>IF(A1762='F-Ahorro Futuro Decimos'!$H$18,'F-Ahorro Futuro Decimos'!$H$20,0)</f>
        <v>0</v>
      </c>
      <c r="D1762" s="122">
        <f t="shared" si="27"/>
        <v>0</v>
      </c>
      <c r="E1762" s="121">
        <f>ROUND(D1762*'FR_Mantenimiento tasas'!$C$48/360,5)</f>
        <v>0</v>
      </c>
      <c r="F1762" s="121">
        <f>ROUND(D1762*'FR_Mantenimiento tasas'!$D$48/360,5)</f>
        <v>0</v>
      </c>
    </row>
    <row r="1763" spans="1:6">
      <c r="A1763" s="123">
        <f>IF(OR(A1762='F-Ahorro Futuro Decimos'!$H$16,A1762=""),"",IF(A1762+1&gt;'F-Ahorro Futuro Decimos'!$H$16,'F-Ahorro Futuro Decimos'!$H$16,A1762+1))</f>
        <v>1761</v>
      </c>
      <c r="B1763" s="122">
        <f>IFERROR(IF(DAY($A1763)=DAY('F-Ahorro Futuro Decimos'!$H$15),'F-Ahorro Futuro Decimos'!$H$14,0),0)</f>
        <v>0</v>
      </c>
      <c r="C1763" s="122">
        <f>IF(A1763='F-Ahorro Futuro Decimos'!$H$18,'F-Ahorro Futuro Decimos'!$H$20,0)</f>
        <v>0</v>
      </c>
      <c r="D1763" s="122">
        <f t="shared" si="27"/>
        <v>0</v>
      </c>
      <c r="E1763" s="121">
        <f>ROUND(D1763*'FR_Mantenimiento tasas'!$C$48/360,5)</f>
        <v>0</v>
      </c>
      <c r="F1763" s="121">
        <f>ROUND(D1763*'FR_Mantenimiento tasas'!$D$48/360,5)</f>
        <v>0</v>
      </c>
    </row>
    <row r="1764" spans="1:6">
      <c r="A1764" s="123">
        <f>IF(OR(A1763='F-Ahorro Futuro Decimos'!$H$16,A1763=""),"",IF(A1763+1&gt;'F-Ahorro Futuro Decimos'!$H$16,'F-Ahorro Futuro Decimos'!$H$16,A1763+1))</f>
        <v>1762</v>
      </c>
      <c r="B1764" s="122">
        <f>IFERROR(IF(DAY($A1764)=DAY('F-Ahorro Futuro Decimos'!$H$15),'F-Ahorro Futuro Decimos'!$H$14,0),0)</f>
        <v>0</v>
      </c>
      <c r="C1764" s="122">
        <f>IF(A1764='F-Ahorro Futuro Decimos'!$H$18,'F-Ahorro Futuro Decimos'!$H$20,0)</f>
        <v>0</v>
      </c>
      <c r="D1764" s="122">
        <f t="shared" si="27"/>
        <v>0</v>
      </c>
      <c r="E1764" s="121">
        <f>ROUND(D1764*'FR_Mantenimiento tasas'!$C$48/360,5)</f>
        <v>0</v>
      </c>
      <c r="F1764" s="121">
        <f>ROUND(D1764*'FR_Mantenimiento tasas'!$D$48/360,5)</f>
        <v>0</v>
      </c>
    </row>
    <row r="1765" spans="1:6">
      <c r="A1765" s="123">
        <f>IF(OR(A1764='F-Ahorro Futuro Decimos'!$H$16,A1764=""),"",IF(A1764+1&gt;'F-Ahorro Futuro Decimos'!$H$16,'F-Ahorro Futuro Decimos'!$H$16,A1764+1))</f>
        <v>1763</v>
      </c>
      <c r="B1765" s="122">
        <f>IFERROR(IF(DAY($A1765)=DAY('F-Ahorro Futuro Decimos'!$H$15),'F-Ahorro Futuro Decimos'!$H$14,0),0)</f>
        <v>0</v>
      </c>
      <c r="C1765" s="122">
        <f>IF(A1765='F-Ahorro Futuro Decimos'!$H$18,'F-Ahorro Futuro Decimos'!$H$20,0)</f>
        <v>0</v>
      </c>
      <c r="D1765" s="122">
        <f t="shared" si="27"/>
        <v>0</v>
      </c>
      <c r="E1765" s="121">
        <f>ROUND(D1765*'FR_Mantenimiento tasas'!$C$48/360,5)</f>
        <v>0</v>
      </c>
      <c r="F1765" s="121">
        <f>ROUND(D1765*'FR_Mantenimiento tasas'!$D$48/360,5)</f>
        <v>0</v>
      </c>
    </row>
    <row r="1766" spans="1:6">
      <c r="A1766" s="123">
        <f>IF(OR(A1765='F-Ahorro Futuro Decimos'!$H$16,A1765=""),"",IF(A1765+1&gt;'F-Ahorro Futuro Decimos'!$H$16,'F-Ahorro Futuro Decimos'!$H$16,A1765+1))</f>
        <v>1764</v>
      </c>
      <c r="B1766" s="122">
        <f>IFERROR(IF(DAY($A1766)=DAY('F-Ahorro Futuro Decimos'!$H$15),'F-Ahorro Futuro Decimos'!$H$14,0),0)</f>
        <v>0</v>
      </c>
      <c r="C1766" s="122">
        <f>IF(A1766='F-Ahorro Futuro Decimos'!$H$18,'F-Ahorro Futuro Decimos'!$H$20,0)</f>
        <v>0</v>
      </c>
      <c r="D1766" s="122">
        <f t="shared" si="27"/>
        <v>0</v>
      </c>
      <c r="E1766" s="121">
        <f>ROUND(D1766*'FR_Mantenimiento tasas'!$C$48/360,5)</f>
        <v>0</v>
      </c>
      <c r="F1766" s="121">
        <f>ROUND(D1766*'FR_Mantenimiento tasas'!$D$48/360,5)</f>
        <v>0</v>
      </c>
    </row>
    <row r="1767" spans="1:6">
      <c r="A1767" s="123">
        <f>IF(OR(A1766='F-Ahorro Futuro Decimos'!$H$16,A1766=""),"",IF(A1766+1&gt;'F-Ahorro Futuro Decimos'!$H$16,'F-Ahorro Futuro Decimos'!$H$16,A1766+1))</f>
        <v>1765</v>
      </c>
      <c r="B1767" s="122">
        <f>IFERROR(IF(DAY($A1767)=DAY('F-Ahorro Futuro Decimos'!$H$15),'F-Ahorro Futuro Decimos'!$H$14,0),0)</f>
        <v>0</v>
      </c>
      <c r="C1767" s="122">
        <f>IF(A1767='F-Ahorro Futuro Decimos'!$H$18,'F-Ahorro Futuro Decimos'!$H$20,0)</f>
        <v>0</v>
      </c>
      <c r="D1767" s="122">
        <f t="shared" si="27"/>
        <v>0</v>
      </c>
      <c r="E1767" s="121">
        <f>ROUND(D1767*'FR_Mantenimiento tasas'!$C$48/360,5)</f>
        <v>0</v>
      </c>
      <c r="F1767" s="121">
        <f>ROUND(D1767*'FR_Mantenimiento tasas'!$D$48/360,5)</f>
        <v>0</v>
      </c>
    </row>
    <row r="1768" spans="1:6">
      <c r="A1768" s="123">
        <f>IF(OR(A1767='F-Ahorro Futuro Decimos'!$H$16,A1767=""),"",IF(A1767+1&gt;'F-Ahorro Futuro Decimos'!$H$16,'F-Ahorro Futuro Decimos'!$H$16,A1767+1))</f>
        <v>1766</v>
      </c>
      <c r="B1768" s="122">
        <f>IFERROR(IF(DAY($A1768)=DAY('F-Ahorro Futuro Decimos'!$H$15),'F-Ahorro Futuro Decimos'!$H$14,0),0)</f>
        <v>0</v>
      </c>
      <c r="C1768" s="122">
        <f>IF(A1768='F-Ahorro Futuro Decimos'!$H$18,'F-Ahorro Futuro Decimos'!$H$20,0)</f>
        <v>0</v>
      </c>
      <c r="D1768" s="122">
        <f t="shared" si="27"/>
        <v>0</v>
      </c>
      <c r="E1768" s="121">
        <f>ROUND(D1768*'FR_Mantenimiento tasas'!$C$48/360,5)</f>
        <v>0</v>
      </c>
      <c r="F1768" s="121">
        <f>ROUND(D1768*'FR_Mantenimiento tasas'!$D$48/360,5)</f>
        <v>0</v>
      </c>
    </row>
    <row r="1769" spans="1:6">
      <c r="A1769" s="123">
        <f>IF(OR(A1768='F-Ahorro Futuro Decimos'!$H$16,A1768=""),"",IF(A1768+1&gt;'F-Ahorro Futuro Decimos'!$H$16,'F-Ahorro Futuro Decimos'!$H$16,A1768+1))</f>
        <v>1767</v>
      </c>
      <c r="B1769" s="122">
        <f>IFERROR(IF(DAY($A1769)=DAY('F-Ahorro Futuro Decimos'!$H$15),'F-Ahorro Futuro Decimos'!$H$14,0),0)</f>
        <v>0</v>
      </c>
      <c r="C1769" s="122">
        <f>IF(A1769='F-Ahorro Futuro Decimos'!$H$18,'F-Ahorro Futuro Decimos'!$H$20,0)</f>
        <v>0</v>
      </c>
      <c r="D1769" s="122">
        <f t="shared" si="27"/>
        <v>0</v>
      </c>
      <c r="E1769" s="121">
        <f>ROUND(D1769*'FR_Mantenimiento tasas'!$C$48/360,5)</f>
        <v>0</v>
      </c>
      <c r="F1769" s="121">
        <f>ROUND(D1769*'FR_Mantenimiento tasas'!$D$48/360,5)</f>
        <v>0</v>
      </c>
    </row>
    <row r="1770" spans="1:6">
      <c r="A1770" s="123">
        <f>IF(OR(A1769='F-Ahorro Futuro Decimos'!$H$16,A1769=""),"",IF(A1769+1&gt;'F-Ahorro Futuro Decimos'!$H$16,'F-Ahorro Futuro Decimos'!$H$16,A1769+1))</f>
        <v>1768</v>
      </c>
      <c r="B1770" s="122">
        <f>IFERROR(IF(DAY($A1770)=DAY('F-Ahorro Futuro Decimos'!$H$15),'F-Ahorro Futuro Decimos'!$H$14,0),0)</f>
        <v>0</v>
      </c>
      <c r="C1770" s="122">
        <f>IF(A1770='F-Ahorro Futuro Decimos'!$H$18,'F-Ahorro Futuro Decimos'!$H$20,0)</f>
        <v>0</v>
      </c>
      <c r="D1770" s="122">
        <f t="shared" si="27"/>
        <v>0</v>
      </c>
      <c r="E1770" s="121">
        <f>ROUND(D1770*'FR_Mantenimiento tasas'!$C$48/360,5)</f>
        <v>0</v>
      </c>
      <c r="F1770" s="121">
        <f>ROUND(D1770*'FR_Mantenimiento tasas'!$D$48/360,5)</f>
        <v>0</v>
      </c>
    </row>
    <row r="1771" spans="1:6">
      <c r="A1771" s="123">
        <f>IF(OR(A1770='F-Ahorro Futuro Decimos'!$H$16,A1770=""),"",IF(A1770+1&gt;'F-Ahorro Futuro Decimos'!$H$16,'F-Ahorro Futuro Decimos'!$H$16,A1770+1))</f>
        <v>1769</v>
      </c>
      <c r="B1771" s="122">
        <f>IFERROR(IF(DAY($A1771)=DAY('F-Ahorro Futuro Decimos'!$H$15),'F-Ahorro Futuro Decimos'!$H$14,0),0)</f>
        <v>0</v>
      </c>
      <c r="C1771" s="122">
        <f>IF(A1771='F-Ahorro Futuro Decimos'!$H$18,'F-Ahorro Futuro Decimos'!$H$20,0)</f>
        <v>0</v>
      </c>
      <c r="D1771" s="122">
        <f t="shared" si="27"/>
        <v>0</v>
      </c>
      <c r="E1771" s="121">
        <f>ROUND(D1771*'FR_Mantenimiento tasas'!$C$48/360,5)</f>
        <v>0</v>
      </c>
      <c r="F1771" s="121">
        <f>ROUND(D1771*'FR_Mantenimiento tasas'!$D$48/360,5)</f>
        <v>0</v>
      </c>
    </row>
    <row r="1772" spans="1:6">
      <c r="A1772" s="123">
        <f>IF(OR(A1771='F-Ahorro Futuro Decimos'!$H$16,A1771=""),"",IF(A1771+1&gt;'F-Ahorro Futuro Decimos'!$H$16,'F-Ahorro Futuro Decimos'!$H$16,A1771+1))</f>
        <v>1770</v>
      </c>
      <c r="B1772" s="122">
        <f>IFERROR(IF(DAY($A1772)=DAY('F-Ahorro Futuro Decimos'!$H$15),'F-Ahorro Futuro Decimos'!$H$14,0),0)</f>
        <v>0</v>
      </c>
      <c r="C1772" s="122">
        <f>IF(A1772='F-Ahorro Futuro Decimos'!$H$18,'F-Ahorro Futuro Decimos'!$H$20,0)</f>
        <v>0</v>
      </c>
      <c r="D1772" s="122">
        <f t="shared" si="27"/>
        <v>0</v>
      </c>
      <c r="E1772" s="121">
        <f>ROUND(D1772*'FR_Mantenimiento tasas'!$C$48/360,5)</f>
        <v>0</v>
      </c>
      <c r="F1772" s="121">
        <f>ROUND(D1772*'FR_Mantenimiento tasas'!$D$48/360,5)</f>
        <v>0</v>
      </c>
    </row>
    <row r="1773" spans="1:6">
      <c r="A1773" s="123">
        <f>IF(OR(A1772='F-Ahorro Futuro Decimos'!$H$16,A1772=""),"",IF(A1772+1&gt;'F-Ahorro Futuro Decimos'!$H$16,'F-Ahorro Futuro Decimos'!$H$16,A1772+1))</f>
        <v>1771</v>
      </c>
      <c r="B1773" s="122">
        <f>IFERROR(IF(DAY($A1773)=DAY('F-Ahorro Futuro Decimos'!$H$15),'F-Ahorro Futuro Decimos'!$H$14,0),0)</f>
        <v>0</v>
      </c>
      <c r="C1773" s="122">
        <f>IF(A1773='F-Ahorro Futuro Decimos'!$H$18,'F-Ahorro Futuro Decimos'!$H$20,0)</f>
        <v>0</v>
      </c>
      <c r="D1773" s="122">
        <f t="shared" si="27"/>
        <v>0</v>
      </c>
      <c r="E1773" s="121">
        <f>ROUND(D1773*'FR_Mantenimiento tasas'!$C$48/360,5)</f>
        <v>0</v>
      </c>
      <c r="F1773" s="121">
        <f>ROUND(D1773*'FR_Mantenimiento tasas'!$D$48/360,5)</f>
        <v>0</v>
      </c>
    </row>
    <row r="1774" spans="1:6">
      <c r="A1774" s="123">
        <f>IF(OR(A1773='F-Ahorro Futuro Decimos'!$H$16,A1773=""),"",IF(A1773+1&gt;'F-Ahorro Futuro Decimos'!$H$16,'F-Ahorro Futuro Decimos'!$H$16,A1773+1))</f>
        <v>1772</v>
      </c>
      <c r="B1774" s="122">
        <f>IFERROR(IF(DAY($A1774)=DAY('F-Ahorro Futuro Decimos'!$H$15),'F-Ahorro Futuro Decimos'!$H$14,0),0)</f>
        <v>0</v>
      </c>
      <c r="C1774" s="122">
        <f>IF(A1774='F-Ahorro Futuro Decimos'!$H$18,'F-Ahorro Futuro Decimos'!$H$20,0)</f>
        <v>0</v>
      </c>
      <c r="D1774" s="122">
        <f t="shared" si="27"/>
        <v>0</v>
      </c>
      <c r="E1774" s="121">
        <f>ROUND(D1774*'FR_Mantenimiento tasas'!$C$48/360,5)</f>
        <v>0</v>
      </c>
      <c r="F1774" s="121">
        <f>ROUND(D1774*'FR_Mantenimiento tasas'!$D$48/360,5)</f>
        <v>0</v>
      </c>
    </row>
    <row r="1775" spans="1:6">
      <c r="A1775" s="123">
        <f>IF(OR(A1774='F-Ahorro Futuro Decimos'!$H$16,A1774=""),"",IF(A1774+1&gt;'F-Ahorro Futuro Decimos'!$H$16,'F-Ahorro Futuro Decimos'!$H$16,A1774+1))</f>
        <v>1773</v>
      </c>
      <c r="B1775" s="122">
        <f>IFERROR(IF(DAY($A1775)=DAY('F-Ahorro Futuro Decimos'!$H$15),'F-Ahorro Futuro Decimos'!$H$14,0),0)</f>
        <v>0</v>
      </c>
      <c r="C1775" s="122">
        <f>IF(A1775='F-Ahorro Futuro Decimos'!$H$18,'F-Ahorro Futuro Decimos'!$H$20,0)</f>
        <v>0</v>
      </c>
      <c r="D1775" s="122">
        <f t="shared" si="27"/>
        <v>0</v>
      </c>
      <c r="E1775" s="121">
        <f>ROUND(D1775*'FR_Mantenimiento tasas'!$C$48/360,5)</f>
        <v>0</v>
      </c>
      <c r="F1775" s="121">
        <f>ROUND(D1775*'FR_Mantenimiento tasas'!$D$48/360,5)</f>
        <v>0</v>
      </c>
    </row>
    <row r="1776" spans="1:6">
      <c r="A1776" s="123">
        <f>IF(OR(A1775='F-Ahorro Futuro Decimos'!$H$16,A1775=""),"",IF(A1775+1&gt;'F-Ahorro Futuro Decimos'!$H$16,'F-Ahorro Futuro Decimos'!$H$16,A1775+1))</f>
        <v>1774</v>
      </c>
      <c r="B1776" s="122">
        <f>IFERROR(IF(DAY($A1776)=DAY('F-Ahorro Futuro Decimos'!$H$15),'F-Ahorro Futuro Decimos'!$H$14,0),0)</f>
        <v>0</v>
      </c>
      <c r="C1776" s="122">
        <f>IF(A1776='F-Ahorro Futuro Decimos'!$H$18,'F-Ahorro Futuro Decimos'!$H$20,0)</f>
        <v>0</v>
      </c>
      <c r="D1776" s="122">
        <f t="shared" si="27"/>
        <v>0</v>
      </c>
      <c r="E1776" s="121">
        <f>ROUND(D1776*'FR_Mantenimiento tasas'!$C$48/360,5)</f>
        <v>0</v>
      </c>
      <c r="F1776" s="121">
        <f>ROUND(D1776*'FR_Mantenimiento tasas'!$D$48/360,5)</f>
        <v>0</v>
      </c>
    </row>
    <row r="1777" spans="1:6">
      <c r="A1777" s="123">
        <f>IF(OR(A1776='F-Ahorro Futuro Decimos'!$H$16,A1776=""),"",IF(A1776+1&gt;'F-Ahorro Futuro Decimos'!$H$16,'F-Ahorro Futuro Decimos'!$H$16,A1776+1))</f>
        <v>1775</v>
      </c>
      <c r="B1777" s="122">
        <f>IFERROR(IF(DAY($A1777)=DAY('F-Ahorro Futuro Decimos'!$H$15),'F-Ahorro Futuro Decimos'!$H$14,0),0)</f>
        <v>0</v>
      </c>
      <c r="C1777" s="122">
        <f>IF(A1777='F-Ahorro Futuro Decimos'!$H$18,'F-Ahorro Futuro Decimos'!$H$20,0)</f>
        <v>0</v>
      </c>
      <c r="D1777" s="122">
        <f t="shared" si="27"/>
        <v>0</v>
      </c>
      <c r="E1777" s="121">
        <f>ROUND(D1777*'FR_Mantenimiento tasas'!$C$48/360,5)</f>
        <v>0</v>
      </c>
      <c r="F1777" s="121">
        <f>ROUND(D1777*'FR_Mantenimiento tasas'!$D$48/360,5)</f>
        <v>0</v>
      </c>
    </row>
    <row r="1778" spans="1:6">
      <c r="A1778" s="123">
        <f>IF(OR(A1777='F-Ahorro Futuro Decimos'!$H$16,A1777=""),"",IF(A1777+1&gt;'F-Ahorro Futuro Decimos'!$H$16,'F-Ahorro Futuro Decimos'!$H$16,A1777+1))</f>
        <v>1776</v>
      </c>
      <c r="B1778" s="122">
        <f>IFERROR(IF(DAY($A1778)=DAY('F-Ahorro Futuro Decimos'!$H$15),'F-Ahorro Futuro Decimos'!$H$14,0),0)</f>
        <v>0</v>
      </c>
      <c r="C1778" s="122">
        <f>IF(A1778='F-Ahorro Futuro Decimos'!$H$18,'F-Ahorro Futuro Decimos'!$H$20,0)</f>
        <v>0</v>
      </c>
      <c r="D1778" s="122">
        <f t="shared" si="27"/>
        <v>0</v>
      </c>
      <c r="E1778" s="121">
        <f>ROUND(D1778*'FR_Mantenimiento tasas'!$C$48/360,5)</f>
        <v>0</v>
      </c>
      <c r="F1778" s="121">
        <f>ROUND(D1778*'FR_Mantenimiento tasas'!$D$48/360,5)</f>
        <v>0</v>
      </c>
    </row>
    <row r="1779" spans="1:6">
      <c r="A1779" s="123">
        <f>IF(OR(A1778='F-Ahorro Futuro Decimos'!$H$16,A1778=""),"",IF(A1778+1&gt;'F-Ahorro Futuro Decimos'!$H$16,'F-Ahorro Futuro Decimos'!$H$16,A1778+1))</f>
        <v>1777</v>
      </c>
      <c r="B1779" s="122">
        <f>IFERROR(IF(DAY($A1779)=DAY('F-Ahorro Futuro Decimos'!$H$15),'F-Ahorro Futuro Decimos'!$H$14,0),0)</f>
        <v>0</v>
      </c>
      <c r="C1779" s="122">
        <f>IF(A1779='F-Ahorro Futuro Decimos'!$H$18,'F-Ahorro Futuro Decimos'!$H$20,0)</f>
        <v>0</v>
      </c>
      <c r="D1779" s="122">
        <f t="shared" si="27"/>
        <v>0</v>
      </c>
      <c r="E1779" s="121">
        <f>ROUND(D1779*'FR_Mantenimiento tasas'!$C$48/360,5)</f>
        <v>0</v>
      </c>
      <c r="F1779" s="121">
        <f>ROUND(D1779*'FR_Mantenimiento tasas'!$D$48/360,5)</f>
        <v>0</v>
      </c>
    </row>
    <row r="1780" spans="1:6">
      <c r="A1780" s="123">
        <f>IF(OR(A1779='F-Ahorro Futuro Decimos'!$H$16,A1779=""),"",IF(A1779+1&gt;'F-Ahorro Futuro Decimos'!$H$16,'F-Ahorro Futuro Decimos'!$H$16,A1779+1))</f>
        <v>1778</v>
      </c>
      <c r="B1780" s="122">
        <f>IFERROR(IF(DAY($A1780)=DAY('F-Ahorro Futuro Decimos'!$H$15),'F-Ahorro Futuro Decimos'!$H$14,0),0)</f>
        <v>0</v>
      </c>
      <c r="C1780" s="122">
        <f>IF(A1780='F-Ahorro Futuro Decimos'!$H$18,'F-Ahorro Futuro Decimos'!$H$20,0)</f>
        <v>0</v>
      </c>
      <c r="D1780" s="122">
        <f t="shared" si="27"/>
        <v>0</v>
      </c>
      <c r="E1780" s="121">
        <f>ROUND(D1780*'FR_Mantenimiento tasas'!$C$48/360,5)</f>
        <v>0</v>
      </c>
      <c r="F1780" s="121">
        <f>ROUND(D1780*'FR_Mantenimiento tasas'!$D$48/360,5)</f>
        <v>0</v>
      </c>
    </row>
    <row r="1781" spans="1:6">
      <c r="A1781" s="123">
        <f>IF(OR(A1780='F-Ahorro Futuro Decimos'!$H$16,A1780=""),"",IF(A1780+1&gt;'F-Ahorro Futuro Decimos'!$H$16,'F-Ahorro Futuro Decimos'!$H$16,A1780+1))</f>
        <v>1779</v>
      </c>
      <c r="B1781" s="122">
        <f>IFERROR(IF(DAY($A1781)=DAY('F-Ahorro Futuro Decimos'!$H$15),'F-Ahorro Futuro Decimos'!$H$14,0),0)</f>
        <v>0</v>
      </c>
      <c r="C1781" s="122">
        <f>IF(A1781='F-Ahorro Futuro Decimos'!$H$18,'F-Ahorro Futuro Decimos'!$H$20,0)</f>
        <v>0</v>
      </c>
      <c r="D1781" s="122">
        <f t="shared" si="27"/>
        <v>0</v>
      </c>
      <c r="E1781" s="121">
        <f>ROUND(D1781*'FR_Mantenimiento tasas'!$C$48/360,5)</f>
        <v>0</v>
      </c>
      <c r="F1781" s="121">
        <f>ROUND(D1781*'FR_Mantenimiento tasas'!$D$48/360,5)</f>
        <v>0</v>
      </c>
    </row>
    <row r="1782" spans="1:6">
      <c r="A1782" s="123">
        <f>IF(OR(A1781='F-Ahorro Futuro Decimos'!$H$16,A1781=""),"",IF(A1781+1&gt;'F-Ahorro Futuro Decimos'!$H$16,'F-Ahorro Futuro Decimos'!$H$16,A1781+1))</f>
        <v>1780</v>
      </c>
      <c r="B1782" s="122">
        <f>IFERROR(IF(DAY($A1782)=DAY('F-Ahorro Futuro Decimos'!$H$15),'F-Ahorro Futuro Decimos'!$H$14,0),0)</f>
        <v>0</v>
      </c>
      <c r="C1782" s="122">
        <f>IF(A1782='F-Ahorro Futuro Decimos'!$H$18,'F-Ahorro Futuro Decimos'!$H$20,0)</f>
        <v>0</v>
      </c>
      <c r="D1782" s="122">
        <f t="shared" si="27"/>
        <v>0</v>
      </c>
      <c r="E1782" s="121">
        <f>ROUND(D1782*'FR_Mantenimiento tasas'!$C$48/360,5)</f>
        <v>0</v>
      </c>
      <c r="F1782" s="121">
        <f>ROUND(D1782*'FR_Mantenimiento tasas'!$D$48/360,5)</f>
        <v>0</v>
      </c>
    </row>
    <row r="1783" spans="1:6">
      <c r="A1783" s="123">
        <f>IF(OR(A1782='F-Ahorro Futuro Decimos'!$H$16,A1782=""),"",IF(A1782+1&gt;'F-Ahorro Futuro Decimos'!$H$16,'F-Ahorro Futuro Decimos'!$H$16,A1782+1))</f>
        <v>1781</v>
      </c>
      <c r="B1783" s="122">
        <f>IFERROR(IF(DAY($A1783)=DAY('F-Ahorro Futuro Decimos'!$H$15),'F-Ahorro Futuro Decimos'!$H$14,0),0)</f>
        <v>0</v>
      </c>
      <c r="C1783" s="122">
        <f>IF(A1783='F-Ahorro Futuro Decimos'!$H$18,'F-Ahorro Futuro Decimos'!$H$20,0)</f>
        <v>0</v>
      </c>
      <c r="D1783" s="122">
        <f t="shared" si="27"/>
        <v>0</v>
      </c>
      <c r="E1783" s="121">
        <f>ROUND(D1783*'FR_Mantenimiento tasas'!$C$48/360,5)</f>
        <v>0</v>
      </c>
      <c r="F1783" s="121">
        <f>ROUND(D1783*'FR_Mantenimiento tasas'!$D$48/360,5)</f>
        <v>0</v>
      </c>
    </row>
    <row r="1784" spans="1:6">
      <c r="A1784" s="123">
        <f>IF(OR(A1783='F-Ahorro Futuro Decimos'!$H$16,A1783=""),"",IF(A1783+1&gt;'F-Ahorro Futuro Decimos'!$H$16,'F-Ahorro Futuro Decimos'!$H$16,A1783+1))</f>
        <v>1782</v>
      </c>
      <c r="B1784" s="122">
        <f>IFERROR(IF(DAY($A1784)=DAY('F-Ahorro Futuro Decimos'!$H$15),'F-Ahorro Futuro Decimos'!$H$14,0),0)</f>
        <v>0</v>
      </c>
      <c r="C1784" s="122">
        <f>IF(A1784='F-Ahorro Futuro Decimos'!$H$18,'F-Ahorro Futuro Decimos'!$H$20,0)</f>
        <v>0</v>
      </c>
      <c r="D1784" s="122">
        <f t="shared" si="27"/>
        <v>0</v>
      </c>
      <c r="E1784" s="121">
        <f>ROUND(D1784*'FR_Mantenimiento tasas'!$C$48/360,5)</f>
        <v>0</v>
      </c>
      <c r="F1784" s="121">
        <f>ROUND(D1784*'FR_Mantenimiento tasas'!$D$48/360,5)</f>
        <v>0</v>
      </c>
    </row>
    <row r="1785" spans="1:6">
      <c r="A1785" s="123">
        <f>IF(OR(A1784='F-Ahorro Futuro Decimos'!$H$16,A1784=""),"",IF(A1784+1&gt;'F-Ahorro Futuro Decimos'!$H$16,'F-Ahorro Futuro Decimos'!$H$16,A1784+1))</f>
        <v>1783</v>
      </c>
      <c r="B1785" s="122">
        <f>IFERROR(IF(DAY($A1785)=DAY('F-Ahorro Futuro Decimos'!$H$15),'F-Ahorro Futuro Decimos'!$H$14,0),0)</f>
        <v>0</v>
      </c>
      <c r="C1785" s="122">
        <f>IF(A1785='F-Ahorro Futuro Decimos'!$H$18,'F-Ahorro Futuro Decimos'!$H$20,0)</f>
        <v>0</v>
      </c>
      <c r="D1785" s="122">
        <f t="shared" si="27"/>
        <v>0</v>
      </c>
      <c r="E1785" s="121">
        <f>ROUND(D1785*'FR_Mantenimiento tasas'!$C$48/360,5)</f>
        <v>0</v>
      </c>
      <c r="F1785" s="121">
        <f>ROUND(D1785*'FR_Mantenimiento tasas'!$D$48/360,5)</f>
        <v>0</v>
      </c>
    </row>
    <row r="1786" spans="1:6">
      <c r="A1786" s="123">
        <f>IF(OR(A1785='F-Ahorro Futuro Decimos'!$H$16,A1785=""),"",IF(A1785+1&gt;'F-Ahorro Futuro Decimos'!$H$16,'F-Ahorro Futuro Decimos'!$H$16,A1785+1))</f>
        <v>1784</v>
      </c>
      <c r="B1786" s="122">
        <f>IFERROR(IF(DAY($A1786)=DAY('F-Ahorro Futuro Decimos'!$H$15),'F-Ahorro Futuro Decimos'!$H$14,0),0)</f>
        <v>0</v>
      </c>
      <c r="C1786" s="122">
        <f>IF(A1786='F-Ahorro Futuro Decimos'!$H$18,'F-Ahorro Futuro Decimos'!$H$20,0)</f>
        <v>0</v>
      </c>
      <c r="D1786" s="122">
        <f t="shared" si="27"/>
        <v>0</v>
      </c>
      <c r="E1786" s="121">
        <f>ROUND(D1786*'FR_Mantenimiento tasas'!$C$48/360,5)</f>
        <v>0</v>
      </c>
      <c r="F1786" s="121">
        <f>ROUND(D1786*'FR_Mantenimiento tasas'!$D$48/360,5)</f>
        <v>0</v>
      </c>
    </row>
    <row r="1787" spans="1:6">
      <c r="A1787" s="123">
        <f>IF(OR(A1786='F-Ahorro Futuro Decimos'!$H$16,A1786=""),"",IF(A1786+1&gt;'F-Ahorro Futuro Decimos'!$H$16,'F-Ahorro Futuro Decimos'!$H$16,A1786+1))</f>
        <v>1785</v>
      </c>
      <c r="B1787" s="122">
        <f>IFERROR(IF(DAY($A1787)=DAY('F-Ahorro Futuro Decimos'!$H$15),'F-Ahorro Futuro Decimos'!$H$14,0),0)</f>
        <v>0</v>
      </c>
      <c r="C1787" s="122">
        <f>IF(A1787='F-Ahorro Futuro Decimos'!$H$18,'F-Ahorro Futuro Decimos'!$H$20,0)</f>
        <v>0</v>
      </c>
      <c r="D1787" s="122">
        <f t="shared" si="27"/>
        <v>0</v>
      </c>
      <c r="E1787" s="121">
        <f>ROUND(D1787*'FR_Mantenimiento tasas'!$C$48/360,5)</f>
        <v>0</v>
      </c>
      <c r="F1787" s="121">
        <f>ROUND(D1787*'FR_Mantenimiento tasas'!$D$48/360,5)</f>
        <v>0</v>
      </c>
    </row>
    <row r="1788" spans="1:6">
      <c r="A1788" s="123">
        <f>IF(OR(A1787='F-Ahorro Futuro Decimos'!$H$16,A1787=""),"",IF(A1787+1&gt;'F-Ahorro Futuro Decimos'!$H$16,'F-Ahorro Futuro Decimos'!$H$16,A1787+1))</f>
        <v>1786</v>
      </c>
      <c r="B1788" s="122">
        <f>IFERROR(IF(DAY($A1788)=DAY('F-Ahorro Futuro Decimos'!$H$15),'F-Ahorro Futuro Decimos'!$H$14,0),0)</f>
        <v>0</v>
      </c>
      <c r="C1788" s="122">
        <f>IF(A1788='F-Ahorro Futuro Decimos'!$H$18,'F-Ahorro Futuro Decimos'!$H$20,0)</f>
        <v>0</v>
      </c>
      <c r="D1788" s="122">
        <f t="shared" si="27"/>
        <v>0</v>
      </c>
      <c r="E1788" s="121">
        <f>ROUND(D1788*'FR_Mantenimiento tasas'!$C$48/360,5)</f>
        <v>0</v>
      </c>
      <c r="F1788" s="121">
        <f>ROUND(D1788*'FR_Mantenimiento tasas'!$D$48/360,5)</f>
        <v>0</v>
      </c>
    </row>
    <row r="1789" spans="1:6">
      <c r="A1789" s="123">
        <f>IF(OR(A1788='F-Ahorro Futuro Decimos'!$H$16,A1788=""),"",IF(A1788+1&gt;'F-Ahorro Futuro Decimos'!$H$16,'F-Ahorro Futuro Decimos'!$H$16,A1788+1))</f>
        <v>1787</v>
      </c>
      <c r="B1789" s="122">
        <f>IFERROR(IF(DAY($A1789)=DAY('F-Ahorro Futuro Decimos'!$H$15),'F-Ahorro Futuro Decimos'!$H$14,0),0)</f>
        <v>0</v>
      </c>
      <c r="C1789" s="122">
        <f>IF(A1789='F-Ahorro Futuro Decimos'!$H$18,'F-Ahorro Futuro Decimos'!$H$20,0)</f>
        <v>0</v>
      </c>
      <c r="D1789" s="122">
        <f t="shared" si="27"/>
        <v>0</v>
      </c>
      <c r="E1789" s="121">
        <f>ROUND(D1789*'FR_Mantenimiento tasas'!$C$48/360,5)</f>
        <v>0</v>
      </c>
      <c r="F1789" s="121">
        <f>ROUND(D1789*'FR_Mantenimiento tasas'!$D$48/360,5)</f>
        <v>0</v>
      </c>
    </row>
    <row r="1790" spans="1:6">
      <c r="A1790" s="123">
        <f>IF(OR(A1789='F-Ahorro Futuro Decimos'!$H$16,A1789=""),"",IF(A1789+1&gt;'F-Ahorro Futuro Decimos'!$H$16,'F-Ahorro Futuro Decimos'!$H$16,A1789+1))</f>
        <v>1788</v>
      </c>
      <c r="B1790" s="122">
        <f>IFERROR(IF(DAY($A1790)=DAY('F-Ahorro Futuro Decimos'!$H$15),'F-Ahorro Futuro Decimos'!$H$14,0),0)</f>
        <v>0</v>
      </c>
      <c r="C1790" s="122">
        <f>IF(A1790='F-Ahorro Futuro Decimos'!$H$18,'F-Ahorro Futuro Decimos'!$H$20,0)</f>
        <v>0</v>
      </c>
      <c r="D1790" s="122">
        <f t="shared" si="27"/>
        <v>0</v>
      </c>
      <c r="E1790" s="121">
        <f>ROUND(D1790*'FR_Mantenimiento tasas'!$C$48/360,5)</f>
        <v>0</v>
      </c>
      <c r="F1790" s="121">
        <f>ROUND(D1790*'FR_Mantenimiento tasas'!$D$48/360,5)</f>
        <v>0</v>
      </c>
    </row>
    <row r="1791" spans="1:6">
      <c r="A1791" s="123">
        <f>IF(OR(A1790='F-Ahorro Futuro Decimos'!$H$16,A1790=""),"",IF(A1790+1&gt;'F-Ahorro Futuro Decimos'!$H$16,'F-Ahorro Futuro Decimos'!$H$16,A1790+1))</f>
        <v>1789</v>
      </c>
      <c r="B1791" s="122">
        <f>IFERROR(IF(DAY($A1791)=DAY('F-Ahorro Futuro Decimos'!$H$15),'F-Ahorro Futuro Decimos'!$H$14,0),0)</f>
        <v>0</v>
      </c>
      <c r="C1791" s="122">
        <f>IF(A1791='F-Ahorro Futuro Decimos'!$H$18,'F-Ahorro Futuro Decimos'!$H$20,0)</f>
        <v>0</v>
      </c>
      <c r="D1791" s="122">
        <f t="shared" si="27"/>
        <v>0</v>
      </c>
      <c r="E1791" s="121">
        <f>ROUND(D1791*'FR_Mantenimiento tasas'!$C$48/360,5)</f>
        <v>0</v>
      </c>
      <c r="F1791" s="121">
        <f>ROUND(D1791*'FR_Mantenimiento tasas'!$D$48/360,5)</f>
        <v>0</v>
      </c>
    </row>
    <row r="1792" spans="1:6">
      <c r="A1792" s="123">
        <f>IF(OR(A1791='F-Ahorro Futuro Decimos'!$H$16,A1791=""),"",IF(A1791+1&gt;'F-Ahorro Futuro Decimos'!$H$16,'F-Ahorro Futuro Decimos'!$H$16,A1791+1))</f>
        <v>1790</v>
      </c>
      <c r="B1792" s="122">
        <f>IFERROR(IF(DAY($A1792)=DAY('F-Ahorro Futuro Decimos'!$H$15),'F-Ahorro Futuro Decimos'!$H$14,0),0)</f>
        <v>0</v>
      </c>
      <c r="C1792" s="122">
        <f>IF(A1792='F-Ahorro Futuro Decimos'!$H$18,'F-Ahorro Futuro Decimos'!$H$20,0)</f>
        <v>0</v>
      </c>
      <c r="D1792" s="122">
        <f t="shared" si="27"/>
        <v>0</v>
      </c>
      <c r="E1792" s="121">
        <f>ROUND(D1792*'FR_Mantenimiento tasas'!$C$48/360,5)</f>
        <v>0</v>
      </c>
      <c r="F1792" s="121">
        <f>ROUND(D1792*'FR_Mantenimiento tasas'!$D$48/360,5)</f>
        <v>0</v>
      </c>
    </row>
    <row r="1793" spans="1:6">
      <c r="A1793" s="123">
        <f>IF(OR(A1792='F-Ahorro Futuro Decimos'!$H$16,A1792=""),"",IF(A1792+1&gt;'F-Ahorro Futuro Decimos'!$H$16,'F-Ahorro Futuro Decimos'!$H$16,A1792+1))</f>
        <v>1791</v>
      </c>
      <c r="B1793" s="122">
        <f>IFERROR(IF(DAY($A1793)=DAY('F-Ahorro Futuro Decimos'!$H$15),'F-Ahorro Futuro Decimos'!$H$14,0),0)</f>
        <v>0</v>
      </c>
      <c r="C1793" s="122">
        <f>IF(A1793='F-Ahorro Futuro Decimos'!$H$18,'F-Ahorro Futuro Decimos'!$H$20,0)</f>
        <v>0</v>
      </c>
      <c r="D1793" s="122">
        <f t="shared" si="27"/>
        <v>0</v>
      </c>
      <c r="E1793" s="121">
        <f>ROUND(D1793*'FR_Mantenimiento tasas'!$C$48/360,5)</f>
        <v>0</v>
      </c>
      <c r="F1793" s="121">
        <f>ROUND(D1793*'FR_Mantenimiento tasas'!$D$48/360,5)</f>
        <v>0</v>
      </c>
    </row>
    <row r="1794" spans="1:6">
      <c r="A1794" s="123">
        <f>IF(OR(A1793='F-Ahorro Futuro Decimos'!$H$16,A1793=""),"",IF(A1793+1&gt;'F-Ahorro Futuro Decimos'!$H$16,'F-Ahorro Futuro Decimos'!$H$16,A1793+1))</f>
        <v>1792</v>
      </c>
      <c r="B1794" s="122">
        <f>IFERROR(IF(DAY($A1794)=DAY('F-Ahorro Futuro Decimos'!$H$15),'F-Ahorro Futuro Decimos'!$H$14,0),0)</f>
        <v>0</v>
      </c>
      <c r="C1794" s="122">
        <f>IF(A1794='F-Ahorro Futuro Decimos'!$H$18,'F-Ahorro Futuro Decimos'!$H$20,0)</f>
        <v>0</v>
      </c>
      <c r="D1794" s="122">
        <f t="shared" si="27"/>
        <v>0</v>
      </c>
      <c r="E1794" s="121">
        <f>ROUND(D1794*'FR_Mantenimiento tasas'!$C$48/360,5)</f>
        <v>0</v>
      </c>
      <c r="F1794" s="121">
        <f>ROUND(D1794*'FR_Mantenimiento tasas'!$D$48/360,5)</f>
        <v>0</v>
      </c>
    </row>
    <row r="1795" spans="1:6">
      <c r="A1795" s="123">
        <f>IF(OR(A1794='F-Ahorro Futuro Decimos'!$H$16,A1794=""),"",IF(A1794+1&gt;'F-Ahorro Futuro Decimos'!$H$16,'F-Ahorro Futuro Decimos'!$H$16,A1794+1))</f>
        <v>1793</v>
      </c>
      <c r="B1795" s="122">
        <f>IFERROR(IF(DAY($A1795)=DAY('F-Ahorro Futuro Decimos'!$H$15),'F-Ahorro Futuro Decimos'!$H$14,0),0)</f>
        <v>0</v>
      </c>
      <c r="C1795" s="122">
        <f>IF(A1795='F-Ahorro Futuro Decimos'!$H$18,'F-Ahorro Futuro Decimos'!$H$20,0)</f>
        <v>0</v>
      </c>
      <c r="D1795" s="122">
        <f t="shared" si="27"/>
        <v>0</v>
      </c>
      <c r="E1795" s="121">
        <f>ROUND(D1795*'FR_Mantenimiento tasas'!$C$48/360,5)</f>
        <v>0</v>
      </c>
      <c r="F1795" s="121">
        <f>ROUND(D1795*'FR_Mantenimiento tasas'!$D$48/360,5)</f>
        <v>0</v>
      </c>
    </row>
    <row r="1796" spans="1:6">
      <c r="A1796" s="123">
        <f>IF(OR(A1795='F-Ahorro Futuro Decimos'!$H$16,A1795=""),"",IF(A1795+1&gt;'F-Ahorro Futuro Decimos'!$H$16,'F-Ahorro Futuro Decimos'!$H$16,A1795+1))</f>
        <v>1794</v>
      </c>
      <c r="B1796" s="122">
        <f>IFERROR(IF(DAY($A1796)=DAY('F-Ahorro Futuro Decimos'!$H$15),'F-Ahorro Futuro Decimos'!$H$14,0),0)</f>
        <v>0</v>
      </c>
      <c r="C1796" s="122">
        <f>IF(A1796='F-Ahorro Futuro Decimos'!$H$18,'F-Ahorro Futuro Decimos'!$H$20,0)</f>
        <v>0</v>
      </c>
      <c r="D1796" s="122">
        <f t="shared" ref="D1796:D1830" si="28">+B1796+D1795+E1795-C1796</f>
        <v>0</v>
      </c>
      <c r="E1796" s="121">
        <f>ROUND(D1796*'FR_Mantenimiento tasas'!$C$48/360,5)</f>
        <v>0</v>
      </c>
      <c r="F1796" s="121">
        <f>ROUND(D1796*'FR_Mantenimiento tasas'!$D$48/360,5)</f>
        <v>0</v>
      </c>
    </row>
    <row r="1797" spans="1:6">
      <c r="A1797" s="123">
        <f>IF(OR(A1796='F-Ahorro Futuro Decimos'!$H$16,A1796=""),"",IF(A1796+1&gt;'F-Ahorro Futuro Decimos'!$H$16,'F-Ahorro Futuro Decimos'!$H$16,A1796+1))</f>
        <v>1795</v>
      </c>
      <c r="B1797" s="122">
        <f>IFERROR(IF(DAY($A1797)=DAY('F-Ahorro Futuro Decimos'!$H$15),'F-Ahorro Futuro Decimos'!$H$14,0),0)</f>
        <v>0</v>
      </c>
      <c r="C1797" s="122">
        <f>IF(A1797='F-Ahorro Futuro Decimos'!$H$18,'F-Ahorro Futuro Decimos'!$H$20,0)</f>
        <v>0</v>
      </c>
      <c r="D1797" s="122">
        <f t="shared" si="28"/>
        <v>0</v>
      </c>
      <c r="E1797" s="121">
        <f>ROUND(D1797*'FR_Mantenimiento tasas'!$C$48/360,5)</f>
        <v>0</v>
      </c>
      <c r="F1797" s="121">
        <f>ROUND(D1797*'FR_Mantenimiento tasas'!$D$48/360,5)</f>
        <v>0</v>
      </c>
    </row>
    <row r="1798" spans="1:6">
      <c r="A1798" s="123">
        <f>IF(OR(A1797='F-Ahorro Futuro Decimos'!$H$16,A1797=""),"",IF(A1797+1&gt;'F-Ahorro Futuro Decimos'!$H$16,'F-Ahorro Futuro Decimos'!$H$16,A1797+1))</f>
        <v>1796</v>
      </c>
      <c r="B1798" s="122">
        <f>IFERROR(IF(DAY($A1798)=DAY('F-Ahorro Futuro Decimos'!$H$15),'F-Ahorro Futuro Decimos'!$H$14,0),0)</f>
        <v>0</v>
      </c>
      <c r="C1798" s="122">
        <f>IF(A1798='F-Ahorro Futuro Decimos'!$H$18,'F-Ahorro Futuro Decimos'!$H$20,0)</f>
        <v>0</v>
      </c>
      <c r="D1798" s="122">
        <f t="shared" si="28"/>
        <v>0</v>
      </c>
      <c r="E1798" s="121">
        <f>ROUND(D1798*'FR_Mantenimiento tasas'!$C$48/360,5)</f>
        <v>0</v>
      </c>
      <c r="F1798" s="121">
        <f>ROUND(D1798*'FR_Mantenimiento tasas'!$D$48/360,5)</f>
        <v>0</v>
      </c>
    </row>
    <row r="1799" spans="1:6">
      <c r="A1799" s="123">
        <f>IF(OR(A1798='F-Ahorro Futuro Decimos'!$H$16,A1798=""),"",IF(A1798+1&gt;'F-Ahorro Futuro Decimos'!$H$16,'F-Ahorro Futuro Decimos'!$H$16,A1798+1))</f>
        <v>1797</v>
      </c>
      <c r="B1799" s="122">
        <f>IFERROR(IF(DAY($A1799)=DAY('F-Ahorro Futuro Decimos'!$H$15),'F-Ahorro Futuro Decimos'!$H$14,0),0)</f>
        <v>0</v>
      </c>
      <c r="C1799" s="122">
        <f>IF(A1799='F-Ahorro Futuro Decimos'!$H$18,'F-Ahorro Futuro Decimos'!$H$20,0)</f>
        <v>0</v>
      </c>
      <c r="D1799" s="122">
        <f t="shared" si="28"/>
        <v>0</v>
      </c>
      <c r="E1799" s="121">
        <f>ROUND(D1799*'FR_Mantenimiento tasas'!$C$48/360,5)</f>
        <v>0</v>
      </c>
      <c r="F1799" s="121">
        <f>ROUND(D1799*'FR_Mantenimiento tasas'!$D$48/360,5)</f>
        <v>0</v>
      </c>
    </row>
    <row r="1800" spans="1:6">
      <c r="A1800" s="123">
        <f>IF(OR(A1799='F-Ahorro Futuro Decimos'!$H$16,A1799=""),"",IF(A1799+1&gt;'F-Ahorro Futuro Decimos'!$H$16,'F-Ahorro Futuro Decimos'!$H$16,A1799+1))</f>
        <v>1798</v>
      </c>
      <c r="B1800" s="122">
        <f>IFERROR(IF(DAY($A1800)=DAY('F-Ahorro Futuro Decimos'!$H$15),'F-Ahorro Futuro Decimos'!$H$14,0),0)</f>
        <v>0</v>
      </c>
      <c r="C1800" s="122">
        <f>IF(A1800='F-Ahorro Futuro Decimos'!$H$18,'F-Ahorro Futuro Decimos'!$H$20,0)</f>
        <v>0</v>
      </c>
      <c r="D1800" s="122">
        <f t="shared" si="28"/>
        <v>0</v>
      </c>
      <c r="E1800" s="121">
        <f>ROUND(D1800*'FR_Mantenimiento tasas'!$C$48/360,5)</f>
        <v>0</v>
      </c>
      <c r="F1800" s="121">
        <f>ROUND(D1800*'FR_Mantenimiento tasas'!$D$48/360,5)</f>
        <v>0</v>
      </c>
    </row>
    <row r="1801" spans="1:6">
      <c r="A1801" s="123">
        <f>IF(OR(A1800='F-Ahorro Futuro Decimos'!$H$16,A1800=""),"",IF(A1800+1&gt;'F-Ahorro Futuro Decimos'!$H$16,'F-Ahorro Futuro Decimos'!$H$16,A1800+1))</f>
        <v>1799</v>
      </c>
      <c r="B1801" s="122">
        <f>IFERROR(IF(DAY($A1801)=DAY('F-Ahorro Futuro Decimos'!$H$15),'F-Ahorro Futuro Decimos'!$H$14,0),0)</f>
        <v>0</v>
      </c>
      <c r="C1801" s="122">
        <f>IF(A1801='F-Ahorro Futuro Decimos'!$H$18,'F-Ahorro Futuro Decimos'!$H$20,0)</f>
        <v>0</v>
      </c>
      <c r="D1801" s="122">
        <f t="shared" si="28"/>
        <v>0</v>
      </c>
      <c r="E1801" s="121">
        <f>ROUND(D1801*'FR_Mantenimiento tasas'!$C$48/360,5)</f>
        <v>0</v>
      </c>
      <c r="F1801" s="121">
        <f>ROUND(D1801*'FR_Mantenimiento tasas'!$D$48/360,5)</f>
        <v>0</v>
      </c>
    </row>
    <row r="1802" spans="1:6">
      <c r="A1802" s="123">
        <f>IF(OR(A1801='F-Ahorro Futuro Decimos'!$H$16,A1801=""),"",IF(A1801+1&gt;'F-Ahorro Futuro Decimos'!$H$16,'F-Ahorro Futuro Decimos'!$H$16,A1801+1))</f>
        <v>1800</v>
      </c>
      <c r="B1802" s="122">
        <f>IFERROR(IF(DAY($A1802)=DAY('F-Ahorro Futuro Decimos'!$H$15),'F-Ahorro Futuro Decimos'!$H$14,0),0)</f>
        <v>0</v>
      </c>
      <c r="C1802" s="122">
        <f>IF(A1802='F-Ahorro Futuro Decimos'!$H$18,'F-Ahorro Futuro Decimos'!$H$20,0)</f>
        <v>0</v>
      </c>
      <c r="D1802" s="122">
        <f t="shared" si="28"/>
        <v>0</v>
      </c>
      <c r="E1802" s="121">
        <f>ROUND(D1802*'FR_Mantenimiento tasas'!$C$48/360,5)</f>
        <v>0</v>
      </c>
      <c r="F1802" s="121">
        <f>ROUND(D1802*'FR_Mantenimiento tasas'!$D$48/360,5)</f>
        <v>0</v>
      </c>
    </row>
    <row r="1803" spans="1:6">
      <c r="A1803" s="123">
        <f>IF(OR(A1802='F-Ahorro Futuro Decimos'!$H$16,A1802=""),"",IF(A1802+1&gt;'F-Ahorro Futuro Decimos'!$H$16,'F-Ahorro Futuro Decimos'!$H$16,A1802+1))</f>
        <v>1801</v>
      </c>
      <c r="B1803" s="122">
        <f>IFERROR(IF(DAY($A1803)=DAY('F-Ahorro Futuro Decimos'!$H$15),'F-Ahorro Futuro Decimos'!$H$14,0),0)</f>
        <v>0</v>
      </c>
      <c r="C1803" s="122">
        <f>IF(A1803='F-Ahorro Futuro Decimos'!$H$18,'F-Ahorro Futuro Decimos'!$H$20,0)</f>
        <v>0</v>
      </c>
      <c r="D1803" s="122">
        <f t="shared" si="28"/>
        <v>0</v>
      </c>
      <c r="E1803" s="121">
        <f>ROUND(D1803*'FR_Mantenimiento tasas'!$C$48/360,5)</f>
        <v>0</v>
      </c>
      <c r="F1803" s="121">
        <f>ROUND(D1803*'FR_Mantenimiento tasas'!$D$48/360,5)</f>
        <v>0</v>
      </c>
    </row>
    <row r="1804" spans="1:6">
      <c r="A1804" s="123">
        <f>IF(OR(A1803='F-Ahorro Futuro Decimos'!$H$16,A1803=""),"",IF(A1803+1&gt;'F-Ahorro Futuro Decimos'!$H$16,'F-Ahorro Futuro Decimos'!$H$16,A1803+1))</f>
        <v>1802</v>
      </c>
      <c r="B1804" s="122">
        <f>IFERROR(IF(DAY($A1804)=DAY('F-Ahorro Futuro Decimos'!$H$15),'F-Ahorro Futuro Decimos'!$H$14,0),0)</f>
        <v>0</v>
      </c>
      <c r="C1804" s="122">
        <f>IF(A1804='F-Ahorro Futuro Decimos'!$H$18,'F-Ahorro Futuro Decimos'!$H$20,0)</f>
        <v>0</v>
      </c>
      <c r="D1804" s="122">
        <f t="shared" si="28"/>
        <v>0</v>
      </c>
      <c r="E1804" s="121">
        <f>ROUND(D1804*'FR_Mantenimiento tasas'!$C$48/360,5)</f>
        <v>0</v>
      </c>
      <c r="F1804" s="121">
        <f>ROUND(D1804*'FR_Mantenimiento tasas'!$D$48/360,5)</f>
        <v>0</v>
      </c>
    </row>
    <row r="1805" spans="1:6">
      <c r="A1805" s="123">
        <f>IF(OR(A1804='F-Ahorro Futuro Decimos'!$H$16,A1804=""),"",IF(A1804+1&gt;'F-Ahorro Futuro Decimos'!$H$16,'F-Ahorro Futuro Decimos'!$H$16,A1804+1))</f>
        <v>1803</v>
      </c>
      <c r="B1805" s="122">
        <f>IFERROR(IF(DAY($A1805)=DAY('F-Ahorro Futuro Decimos'!$H$15),'F-Ahorro Futuro Decimos'!$H$14,0),0)</f>
        <v>0</v>
      </c>
      <c r="C1805" s="122">
        <f>IF(A1805='F-Ahorro Futuro Decimos'!$H$18,'F-Ahorro Futuro Decimos'!$H$20,0)</f>
        <v>0</v>
      </c>
      <c r="D1805" s="122">
        <f t="shared" si="28"/>
        <v>0</v>
      </c>
      <c r="E1805" s="121">
        <f>ROUND(D1805*'FR_Mantenimiento tasas'!$C$48/360,5)</f>
        <v>0</v>
      </c>
      <c r="F1805" s="121">
        <f>ROUND(D1805*'FR_Mantenimiento tasas'!$D$48/360,5)</f>
        <v>0</v>
      </c>
    </row>
    <row r="1806" spans="1:6">
      <c r="A1806" s="123">
        <f>IF(OR(A1805='F-Ahorro Futuro Decimos'!$H$16,A1805=""),"",IF(A1805+1&gt;'F-Ahorro Futuro Decimos'!$H$16,'F-Ahorro Futuro Decimos'!$H$16,A1805+1))</f>
        <v>1804</v>
      </c>
      <c r="B1806" s="122">
        <f>IFERROR(IF(DAY($A1806)=DAY('F-Ahorro Futuro Decimos'!$H$15),'F-Ahorro Futuro Decimos'!$H$14,0),0)</f>
        <v>0</v>
      </c>
      <c r="C1806" s="122">
        <f>IF(A1806='F-Ahorro Futuro Decimos'!$H$18,'F-Ahorro Futuro Decimos'!$H$20,0)</f>
        <v>0</v>
      </c>
      <c r="D1806" s="122">
        <f t="shared" si="28"/>
        <v>0</v>
      </c>
      <c r="E1806" s="121">
        <f>ROUND(D1806*'FR_Mantenimiento tasas'!$C$48/360,5)</f>
        <v>0</v>
      </c>
      <c r="F1806" s="121">
        <f>ROUND(D1806*'FR_Mantenimiento tasas'!$D$48/360,5)</f>
        <v>0</v>
      </c>
    </row>
    <row r="1807" spans="1:6">
      <c r="A1807" s="123">
        <f>IF(OR(A1806='F-Ahorro Futuro Decimos'!$H$16,A1806=""),"",IF(A1806+1&gt;'F-Ahorro Futuro Decimos'!$H$16,'F-Ahorro Futuro Decimos'!$H$16,A1806+1))</f>
        <v>1805</v>
      </c>
      <c r="B1807" s="122">
        <f>IFERROR(IF(DAY($A1807)=DAY('F-Ahorro Futuro Decimos'!$H$15),'F-Ahorro Futuro Decimos'!$H$14,0),0)</f>
        <v>0</v>
      </c>
      <c r="C1807" s="122">
        <f>IF(A1807='F-Ahorro Futuro Decimos'!$H$18,'F-Ahorro Futuro Decimos'!$H$20,0)</f>
        <v>0</v>
      </c>
      <c r="D1807" s="122">
        <f t="shared" si="28"/>
        <v>0</v>
      </c>
      <c r="E1807" s="121">
        <f>ROUND(D1807*'FR_Mantenimiento tasas'!$C$48/360,5)</f>
        <v>0</v>
      </c>
      <c r="F1807" s="121">
        <f>ROUND(D1807*'FR_Mantenimiento tasas'!$D$48/360,5)</f>
        <v>0</v>
      </c>
    </row>
    <row r="1808" spans="1:6">
      <c r="A1808" s="123">
        <f>IF(OR(A1807='F-Ahorro Futuro Decimos'!$H$16,A1807=""),"",IF(A1807+1&gt;'F-Ahorro Futuro Decimos'!$H$16,'F-Ahorro Futuro Decimos'!$H$16,A1807+1))</f>
        <v>1806</v>
      </c>
      <c r="B1808" s="122">
        <f>IFERROR(IF(DAY($A1808)=DAY('F-Ahorro Futuro Decimos'!$H$15),'F-Ahorro Futuro Decimos'!$H$14,0),0)</f>
        <v>0</v>
      </c>
      <c r="C1808" s="122">
        <f>IF(A1808='F-Ahorro Futuro Decimos'!$H$18,'F-Ahorro Futuro Decimos'!$H$20,0)</f>
        <v>0</v>
      </c>
      <c r="D1808" s="122">
        <f t="shared" si="28"/>
        <v>0</v>
      </c>
      <c r="E1808" s="121">
        <f>ROUND(D1808*'FR_Mantenimiento tasas'!$C$48/360,5)</f>
        <v>0</v>
      </c>
      <c r="F1808" s="121">
        <f>ROUND(D1808*'FR_Mantenimiento tasas'!$D$48/360,5)</f>
        <v>0</v>
      </c>
    </row>
    <row r="1809" spans="1:6">
      <c r="A1809" s="123">
        <f>IF(OR(A1808='F-Ahorro Futuro Decimos'!$H$16,A1808=""),"",IF(A1808+1&gt;'F-Ahorro Futuro Decimos'!$H$16,'F-Ahorro Futuro Decimos'!$H$16,A1808+1))</f>
        <v>1807</v>
      </c>
      <c r="B1809" s="122">
        <f>IFERROR(IF(DAY($A1809)=DAY('F-Ahorro Futuro Decimos'!$H$15),'F-Ahorro Futuro Decimos'!$H$14,0),0)</f>
        <v>0</v>
      </c>
      <c r="C1809" s="122">
        <f>IF(A1809='F-Ahorro Futuro Decimos'!$H$18,'F-Ahorro Futuro Decimos'!$H$20,0)</f>
        <v>0</v>
      </c>
      <c r="D1809" s="122">
        <f t="shared" si="28"/>
        <v>0</v>
      </c>
      <c r="E1809" s="121">
        <f>ROUND(D1809*'FR_Mantenimiento tasas'!$C$48/360,5)</f>
        <v>0</v>
      </c>
      <c r="F1809" s="121">
        <f>ROUND(D1809*'FR_Mantenimiento tasas'!$D$48/360,5)</f>
        <v>0</v>
      </c>
    </row>
    <row r="1810" spans="1:6">
      <c r="A1810" s="123">
        <f>IF(OR(A1809='F-Ahorro Futuro Decimos'!$H$16,A1809=""),"",IF(A1809+1&gt;'F-Ahorro Futuro Decimos'!$H$16,'F-Ahorro Futuro Decimos'!$H$16,A1809+1))</f>
        <v>1808</v>
      </c>
      <c r="B1810" s="122">
        <f>IFERROR(IF(DAY($A1810)=DAY('F-Ahorro Futuro Decimos'!$H$15),'F-Ahorro Futuro Decimos'!$H$14,0),0)</f>
        <v>0</v>
      </c>
      <c r="C1810" s="122">
        <f>IF(A1810='F-Ahorro Futuro Decimos'!$H$18,'F-Ahorro Futuro Decimos'!$H$20,0)</f>
        <v>0</v>
      </c>
      <c r="D1810" s="122">
        <f t="shared" si="28"/>
        <v>0</v>
      </c>
      <c r="E1810" s="121">
        <f>ROUND(D1810*'FR_Mantenimiento tasas'!$C$48/360,5)</f>
        <v>0</v>
      </c>
      <c r="F1810" s="121">
        <f>ROUND(D1810*'FR_Mantenimiento tasas'!$D$48/360,5)</f>
        <v>0</v>
      </c>
    </row>
    <row r="1811" spans="1:6">
      <c r="A1811" s="123">
        <f>IF(OR(A1810='F-Ahorro Futuro Decimos'!$H$16,A1810=""),"",IF(A1810+1&gt;'F-Ahorro Futuro Decimos'!$H$16,'F-Ahorro Futuro Decimos'!$H$16,A1810+1))</f>
        <v>1809</v>
      </c>
      <c r="B1811" s="122">
        <f>IFERROR(IF(DAY($A1811)=DAY('F-Ahorro Futuro Decimos'!$H$15),'F-Ahorro Futuro Decimos'!$H$14,0),0)</f>
        <v>0</v>
      </c>
      <c r="C1811" s="122">
        <f>IF(A1811='F-Ahorro Futuro Decimos'!$H$18,'F-Ahorro Futuro Decimos'!$H$20,0)</f>
        <v>0</v>
      </c>
      <c r="D1811" s="122">
        <f t="shared" si="28"/>
        <v>0</v>
      </c>
      <c r="E1811" s="121">
        <f>ROUND(D1811*'FR_Mantenimiento tasas'!$C$48/360,5)</f>
        <v>0</v>
      </c>
      <c r="F1811" s="121">
        <f>ROUND(D1811*'FR_Mantenimiento tasas'!$D$48/360,5)</f>
        <v>0</v>
      </c>
    </row>
    <row r="1812" spans="1:6">
      <c r="A1812" s="123">
        <f>IF(OR(A1811='F-Ahorro Futuro Decimos'!$H$16,A1811=""),"",IF(A1811+1&gt;'F-Ahorro Futuro Decimos'!$H$16,'F-Ahorro Futuro Decimos'!$H$16,A1811+1))</f>
        <v>1810</v>
      </c>
      <c r="B1812" s="122">
        <f>IFERROR(IF(DAY($A1812)=DAY('F-Ahorro Futuro Decimos'!$H$15),'F-Ahorro Futuro Decimos'!$H$14,0),0)</f>
        <v>0</v>
      </c>
      <c r="C1812" s="122">
        <f>IF(A1812='F-Ahorro Futuro Decimos'!$H$18,'F-Ahorro Futuro Decimos'!$H$20,0)</f>
        <v>0</v>
      </c>
      <c r="D1812" s="122">
        <f t="shared" si="28"/>
        <v>0</v>
      </c>
      <c r="E1812" s="121">
        <f>ROUND(D1812*'FR_Mantenimiento tasas'!$C$48/360,5)</f>
        <v>0</v>
      </c>
      <c r="F1812" s="121">
        <f>ROUND(D1812*'FR_Mantenimiento tasas'!$D$48/360,5)</f>
        <v>0</v>
      </c>
    </row>
    <row r="1813" spans="1:6">
      <c r="A1813" s="123">
        <f>IF(OR(A1812='F-Ahorro Futuro Decimos'!$H$16,A1812=""),"",IF(A1812+1&gt;'F-Ahorro Futuro Decimos'!$H$16,'F-Ahorro Futuro Decimos'!$H$16,A1812+1))</f>
        <v>1811</v>
      </c>
      <c r="B1813" s="122">
        <f>IFERROR(IF(DAY($A1813)=DAY('F-Ahorro Futuro Decimos'!$H$15),'F-Ahorro Futuro Decimos'!$H$14,0),0)</f>
        <v>0</v>
      </c>
      <c r="C1813" s="122">
        <f>IF(A1813='F-Ahorro Futuro Decimos'!$H$18,'F-Ahorro Futuro Decimos'!$H$20,0)</f>
        <v>0</v>
      </c>
      <c r="D1813" s="122">
        <f t="shared" si="28"/>
        <v>0</v>
      </c>
      <c r="E1813" s="121">
        <f>ROUND(D1813*'FR_Mantenimiento tasas'!$C$48/360,5)</f>
        <v>0</v>
      </c>
      <c r="F1813" s="121">
        <f>ROUND(D1813*'FR_Mantenimiento tasas'!$D$48/360,5)</f>
        <v>0</v>
      </c>
    </row>
    <row r="1814" spans="1:6">
      <c r="A1814" s="123">
        <f>IF(OR(A1813='F-Ahorro Futuro Decimos'!$H$16,A1813=""),"",IF(A1813+1&gt;'F-Ahorro Futuro Decimos'!$H$16,'F-Ahorro Futuro Decimos'!$H$16,A1813+1))</f>
        <v>1812</v>
      </c>
      <c r="B1814" s="122">
        <f>IFERROR(IF(DAY($A1814)=DAY('F-Ahorro Futuro Decimos'!$H$15),'F-Ahorro Futuro Decimos'!$H$14,0),0)</f>
        <v>0</v>
      </c>
      <c r="C1814" s="122">
        <f>IF(A1814='F-Ahorro Futuro Decimos'!$H$18,'F-Ahorro Futuro Decimos'!$H$20,0)</f>
        <v>0</v>
      </c>
      <c r="D1814" s="122">
        <f t="shared" si="28"/>
        <v>0</v>
      </c>
      <c r="E1814" s="121">
        <f>ROUND(D1814*'FR_Mantenimiento tasas'!$C$48/360,5)</f>
        <v>0</v>
      </c>
      <c r="F1814" s="121">
        <f>ROUND(D1814*'FR_Mantenimiento tasas'!$D$48/360,5)</f>
        <v>0</v>
      </c>
    </row>
    <row r="1815" spans="1:6">
      <c r="A1815" s="123">
        <f>IF(OR(A1814='F-Ahorro Futuro Decimos'!$H$16,A1814=""),"",IF(A1814+1&gt;'F-Ahorro Futuro Decimos'!$H$16,'F-Ahorro Futuro Decimos'!$H$16,A1814+1))</f>
        <v>1813</v>
      </c>
      <c r="B1815" s="122">
        <f>IFERROR(IF(DAY($A1815)=DAY('F-Ahorro Futuro Decimos'!$H$15),'F-Ahorro Futuro Decimos'!$H$14,0),0)</f>
        <v>0</v>
      </c>
      <c r="C1815" s="122">
        <f>IF(A1815='F-Ahorro Futuro Decimos'!$H$18,'F-Ahorro Futuro Decimos'!$H$20,0)</f>
        <v>0</v>
      </c>
      <c r="D1815" s="122">
        <f t="shared" si="28"/>
        <v>0</v>
      </c>
      <c r="E1815" s="121">
        <f>ROUND(D1815*'FR_Mantenimiento tasas'!$C$48/360,5)</f>
        <v>0</v>
      </c>
      <c r="F1815" s="121">
        <f>ROUND(D1815*'FR_Mantenimiento tasas'!$D$48/360,5)</f>
        <v>0</v>
      </c>
    </row>
    <row r="1816" spans="1:6">
      <c r="A1816" s="123">
        <f>IF(OR(A1815='F-Ahorro Futuro Decimos'!$H$16,A1815=""),"",IF(A1815+1&gt;'F-Ahorro Futuro Decimos'!$H$16,'F-Ahorro Futuro Decimos'!$H$16,A1815+1))</f>
        <v>1814</v>
      </c>
      <c r="B1816" s="122">
        <f>IFERROR(IF(DAY($A1816)=DAY('F-Ahorro Futuro Decimos'!$H$15),'F-Ahorro Futuro Decimos'!$H$14,0),0)</f>
        <v>0</v>
      </c>
      <c r="C1816" s="122">
        <f>IF(A1816='F-Ahorro Futuro Decimos'!$H$18,'F-Ahorro Futuro Decimos'!$H$20,0)</f>
        <v>0</v>
      </c>
      <c r="D1816" s="122">
        <f t="shared" si="28"/>
        <v>0</v>
      </c>
      <c r="E1816" s="121">
        <f>ROUND(D1816*'FR_Mantenimiento tasas'!$C$48/360,5)</f>
        <v>0</v>
      </c>
      <c r="F1816" s="121">
        <f>ROUND(D1816*'FR_Mantenimiento tasas'!$D$48/360,5)</f>
        <v>0</v>
      </c>
    </row>
    <row r="1817" spans="1:6">
      <c r="A1817" s="123">
        <f>IF(OR(A1816='F-Ahorro Futuro Decimos'!$H$16,A1816=""),"",IF(A1816+1&gt;'F-Ahorro Futuro Decimos'!$H$16,'F-Ahorro Futuro Decimos'!$H$16,A1816+1))</f>
        <v>1815</v>
      </c>
      <c r="B1817" s="122">
        <f>IFERROR(IF(DAY($A1817)=DAY('F-Ahorro Futuro Decimos'!$H$15),'F-Ahorro Futuro Decimos'!$H$14,0),0)</f>
        <v>0</v>
      </c>
      <c r="C1817" s="122">
        <f>IF(A1817='F-Ahorro Futuro Decimos'!$H$18,'F-Ahorro Futuro Decimos'!$H$20,0)</f>
        <v>0</v>
      </c>
      <c r="D1817" s="122">
        <f t="shared" si="28"/>
        <v>0</v>
      </c>
      <c r="E1817" s="121">
        <f>ROUND(D1817*'FR_Mantenimiento tasas'!$C$48/360,5)</f>
        <v>0</v>
      </c>
      <c r="F1817" s="121">
        <f>ROUND(D1817*'FR_Mantenimiento tasas'!$D$48/360,5)</f>
        <v>0</v>
      </c>
    </row>
    <row r="1818" spans="1:6">
      <c r="A1818" s="123">
        <f>IF(OR(A1817='F-Ahorro Futuro Decimos'!$H$16,A1817=""),"",IF(A1817+1&gt;'F-Ahorro Futuro Decimos'!$H$16,'F-Ahorro Futuro Decimos'!$H$16,A1817+1))</f>
        <v>1816</v>
      </c>
      <c r="B1818" s="122">
        <f>IFERROR(IF(DAY($A1818)=DAY('F-Ahorro Futuro Decimos'!$H$15),'F-Ahorro Futuro Decimos'!$H$14,0),0)</f>
        <v>0</v>
      </c>
      <c r="C1818" s="122">
        <f>IF(A1818='F-Ahorro Futuro Decimos'!$H$18,'F-Ahorro Futuro Decimos'!$H$20,0)</f>
        <v>0</v>
      </c>
      <c r="D1818" s="122">
        <f t="shared" si="28"/>
        <v>0</v>
      </c>
      <c r="E1818" s="121">
        <f>ROUND(D1818*'FR_Mantenimiento tasas'!$C$48/360,5)</f>
        <v>0</v>
      </c>
      <c r="F1818" s="121">
        <f>ROUND(D1818*'FR_Mantenimiento tasas'!$D$48/360,5)</f>
        <v>0</v>
      </c>
    </row>
    <row r="1819" spans="1:6">
      <c r="A1819" s="123">
        <f>IF(OR(A1818='F-Ahorro Futuro Decimos'!$H$16,A1818=""),"",IF(A1818+1&gt;'F-Ahorro Futuro Decimos'!$H$16,'F-Ahorro Futuro Decimos'!$H$16,A1818+1))</f>
        <v>1817</v>
      </c>
      <c r="B1819" s="122">
        <f>IFERROR(IF(DAY($A1819)=DAY('F-Ahorro Futuro Decimos'!$H$15),'F-Ahorro Futuro Decimos'!$H$14,0),0)</f>
        <v>0</v>
      </c>
      <c r="C1819" s="122">
        <f>IF(A1819='F-Ahorro Futuro Decimos'!$H$18,'F-Ahorro Futuro Decimos'!$H$20,0)</f>
        <v>0</v>
      </c>
      <c r="D1819" s="122">
        <f t="shared" si="28"/>
        <v>0</v>
      </c>
      <c r="E1819" s="121">
        <f>ROUND(D1819*'FR_Mantenimiento tasas'!$C$48/360,5)</f>
        <v>0</v>
      </c>
      <c r="F1819" s="121">
        <f>ROUND(D1819*'FR_Mantenimiento tasas'!$D$48/360,5)</f>
        <v>0</v>
      </c>
    </row>
    <row r="1820" spans="1:6">
      <c r="A1820" s="123">
        <f>IF(OR(A1819='F-Ahorro Futuro Decimos'!$H$16,A1819=""),"",IF(A1819+1&gt;'F-Ahorro Futuro Decimos'!$H$16,'F-Ahorro Futuro Decimos'!$H$16,A1819+1))</f>
        <v>1818</v>
      </c>
      <c r="B1820" s="122">
        <f>IFERROR(IF(DAY($A1820)=DAY('F-Ahorro Futuro Decimos'!$H$15),'F-Ahorro Futuro Decimos'!$H$14,0),0)</f>
        <v>0</v>
      </c>
      <c r="C1820" s="122">
        <f>IF(A1820='F-Ahorro Futuro Decimos'!$H$18,'F-Ahorro Futuro Decimos'!$H$20,0)</f>
        <v>0</v>
      </c>
      <c r="D1820" s="122">
        <f t="shared" si="28"/>
        <v>0</v>
      </c>
      <c r="E1820" s="121">
        <f>ROUND(D1820*'FR_Mantenimiento tasas'!$C$48/360,5)</f>
        <v>0</v>
      </c>
      <c r="F1820" s="121">
        <f>ROUND(D1820*'FR_Mantenimiento tasas'!$D$48/360,5)</f>
        <v>0</v>
      </c>
    </row>
    <row r="1821" spans="1:6">
      <c r="A1821" s="123">
        <f>IF(OR(A1820='F-Ahorro Futuro Decimos'!$H$16,A1820=""),"",IF(A1820+1&gt;'F-Ahorro Futuro Decimos'!$H$16,'F-Ahorro Futuro Decimos'!$H$16,A1820+1))</f>
        <v>1819</v>
      </c>
      <c r="B1821" s="122">
        <f>IFERROR(IF(DAY($A1821)=DAY('F-Ahorro Futuro Decimos'!$H$15),'F-Ahorro Futuro Decimos'!$H$14,0),0)</f>
        <v>0</v>
      </c>
      <c r="C1821" s="122">
        <f>IF(A1821='F-Ahorro Futuro Decimos'!$H$18,'F-Ahorro Futuro Decimos'!$H$20,0)</f>
        <v>0</v>
      </c>
      <c r="D1821" s="122">
        <f t="shared" si="28"/>
        <v>0</v>
      </c>
      <c r="E1821" s="121">
        <f>ROUND(D1821*'FR_Mantenimiento tasas'!$C$48/360,5)</f>
        <v>0</v>
      </c>
      <c r="F1821" s="121">
        <f>ROUND(D1821*'FR_Mantenimiento tasas'!$D$48/360,5)</f>
        <v>0</v>
      </c>
    </row>
    <row r="1822" spans="1:6">
      <c r="A1822" s="123">
        <f>IF(OR(A1821='F-Ahorro Futuro Decimos'!$H$16,A1821=""),"",IF(A1821+1&gt;'F-Ahorro Futuro Decimos'!$H$16,'F-Ahorro Futuro Decimos'!$H$16,A1821+1))</f>
        <v>1820</v>
      </c>
      <c r="B1822" s="122">
        <f>IFERROR(IF(DAY($A1822)=DAY('F-Ahorro Futuro Decimos'!$H$15),'F-Ahorro Futuro Decimos'!$H$14,0),0)</f>
        <v>0</v>
      </c>
      <c r="C1822" s="122">
        <f>IF(A1822='F-Ahorro Futuro Decimos'!$H$18,'F-Ahorro Futuro Decimos'!$H$20,0)</f>
        <v>0</v>
      </c>
      <c r="D1822" s="122">
        <f t="shared" si="28"/>
        <v>0</v>
      </c>
      <c r="E1822" s="121">
        <f>ROUND(D1822*'FR_Mantenimiento tasas'!$C$48/360,5)</f>
        <v>0</v>
      </c>
      <c r="F1822" s="121">
        <f>ROUND(D1822*'FR_Mantenimiento tasas'!$D$48/360,5)</f>
        <v>0</v>
      </c>
    </row>
    <row r="1823" spans="1:6">
      <c r="A1823" s="123">
        <f>IF(OR(A1822='F-Ahorro Futuro Decimos'!$H$16,A1822=""),"",IF(A1822+1&gt;'F-Ahorro Futuro Decimos'!$H$16,'F-Ahorro Futuro Decimos'!$H$16,A1822+1))</f>
        <v>1821</v>
      </c>
      <c r="B1823" s="122">
        <f>IFERROR(IF(DAY($A1823)=DAY('F-Ahorro Futuro Decimos'!$H$15),'F-Ahorro Futuro Decimos'!$H$14,0),0)</f>
        <v>0</v>
      </c>
      <c r="C1823" s="122">
        <f>IF(A1823='F-Ahorro Futuro Decimos'!$H$18,'F-Ahorro Futuro Decimos'!$H$20,0)</f>
        <v>0</v>
      </c>
      <c r="D1823" s="122">
        <f t="shared" si="28"/>
        <v>0</v>
      </c>
      <c r="E1823" s="121">
        <f>ROUND(D1823*'FR_Mantenimiento tasas'!$C$48/360,5)</f>
        <v>0</v>
      </c>
      <c r="F1823" s="121">
        <f>ROUND(D1823*'FR_Mantenimiento tasas'!$D$48/360,5)</f>
        <v>0</v>
      </c>
    </row>
    <row r="1824" spans="1:6">
      <c r="A1824" s="123">
        <f>IF(OR(A1823='F-Ahorro Futuro Decimos'!$H$16,A1823=""),"",IF(A1823+1&gt;'F-Ahorro Futuro Decimos'!$H$16,'F-Ahorro Futuro Decimos'!$H$16,A1823+1))</f>
        <v>1822</v>
      </c>
      <c r="B1824" s="122">
        <f>IFERROR(IF(DAY($A1824)=DAY('F-Ahorro Futuro Decimos'!$H$15),'F-Ahorro Futuro Decimos'!$H$14,0),0)</f>
        <v>0</v>
      </c>
      <c r="C1824" s="122">
        <f>IF(A1824='F-Ahorro Futuro Decimos'!$H$18,'F-Ahorro Futuro Decimos'!$H$20,0)</f>
        <v>0</v>
      </c>
      <c r="D1824" s="122">
        <f t="shared" si="28"/>
        <v>0</v>
      </c>
      <c r="E1824" s="121">
        <f>ROUND(D1824*'FR_Mantenimiento tasas'!$C$48/360,5)</f>
        <v>0</v>
      </c>
      <c r="F1824" s="121">
        <f>ROUND(D1824*'FR_Mantenimiento tasas'!$D$48/360,5)</f>
        <v>0</v>
      </c>
    </row>
    <row r="1825" spans="1:6">
      <c r="A1825" s="123">
        <f>IF(OR(A1824='F-Ahorro Futuro Decimos'!$H$16,A1824=""),"",IF(A1824+1&gt;'F-Ahorro Futuro Decimos'!$H$16,'F-Ahorro Futuro Decimos'!$H$16,A1824+1))</f>
        <v>1823</v>
      </c>
      <c r="B1825" s="122">
        <f>IFERROR(IF(DAY($A1825)=DAY('F-Ahorro Futuro Decimos'!$H$15),'F-Ahorro Futuro Decimos'!$H$14,0),0)</f>
        <v>0</v>
      </c>
      <c r="C1825" s="122">
        <f>IF(A1825='F-Ahorro Futuro Decimos'!$H$18,'F-Ahorro Futuro Decimos'!$H$20,0)</f>
        <v>0</v>
      </c>
      <c r="D1825" s="122">
        <f t="shared" si="28"/>
        <v>0</v>
      </c>
      <c r="E1825" s="121">
        <f>ROUND(D1825*'FR_Mantenimiento tasas'!$C$48/360,5)</f>
        <v>0</v>
      </c>
      <c r="F1825" s="121">
        <f>ROUND(D1825*'FR_Mantenimiento tasas'!$D$48/360,5)</f>
        <v>0</v>
      </c>
    </row>
    <row r="1826" spans="1:6">
      <c r="A1826" s="123">
        <f>IF(OR(A1825='F-Ahorro Futuro Decimos'!$H$16,A1825=""),"",IF(A1825+1&gt;'F-Ahorro Futuro Decimos'!$H$16,'F-Ahorro Futuro Decimos'!$H$16,A1825+1))</f>
        <v>1824</v>
      </c>
      <c r="B1826" s="122">
        <f>IFERROR(IF(DAY($A1826)=DAY('F-Ahorro Futuro Decimos'!$H$15),'F-Ahorro Futuro Decimos'!$H$14,0),0)</f>
        <v>0</v>
      </c>
      <c r="C1826" s="122">
        <f>IF(A1826='F-Ahorro Futuro Decimos'!$H$18,'F-Ahorro Futuro Decimos'!$H$20,0)</f>
        <v>0</v>
      </c>
      <c r="D1826" s="122">
        <f t="shared" si="28"/>
        <v>0</v>
      </c>
      <c r="E1826" s="121">
        <f>ROUND(D1826*'FR_Mantenimiento tasas'!$C$48/360,5)</f>
        <v>0</v>
      </c>
      <c r="F1826" s="121">
        <f>ROUND(D1826*'FR_Mantenimiento tasas'!$D$48/360,5)</f>
        <v>0</v>
      </c>
    </row>
    <row r="1827" spans="1:6">
      <c r="A1827" s="123">
        <f>IF(OR(A1826='F-Ahorro Futuro Decimos'!$H$16,A1826=""),"",IF(A1826+1&gt;'F-Ahorro Futuro Decimos'!$H$16,'F-Ahorro Futuro Decimos'!$H$16,A1826+1))</f>
        <v>1825</v>
      </c>
      <c r="B1827" s="122">
        <f>IFERROR(IF(DAY($A1827)=DAY('F-Ahorro Futuro Decimos'!$H$15),'F-Ahorro Futuro Decimos'!$H$14,0),0)</f>
        <v>0</v>
      </c>
      <c r="C1827" s="122">
        <f>IF(A1827='F-Ahorro Futuro Decimos'!$H$18,'F-Ahorro Futuro Decimos'!$H$20,0)</f>
        <v>0</v>
      </c>
      <c r="D1827" s="122">
        <f t="shared" si="28"/>
        <v>0</v>
      </c>
      <c r="E1827" s="121">
        <f>ROUND(D1827*'FR_Mantenimiento tasas'!$C$48/360,5)</f>
        <v>0</v>
      </c>
      <c r="F1827" s="121">
        <f>ROUND(D1827*'FR_Mantenimiento tasas'!$D$48/360,5)</f>
        <v>0</v>
      </c>
    </row>
    <row r="1828" spans="1:6">
      <c r="A1828" s="123">
        <f>IF(OR(A1827='F-Ahorro Futuro Decimos'!$H$16,A1827=""),"",IF(A1827+1&gt;'F-Ahorro Futuro Decimos'!$H$16,'F-Ahorro Futuro Decimos'!$H$16,A1827+1))</f>
        <v>1826</v>
      </c>
      <c r="B1828" s="122">
        <f>IFERROR(IF(DAY($A1828)=DAY('F-Ahorro Futuro Decimos'!$H$15),'F-Ahorro Futuro Decimos'!$H$14,0),0)</f>
        <v>0</v>
      </c>
      <c r="C1828" s="122">
        <f>IF(A1828='F-Ahorro Futuro Decimos'!$H$18,'F-Ahorro Futuro Decimos'!$H$20,0)</f>
        <v>0</v>
      </c>
      <c r="D1828" s="122">
        <f t="shared" si="28"/>
        <v>0</v>
      </c>
      <c r="E1828" s="121">
        <f>ROUND(D1828*'FR_Mantenimiento tasas'!$C$48/360,5)</f>
        <v>0</v>
      </c>
      <c r="F1828" s="121">
        <f>ROUND(D1828*'FR_Mantenimiento tasas'!$D$48/360,5)</f>
        <v>0</v>
      </c>
    </row>
    <row r="1829" spans="1:6">
      <c r="A1829" s="123">
        <f>IF(OR(A1828='F-Ahorro Futuro Decimos'!$H$16,A1828=""),"",IF(A1828+1&gt;'F-Ahorro Futuro Decimos'!$H$16,'F-Ahorro Futuro Decimos'!$H$16,A1828+1))</f>
        <v>1827</v>
      </c>
      <c r="B1829" s="122">
        <f>IFERROR(IF(DAY($A1829)=DAY('F-Ahorro Futuro Decimos'!$H$15),'F-Ahorro Futuro Decimos'!$H$14,0),0)</f>
        <v>0</v>
      </c>
      <c r="C1829" s="122">
        <f>IF(A1829='F-Ahorro Futuro Decimos'!$H$18,'F-Ahorro Futuro Decimos'!$H$20,0)</f>
        <v>0</v>
      </c>
      <c r="D1829" s="122">
        <f t="shared" si="28"/>
        <v>0</v>
      </c>
      <c r="E1829" s="121">
        <f>ROUND(D1829*'FR_Mantenimiento tasas'!$C$48/360,5)</f>
        <v>0</v>
      </c>
      <c r="F1829" s="121">
        <f>ROUND(D1829*'FR_Mantenimiento tasas'!$D$48/360,5)</f>
        <v>0</v>
      </c>
    </row>
    <row r="1830" spans="1:6">
      <c r="A1830" s="123">
        <f>IF(OR(A1829='F-Ahorro Futuro Decimos'!$H$16,A1829=""),"",IF(A1829+1&gt;'F-Ahorro Futuro Decimos'!$H$16,'F-Ahorro Futuro Decimos'!$H$16,A1829+1))</f>
        <v>1828</v>
      </c>
      <c r="B1830" s="122">
        <f>IFERROR(IF(DAY($A1830)=DAY('F-Ahorro Futuro Decimos'!$H$15),'F-Ahorro Futuro Decimos'!$H$14,0),0)</f>
        <v>0</v>
      </c>
      <c r="C1830" s="122">
        <f>IF(A1830='F-Ahorro Futuro Decimos'!$H$18,'F-Ahorro Futuro Decimos'!$H$20,0)</f>
        <v>0</v>
      </c>
      <c r="D1830" s="122">
        <f t="shared" si="28"/>
        <v>0</v>
      </c>
      <c r="E1830" s="121">
        <f>ROUND(D1830*'FR_Mantenimiento tasas'!$C$48/360,5)</f>
        <v>0</v>
      </c>
      <c r="F1830" s="121">
        <f>ROUND(D1830*'FR_Mantenimiento tasas'!$D$48/360,5)</f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1"/>
  </sheetPr>
  <dimension ref="A1:C61"/>
  <sheetViews>
    <sheetView workbookViewId="0">
      <selection activeCell="C5" sqref="C5"/>
    </sheetView>
  </sheetViews>
  <sheetFormatPr baseColWidth="10" defaultRowHeight="13.5"/>
  <sheetData>
    <row r="1" spans="1:3" ht="15">
      <c r="A1" s="125" t="s">
        <v>63</v>
      </c>
      <c r="B1" t="s">
        <v>63</v>
      </c>
      <c r="C1" t="s">
        <v>63</v>
      </c>
    </row>
    <row r="2" spans="1:3">
      <c r="A2">
        <v>1</v>
      </c>
      <c r="B2">
        <v>12</v>
      </c>
      <c r="C2">
        <v>36</v>
      </c>
    </row>
    <row r="3" spans="1:3">
      <c r="A3">
        <f>+A2+1</f>
        <v>2</v>
      </c>
      <c r="B3">
        <v>24</v>
      </c>
      <c r="C3">
        <v>48</v>
      </c>
    </row>
    <row r="4" spans="1:3">
      <c r="A4">
        <f t="shared" ref="A4:A61" si="0">+A3+1</f>
        <v>3</v>
      </c>
      <c r="B4">
        <v>36</v>
      </c>
      <c r="C4">
        <v>60</v>
      </c>
    </row>
    <row r="5" spans="1:3">
      <c r="A5">
        <f t="shared" si="0"/>
        <v>4</v>
      </c>
      <c r="B5">
        <v>48</v>
      </c>
    </row>
    <row r="6" spans="1:3">
      <c r="A6">
        <f t="shared" si="0"/>
        <v>5</v>
      </c>
      <c r="B6">
        <v>60</v>
      </c>
    </row>
    <row r="7" spans="1:3">
      <c r="A7">
        <f t="shared" si="0"/>
        <v>6</v>
      </c>
    </row>
    <row r="8" spans="1:3">
      <c r="A8">
        <f t="shared" si="0"/>
        <v>7</v>
      </c>
    </row>
    <row r="9" spans="1:3">
      <c r="A9">
        <f t="shared" si="0"/>
        <v>8</v>
      </c>
    </row>
    <row r="10" spans="1:3">
      <c r="A10">
        <f t="shared" si="0"/>
        <v>9</v>
      </c>
    </row>
    <row r="11" spans="1:3">
      <c r="A11">
        <f t="shared" si="0"/>
        <v>10</v>
      </c>
    </row>
    <row r="12" spans="1:3">
      <c r="A12">
        <f t="shared" si="0"/>
        <v>11</v>
      </c>
    </row>
    <row r="13" spans="1:3">
      <c r="A13">
        <f t="shared" si="0"/>
        <v>12</v>
      </c>
    </row>
    <row r="14" spans="1:3">
      <c r="A14">
        <f t="shared" si="0"/>
        <v>13</v>
      </c>
    </row>
    <row r="15" spans="1:3">
      <c r="A15">
        <f t="shared" si="0"/>
        <v>14</v>
      </c>
    </row>
    <row r="16" spans="1:3">
      <c r="A16">
        <f t="shared" si="0"/>
        <v>15</v>
      </c>
    </row>
    <row r="17" spans="1:1">
      <c r="A17">
        <f t="shared" si="0"/>
        <v>16</v>
      </c>
    </row>
    <row r="18" spans="1:1">
      <c r="A18">
        <f t="shared" si="0"/>
        <v>17</v>
      </c>
    </row>
    <row r="19" spans="1:1">
      <c r="A19">
        <f t="shared" si="0"/>
        <v>18</v>
      </c>
    </row>
    <row r="20" spans="1:1">
      <c r="A20">
        <f t="shared" si="0"/>
        <v>19</v>
      </c>
    </row>
    <row r="21" spans="1:1">
      <c r="A21">
        <f t="shared" si="0"/>
        <v>20</v>
      </c>
    </row>
    <row r="22" spans="1:1">
      <c r="A22">
        <f t="shared" si="0"/>
        <v>21</v>
      </c>
    </row>
    <row r="23" spans="1:1">
      <c r="A23">
        <f t="shared" si="0"/>
        <v>22</v>
      </c>
    </row>
    <row r="24" spans="1:1">
      <c r="A24">
        <f t="shared" si="0"/>
        <v>23</v>
      </c>
    </row>
    <row r="25" spans="1:1">
      <c r="A25">
        <f t="shared" si="0"/>
        <v>24</v>
      </c>
    </row>
    <row r="26" spans="1:1">
      <c r="A26">
        <f t="shared" si="0"/>
        <v>25</v>
      </c>
    </row>
    <row r="27" spans="1:1">
      <c r="A27">
        <f t="shared" si="0"/>
        <v>26</v>
      </c>
    </row>
    <row r="28" spans="1:1">
      <c r="A28">
        <f t="shared" si="0"/>
        <v>27</v>
      </c>
    </row>
    <row r="29" spans="1:1">
      <c r="A29">
        <f t="shared" si="0"/>
        <v>28</v>
      </c>
    </row>
    <row r="30" spans="1:1">
      <c r="A30">
        <f t="shared" si="0"/>
        <v>29</v>
      </c>
    </row>
    <row r="31" spans="1:1">
      <c r="A31">
        <f t="shared" si="0"/>
        <v>30</v>
      </c>
    </row>
    <row r="32" spans="1:1">
      <c r="A32">
        <f t="shared" si="0"/>
        <v>31</v>
      </c>
    </row>
    <row r="33" spans="1:1">
      <c r="A33">
        <f t="shared" si="0"/>
        <v>32</v>
      </c>
    </row>
    <row r="34" spans="1:1">
      <c r="A34">
        <f t="shared" si="0"/>
        <v>33</v>
      </c>
    </row>
    <row r="35" spans="1:1">
      <c r="A35">
        <f t="shared" si="0"/>
        <v>34</v>
      </c>
    </row>
    <row r="36" spans="1:1">
      <c r="A36">
        <f t="shared" si="0"/>
        <v>35</v>
      </c>
    </row>
    <row r="37" spans="1:1">
      <c r="A37">
        <f t="shared" si="0"/>
        <v>36</v>
      </c>
    </row>
    <row r="38" spans="1:1">
      <c r="A38">
        <f t="shared" si="0"/>
        <v>37</v>
      </c>
    </row>
    <row r="39" spans="1:1">
      <c r="A39">
        <f t="shared" si="0"/>
        <v>38</v>
      </c>
    </row>
    <row r="40" spans="1:1">
      <c r="A40">
        <f t="shared" si="0"/>
        <v>39</v>
      </c>
    </row>
    <row r="41" spans="1:1">
      <c r="A41">
        <f t="shared" si="0"/>
        <v>40</v>
      </c>
    </row>
    <row r="42" spans="1:1">
      <c r="A42">
        <f t="shared" si="0"/>
        <v>41</v>
      </c>
    </row>
    <row r="43" spans="1:1">
      <c r="A43">
        <f t="shared" si="0"/>
        <v>42</v>
      </c>
    </row>
    <row r="44" spans="1:1">
      <c r="A44">
        <f t="shared" si="0"/>
        <v>43</v>
      </c>
    </row>
    <row r="45" spans="1:1">
      <c r="A45">
        <f t="shared" si="0"/>
        <v>44</v>
      </c>
    </row>
    <row r="46" spans="1:1">
      <c r="A46">
        <f t="shared" si="0"/>
        <v>45</v>
      </c>
    </row>
    <row r="47" spans="1:1">
      <c r="A47">
        <f t="shared" si="0"/>
        <v>46</v>
      </c>
    </row>
    <row r="48" spans="1:1">
      <c r="A48">
        <f t="shared" si="0"/>
        <v>47</v>
      </c>
    </row>
    <row r="49" spans="1:1">
      <c r="A49">
        <f t="shared" si="0"/>
        <v>48</v>
      </c>
    </row>
    <row r="50" spans="1:1">
      <c r="A50">
        <f t="shared" si="0"/>
        <v>49</v>
      </c>
    </row>
    <row r="51" spans="1:1">
      <c r="A51">
        <f t="shared" si="0"/>
        <v>50</v>
      </c>
    </row>
    <row r="52" spans="1:1">
      <c r="A52">
        <f t="shared" si="0"/>
        <v>51</v>
      </c>
    </row>
    <row r="53" spans="1:1">
      <c r="A53">
        <f t="shared" si="0"/>
        <v>52</v>
      </c>
    </row>
    <row r="54" spans="1:1">
      <c r="A54">
        <f t="shared" si="0"/>
        <v>53</v>
      </c>
    </row>
    <row r="55" spans="1:1">
      <c r="A55">
        <f t="shared" si="0"/>
        <v>54</v>
      </c>
    </row>
    <row r="56" spans="1:1">
      <c r="A56">
        <f t="shared" si="0"/>
        <v>55</v>
      </c>
    </row>
    <row r="57" spans="1:1">
      <c r="A57">
        <f t="shared" si="0"/>
        <v>56</v>
      </c>
    </row>
    <row r="58" spans="1:1">
      <c r="A58">
        <f t="shared" si="0"/>
        <v>57</v>
      </c>
    </row>
    <row r="59" spans="1:1">
      <c r="A59">
        <f t="shared" si="0"/>
        <v>58</v>
      </c>
    </row>
    <row r="60" spans="1:1">
      <c r="A60">
        <f t="shared" si="0"/>
        <v>59</v>
      </c>
    </row>
    <row r="61" spans="1:1">
      <c r="A61">
        <f t="shared" si="0"/>
        <v>60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1"/>
  </sheetPr>
  <dimension ref="A1:E1830"/>
  <sheetViews>
    <sheetView workbookViewId="0">
      <selection activeCell="C65" sqref="C65:J65"/>
    </sheetView>
  </sheetViews>
  <sheetFormatPr baseColWidth="10" defaultRowHeight="13.5"/>
  <cols>
    <col min="1" max="1" width="11.7109375" style="123"/>
    <col min="2" max="2" width="21" bestFit="1" customWidth="1"/>
  </cols>
  <sheetData>
    <row r="1" spans="1:5">
      <c r="A1" s="123" t="s">
        <v>54</v>
      </c>
      <c r="B1" s="120" t="s">
        <v>55</v>
      </c>
      <c r="C1" s="120" t="s">
        <v>27</v>
      </c>
      <c r="D1" s="120" t="s">
        <v>28</v>
      </c>
      <c r="E1" s="120" t="s">
        <v>18</v>
      </c>
    </row>
    <row r="2" spans="1:5">
      <c r="A2" s="123">
        <f>+'F-Ahorro Futuro Reservas'!H10</f>
        <v>0</v>
      </c>
      <c r="B2" s="122">
        <f>IF(DAY(A2)=DAY('F-Ahorro Futuro Reservas'!$H$10),'F-Ahorro Futuro Reservas'!$H$9,0)</f>
        <v>0</v>
      </c>
      <c r="C2" s="122">
        <f>+B2</f>
        <v>0</v>
      </c>
      <c r="D2" s="121">
        <f>ROUND(IF(C2&lt;='FR_Mantenimiento tasas'!$C$55,'Tabla Ahorro Futuro Reservas'!C2*'FR_Mantenimiento tasas'!$D$55/360,IF(C2&lt;='FR_Mantenimiento tasas'!$C$56,'Tabla Ahorro Futuro Reservas'!C2*'FR_Mantenimiento tasas'!$D$56/360,IF(C2&lt;='FR_Mantenimiento tasas'!$C$57,'Tabla Ahorro Futuro Reservas'!C2*'FR_Mantenimiento tasas'!$D$57/360,""))),5)</f>
        <v>0</v>
      </c>
      <c r="E2" s="121">
        <f>ROUND(IF(C2&lt;='FR_Mantenimiento tasas'!$C$55,'Tabla Ahorro Futuro Reservas'!C2*'FR_Mantenimiento tasas'!$E$55/360,IF(C2&lt;='FR_Mantenimiento tasas'!$C$56,'Tabla Ahorro Futuro Reservas'!C2*'FR_Mantenimiento tasas'!$E$56/360,IF(C2&lt;='FR_Mantenimiento tasas'!$C$57,'Tabla Ahorro Futuro Reservas'!C2*'FR_Mantenimiento tasas'!$E$57/360,""))),5)</f>
        <v>0</v>
      </c>
    </row>
    <row r="3" spans="1:5">
      <c r="A3" s="123">
        <f>+A2+1</f>
        <v>1</v>
      </c>
      <c r="B3" s="122">
        <f>IF(DAY(A3)=DAY('F-Ahorro Futuro Reservas'!$H$10),'F-Ahorro Futuro Reservas'!$H$9,0)</f>
        <v>0</v>
      </c>
      <c r="C3" s="122">
        <f>+B3+C2+D2</f>
        <v>0</v>
      </c>
      <c r="D3" s="121">
        <f>ROUND(IF(C3&lt;='FR_Mantenimiento tasas'!$C$55,'Tabla Ahorro Futuro Reservas'!C3*'FR_Mantenimiento tasas'!$D$55/360,IF(C3&lt;='FR_Mantenimiento tasas'!$C$56,'Tabla Ahorro Futuro Reservas'!C3*'FR_Mantenimiento tasas'!$D$56/360,IF(C3&lt;='FR_Mantenimiento tasas'!$C$57,'Tabla Ahorro Futuro Reservas'!C3*'FR_Mantenimiento tasas'!$D$57/360,""))),5)</f>
        <v>0</v>
      </c>
      <c r="E3" s="121">
        <f>ROUND(IF(C3&lt;='FR_Mantenimiento tasas'!$C$55,'Tabla Ahorro Futuro Reservas'!C3*'FR_Mantenimiento tasas'!$E$55/360,IF(C3&lt;='FR_Mantenimiento tasas'!$C$56,'Tabla Ahorro Futuro Reservas'!C3*'FR_Mantenimiento tasas'!$E$56/360,IF(C3&lt;='FR_Mantenimiento tasas'!$C$57,'Tabla Ahorro Futuro Reservas'!C3*'FR_Mantenimiento tasas'!$E$57/360,""))),5)</f>
        <v>0</v>
      </c>
    </row>
    <row r="4" spans="1:5">
      <c r="A4" s="123">
        <f t="shared" ref="A4:A67" si="0">+A3+1</f>
        <v>2</v>
      </c>
      <c r="B4" s="122">
        <f>IF(DAY(A4)=DAY('F-Ahorro Futuro Reservas'!$H$10),'F-Ahorro Futuro Reservas'!$H$9,0)</f>
        <v>0</v>
      </c>
      <c r="C4" s="122">
        <f t="shared" ref="C4:C67" si="1">+B4+C3+D3</f>
        <v>0</v>
      </c>
      <c r="D4" s="121">
        <f>ROUND(IF(C4&lt;='FR_Mantenimiento tasas'!$C$55,'Tabla Ahorro Futuro Reservas'!C4*'FR_Mantenimiento tasas'!$D$55/360,IF(C4&lt;='FR_Mantenimiento tasas'!$C$56,'Tabla Ahorro Futuro Reservas'!C4*'FR_Mantenimiento tasas'!$D$56/360,IF(C4&lt;='FR_Mantenimiento tasas'!$C$57,'Tabla Ahorro Futuro Reservas'!C4*'FR_Mantenimiento tasas'!$D$57/360,""))),5)</f>
        <v>0</v>
      </c>
      <c r="E4" s="121">
        <f>ROUND(IF(C4&lt;='FR_Mantenimiento tasas'!$C$55,'Tabla Ahorro Futuro Reservas'!C4*'FR_Mantenimiento tasas'!$E$55/360,IF(C4&lt;='FR_Mantenimiento tasas'!$C$56,'Tabla Ahorro Futuro Reservas'!C4*'FR_Mantenimiento tasas'!$E$56/360,IF(C4&lt;='FR_Mantenimiento tasas'!$C$57,'Tabla Ahorro Futuro Reservas'!C4*'FR_Mantenimiento tasas'!$E$57/360,""))),5)</f>
        <v>0</v>
      </c>
    </row>
    <row r="5" spans="1:5">
      <c r="A5" s="123">
        <f t="shared" si="0"/>
        <v>3</v>
      </c>
      <c r="B5" s="122">
        <f>IF(DAY(A5)=DAY('F-Ahorro Futuro Reservas'!$H$10),'F-Ahorro Futuro Reservas'!$H$9,0)</f>
        <v>0</v>
      </c>
      <c r="C5" s="122">
        <f t="shared" si="1"/>
        <v>0</v>
      </c>
      <c r="D5" s="121">
        <f>ROUND(IF(C5&lt;='FR_Mantenimiento tasas'!$C$55,'Tabla Ahorro Futuro Reservas'!C5*'FR_Mantenimiento tasas'!$D$55/360,IF(C5&lt;='FR_Mantenimiento tasas'!$C$56,'Tabla Ahorro Futuro Reservas'!C5*'FR_Mantenimiento tasas'!$D$56/360,IF(C5&lt;='FR_Mantenimiento tasas'!$C$57,'Tabla Ahorro Futuro Reservas'!C5*'FR_Mantenimiento tasas'!$D$57/360,""))),5)</f>
        <v>0</v>
      </c>
      <c r="E5" s="121">
        <f>ROUND(IF(C5&lt;='FR_Mantenimiento tasas'!$C$55,'Tabla Ahorro Futuro Reservas'!C5*'FR_Mantenimiento tasas'!$E$55/360,IF(C5&lt;='FR_Mantenimiento tasas'!$C$56,'Tabla Ahorro Futuro Reservas'!C5*'FR_Mantenimiento tasas'!$E$56/360,IF(C5&lt;='FR_Mantenimiento tasas'!$C$57,'Tabla Ahorro Futuro Reservas'!C5*'FR_Mantenimiento tasas'!$E$57/360,""))),5)</f>
        <v>0</v>
      </c>
    </row>
    <row r="6" spans="1:5">
      <c r="A6" s="123">
        <f t="shared" si="0"/>
        <v>4</v>
      </c>
      <c r="B6" s="122">
        <f>IF(DAY(A6)=DAY('F-Ahorro Futuro Reservas'!$H$10),'F-Ahorro Futuro Reservas'!$H$9,0)</f>
        <v>0</v>
      </c>
      <c r="C6" s="122">
        <f t="shared" si="1"/>
        <v>0</v>
      </c>
      <c r="D6" s="121">
        <f>ROUND(IF(C6&lt;='FR_Mantenimiento tasas'!$C$55,'Tabla Ahorro Futuro Reservas'!C6*'FR_Mantenimiento tasas'!$D$55/360,IF(C6&lt;='FR_Mantenimiento tasas'!$C$56,'Tabla Ahorro Futuro Reservas'!C6*'FR_Mantenimiento tasas'!$D$56/360,IF(C6&lt;='FR_Mantenimiento tasas'!$C$57,'Tabla Ahorro Futuro Reservas'!C6*'FR_Mantenimiento tasas'!$D$57/360,""))),5)</f>
        <v>0</v>
      </c>
      <c r="E6" s="121">
        <f>ROUND(IF(C6&lt;='FR_Mantenimiento tasas'!$C$55,'Tabla Ahorro Futuro Reservas'!C6*'FR_Mantenimiento tasas'!$E$55/360,IF(C6&lt;='FR_Mantenimiento tasas'!$C$56,'Tabla Ahorro Futuro Reservas'!C6*'FR_Mantenimiento tasas'!$E$56/360,IF(C6&lt;='FR_Mantenimiento tasas'!$C$57,'Tabla Ahorro Futuro Reservas'!C6*'FR_Mantenimiento tasas'!$E$57/360,""))),5)</f>
        <v>0</v>
      </c>
    </row>
    <row r="7" spans="1:5">
      <c r="A7" s="123">
        <f>+A6+1</f>
        <v>5</v>
      </c>
      <c r="B7" s="122">
        <f>IF(DAY(A7)=DAY('F-Ahorro Futuro Reservas'!$H$10),'F-Ahorro Futuro Reservas'!$H$9,0)</f>
        <v>0</v>
      </c>
      <c r="C7" s="122">
        <f t="shared" si="1"/>
        <v>0</v>
      </c>
      <c r="D7" s="121">
        <f>ROUND(IF(C7&lt;='FR_Mantenimiento tasas'!$C$55,'Tabla Ahorro Futuro Reservas'!C7*'FR_Mantenimiento tasas'!$D$55/360,IF(C7&lt;='FR_Mantenimiento tasas'!$C$56,'Tabla Ahorro Futuro Reservas'!C7*'FR_Mantenimiento tasas'!$D$56/360,IF(C7&lt;='FR_Mantenimiento tasas'!$C$57,'Tabla Ahorro Futuro Reservas'!C7*'FR_Mantenimiento tasas'!$D$57/360,""))),5)</f>
        <v>0</v>
      </c>
      <c r="E7" s="121">
        <f>ROUND(IF(C7&lt;='FR_Mantenimiento tasas'!$C$55,'Tabla Ahorro Futuro Reservas'!C7*'FR_Mantenimiento tasas'!$E$55/360,IF(C7&lt;='FR_Mantenimiento tasas'!$C$56,'Tabla Ahorro Futuro Reservas'!C7*'FR_Mantenimiento tasas'!$E$56/360,IF(C7&lt;='FR_Mantenimiento tasas'!$C$57,'Tabla Ahorro Futuro Reservas'!C7*'FR_Mantenimiento tasas'!$E$57/360,""))),5)</f>
        <v>0</v>
      </c>
    </row>
    <row r="8" spans="1:5">
      <c r="A8" s="123">
        <f t="shared" si="0"/>
        <v>6</v>
      </c>
      <c r="B8" s="122">
        <f>IF(DAY(A8)=DAY('F-Ahorro Futuro Reservas'!$H$10),'F-Ahorro Futuro Reservas'!$H$9,0)</f>
        <v>0</v>
      </c>
      <c r="C8" s="122">
        <f t="shared" si="1"/>
        <v>0</v>
      </c>
      <c r="D8" s="121">
        <f>ROUND(IF(C8&lt;='FR_Mantenimiento tasas'!$C$55,'Tabla Ahorro Futuro Reservas'!C8*'FR_Mantenimiento tasas'!$D$55/360,IF(C8&lt;='FR_Mantenimiento tasas'!$C$56,'Tabla Ahorro Futuro Reservas'!C8*'FR_Mantenimiento tasas'!$D$56/360,IF(C8&lt;='FR_Mantenimiento tasas'!$C$57,'Tabla Ahorro Futuro Reservas'!C8*'FR_Mantenimiento tasas'!$D$57/360,""))),5)</f>
        <v>0</v>
      </c>
      <c r="E8" s="121">
        <f>ROUND(IF(C8&lt;='FR_Mantenimiento tasas'!$C$55,'Tabla Ahorro Futuro Reservas'!C8*'FR_Mantenimiento tasas'!$E$55/360,IF(C8&lt;='FR_Mantenimiento tasas'!$C$56,'Tabla Ahorro Futuro Reservas'!C8*'FR_Mantenimiento tasas'!$E$56/360,IF(C8&lt;='FR_Mantenimiento tasas'!$C$57,'Tabla Ahorro Futuro Reservas'!C8*'FR_Mantenimiento tasas'!$E$57/360,""))),5)</f>
        <v>0</v>
      </c>
    </row>
    <row r="9" spans="1:5">
      <c r="A9" s="123">
        <f t="shared" si="0"/>
        <v>7</v>
      </c>
      <c r="B9" s="122">
        <f>IF(DAY(A9)=DAY('F-Ahorro Futuro Reservas'!$H$10),'F-Ahorro Futuro Reservas'!$H$9,0)</f>
        <v>0</v>
      </c>
      <c r="C9" s="122">
        <f t="shared" si="1"/>
        <v>0</v>
      </c>
      <c r="D9" s="121">
        <f>ROUND(IF(C9&lt;='FR_Mantenimiento tasas'!$C$55,'Tabla Ahorro Futuro Reservas'!C9*'FR_Mantenimiento tasas'!$D$55/360,IF(C9&lt;='FR_Mantenimiento tasas'!$C$56,'Tabla Ahorro Futuro Reservas'!C9*'FR_Mantenimiento tasas'!$D$56/360,IF(C9&lt;='FR_Mantenimiento tasas'!$C$57,'Tabla Ahorro Futuro Reservas'!C9*'FR_Mantenimiento tasas'!$D$57/360,""))),5)</f>
        <v>0</v>
      </c>
      <c r="E9" s="121">
        <f>ROUND(IF(C9&lt;='FR_Mantenimiento tasas'!$C$55,'Tabla Ahorro Futuro Reservas'!C9*'FR_Mantenimiento tasas'!$E$55/360,IF(C9&lt;='FR_Mantenimiento tasas'!$C$56,'Tabla Ahorro Futuro Reservas'!C9*'FR_Mantenimiento tasas'!$E$56/360,IF(C9&lt;='FR_Mantenimiento tasas'!$C$57,'Tabla Ahorro Futuro Reservas'!C9*'FR_Mantenimiento tasas'!$E$57/360,""))),5)</f>
        <v>0</v>
      </c>
    </row>
    <row r="10" spans="1:5">
      <c r="A10" s="123">
        <f t="shared" si="0"/>
        <v>8</v>
      </c>
      <c r="B10" s="122">
        <f>IF(DAY(A10)=DAY('F-Ahorro Futuro Reservas'!$H$10),'F-Ahorro Futuro Reservas'!$H$9,0)</f>
        <v>0</v>
      </c>
      <c r="C10" s="122">
        <f t="shared" si="1"/>
        <v>0</v>
      </c>
      <c r="D10" s="121">
        <f>ROUND(IF(C10&lt;='FR_Mantenimiento tasas'!$C$55,'Tabla Ahorro Futuro Reservas'!C10*'FR_Mantenimiento tasas'!$D$55/360,IF(C10&lt;='FR_Mantenimiento tasas'!$C$56,'Tabla Ahorro Futuro Reservas'!C10*'FR_Mantenimiento tasas'!$D$56/360,IF(C10&lt;='FR_Mantenimiento tasas'!$C$57,'Tabla Ahorro Futuro Reservas'!C10*'FR_Mantenimiento tasas'!$D$57/360,""))),5)</f>
        <v>0</v>
      </c>
      <c r="E10" s="121">
        <f>ROUND(IF(C10&lt;='FR_Mantenimiento tasas'!$C$55,'Tabla Ahorro Futuro Reservas'!C10*'FR_Mantenimiento tasas'!$E$55/360,IF(C10&lt;='FR_Mantenimiento tasas'!$C$56,'Tabla Ahorro Futuro Reservas'!C10*'FR_Mantenimiento tasas'!$E$56/360,IF(C10&lt;='FR_Mantenimiento tasas'!$C$57,'Tabla Ahorro Futuro Reservas'!C10*'FR_Mantenimiento tasas'!$E$57/360,""))),5)</f>
        <v>0</v>
      </c>
    </row>
    <row r="11" spans="1:5">
      <c r="A11" s="123">
        <f t="shared" si="0"/>
        <v>9</v>
      </c>
      <c r="B11" s="122">
        <f>IF(DAY(A11)=DAY('F-Ahorro Futuro Reservas'!$H$10),'F-Ahorro Futuro Reservas'!$H$9,0)</f>
        <v>0</v>
      </c>
      <c r="C11" s="122">
        <f t="shared" si="1"/>
        <v>0</v>
      </c>
      <c r="D11" s="121">
        <f>ROUND(IF(C11&lt;='FR_Mantenimiento tasas'!$C$55,'Tabla Ahorro Futuro Reservas'!C11*'FR_Mantenimiento tasas'!$D$55/360,IF(C11&lt;='FR_Mantenimiento tasas'!$C$56,'Tabla Ahorro Futuro Reservas'!C11*'FR_Mantenimiento tasas'!$D$56/360,IF(C11&lt;='FR_Mantenimiento tasas'!$C$57,'Tabla Ahorro Futuro Reservas'!C11*'FR_Mantenimiento tasas'!$D$57/360,""))),5)</f>
        <v>0</v>
      </c>
      <c r="E11" s="121">
        <f>ROUND(IF(C11&lt;='FR_Mantenimiento tasas'!$C$55,'Tabla Ahorro Futuro Reservas'!C11*'FR_Mantenimiento tasas'!$E$55/360,IF(C11&lt;='FR_Mantenimiento tasas'!$C$56,'Tabla Ahorro Futuro Reservas'!C11*'FR_Mantenimiento tasas'!$E$56/360,IF(C11&lt;='FR_Mantenimiento tasas'!$C$57,'Tabla Ahorro Futuro Reservas'!C11*'FR_Mantenimiento tasas'!$E$57/360,""))),5)</f>
        <v>0</v>
      </c>
    </row>
    <row r="12" spans="1:5">
      <c r="A12" s="123">
        <f t="shared" si="0"/>
        <v>10</v>
      </c>
      <c r="B12" s="122">
        <f>IF(DAY(A12)=DAY('F-Ahorro Futuro Reservas'!$H$10),'F-Ahorro Futuro Reservas'!$H$9,0)</f>
        <v>0</v>
      </c>
      <c r="C12" s="122">
        <f t="shared" si="1"/>
        <v>0</v>
      </c>
      <c r="D12" s="121">
        <f>ROUND(IF(C12&lt;='FR_Mantenimiento tasas'!$C$55,'Tabla Ahorro Futuro Reservas'!C12*'FR_Mantenimiento tasas'!$D$55/360,IF(C12&lt;='FR_Mantenimiento tasas'!$C$56,'Tabla Ahorro Futuro Reservas'!C12*'FR_Mantenimiento tasas'!$D$56/360,IF(C12&lt;='FR_Mantenimiento tasas'!$C$57,'Tabla Ahorro Futuro Reservas'!C12*'FR_Mantenimiento tasas'!$D$57/360,""))),5)</f>
        <v>0</v>
      </c>
      <c r="E12" s="121">
        <f>ROUND(IF(C12&lt;='FR_Mantenimiento tasas'!$C$55,'Tabla Ahorro Futuro Reservas'!C12*'FR_Mantenimiento tasas'!$E$55/360,IF(C12&lt;='FR_Mantenimiento tasas'!$C$56,'Tabla Ahorro Futuro Reservas'!C12*'FR_Mantenimiento tasas'!$E$56/360,IF(C12&lt;='FR_Mantenimiento tasas'!$C$57,'Tabla Ahorro Futuro Reservas'!C12*'FR_Mantenimiento tasas'!$E$57/360,""))),5)</f>
        <v>0</v>
      </c>
    </row>
    <row r="13" spans="1:5">
      <c r="A13" s="123">
        <f t="shared" si="0"/>
        <v>11</v>
      </c>
      <c r="B13" s="122">
        <f>IF(DAY(A13)=DAY('F-Ahorro Futuro Reservas'!$H$10),'F-Ahorro Futuro Reservas'!$H$9,0)</f>
        <v>0</v>
      </c>
      <c r="C13" s="122">
        <f t="shared" si="1"/>
        <v>0</v>
      </c>
      <c r="D13" s="121">
        <f>ROUND(IF(C13&lt;='FR_Mantenimiento tasas'!$C$55,'Tabla Ahorro Futuro Reservas'!C13*'FR_Mantenimiento tasas'!$D$55/360,IF(C13&lt;='FR_Mantenimiento tasas'!$C$56,'Tabla Ahorro Futuro Reservas'!C13*'FR_Mantenimiento tasas'!$D$56/360,IF(C13&lt;='FR_Mantenimiento tasas'!$C$57,'Tabla Ahorro Futuro Reservas'!C13*'FR_Mantenimiento tasas'!$D$57/360,""))),5)</f>
        <v>0</v>
      </c>
      <c r="E13" s="121">
        <f>ROUND(IF(C13&lt;='FR_Mantenimiento tasas'!$C$55,'Tabla Ahorro Futuro Reservas'!C13*'FR_Mantenimiento tasas'!$E$55/360,IF(C13&lt;='FR_Mantenimiento tasas'!$C$56,'Tabla Ahorro Futuro Reservas'!C13*'FR_Mantenimiento tasas'!$E$56/360,IF(C13&lt;='FR_Mantenimiento tasas'!$C$57,'Tabla Ahorro Futuro Reservas'!C13*'FR_Mantenimiento tasas'!$E$57/360,""))),5)</f>
        <v>0</v>
      </c>
    </row>
    <row r="14" spans="1:5">
      <c r="A14" s="123">
        <f t="shared" si="0"/>
        <v>12</v>
      </c>
      <c r="B14" s="122">
        <f>IF(DAY(A14)=DAY('F-Ahorro Futuro Reservas'!$H$10),'F-Ahorro Futuro Reservas'!$H$9,0)</f>
        <v>0</v>
      </c>
      <c r="C14" s="122">
        <f t="shared" si="1"/>
        <v>0</v>
      </c>
      <c r="D14" s="121">
        <f>ROUND(IF(C14&lt;='FR_Mantenimiento tasas'!$C$55,'Tabla Ahorro Futuro Reservas'!C14*'FR_Mantenimiento tasas'!$D$55/360,IF(C14&lt;='FR_Mantenimiento tasas'!$C$56,'Tabla Ahorro Futuro Reservas'!C14*'FR_Mantenimiento tasas'!$D$56/360,IF(C14&lt;='FR_Mantenimiento tasas'!$C$57,'Tabla Ahorro Futuro Reservas'!C14*'FR_Mantenimiento tasas'!$D$57/360,""))),5)</f>
        <v>0</v>
      </c>
      <c r="E14" s="121">
        <f>ROUND(IF(C14&lt;='FR_Mantenimiento tasas'!$C$55,'Tabla Ahorro Futuro Reservas'!C14*'FR_Mantenimiento tasas'!$E$55/360,IF(C14&lt;='FR_Mantenimiento tasas'!$C$56,'Tabla Ahorro Futuro Reservas'!C14*'FR_Mantenimiento tasas'!$E$56/360,IF(C14&lt;='FR_Mantenimiento tasas'!$C$57,'Tabla Ahorro Futuro Reservas'!C14*'FR_Mantenimiento tasas'!$E$57/360,""))),5)</f>
        <v>0</v>
      </c>
    </row>
    <row r="15" spans="1:5">
      <c r="A15" s="123">
        <f t="shared" si="0"/>
        <v>13</v>
      </c>
      <c r="B15" s="122">
        <f>IF(DAY(A15)=DAY('F-Ahorro Futuro Reservas'!$H$10),'F-Ahorro Futuro Reservas'!$H$9,0)</f>
        <v>0</v>
      </c>
      <c r="C15" s="122">
        <f t="shared" si="1"/>
        <v>0</v>
      </c>
      <c r="D15" s="121">
        <f>ROUND(IF(C15&lt;='FR_Mantenimiento tasas'!$C$55,'Tabla Ahorro Futuro Reservas'!C15*'FR_Mantenimiento tasas'!$D$55/360,IF(C15&lt;='FR_Mantenimiento tasas'!$C$56,'Tabla Ahorro Futuro Reservas'!C15*'FR_Mantenimiento tasas'!$D$56/360,IF(C15&lt;='FR_Mantenimiento tasas'!$C$57,'Tabla Ahorro Futuro Reservas'!C15*'FR_Mantenimiento tasas'!$D$57/360,""))),5)</f>
        <v>0</v>
      </c>
      <c r="E15" s="121">
        <f>ROUND(IF(C15&lt;='FR_Mantenimiento tasas'!$C$55,'Tabla Ahorro Futuro Reservas'!C15*'FR_Mantenimiento tasas'!$E$55/360,IF(C15&lt;='FR_Mantenimiento tasas'!$C$56,'Tabla Ahorro Futuro Reservas'!C15*'FR_Mantenimiento tasas'!$E$56/360,IF(C15&lt;='FR_Mantenimiento tasas'!$C$57,'Tabla Ahorro Futuro Reservas'!C15*'FR_Mantenimiento tasas'!$E$57/360,""))),5)</f>
        <v>0</v>
      </c>
    </row>
    <row r="16" spans="1:5">
      <c r="A16" s="123">
        <f t="shared" si="0"/>
        <v>14</v>
      </c>
      <c r="B16" s="122">
        <f>IF(DAY(A16)=DAY('F-Ahorro Futuro Reservas'!$H$10),'F-Ahorro Futuro Reservas'!$H$9,0)</f>
        <v>0</v>
      </c>
      <c r="C16" s="122">
        <f t="shared" si="1"/>
        <v>0</v>
      </c>
      <c r="D16" s="121">
        <f>ROUND(IF(C16&lt;='FR_Mantenimiento tasas'!$C$55,'Tabla Ahorro Futuro Reservas'!C16*'FR_Mantenimiento tasas'!$D$55/360,IF(C16&lt;='FR_Mantenimiento tasas'!$C$56,'Tabla Ahorro Futuro Reservas'!C16*'FR_Mantenimiento tasas'!$D$56/360,IF(C16&lt;='FR_Mantenimiento tasas'!$C$57,'Tabla Ahorro Futuro Reservas'!C16*'FR_Mantenimiento tasas'!$D$57/360,""))),5)</f>
        <v>0</v>
      </c>
      <c r="E16" s="121">
        <f>ROUND(IF(C16&lt;='FR_Mantenimiento tasas'!$C$55,'Tabla Ahorro Futuro Reservas'!C16*'FR_Mantenimiento tasas'!$E$55/360,IF(C16&lt;='FR_Mantenimiento tasas'!$C$56,'Tabla Ahorro Futuro Reservas'!C16*'FR_Mantenimiento tasas'!$E$56/360,IF(C16&lt;='FR_Mantenimiento tasas'!$C$57,'Tabla Ahorro Futuro Reservas'!C16*'FR_Mantenimiento tasas'!$E$57/360,""))),5)</f>
        <v>0</v>
      </c>
    </row>
    <row r="17" spans="1:5">
      <c r="A17" s="123">
        <f t="shared" si="0"/>
        <v>15</v>
      </c>
      <c r="B17" s="122">
        <f>IF(DAY(A17)=DAY('F-Ahorro Futuro Reservas'!$H$10),'F-Ahorro Futuro Reservas'!$H$9,0)</f>
        <v>0</v>
      </c>
      <c r="C17" s="122">
        <f t="shared" si="1"/>
        <v>0</v>
      </c>
      <c r="D17" s="121">
        <f>ROUND(IF(C17&lt;='FR_Mantenimiento tasas'!$C$55,'Tabla Ahorro Futuro Reservas'!C17*'FR_Mantenimiento tasas'!$D$55/360,IF(C17&lt;='FR_Mantenimiento tasas'!$C$56,'Tabla Ahorro Futuro Reservas'!C17*'FR_Mantenimiento tasas'!$D$56/360,IF(C17&lt;='FR_Mantenimiento tasas'!$C$57,'Tabla Ahorro Futuro Reservas'!C17*'FR_Mantenimiento tasas'!$D$57/360,""))),5)</f>
        <v>0</v>
      </c>
      <c r="E17" s="121">
        <f>ROUND(IF(C17&lt;='FR_Mantenimiento tasas'!$C$55,'Tabla Ahorro Futuro Reservas'!C17*'FR_Mantenimiento tasas'!$E$55/360,IF(C17&lt;='FR_Mantenimiento tasas'!$C$56,'Tabla Ahorro Futuro Reservas'!C17*'FR_Mantenimiento tasas'!$E$56/360,IF(C17&lt;='FR_Mantenimiento tasas'!$C$57,'Tabla Ahorro Futuro Reservas'!C17*'FR_Mantenimiento tasas'!$E$57/360,""))),5)</f>
        <v>0</v>
      </c>
    </row>
    <row r="18" spans="1:5">
      <c r="A18" s="123">
        <f t="shared" si="0"/>
        <v>16</v>
      </c>
      <c r="B18" s="122">
        <f>IF(DAY(A18)=DAY('F-Ahorro Futuro Reservas'!$H$10),'F-Ahorro Futuro Reservas'!$H$9,0)</f>
        <v>0</v>
      </c>
      <c r="C18" s="122">
        <f t="shared" si="1"/>
        <v>0</v>
      </c>
      <c r="D18" s="121">
        <f>ROUND(IF(C18&lt;='FR_Mantenimiento tasas'!$C$55,'Tabla Ahorro Futuro Reservas'!C18*'FR_Mantenimiento tasas'!$D$55/360,IF(C18&lt;='FR_Mantenimiento tasas'!$C$56,'Tabla Ahorro Futuro Reservas'!C18*'FR_Mantenimiento tasas'!$D$56/360,IF(C18&lt;='FR_Mantenimiento tasas'!$C$57,'Tabla Ahorro Futuro Reservas'!C18*'FR_Mantenimiento tasas'!$D$57/360,""))),5)</f>
        <v>0</v>
      </c>
      <c r="E18" s="121">
        <f>ROUND(IF(C18&lt;='FR_Mantenimiento tasas'!$C$55,'Tabla Ahorro Futuro Reservas'!C18*'FR_Mantenimiento tasas'!$E$55/360,IF(C18&lt;='FR_Mantenimiento tasas'!$C$56,'Tabla Ahorro Futuro Reservas'!C18*'FR_Mantenimiento tasas'!$E$56/360,IF(C18&lt;='FR_Mantenimiento tasas'!$C$57,'Tabla Ahorro Futuro Reservas'!C18*'FR_Mantenimiento tasas'!$E$57/360,""))),5)</f>
        <v>0</v>
      </c>
    </row>
    <row r="19" spans="1:5">
      <c r="A19" s="123">
        <f t="shared" si="0"/>
        <v>17</v>
      </c>
      <c r="B19" s="122">
        <f>IF(DAY(A19)=DAY('F-Ahorro Futuro Reservas'!$H$10),'F-Ahorro Futuro Reservas'!$H$9,0)</f>
        <v>0</v>
      </c>
      <c r="C19" s="122">
        <f t="shared" si="1"/>
        <v>0</v>
      </c>
      <c r="D19" s="121">
        <f>ROUND(IF(C19&lt;='FR_Mantenimiento tasas'!$C$55,'Tabla Ahorro Futuro Reservas'!C19*'FR_Mantenimiento tasas'!$D$55/360,IF(C19&lt;='FR_Mantenimiento tasas'!$C$56,'Tabla Ahorro Futuro Reservas'!C19*'FR_Mantenimiento tasas'!$D$56/360,IF(C19&lt;='FR_Mantenimiento tasas'!$C$57,'Tabla Ahorro Futuro Reservas'!C19*'FR_Mantenimiento tasas'!$D$57/360,""))),5)</f>
        <v>0</v>
      </c>
      <c r="E19" s="121">
        <f>ROUND(IF(C19&lt;='FR_Mantenimiento tasas'!$C$55,'Tabla Ahorro Futuro Reservas'!C19*'FR_Mantenimiento tasas'!$E$55/360,IF(C19&lt;='FR_Mantenimiento tasas'!$C$56,'Tabla Ahorro Futuro Reservas'!C19*'FR_Mantenimiento tasas'!$E$56/360,IF(C19&lt;='FR_Mantenimiento tasas'!$C$57,'Tabla Ahorro Futuro Reservas'!C19*'FR_Mantenimiento tasas'!$E$57/360,""))),5)</f>
        <v>0</v>
      </c>
    </row>
    <row r="20" spans="1:5">
      <c r="A20" s="123">
        <f t="shared" si="0"/>
        <v>18</v>
      </c>
      <c r="B20" s="122">
        <f>IF(DAY(A20)=DAY('F-Ahorro Futuro Reservas'!$H$10),'F-Ahorro Futuro Reservas'!$H$9,0)</f>
        <v>0</v>
      </c>
      <c r="C20" s="122">
        <f t="shared" si="1"/>
        <v>0</v>
      </c>
      <c r="D20" s="121">
        <f>ROUND(IF(C20&lt;='FR_Mantenimiento tasas'!$C$55,'Tabla Ahorro Futuro Reservas'!C20*'FR_Mantenimiento tasas'!$D$55/360,IF(C20&lt;='FR_Mantenimiento tasas'!$C$56,'Tabla Ahorro Futuro Reservas'!C20*'FR_Mantenimiento tasas'!$D$56/360,IF(C20&lt;='FR_Mantenimiento tasas'!$C$57,'Tabla Ahorro Futuro Reservas'!C20*'FR_Mantenimiento tasas'!$D$57/360,""))),5)</f>
        <v>0</v>
      </c>
      <c r="E20" s="121">
        <f>ROUND(IF(C20&lt;='FR_Mantenimiento tasas'!$C$55,'Tabla Ahorro Futuro Reservas'!C20*'FR_Mantenimiento tasas'!$E$55/360,IF(C20&lt;='FR_Mantenimiento tasas'!$C$56,'Tabla Ahorro Futuro Reservas'!C20*'FR_Mantenimiento tasas'!$E$56/360,IF(C20&lt;='FR_Mantenimiento tasas'!$C$57,'Tabla Ahorro Futuro Reservas'!C20*'FR_Mantenimiento tasas'!$E$57/360,""))),5)</f>
        <v>0</v>
      </c>
    </row>
    <row r="21" spans="1:5">
      <c r="A21" s="123">
        <f t="shared" si="0"/>
        <v>19</v>
      </c>
      <c r="B21" s="122">
        <f>IF(DAY(A21)=DAY('F-Ahorro Futuro Reservas'!$H$10),'F-Ahorro Futuro Reservas'!$H$9,0)</f>
        <v>0</v>
      </c>
      <c r="C21" s="122">
        <f t="shared" si="1"/>
        <v>0</v>
      </c>
      <c r="D21" s="121">
        <f>ROUND(IF(C21&lt;='FR_Mantenimiento tasas'!$C$55,'Tabla Ahorro Futuro Reservas'!C21*'FR_Mantenimiento tasas'!$D$55/360,IF(C21&lt;='FR_Mantenimiento tasas'!$C$56,'Tabla Ahorro Futuro Reservas'!C21*'FR_Mantenimiento tasas'!$D$56/360,IF(C21&lt;='FR_Mantenimiento tasas'!$C$57,'Tabla Ahorro Futuro Reservas'!C21*'FR_Mantenimiento tasas'!$D$57/360,""))),5)</f>
        <v>0</v>
      </c>
      <c r="E21" s="121">
        <f>ROUND(IF(C21&lt;='FR_Mantenimiento tasas'!$C$55,'Tabla Ahorro Futuro Reservas'!C21*'FR_Mantenimiento tasas'!$E$55/360,IF(C21&lt;='FR_Mantenimiento tasas'!$C$56,'Tabla Ahorro Futuro Reservas'!C21*'FR_Mantenimiento tasas'!$E$56/360,IF(C21&lt;='FR_Mantenimiento tasas'!$C$57,'Tabla Ahorro Futuro Reservas'!C21*'FR_Mantenimiento tasas'!$E$57/360,""))),5)</f>
        <v>0</v>
      </c>
    </row>
    <row r="22" spans="1:5">
      <c r="A22" s="123">
        <f t="shared" si="0"/>
        <v>20</v>
      </c>
      <c r="B22" s="122">
        <f>IF(DAY(A22)=DAY('F-Ahorro Futuro Reservas'!$H$10),'F-Ahorro Futuro Reservas'!$H$9,0)</f>
        <v>0</v>
      </c>
      <c r="C22" s="122">
        <f t="shared" si="1"/>
        <v>0</v>
      </c>
      <c r="D22" s="121">
        <f>ROUND(IF(C22&lt;='FR_Mantenimiento tasas'!$C$55,'Tabla Ahorro Futuro Reservas'!C22*'FR_Mantenimiento tasas'!$D$55/360,IF(C22&lt;='FR_Mantenimiento tasas'!$C$56,'Tabla Ahorro Futuro Reservas'!C22*'FR_Mantenimiento tasas'!$D$56/360,IF(C22&lt;='FR_Mantenimiento tasas'!$C$57,'Tabla Ahorro Futuro Reservas'!C22*'FR_Mantenimiento tasas'!$D$57/360,""))),5)</f>
        <v>0</v>
      </c>
      <c r="E22" s="121">
        <f>ROUND(IF(C22&lt;='FR_Mantenimiento tasas'!$C$55,'Tabla Ahorro Futuro Reservas'!C22*'FR_Mantenimiento tasas'!$E$55/360,IF(C22&lt;='FR_Mantenimiento tasas'!$C$56,'Tabla Ahorro Futuro Reservas'!C22*'FR_Mantenimiento tasas'!$E$56/360,IF(C22&lt;='FR_Mantenimiento tasas'!$C$57,'Tabla Ahorro Futuro Reservas'!C22*'FR_Mantenimiento tasas'!$E$57/360,""))),5)</f>
        <v>0</v>
      </c>
    </row>
    <row r="23" spans="1:5">
      <c r="A23" s="123">
        <f t="shared" si="0"/>
        <v>21</v>
      </c>
      <c r="B23" s="122">
        <f>IF(DAY(A23)=DAY('F-Ahorro Futuro Reservas'!$H$10),'F-Ahorro Futuro Reservas'!$H$9,0)</f>
        <v>0</v>
      </c>
      <c r="C23" s="122">
        <f t="shared" si="1"/>
        <v>0</v>
      </c>
      <c r="D23" s="121">
        <f>ROUND(IF(C23&lt;='FR_Mantenimiento tasas'!$C$55,'Tabla Ahorro Futuro Reservas'!C23*'FR_Mantenimiento tasas'!$D$55/360,IF(C23&lt;='FR_Mantenimiento tasas'!$C$56,'Tabla Ahorro Futuro Reservas'!C23*'FR_Mantenimiento tasas'!$D$56/360,IF(C23&lt;='FR_Mantenimiento tasas'!$C$57,'Tabla Ahorro Futuro Reservas'!C23*'FR_Mantenimiento tasas'!$D$57/360,""))),5)</f>
        <v>0</v>
      </c>
      <c r="E23" s="121">
        <f>ROUND(IF(C23&lt;='FR_Mantenimiento tasas'!$C$55,'Tabla Ahorro Futuro Reservas'!C23*'FR_Mantenimiento tasas'!$E$55/360,IF(C23&lt;='FR_Mantenimiento tasas'!$C$56,'Tabla Ahorro Futuro Reservas'!C23*'FR_Mantenimiento tasas'!$E$56/360,IF(C23&lt;='FR_Mantenimiento tasas'!$C$57,'Tabla Ahorro Futuro Reservas'!C23*'FR_Mantenimiento tasas'!$E$57/360,""))),5)</f>
        <v>0</v>
      </c>
    </row>
    <row r="24" spans="1:5">
      <c r="A24" s="123">
        <f t="shared" si="0"/>
        <v>22</v>
      </c>
      <c r="B24" s="122">
        <f>IF(DAY(A24)=DAY('F-Ahorro Futuro Reservas'!$H$10),'F-Ahorro Futuro Reservas'!$H$9,0)</f>
        <v>0</v>
      </c>
      <c r="C24" s="122">
        <f t="shared" si="1"/>
        <v>0</v>
      </c>
      <c r="D24" s="121">
        <f>ROUND(IF(C24&lt;='FR_Mantenimiento tasas'!$C$55,'Tabla Ahorro Futuro Reservas'!C24*'FR_Mantenimiento tasas'!$D$55/360,IF(C24&lt;='FR_Mantenimiento tasas'!$C$56,'Tabla Ahorro Futuro Reservas'!C24*'FR_Mantenimiento tasas'!$D$56/360,IF(C24&lt;='FR_Mantenimiento tasas'!$C$57,'Tabla Ahorro Futuro Reservas'!C24*'FR_Mantenimiento tasas'!$D$57/360,""))),5)</f>
        <v>0</v>
      </c>
      <c r="E24" s="121">
        <f>ROUND(IF(C24&lt;='FR_Mantenimiento tasas'!$C$55,'Tabla Ahorro Futuro Reservas'!C24*'FR_Mantenimiento tasas'!$E$55/360,IF(C24&lt;='FR_Mantenimiento tasas'!$C$56,'Tabla Ahorro Futuro Reservas'!C24*'FR_Mantenimiento tasas'!$E$56/360,IF(C24&lt;='FR_Mantenimiento tasas'!$C$57,'Tabla Ahorro Futuro Reservas'!C24*'FR_Mantenimiento tasas'!$E$57/360,""))),5)</f>
        <v>0</v>
      </c>
    </row>
    <row r="25" spans="1:5">
      <c r="A25" s="123">
        <f t="shared" si="0"/>
        <v>23</v>
      </c>
      <c r="B25" s="122">
        <f>IF(DAY(A25)=DAY('F-Ahorro Futuro Reservas'!$H$10),'F-Ahorro Futuro Reservas'!$H$9,0)</f>
        <v>0</v>
      </c>
      <c r="C25" s="122">
        <f t="shared" si="1"/>
        <v>0</v>
      </c>
      <c r="D25" s="121">
        <f>ROUND(IF(C25&lt;='FR_Mantenimiento tasas'!$C$55,'Tabla Ahorro Futuro Reservas'!C25*'FR_Mantenimiento tasas'!$D$55/360,IF(C25&lt;='FR_Mantenimiento tasas'!$C$56,'Tabla Ahorro Futuro Reservas'!C25*'FR_Mantenimiento tasas'!$D$56/360,IF(C25&lt;='FR_Mantenimiento tasas'!$C$57,'Tabla Ahorro Futuro Reservas'!C25*'FR_Mantenimiento tasas'!$D$57/360,""))),5)</f>
        <v>0</v>
      </c>
      <c r="E25" s="121">
        <f>ROUND(IF(C25&lt;='FR_Mantenimiento tasas'!$C$55,'Tabla Ahorro Futuro Reservas'!C25*'FR_Mantenimiento tasas'!$E$55/360,IF(C25&lt;='FR_Mantenimiento tasas'!$C$56,'Tabla Ahorro Futuro Reservas'!C25*'FR_Mantenimiento tasas'!$E$56/360,IF(C25&lt;='FR_Mantenimiento tasas'!$C$57,'Tabla Ahorro Futuro Reservas'!C25*'FR_Mantenimiento tasas'!$E$57/360,""))),5)</f>
        <v>0</v>
      </c>
    </row>
    <row r="26" spans="1:5">
      <c r="A26" s="123">
        <f t="shared" si="0"/>
        <v>24</v>
      </c>
      <c r="B26" s="122">
        <f>IF(DAY(A26)=DAY('F-Ahorro Futuro Reservas'!$H$10),'F-Ahorro Futuro Reservas'!$H$9,0)</f>
        <v>0</v>
      </c>
      <c r="C26" s="122">
        <f t="shared" si="1"/>
        <v>0</v>
      </c>
      <c r="D26" s="121">
        <f>ROUND(IF(C26&lt;='FR_Mantenimiento tasas'!$C$55,'Tabla Ahorro Futuro Reservas'!C26*'FR_Mantenimiento tasas'!$D$55/360,IF(C26&lt;='FR_Mantenimiento tasas'!$C$56,'Tabla Ahorro Futuro Reservas'!C26*'FR_Mantenimiento tasas'!$D$56/360,IF(C26&lt;='FR_Mantenimiento tasas'!$C$57,'Tabla Ahorro Futuro Reservas'!C26*'FR_Mantenimiento tasas'!$D$57/360,""))),5)</f>
        <v>0</v>
      </c>
      <c r="E26" s="121">
        <f>ROUND(IF(C26&lt;='FR_Mantenimiento tasas'!$C$55,'Tabla Ahorro Futuro Reservas'!C26*'FR_Mantenimiento tasas'!$E$55/360,IF(C26&lt;='FR_Mantenimiento tasas'!$C$56,'Tabla Ahorro Futuro Reservas'!C26*'FR_Mantenimiento tasas'!$E$56/360,IF(C26&lt;='FR_Mantenimiento tasas'!$C$57,'Tabla Ahorro Futuro Reservas'!C26*'FR_Mantenimiento tasas'!$E$57/360,""))),5)</f>
        <v>0</v>
      </c>
    </row>
    <row r="27" spans="1:5">
      <c r="A27" s="123">
        <f t="shared" si="0"/>
        <v>25</v>
      </c>
      <c r="B27" s="122">
        <f>IF(DAY(A27)=DAY('F-Ahorro Futuro Reservas'!$H$10),'F-Ahorro Futuro Reservas'!$H$9,0)</f>
        <v>0</v>
      </c>
      <c r="C27" s="122">
        <f t="shared" si="1"/>
        <v>0</v>
      </c>
      <c r="D27" s="121">
        <f>ROUND(IF(C27&lt;='FR_Mantenimiento tasas'!$C$55,'Tabla Ahorro Futuro Reservas'!C27*'FR_Mantenimiento tasas'!$D$55/360,IF(C27&lt;='FR_Mantenimiento tasas'!$C$56,'Tabla Ahorro Futuro Reservas'!C27*'FR_Mantenimiento tasas'!$D$56/360,IF(C27&lt;='FR_Mantenimiento tasas'!$C$57,'Tabla Ahorro Futuro Reservas'!C27*'FR_Mantenimiento tasas'!$D$57/360,""))),5)</f>
        <v>0</v>
      </c>
      <c r="E27" s="121">
        <f>ROUND(IF(C27&lt;='FR_Mantenimiento tasas'!$C$55,'Tabla Ahorro Futuro Reservas'!C27*'FR_Mantenimiento tasas'!$E$55/360,IF(C27&lt;='FR_Mantenimiento tasas'!$C$56,'Tabla Ahorro Futuro Reservas'!C27*'FR_Mantenimiento tasas'!$E$56/360,IF(C27&lt;='FR_Mantenimiento tasas'!$C$57,'Tabla Ahorro Futuro Reservas'!C27*'FR_Mantenimiento tasas'!$E$57/360,""))),5)</f>
        <v>0</v>
      </c>
    </row>
    <row r="28" spans="1:5">
      <c r="A28" s="123">
        <f t="shared" si="0"/>
        <v>26</v>
      </c>
      <c r="B28" s="122">
        <f>IF(DAY(A28)=DAY('F-Ahorro Futuro Reservas'!$H$10),'F-Ahorro Futuro Reservas'!$H$9,0)</f>
        <v>0</v>
      </c>
      <c r="C28" s="122">
        <f t="shared" si="1"/>
        <v>0</v>
      </c>
      <c r="D28" s="121">
        <f>ROUND(IF(C28&lt;='FR_Mantenimiento tasas'!$C$55,'Tabla Ahorro Futuro Reservas'!C28*'FR_Mantenimiento tasas'!$D$55/360,IF(C28&lt;='FR_Mantenimiento tasas'!$C$56,'Tabla Ahorro Futuro Reservas'!C28*'FR_Mantenimiento tasas'!$D$56/360,IF(C28&lt;='FR_Mantenimiento tasas'!$C$57,'Tabla Ahorro Futuro Reservas'!C28*'FR_Mantenimiento tasas'!$D$57/360,""))),5)</f>
        <v>0</v>
      </c>
      <c r="E28" s="121">
        <f>ROUND(IF(C28&lt;='FR_Mantenimiento tasas'!$C$55,'Tabla Ahorro Futuro Reservas'!C28*'FR_Mantenimiento tasas'!$E$55/360,IF(C28&lt;='FR_Mantenimiento tasas'!$C$56,'Tabla Ahorro Futuro Reservas'!C28*'FR_Mantenimiento tasas'!$E$56/360,IF(C28&lt;='FR_Mantenimiento tasas'!$C$57,'Tabla Ahorro Futuro Reservas'!C28*'FR_Mantenimiento tasas'!$E$57/360,""))),5)</f>
        <v>0</v>
      </c>
    </row>
    <row r="29" spans="1:5">
      <c r="A29" s="123">
        <f t="shared" si="0"/>
        <v>27</v>
      </c>
      <c r="B29" s="122">
        <f>IF(DAY(A29)=DAY('F-Ahorro Futuro Reservas'!$H$10),'F-Ahorro Futuro Reservas'!$H$9,0)</f>
        <v>0</v>
      </c>
      <c r="C29" s="122">
        <f t="shared" si="1"/>
        <v>0</v>
      </c>
      <c r="D29" s="121">
        <f>ROUND(IF(C29&lt;='FR_Mantenimiento tasas'!$C$55,'Tabla Ahorro Futuro Reservas'!C29*'FR_Mantenimiento tasas'!$D$55/360,IF(C29&lt;='FR_Mantenimiento tasas'!$C$56,'Tabla Ahorro Futuro Reservas'!C29*'FR_Mantenimiento tasas'!$D$56/360,IF(C29&lt;='FR_Mantenimiento tasas'!$C$57,'Tabla Ahorro Futuro Reservas'!C29*'FR_Mantenimiento tasas'!$D$57/360,""))),5)</f>
        <v>0</v>
      </c>
      <c r="E29" s="121">
        <f>ROUND(IF(C29&lt;='FR_Mantenimiento tasas'!$C$55,'Tabla Ahorro Futuro Reservas'!C29*'FR_Mantenimiento tasas'!$E$55/360,IF(C29&lt;='FR_Mantenimiento tasas'!$C$56,'Tabla Ahorro Futuro Reservas'!C29*'FR_Mantenimiento tasas'!$E$56/360,IF(C29&lt;='FR_Mantenimiento tasas'!$C$57,'Tabla Ahorro Futuro Reservas'!C29*'FR_Mantenimiento tasas'!$E$57/360,""))),5)</f>
        <v>0</v>
      </c>
    </row>
    <row r="30" spans="1:5">
      <c r="A30" s="123">
        <f t="shared" si="0"/>
        <v>28</v>
      </c>
      <c r="B30" s="122">
        <f>IF(DAY(A30)=DAY('F-Ahorro Futuro Reservas'!$H$10),'F-Ahorro Futuro Reservas'!$H$9,0)</f>
        <v>0</v>
      </c>
      <c r="C30" s="122">
        <f t="shared" si="1"/>
        <v>0</v>
      </c>
      <c r="D30" s="121">
        <f>ROUND(IF(C30&lt;='FR_Mantenimiento tasas'!$C$55,'Tabla Ahorro Futuro Reservas'!C30*'FR_Mantenimiento tasas'!$D$55/360,IF(C30&lt;='FR_Mantenimiento tasas'!$C$56,'Tabla Ahorro Futuro Reservas'!C30*'FR_Mantenimiento tasas'!$D$56/360,IF(C30&lt;='FR_Mantenimiento tasas'!$C$57,'Tabla Ahorro Futuro Reservas'!C30*'FR_Mantenimiento tasas'!$D$57/360,""))),5)</f>
        <v>0</v>
      </c>
      <c r="E30" s="121">
        <f>ROUND(IF(C30&lt;='FR_Mantenimiento tasas'!$C$55,'Tabla Ahorro Futuro Reservas'!C30*'FR_Mantenimiento tasas'!$E$55/360,IF(C30&lt;='FR_Mantenimiento tasas'!$C$56,'Tabla Ahorro Futuro Reservas'!C30*'FR_Mantenimiento tasas'!$E$56/360,IF(C30&lt;='FR_Mantenimiento tasas'!$C$57,'Tabla Ahorro Futuro Reservas'!C30*'FR_Mantenimiento tasas'!$E$57/360,""))),5)</f>
        <v>0</v>
      </c>
    </row>
    <row r="31" spans="1:5">
      <c r="A31" s="123">
        <f t="shared" si="0"/>
        <v>29</v>
      </c>
      <c r="B31" s="122">
        <f>IF(DAY(A31)=DAY('F-Ahorro Futuro Reservas'!$H$10),'F-Ahorro Futuro Reservas'!$H$9,0)</f>
        <v>0</v>
      </c>
      <c r="C31" s="122">
        <f t="shared" si="1"/>
        <v>0</v>
      </c>
      <c r="D31" s="121">
        <f>ROUND(IF(C31&lt;='FR_Mantenimiento tasas'!$C$55,'Tabla Ahorro Futuro Reservas'!C31*'FR_Mantenimiento tasas'!$D$55/360,IF(C31&lt;='FR_Mantenimiento tasas'!$C$56,'Tabla Ahorro Futuro Reservas'!C31*'FR_Mantenimiento tasas'!$D$56/360,IF(C31&lt;='FR_Mantenimiento tasas'!$C$57,'Tabla Ahorro Futuro Reservas'!C31*'FR_Mantenimiento tasas'!$D$57/360,""))),5)</f>
        <v>0</v>
      </c>
      <c r="E31" s="121">
        <f>ROUND(IF(C31&lt;='FR_Mantenimiento tasas'!$C$55,'Tabla Ahorro Futuro Reservas'!C31*'FR_Mantenimiento tasas'!$E$55/360,IF(C31&lt;='FR_Mantenimiento tasas'!$C$56,'Tabla Ahorro Futuro Reservas'!C31*'FR_Mantenimiento tasas'!$E$56/360,IF(C31&lt;='FR_Mantenimiento tasas'!$C$57,'Tabla Ahorro Futuro Reservas'!C31*'FR_Mantenimiento tasas'!$E$57/360,""))),5)</f>
        <v>0</v>
      </c>
    </row>
    <row r="32" spans="1:5">
      <c r="A32" s="123">
        <f t="shared" si="0"/>
        <v>30</v>
      </c>
      <c r="B32" s="122">
        <f>IF(DAY(A32)=DAY('F-Ahorro Futuro Reservas'!$H$10),'F-Ahorro Futuro Reservas'!$H$9,0)</f>
        <v>0</v>
      </c>
      <c r="C32" s="122">
        <f t="shared" si="1"/>
        <v>0</v>
      </c>
      <c r="D32" s="121">
        <f>ROUND(IF(C32&lt;='FR_Mantenimiento tasas'!$C$55,'Tabla Ahorro Futuro Reservas'!C32*'FR_Mantenimiento tasas'!$D$55/360,IF(C32&lt;='FR_Mantenimiento tasas'!$C$56,'Tabla Ahorro Futuro Reservas'!C32*'FR_Mantenimiento tasas'!$D$56/360,IF(C32&lt;='FR_Mantenimiento tasas'!$C$57,'Tabla Ahorro Futuro Reservas'!C32*'FR_Mantenimiento tasas'!$D$57/360,""))),5)</f>
        <v>0</v>
      </c>
      <c r="E32" s="121">
        <f>ROUND(IF(C32&lt;='FR_Mantenimiento tasas'!$C$55,'Tabla Ahorro Futuro Reservas'!C32*'FR_Mantenimiento tasas'!$E$55/360,IF(C32&lt;='FR_Mantenimiento tasas'!$C$56,'Tabla Ahorro Futuro Reservas'!C32*'FR_Mantenimiento tasas'!$E$56/360,IF(C32&lt;='FR_Mantenimiento tasas'!$C$57,'Tabla Ahorro Futuro Reservas'!C32*'FR_Mantenimiento tasas'!$E$57/360,""))),5)</f>
        <v>0</v>
      </c>
    </row>
    <row r="33" spans="1:5">
      <c r="A33" s="123">
        <f t="shared" si="0"/>
        <v>31</v>
      </c>
      <c r="B33" s="122">
        <f>IF(DAY(A33)=DAY('F-Ahorro Futuro Reservas'!$H$10),'F-Ahorro Futuro Reservas'!$H$9,0)</f>
        <v>0</v>
      </c>
      <c r="C33" s="122">
        <f t="shared" si="1"/>
        <v>0</v>
      </c>
      <c r="D33" s="121">
        <f>ROUND(IF(C33&lt;='FR_Mantenimiento tasas'!$C$55,'Tabla Ahorro Futuro Reservas'!C33*'FR_Mantenimiento tasas'!$D$55/360,IF(C33&lt;='FR_Mantenimiento tasas'!$C$56,'Tabla Ahorro Futuro Reservas'!C33*'FR_Mantenimiento tasas'!$D$56/360,IF(C33&lt;='FR_Mantenimiento tasas'!$C$57,'Tabla Ahorro Futuro Reservas'!C33*'FR_Mantenimiento tasas'!$D$57/360,""))),5)</f>
        <v>0</v>
      </c>
      <c r="E33" s="121">
        <f>ROUND(IF(C33&lt;='FR_Mantenimiento tasas'!$C$55,'Tabla Ahorro Futuro Reservas'!C33*'FR_Mantenimiento tasas'!$E$55/360,IF(C33&lt;='FR_Mantenimiento tasas'!$C$56,'Tabla Ahorro Futuro Reservas'!C33*'FR_Mantenimiento tasas'!$E$56/360,IF(C33&lt;='FR_Mantenimiento tasas'!$C$57,'Tabla Ahorro Futuro Reservas'!C33*'FR_Mantenimiento tasas'!$E$57/360,""))),5)</f>
        <v>0</v>
      </c>
    </row>
    <row r="34" spans="1:5">
      <c r="A34" s="123">
        <f t="shared" si="0"/>
        <v>32</v>
      </c>
      <c r="B34" s="122">
        <f>IF(DAY(A34)=DAY('F-Ahorro Futuro Reservas'!$H$10),'F-Ahorro Futuro Reservas'!$H$9,0)</f>
        <v>0</v>
      </c>
      <c r="C34" s="122">
        <f t="shared" si="1"/>
        <v>0</v>
      </c>
      <c r="D34" s="121">
        <f>ROUND(IF(C34&lt;='FR_Mantenimiento tasas'!$C$55,'Tabla Ahorro Futuro Reservas'!C34*'FR_Mantenimiento tasas'!$D$55/360,IF(C34&lt;='FR_Mantenimiento tasas'!$C$56,'Tabla Ahorro Futuro Reservas'!C34*'FR_Mantenimiento tasas'!$D$56/360,IF(C34&lt;='FR_Mantenimiento tasas'!$C$57,'Tabla Ahorro Futuro Reservas'!C34*'FR_Mantenimiento tasas'!$D$57/360,""))),5)</f>
        <v>0</v>
      </c>
      <c r="E34" s="121">
        <f>ROUND(IF(C34&lt;='FR_Mantenimiento tasas'!$C$55,'Tabla Ahorro Futuro Reservas'!C34*'FR_Mantenimiento tasas'!$E$55/360,IF(C34&lt;='FR_Mantenimiento tasas'!$C$56,'Tabla Ahorro Futuro Reservas'!C34*'FR_Mantenimiento tasas'!$E$56/360,IF(C34&lt;='FR_Mantenimiento tasas'!$C$57,'Tabla Ahorro Futuro Reservas'!C34*'FR_Mantenimiento tasas'!$E$57/360,""))),5)</f>
        <v>0</v>
      </c>
    </row>
    <row r="35" spans="1:5">
      <c r="A35" s="123">
        <f t="shared" si="0"/>
        <v>33</v>
      </c>
      <c r="B35" s="122">
        <f>IF(DAY(A35)=DAY('F-Ahorro Futuro Reservas'!$H$10),'F-Ahorro Futuro Reservas'!$H$9,0)</f>
        <v>0</v>
      </c>
      <c r="C35" s="122">
        <f t="shared" si="1"/>
        <v>0</v>
      </c>
      <c r="D35" s="121">
        <f>ROUND(IF(C35&lt;='FR_Mantenimiento tasas'!$C$55,'Tabla Ahorro Futuro Reservas'!C35*'FR_Mantenimiento tasas'!$D$55/360,IF(C35&lt;='FR_Mantenimiento tasas'!$C$56,'Tabla Ahorro Futuro Reservas'!C35*'FR_Mantenimiento tasas'!$D$56/360,IF(C35&lt;='FR_Mantenimiento tasas'!$C$57,'Tabla Ahorro Futuro Reservas'!C35*'FR_Mantenimiento tasas'!$D$57/360,""))),5)</f>
        <v>0</v>
      </c>
      <c r="E35" s="121">
        <f>ROUND(IF(C35&lt;='FR_Mantenimiento tasas'!$C$55,'Tabla Ahorro Futuro Reservas'!C35*'FR_Mantenimiento tasas'!$E$55/360,IF(C35&lt;='FR_Mantenimiento tasas'!$C$56,'Tabla Ahorro Futuro Reservas'!C35*'FR_Mantenimiento tasas'!$E$56/360,IF(C35&lt;='FR_Mantenimiento tasas'!$C$57,'Tabla Ahorro Futuro Reservas'!C35*'FR_Mantenimiento tasas'!$E$57/360,""))),5)</f>
        <v>0</v>
      </c>
    </row>
    <row r="36" spans="1:5">
      <c r="A36" s="123">
        <f t="shared" si="0"/>
        <v>34</v>
      </c>
      <c r="B36" s="122">
        <f>IF(DAY(A36)=DAY('F-Ahorro Futuro Reservas'!$H$10),'F-Ahorro Futuro Reservas'!$H$9,0)</f>
        <v>0</v>
      </c>
      <c r="C36" s="122">
        <f t="shared" si="1"/>
        <v>0</v>
      </c>
      <c r="D36" s="121">
        <f>ROUND(IF(C36&lt;='FR_Mantenimiento tasas'!$C$55,'Tabla Ahorro Futuro Reservas'!C36*'FR_Mantenimiento tasas'!$D$55/360,IF(C36&lt;='FR_Mantenimiento tasas'!$C$56,'Tabla Ahorro Futuro Reservas'!C36*'FR_Mantenimiento tasas'!$D$56/360,IF(C36&lt;='FR_Mantenimiento tasas'!$C$57,'Tabla Ahorro Futuro Reservas'!C36*'FR_Mantenimiento tasas'!$D$57/360,""))),5)</f>
        <v>0</v>
      </c>
      <c r="E36" s="121">
        <f>ROUND(IF(C36&lt;='FR_Mantenimiento tasas'!$C$55,'Tabla Ahorro Futuro Reservas'!C36*'FR_Mantenimiento tasas'!$E$55/360,IF(C36&lt;='FR_Mantenimiento tasas'!$C$56,'Tabla Ahorro Futuro Reservas'!C36*'FR_Mantenimiento tasas'!$E$56/360,IF(C36&lt;='FR_Mantenimiento tasas'!$C$57,'Tabla Ahorro Futuro Reservas'!C36*'FR_Mantenimiento tasas'!$E$57/360,""))),5)</f>
        <v>0</v>
      </c>
    </row>
    <row r="37" spans="1:5">
      <c r="A37" s="123">
        <f t="shared" si="0"/>
        <v>35</v>
      </c>
      <c r="B37" s="122">
        <f>IF(DAY(A37)=DAY('F-Ahorro Futuro Reservas'!$H$10),'F-Ahorro Futuro Reservas'!$H$9,0)</f>
        <v>0</v>
      </c>
      <c r="C37" s="122">
        <f t="shared" si="1"/>
        <v>0</v>
      </c>
      <c r="D37" s="121">
        <f>ROUND(IF(C37&lt;='FR_Mantenimiento tasas'!$C$55,'Tabla Ahorro Futuro Reservas'!C37*'FR_Mantenimiento tasas'!$D$55/360,IF(C37&lt;='FR_Mantenimiento tasas'!$C$56,'Tabla Ahorro Futuro Reservas'!C37*'FR_Mantenimiento tasas'!$D$56/360,IF(C37&lt;='FR_Mantenimiento tasas'!$C$57,'Tabla Ahorro Futuro Reservas'!C37*'FR_Mantenimiento tasas'!$D$57/360,""))),5)</f>
        <v>0</v>
      </c>
      <c r="E37" s="121">
        <f>ROUND(IF(C37&lt;='FR_Mantenimiento tasas'!$C$55,'Tabla Ahorro Futuro Reservas'!C37*'FR_Mantenimiento tasas'!$E$55/360,IF(C37&lt;='FR_Mantenimiento tasas'!$C$56,'Tabla Ahorro Futuro Reservas'!C37*'FR_Mantenimiento tasas'!$E$56/360,IF(C37&lt;='FR_Mantenimiento tasas'!$C$57,'Tabla Ahorro Futuro Reservas'!C37*'FR_Mantenimiento tasas'!$E$57/360,""))),5)</f>
        <v>0</v>
      </c>
    </row>
    <row r="38" spans="1:5">
      <c r="A38" s="123">
        <f t="shared" si="0"/>
        <v>36</v>
      </c>
      <c r="B38" s="122">
        <f>IF(DAY(A38)=DAY('F-Ahorro Futuro Reservas'!$H$10),'F-Ahorro Futuro Reservas'!$H$9,0)</f>
        <v>0</v>
      </c>
      <c r="C38" s="122">
        <f t="shared" si="1"/>
        <v>0</v>
      </c>
      <c r="D38" s="121">
        <f>ROUND(IF(C38&lt;='FR_Mantenimiento tasas'!$C$55,'Tabla Ahorro Futuro Reservas'!C38*'FR_Mantenimiento tasas'!$D$55/360,IF(C38&lt;='FR_Mantenimiento tasas'!$C$56,'Tabla Ahorro Futuro Reservas'!C38*'FR_Mantenimiento tasas'!$D$56/360,IF(C38&lt;='FR_Mantenimiento tasas'!$C$57,'Tabla Ahorro Futuro Reservas'!C38*'FR_Mantenimiento tasas'!$D$57/360,""))),5)</f>
        <v>0</v>
      </c>
      <c r="E38" s="121">
        <f>ROUND(IF(C38&lt;='FR_Mantenimiento tasas'!$C$55,'Tabla Ahorro Futuro Reservas'!C38*'FR_Mantenimiento tasas'!$E$55/360,IF(C38&lt;='FR_Mantenimiento tasas'!$C$56,'Tabla Ahorro Futuro Reservas'!C38*'FR_Mantenimiento tasas'!$E$56/360,IF(C38&lt;='FR_Mantenimiento tasas'!$C$57,'Tabla Ahorro Futuro Reservas'!C38*'FR_Mantenimiento tasas'!$E$57/360,""))),5)</f>
        <v>0</v>
      </c>
    </row>
    <row r="39" spans="1:5">
      <c r="A39" s="123">
        <f t="shared" si="0"/>
        <v>37</v>
      </c>
      <c r="B39" s="122">
        <f>IF(DAY(A39)=DAY('F-Ahorro Futuro Reservas'!$H$10),'F-Ahorro Futuro Reservas'!$H$9,0)</f>
        <v>0</v>
      </c>
      <c r="C39" s="122">
        <f t="shared" si="1"/>
        <v>0</v>
      </c>
      <c r="D39" s="121">
        <f>ROUND(IF(C39&lt;='FR_Mantenimiento tasas'!$C$55,'Tabla Ahorro Futuro Reservas'!C39*'FR_Mantenimiento tasas'!$D$55/360,IF(C39&lt;='FR_Mantenimiento tasas'!$C$56,'Tabla Ahorro Futuro Reservas'!C39*'FR_Mantenimiento tasas'!$D$56/360,IF(C39&lt;='FR_Mantenimiento tasas'!$C$57,'Tabla Ahorro Futuro Reservas'!C39*'FR_Mantenimiento tasas'!$D$57/360,""))),5)</f>
        <v>0</v>
      </c>
      <c r="E39" s="121">
        <f>ROUND(IF(C39&lt;='FR_Mantenimiento tasas'!$C$55,'Tabla Ahorro Futuro Reservas'!C39*'FR_Mantenimiento tasas'!$E$55/360,IF(C39&lt;='FR_Mantenimiento tasas'!$C$56,'Tabla Ahorro Futuro Reservas'!C39*'FR_Mantenimiento tasas'!$E$56/360,IF(C39&lt;='FR_Mantenimiento tasas'!$C$57,'Tabla Ahorro Futuro Reservas'!C39*'FR_Mantenimiento tasas'!$E$57/360,""))),5)</f>
        <v>0</v>
      </c>
    </row>
    <row r="40" spans="1:5">
      <c r="A40" s="123">
        <f t="shared" si="0"/>
        <v>38</v>
      </c>
      <c r="B40" s="122">
        <f>IF(DAY(A40)=DAY('F-Ahorro Futuro Reservas'!$H$10),'F-Ahorro Futuro Reservas'!$H$9,0)</f>
        <v>0</v>
      </c>
      <c r="C40" s="122">
        <f t="shared" si="1"/>
        <v>0</v>
      </c>
      <c r="D40" s="121">
        <f>ROUND(IF(C40&lt;='FR_Mantenimiento tasas'!$C$55,'Tabla Ahorro Futuro Reservas'!C40*'FR_Mantenimiento tasas'!$D$55/360,IF(C40&lt;='FR_Mantenimiento tasas'!$C$56,'Tabla Ahorro Futuro Reservas'!C40*'FR_Mantenimiento tasas'!$D$56/360,IF(C40&lt;='FR_Mantenimiento tasas'!$C$57,'Tabla Ahorro Futuro Reservas'!C40*'FR_Mantenimiento tasas'!$D$57/360,""))),5)</f>
        <v>0</v>
      </c>
      <c r="E40" s="121">
        <f>ROUND(IF(C40&lt;='FR_Mantenimiento tasas'!$C$55,'Tabla Ahorro Futuro Reservas'!C40*'FR_Mantenimiento tasas'!$E$55/360,IF(C40&lt;='FR_Mantenimiento tasas'!$C$56,'Tabla Ahorro Futuro Reservas'!C40*'FR_Mantenimiento tasas'!$E$56/360,IF(C40&lt;='FR_Mantenimiento tasas'!$C$57,'Tabla Ahorro Futuro Reservas'!C40*'FR_Mantenimiento tasas'!$E$57/360,""))),5)</f>
        <v>0</v>
      </c>
    </row>
    <row r="41" spans="1:5">
      <c r="A41" s="123">
        <f t="shared" si="0"/>
        <v>39</v>
      </c>
      <c r="B41" s="122">
        <f>IF(DAY(A41)=DAY('F-Ahorro Futuro Reservas'!$H$10),'F-Ahorro Futuro Reservas'!$H$9,0)</f>
        <v>0</v>
      </c>
      <c r="C41" s="122">
        <f t="shared" si="1"/>
        <v>0</v>
      </c>
      <c r="D41" s="121">
        <f>ROUND(IF(C41&lt;='FR_Mantenimiento tasas'!$C$55,'Tabla Ahorro Futuro Reservas'!C41*'FR_Mantenimiento tasas'!$D$55/360,IF(C41&lt;='FR_Mantenimiento tasas'!$C$56,'Tabla Ahorro Futuro Reservas'!C41*'FR_Mantenimiento tasas'!$D$56/360,IF(C41&lt;='FR_Mantenimiento tasas'!$C$57,'Tabla Ahorro Futuro Reservas'!C41*'FR_Mantenimiento tasas'!$D$57/360,""))),5)</f>
        <v>0</v>
      </c>
      <c r="E41" s="121">
        <f>ROUND(IF(C41&lt;='FR_Mantenimiento tasas'!$C$55,'Tabla Ahorro Futuro Reservas'!C41*'FR_Mantenimiento tasas'!$E$55/360,IF(C41&lt;='FR_Mantenimiento tasas'!$C$56,'Tabla Ahorro Futuro Reservas'!C41*'FR_Mantenimiento tasas'!$E$56/360,IF(C41&lt;='FR_Mantenimiento tasas'!$C$57,'Tabla Ahorro Futuro Reservas'!C41*'FR_Mantenimiento tasas'!$E$57/360,""))),5)</f>
        <v>0</v>
      </c>
    </row>
    <row r="42" spans="1:5">
      <c r="A42" s="123">
        <f t="shared" si="0"/>
        <v>40</v>
      </c>
      <c r="B42" s="122">
        <f>IF(DAY(A42)=DAY('F-Ahorro Futuro Reservas'!$H$10),'F-Ahorro Futuro Reservas'!$H$9,0)</f>
        <v>0</v>
      </c>
      <c r="C42" s="122">
        <f t="shared" si="1"/>
        <v>0</v>
      </c>
      <c r="D42" s="121">
        <f>ROUND(IF(C42&lt;='FR_Mantenimiento tasas'!$C$55,'Tabla Ahorro Futuro Reservas'!C42*'FR_Mantenimiento tasas'!$D$55/360,IF(C42&lt;='FR_Mantenimiento tasas'!$C$56,'Tabla Ahorro Futuro Reservas'!C42*'FR_Mantenimiento tasas'!$D$56/360,IF(C42&lt;='FR_Mantenimiento tasas'!$C$57,'Tabla Ahorro Futuro Reservas'!C42*'FR_Mantenimiento tasas'!$D$57/360,""))),5)</f>
        <v>0</v>
      </c>
      <c r="E42" s="121">
        <f>ROUND(IF(C42&lt;='FR_Mantenimiento tasas'!$C$55,'Tabla Ahorro Futuro Reservas'!C42*'FR_Mantenimiento tasas'!$E$55/360,IF(C42&lt;='FR_Mantenimiento tasas'!$C$56,'Tabla Ahorro Futuro Reservas'!C42*'FR_Mantenimiento tasas'!$E$56/360,IF(C42&lt;='FR_Mantenimiento tasas'!$C$57,'Tabla Ahorro Futuro Reservas'!C42*'FR_Mantenimiento tasas'!$E$57/360,""))),5)</f>
        <v>0</v>
      </c>
    </row>
    <row r="43" spans="1:5">
      <c r="A43" s="123">
        <f t="shared" si="0"/>
        <v>41</v>
      </c>
      <c r="B43" s="122">
        <f>IF(DAY(A43)=DAY('F-Ahorro Futuro Reservas'!$H$10),'F-Ahorro Futuro Reservas'!$H$9,0)</f>
        <v>0</v>
      </c>
      <c r="C43" s="122">
        <f t="shared" si="1"/>
        <v>0</v>
      </c>
      <c r="D43" s="121">
        <f>ROUND(IF(C43&lt;='FR_Mantenimiento tasas'!$C$55,'Tabla Ahorro Futuro Reservas'!C43*'FR_Mantenimiento tasas'!$D$55/360,IF(C43&lt;='FR_Mantenimiento tasas'!$C$56,'Tabla Ahorro Futuro Reservas'!C43*'FR_Mantenimiento tasas'!$D$56/360,IF(C43&lt;='FR_Mantenimiento tasas'!$C$57,'Tabla Ahorro Futuro Reservas'!C43*'FR_Mantenimiento tasas'!$D$57/360,""))),5)</f>
        <v>0</v>
      </c>
      <c r="E43" s="121">
        <f>ROUND(IF(C43&lt;='FR_Mantenimiento tasas'!$C$55,'Tabla Ahorro Futuro Reservas'!C43*'FR_Mantenimiento tasas'!$E$55/360,IF(C43&lt;='FR_Mantenimiento tasas'!$C$56,'Tabla Ahorro Futuro Reservas'!C43*'FR_Mantenimiento tasas'!$E$56/360,IF(C43&lt;='FR_Mantenimiento tasas'!$C$57,'Tabla Ahorro Futuro Reservas'!C43*'FR_Mantenimiento tasas'!$E$57/360,""))),5)</f>
        <v>0</v>
      </c>
    </row>
    <row r="44" spans="1:5">
      <c r="A44" s="123">
        <f t="shared" si="0"/>
        <v>42</v>
      </c>
      <c r="B44" s="122">
        <f>IF(DAY(A44)=DAY('F-Ahorro Futuro Reservas'!$H$10),'F-Ahorro Futuro Reservas'!$H$9,0)</f>
        <v>0</v>
      </c>
      <c r="C44" s="122">
        <f t="shared" si="1"/>
        <v>0</v>
      </c>
      <c r="D44" s="121">
        <f>ROUND(IF(C44&lt;='FR_Mantenimiento tasas'!$C$55,'Tabla Ahorro Futuro Reservas'!C44*'FR_Mantenimiento tasas'!$D$55/360,IF(C44&lt;='FR_Mantenimiento tasas'!$C$56,'Tabla Ahorro Futuro Reservas'!C44*'FR_Mantenimiento tasas'!$D$56/360,IF(C44&lt;='FR_Mantenimiento tasas'!$C$57,'Tabla Ahorro Futuro Reservas'!C44*'FR_Mantenimiento tasas'!$D$57/360,""))),5)</f>
        <v>0</v>
      </c>
      <c r="E44" s="121">
        <f>ROUND(IF(C44&lt;='FR_Mantenimiento tasas'!$C$55,'Tabla Ahorro Futuro Reservas'!C44*'FR_Mantenimiento tasas'!$E$55/360,IF(C44&lt;='FR_Mantenimiento tasas'!$C$56,'Tabla Ahorro Futuro Reservas'!C44*'FR_Mantenimiento tasas'!$E$56/360,IF(C44&lt;='FR_Mantenimiento tasas'!$C$57,'Tabla Ahorro Futuro Reservas'!C44*'FR_Mantenimiento tasas'!$E$57/360,""))),5)</f>
        <v>0</v>
      </c>
    </row>
    <row r="45" spans="1:5">
      <c r="A45" s="123">
        <f t="shared" si="0"/>
        <v>43</v>
      </c>
      <c r="B45" s="122">
        <f>IF(DAY(A45)=DAY('F-Ahorro Futuro Reservas'!$H$10),'F-Ahorro Futuro Reservas'!$H$9,0)</f>
        <v>0</v>
      </c>
      <c r="C45" s="122">
        <f t="shared" si="1"/>
        <v>0</v>
      </c>
      <c r="D45" s="121">
        <f>ROUND(IF(C45&lt;='FR_Mantenimiento tasas'!$C$55,'Tabla Ahorro Futuro Reservas'!C45*'FR_Mantenimiento tasas'!$D$55/360,IF(C45&lt;='FR_Mantenimiento tasas'!$C$56,'Tabla Ahorro Futuro Reservas'!C45*'FR_Mantenimiento tasas'!$D$56/360,IF(C45&lt;='FR_Mantenimiento tasas'!$C$57,'Tabla Ahorro Futuro Reservas'!C45*'FR_Mantenimiento tasas'!$D$57/360,""))),5)</f>
        <v>0</v>
      </c>
      <c r="E45" s="121">
        <f>ROUND(IF(C45&lt;='FR_Mantenimiento tasas'!$C$55,'Tabla Ahorro Futuro Reservas'!C45*'FR_Mantenimiento tasas'!$E$55/360,IF(C45&lt;='FR_Mantenimiento tasas'!$C$56,'Tabla Ahorro Futuro Reservas'!C45*'FR_Mantenimiento tasas'!$E$56/360,IF(C45&lt;='FR_Mantenimiento tasas'!$C$57,'Tabla Ahorro Futuro Reservas'!C45*'FR_Mantenimiento tasas'!$E$57/360,""))),5)</f>
        <v>0</v>
      </c>
    </row>
    <row r="46" spans="1:5">
      <c r="A46" s="123">
        <f t="shared" si="0"/>
        <v>44</v>
      </c>
      <c r="B46" s="122">
        <f>IF(DAY(A46)=DAY('F-Ahorro Futuro Reservas'!$H$10),'F-Ahorro Futuro Reservas'!$H$9,0)</f>
        <v>0</v>
      </c>
      <c r="C46" s="122">
        <f t="shared" si="1"/>
        <v>0</v>
      </c>
      <c r="D46" s="121">
        <f>ROUND(IF(C46&lt;='FR_Mantenimiento tasas'!$C$55,'Tabla Ahorro Futuro Reservas'!C46*'FR_Mantenimiento tasas'!$D$55/360,IF(C46&lt;='FR_Mantenimiento tasas'!$C$56,'Tabla Ahorro Futuro Reservas'!C46*'FR_Mantenimiento tasas'!$D$56/360,IF(C46&lt;='FR_Mantenimiento tasas'!$C$57,'Tabla Ahorro Futuro Reservas'!C46*'FR_Mantenimiento tasas'!$D$57/360,""))),5)</f>
        <v>0</v>
      </c>
      <c r="E46" s="121">
        <f>ROUND(IF(C46&lt;='FR_Mantenimiento tasas'!$C$55,'Tabla Ahorro Futuro Reservas'!C46*'FR_Mantenimiento tasas'!$E$55/360,IF(C46&lt;='FR_Mantenimiento tasas'!$C$56,'Tabla Ahorro Futuro Reservas'!C46*'FR_Mantenimiento tasas'!$E$56/360,IF(C46&lt;='FR_Mantenimiento tasas'!$C$57,'Tabla Ahorro Futuro Reservas'!C46*'FR_Mantenimiento tasas'!$E$57/360,""))),5)</f>
        <v>0</v>
      </c>
    </row>
    <row r="47" spans="1:5">
      <c r="A47" s="123">
        <f t="shared" si="0"/>
        <v>45</v>
      </c>
      <c r="B47" s="122">
        <f>IF(DAY(A47)=DAY('F-Ahorro Futuro Reservas'!$H$10),'F-Ahorro Futuro Reservas'!$H$9,0)</f>
        <v>0</v>
      </c>
      <c r="C47" s="122">
        <f t="shared" si="1"/>
        <v>0</v>
      </c>
      <c r="D47" s="121">
        <f>ROUND(IF(C47&lt;='FR_Mantenimiento tasas'!$C$55,'Tabla Ahorro Futuro Reservas'!C47*'FR_Mantenimiento tasas'!$D$55/360,IF(C47&lt;='FR_Mantenimiento tasas'!$C$56,'Tabla Ahorro Futuro Reservas'!C47*'FR_Mantenimiento tasas'!$D$56/360,IF(C47&lt;='FR_Mantenimiento tasas'!$C$57,'Tabla Ahorro Futuro Reservas'!C47*'FR_Mantenimiento tasas'!$D$57/360,""))),5)</f>
        <v>0</v>
      </c>
      <c r="E47" s="121">
        <f>ROUND(IF(C47&lt;='FR_Mantenimiento tasas'!$C$55,'Tabla Ahorro Futuro Reservas'!C47*'FR_Mantenimiento tasas'!$E$55/360,IF(C47&lt;='FR_Mantenimiento tasas'!$C$56,'Tabla Ahorro Futuro Reservas'!C47*'FR_Mantenimiento tasas'!$E$56/360,IF(C47&lt;='FR_Mantenimiento tasas'!$C$57,'Tabla Ahorro Futuro Reservas'!C47*'FR_Mantenimiento tasas'!$E$57/360,""))),5)</f>
        <v>0</v>
      </c>
    </row>
    <row r="48" spans="1:5">
      <c r="A48" s="123">
        <f t="shared" si="0"/>
        <v>46</v>
      </c>
      <c r="B48" s="122">
        <f>IF(DAY(A48)=DAY('F-Ahorro Futuro Reservas'!$H$10),'F-Ahorro Futuro Reservas'!$H$9,0)</f>
        <v>0</v>
      </c>
      <c r="C48" s="122">
        <f t="shared" si="1"/>
        <v>0</v>
      </c>
      <c r="D48" s="121">
        <f>ROUND(IF(C48&lt;='FR_Mantenimiento tasas'!$C$55,'Tabla Ahorro Futuro Reservas'!C48*'FR_Mantenimiento tasas'!$D$55/360,IF(C48&lt;='FR_Mantenimiento tasas'!$C$56,'Tabla Ahorro Futuro Reservas'!C48*'FR_Mantenimiento tasas'!$D$56/360,IF(C48&lt;='FR_Mantenimiento tasas'!$C$57,'Tabla Ahorro Futuro Reservas'!C48*'FR_Mantenimiento tasas'!$D$57/360,""))),5)</f>
        <v>0</v>
      </c>
      <c r="E48" s="121">
        <f>ROUND(IF(C48&lt;='FR_Mantenimiento tasas'!$C$55,'Tabla Ahorro Futuro Reservas'!C48*'FR_Mantenimiento tasas'!$E$55/360,IF(C48&lt;='FR_Mantenimiento tasas'!$C$56,'Tabla Ahorro Futuro Reservas'!C48*'FR_Mantenimiento tasas'!$E$56/360,IF(C48&lt;='FR_Mantenimiento tasas'!$C$57,'Tabla Ahorro Futuro Reservas'!C48*'FR_Mantenimiento tasas'!$E$57/360,""))),5)</f>
        <v>0</v>
      </c>
    </row>
    <row r="49" spans="1:5">
      <c r="A49" s="123">
        <f t="shared" si="0"/>
        <v>47</v>
      </c>
      <c r="B49" s="122">
        <f>IF(DAY(A49)=DAY('F-Ahorro Futuro Reservas'!$H$10),'F-Ahorro Futuro Reservas'!$H$9,0)</f>
        <v>0</v>
      </c>
      <c r="C49" s="122">
        <f t="shared" si="1"/>
        <v>0</v>
      </c>
      <c r="D49" s="121">
        <f>ROUND(IF(C49&lt;='FR_Mantenimiento tasas'!$C$55,'Tabla Ahorro Futuro Reservas'!C49*'FR_Mantenimiento tasas'!$D$55/360,IF(C49&lt;='FR_Mantenimiento tasas'!$C$56,'Tabla Ahorro Futuro Reservas'!C49*'FR_Mantenimiento tasas'!$D$56/360,IF(C49&lt;='FR_Mantenimiento tasas'!$C$57,'Tabla Ahorro Futuro Reservas'!C49*'FR_Mantenimiento tasas'!$D$57/360,""))),5)</f>
        <v>0</v>
      </c>
      <c r="E49" s="121">
        <f>ROUND(IF(C49&lt;='FR_Mantenimiento tasas'!$C$55,'Tabla Ahorro Futuro Reservas'!C49*'FR_Mantenimiento tasas'!$E$55/360,IF(C49&lt;='FR_Mantenimiento tasas'!$C$56,'Tabla Ahorro Futuro Reservas'!C49*'FR_Mantenimiento tasas'!$E$56/360,IF(C49&lt;='FR_Mantenimiento tasas'!$C$57,'Tabla Ahorro Futuro Reservas'!C49*'FR_Mantenimiento tasas'!$E$57/360,""))),5)</f>
        <v>0</v>
      </c>
    </row>
    <row r="50" spans="1:5">
      <c r="A50" s="123">
        <f t="shared" si="0"/>
        <v>48</v>
      </c>
      <c r="B50" s="122">
        <f>IF(DAY(A50)=DAY('F-Ahorro Futuro Reservas'!$H$10),'F-Ahorro Futuro Reservas'!$H$9,0)</f>
        <v>0</v>
      </c>
      <c r="C50" s="122">
        <f t="shared" si="1"/>
        <v>0</v>
      </c>
      <c r="D50" s="121">
        <f>ROUND(IF(C50&lt;='FR_Mantenimiento tasas'!$C$55,'Tabla Ahorro Futuro Reservas'!C50*'FR_Mantenimiento tasas'!$D$55/360,IF(C50&lt;='FR_Mantenimiento tasas'!$C$56,'Tabla Ahorro Futuro Reservas'!C50*'FR_Mantenimiento tasas'!$D$56/360,IF(C50&lt;='FR_Mantenimiento tasas'!$C$57,'Tabla Ahorro Futuro Reservas'!C50*'FR_Mantenimiento tasas'!$D$57/360,""))),5)</f>
        <v>0</v>
      </c>
      <c r="E50" s="121">
        <f>ROUND(IF(C50&lt;='FR_Mantenimiento tasas'!$C$55,'Tabla Ahorro Futuro Reservas'!C50*'FR_Mantenimiento tasas'!$E$55/360,IF(C50&lt;='FR_Mantenimiento tasas'!$C$56,'Tabla Ahorro Futuro Reservas'!C50*'FR_Mantenimiento tasas'!$E$56/360,IF(C50&lt;='FR_Mantenimiento tasas'!$C$57,'Tabla Ahorro Futuro Reservas'!C50*'FR_Mantenimiento tasas'!$E$57/360,""))),5)</f>
        <v>0</v>
      </c>
    </row>
    <row r="51" spans="1:5">
      <c r="A51" s="123">
        <f t="shared" si="0"/>
        <v>49</v>
      </c>
      <c r="B51" s="122">
        <f>IF(DAY(A51)=DAY('F-Ahorro Futuro Reservas'!$H$10),'F-Ahorro Futuro Reservas'!$H$9,0)</f>
        <v>0</v>
      </c>
      <c r="C51" s="122">
        <f t="shared" si="1"/>
        <v>0</v>
      </c>
      <c r="D51" s="121">
        <f>ROUND(IF(C51&lt;='FR_Mantenimiento tasas'!$C$55,'Tabla Ahorro Futuro Reservas'!C51*'FR_Mantenimiento tasas'!$D$55/360,IF(C51&lt;='FR_Mantenimiento tasas'!$C$56,'Tabla Ahorro Futuro Reservas'!C51*'FR_Mantenimiento tasas'!$D$56/360,IF(C51&lt;='FR_Mantenimiento tasas'!$C$57,'Tabla Ahorro Futuro Reservas'!C51*'FR_Mantenimiento tasas'!$D$57/360,""))),5)</f>
        <v>0</v>
      </c>
      <c r="E51" s="121">
        <f>ROUND(IF(C51&lt;='FR_Mantenimiento tasas'!$C$55,'Tabla Ahorro Futuro Reservas'!C51*'FR_Mantenimiento tasas'!$E$55/360,IF(C51&lt;='FR_Mantenimiento tasas'!$C$56,'Tabla Ahorro Futuro Reservas'!C51*'FR_Mantenimiento tasas'!$E$56/360,IF(C51&lt;='FR_Mantenimiento tasas'!$C$57,'Tabla Ahorro Futuro Reservas'!C51*'FR_Mantenimiento tasas'!$E$57/360,""))),5)</f>
        <v>0</v>
      </c>
    </row>
    <row r="52" spans="1:5">
      <c r="A52" s="123">
        <f t="shared" si="0"/>
        <v>50</v>
      </c>
      <c r="B52" s="122">
        <f>IF(DAY(A52)=DAY('F-Ahorro Futuro Reservas'!$H$10),'F-Ahorro Futuro Reservas'!$H$9,0)</f>
        <v>0</v>
      </c>
      <c r="C52" s="122">
        <f t="shared" si="1"/>
        <v>0</v>
      </c>
      <c r="D52" s="121">
        <f>ROUND(IF(C52&lt;='FR_Mantenimiento tasas'!$C$55,'Tabla Ahorro Futuro Reservas'!C52*'FR_Mantenimiento tasas'!$D$55/360,IF(C52&lt;='FR_Mantenimiento tasas'!$C$56,'Tabla Ahorro Futuro Reservas'!C52*'FR_Mantenimiento tasas'!$D$56/360,IF(C52&lt;='FR_Mantenimiento tasas'!$C$57,'Tabla Ahorro Futuro Reservas'!C52*'FR_Mantenimiento tasas'!$D$57/360,""))),5)</f>
        <v>0</v>
      </c>
      <c r="E52" s="121">
        <f>ROUND(IF(C52&lt;='FR_Mantenimiento tasas'!$C$55,'Tabla Ahorro Futuro Reservas'!C52*'FR_Mantenimiento tasas'!$E$55/360,IF(C52&lt;='FR_Mantenimiento tasas'!$C$56,'Tabla Ahorro Futuro Reservas'!C52*'FR_Mantenimiento tasas'!$E$56/360,IF(C52&lt;='FR_Mantenimiento tasas'!$C$57,'Tabla Ahorro Futuro Reservas'!C52*'FR_Mantenimiento tasas'!$E$57/360,""))),5)</f>
        <v>0</v>
      </c>
    </row>
    <row r="53" spans="1:5">
      <c r="A53" s="123">
        <f t="shared" si="0"/>
        <v>51</v>
      </c>
      <c r="B53" s="122">
        <f>IF(DAY(A53)=DAY('F-Ahorro Futuro Reservas'!$H$10),'F-Ahorro Futuro Reservas'!$H$9,0)</f>
        <v>0</v>
      </c>
      <c r="C53" s="122">
        <f t="shared" si="1"/>
        <v>0</v>
      </c>
      <c r="D53" s="121">
        <f>ROUND(IF(C53&lt;='FR_Mantenimiento tasas'!$C$55,'Tabla Ahorro Futuro Reservas'!C53*'FR_Mantenimiento tasas'!$D$55/360,IF(C53&lt;='FR_Mantenimiento tasas'!$C$56,'Tabla Ahorro Futuro Reservas'!C53*'FR_Mantenimiento tasas'!$D$56/360,IF(C53&lt;='FR_Mantenimiento tasas'!$C$57,'Tabla Ahorro Futuro Reservas'!C53*'FR_Mantenimiento tasas'!$D$57/360,""))),5)</f>
        <v>0</v>
      </c>
      <c r="E53" s="121">
        <f>ROUND(IF(C53&lt;='FR_Mantenimiento tasas'!$C$55,'Tabla Ahorro Futuro Reservas'!C53*'FR_Mantenimiento tasas'!$E$55/360,IF(C53&lt;='FR_Mantenimiento tasas'!$C$56,'Tabla Ahorro Futuro Reservas'!C53*'FR_Mantenimiento tasas'!$E$56/360,IF(C53&lt;='FR_Mantenimiento tasas'!$C$57,'Tabla Ahorro Futuro Reservas'!C53*'FR_Mantenimiento tasas'!$E$57/360,""))),5)</f>
        <v>0</v>
      </c>
    </row>
    <row r="54" spans="1:5">
      <c r="A54" s="123">
        <f t="shared" si="0"/>
        <v>52</v>
      </c>
      <c r="B54" s="122">
        <f>IF(DAY(A54)=DAY('F-Ahorro Futuro Reservas'!$H$10),'F-Ahorro Futuro Reservas'!$H$9,0)</f>
        <v>0</v>
      </c>
      <c r="C54" s="122">
        <f t="shared" si="1"/>
        <v>0</v>
      </c>
      <c r="D54" s="121">
        <f>ROUND(IF(C54&lt;='FR_Mantenimiento tasas'!$C$55,'Tabla Ahorro Futuro Reservas'!C54*'FR_Mantenimiento tasas'!$D$55/360,IF(C54&lt;='FR_Mantenimiento tasas'!$C$56,'Tabla Ahorro Futuro Reservas'!C54*'FR_Mantenimiento tasas'!$D$56/360,IF(C54&lt;='FR_Mantenimiento tasas'!$C$57,'Tabla Ahorro Futuro Reservas'!C54*'FR_Mantenimiento tasas'!$D$57/360,""))),5)</f>
        <v>0</v>
      </c>
      <c r="E54" s="121">
        <f>ROUND(IF(C54&lt;='FR_Mantenimiento tasas'!$C$55,'Tabla Ahorro Futuro Reservas'!C54*'FR_Mantenimiento tasas'!$E$55/360,IF(C54&lt;='FR_Mantenimiento tasas'!$C$56,'Tabla Ahorro Futuro Reservas'!C54*'FR_Mantenimiento tasas'!$E$56/360,IF(C54&lt;='FR_Mantenimiento tasas'!$C$57,'Tabla Ahorro Futuro Reservas'!C54*'FR_Mantenimiento tasas'!$E$57/360,""))),5)</f>
        <v>0</v>
      </c>
    </row>
    <row r="55" spans="1:5">
      <c r="A55" s="123">
        <f t="shared" si="0"/>
        <v>53</v>
      </c>
      <c r="B55" s="122">
        <f>IF(DAY(A55)=DAY('F-Ahorro Futuro Reservas'!$H$10),'F-Ahorro Futuro Reservas'!$H$9,0)</f>
        <v>0</v>
      </c>
      <c r="C55" s="122">
        <f t="shared" si="1"/>
        <v>0</v>
      </c>
      <c r="D55" s="121">
        <f>ROUND(IF(C55&lt;='FR_Mantenimiento tasas'!$C$55,'Tabla Ahorro Futuro Reservas'!C55*'FR_Mantenimiento tasas'!$D$55/360,IF(C55&lt;='FR_Mantenimiento tasas'!$C$56,'Tabla Ahorro Futuro Reservas'!C55*'FR_Mantenimiento tasas'!$D$56/360,IF(C55&lt;='FR_Mantenimiento tasas'!$C$57,'Tabla Ahorro Futuro Reservas'!C55*'FR_Mantenimiento tasas'!$D$57/360,""))),5)</f>
        <v>0</v>
      </c>
      <c r="E55" s="121">
        <f>ROUND(IF(C55&lt;='FR_Mantenimiento tasas'!$C$55,'Tabla Ahorro Futuro Reservas'!C55*'FR_Mantenimiento tasas'!$E$55/360,IF(C55&lt;='FR_Mantenimiento tasas'!$C$56,'Tabla Ahorro Futuro Reservas'!C55*'FR_Mantenimiento tasas'!$E$56/360,IF(C55&lt;='FR_Mantenimiento tasas'!$C$57,'Tabla Ahorro Futuro Reservas'!C55*'FR_Mantenimiento tasas'!$E$57/360,""))),5)</f>
        <v>0</v>
      </c>
    </row>
    <row r="56" spans="1:5">
      <c r="A56" s="123">
        <f t="shared" si="0"/>
        <v>54</v>
      </c>
      <c r="B56" s="122">
        <f>IF(DAY(A56)=DAY('F-Ahorro Futuro Reservas'!$H$10),'F-Ahorro Futuro Reservas'!$H$9,0)</f>
        <v>0</v>
      </c>
      <c r="C56" s="122">
        <f t="shared" si="1"/>
        <v>0</v>
      </c>
      <c r="D56" s="121">
        <f>ROUND(IF(C56&lt;='FR_Mantenimiento tasas'!$C$55,'Tabla Ahorro Futuro Reservas'!C56*'FR_Mantenimiento tasas'!$D$55/360,IF(C56&lt;='FR_Mantenimiento tasas'!$C$56,'Tabla Ahorro Futuro Reservas'!C56*'FR_Mantenimiento tasas'!$D$56/360,IF(C56&lt;='FR_Mantenimiento tasas'!$C$57,'Tabla Ahorro Futuro Reservas'!C56*'FR_Mantenimiento tasas'!$D$57/360,""))),5)</f>
        <v>0</v>
      </c>
      <c r="E56" s="121">
        <f>ROUND(IF(C56&lt;='FR_Mantenimiento tasas'!$C$55,'Tabla Ahorro Futuro Reservas'!C56*'FR_Mantenimiento tasas'!$E$55/360,IF(C56&lt;='FR_Mantenimiento tasas'!$C$56,'Tabla Ahorro Futuro Reservas'!C56*'FR_Mantenimiento tasas'!$E$56/360,IF(C56&lt;='FR_Mantenimiento tasas'!$C$57,'Tabla Ahorro Futuro Reservas'!C56*'FR_Mantenimiento tasas'!$E$57/360,""))),5)</f>
        <v>0</v>
      </c>
    </row>
    <row r="57" spans="1:5">
      <c r="A57" s="123">
        <f t="shared" si="0"/>
        <v>55</v>
      </c>
      <c r="B57" s="122">
        <f>IF(DAY(A57)=DAY('F-Ahorro Futuro Reservas'!$H$10),'F-Ahorro Futuro Reservas'!$H$9,0)</f>
        <v>0</v>
      </c>
      <c r="C57" s="122">
        <f t="shared" si="1"/>
        <v>0</v>
      </c>
      <c r="D57" s="121">
        <f>ROUND(IF(C57&lt;='FR_Mantenimiento tasas'!$C$55,'Tabla Ahorro Futuro Reservas'!C57*'FR_Mantenimiento tasas'!$D$55/360,IF(C57&lt;='FR_Mantenimiento tasas'!$C$56,'Tabla Ahorro Futuro Reservas'!C57*'FR_Mantenimiento tasas'!$D$56/360,IF(C57&lt;='FR_Mantenimiento tasas'!$C$57,'Tabla Ahorro Futuro Reservas'!C57*'FR_Mantenimiento tasas'!$D$57/360,""))),5)</f>
        <v>0</v>
      </c>
      <c r="E57" s="121">
        <f>ROUND(IF(C57&lt;='FR_Mantenimiento tasas'!$C$55,'Tabla Ahorro Futuro Reservas'!C57*'FR_Mantenimiento tasas'!$E$55/360,IF(C57&lt;='FR_Mantenimiento tasas'!$C$56,'Tabla Ahorro Futuro Reservas'!C57*'FR_Mantenimiento tasas'!$E$56/360,IF(C57&lt;='FR_Mantenimiento tasas'!$C$57,'Tabla Ahorro Futuro Reservas'!C57*'FR_Mantenimiento tasas'!$E$57/360,""))),5)</f>
        <v>0</v>
      </c>
    </row>
    <row r="58" spans="1:5">
      <c r="A58" s="123">
        <f t="shared" si="0"/>
        <v>56</v>
      </c>
      <c r="B58" s="122">
        <f>IF(DAY(A58)=DAY('F-Ahorro Futuro Reservas'!$H$10),'F-Ahorro Futuro Reservas'!$H$9,0)</f>
        <v>0</v>
      </c>
      <c r="C58" s="122">
        <f t="shared" si="1"/>
        <v>0</v>
      </c>
      <c r="D58" s="121">
        <f>ROUND(IF(C58&lt;='FR_Mantenimiento tasas'!$C$55,'Tabla Ahorro Futuro Reservas'!C58*'FR_Mantenimiento tasas'!$D$55/360,IF(C58&lt;='FR_Mantenimiento tasas'!$C$56,'Tabla Ahorro Futuro Reservas'!C58*'FR_Mantenimiento tasas'!$D$56/360,IF(C58&lt;='FR_Mantenimiento tasas'!$C$57,'Tabla Ahorro Futuro Reservas'!C58*'FR_Mantenimiento tasas'!$D$57/360,""))),5)</f>
        <v>0</v>
      </c>
      <c r="E58" s="121">
        <f>ROUND(IF(C58&lt;='FR_Mantenimiento tasas'!$C$55,'Tabla Ahorro Futuro Reservas'!C58*'FR_Mantenimiento tasas'!$E$55/360,IF(C58&lt;='FR_Mantenimiento tasas'!$C$56,'Tabla Ahorro Futuro Reservas'!C58*'FR_Mantenimiento tasas'!$E$56/360,IF(C58&lt;='FR_Mantenimiento tasas'!$C$57,'Tabla Ahorro Futuro Reservas'!C58*'FR_Mantenimiento tasas'!$E$57/360,""))),5)</f>
        <v>0</v>
      </c>
    </row>
    <row r="59" spans="1:5">
      <c r="A59" s="123">
        <f t="shared" si="0"/>
        <v>57</v>
      </c>
      <c r="B59" s="122">
        <f>IF(DAY(A59)=DAY('F-Ahorro Futuro Reservas'!$H$10),'F-Ahorro Futuro Reservas'!$H$9,0)</f>
        <v>0</v>
      </c>
      <c r="C59" s="122">
        <f t="shared" si="1"/>
        <v>0</v>
      </c>
      <c r="D59" s="121">
        <f>ROUND(IF(C59&lt;='FR_Mantenimiento tasas'!$C$55,'Tabla Ahorro Futuro Reservas'!C59*'FR_Mantenimiento tasas'!$D$55/360,IF(C59&lt;='FR_Mantenimiento tasas'!$C$56,'Tabla Ahorro Futuro Reservas'!C59*'FR_Mantenimiento tasas'!$D$56/360,IF(C59&lt;='FR_Mantenimiento tasas'!$C$57,'Tabla Ahorro Futuro Reservas'!C59*'FR_Mantenimiento tasas'!$D$57/360,""))),5)</f>
        <v>0</v>
      </c>
      <c r="E59" s="121">
        <f>ROUND(IF(C59&lt;='FR_Mantenimiento tasas'!$C$55,'Tabla Ahorro Futuro Reservas'!C59*'FR_Mantenimiento tasas'!$E$55/360,IF(C59&lt;='FR_Mantenimiento tasas'!$C$56,'Tabla Ahorro Futuro Reservas'!C59*'FR_Mantenimiento tasas'!$E$56/360,IF(C59&lt;='FR_Mantenimiento tasas'!$C$57,'Tabla Ahorro Futuro Reservas'!C59*'FR_Mantenimiento tasas'!$E$57/360,""))),5)</f>
        <v>0</v>
      </c>
    </row>
    <row r="60" spans="1:5">
      <c r="A60" s="123">
        <f t="shared" si="0"/>
        <v>58</v>
      </c>
      <c r="B60" s="122">
        <f>IF(DAY(A60)=DAY('F-Ahorro Futuro Reservas'!$H$10),'F-Ahorro Futuro Reservas'!$H$9,0)</f>
        <v>0</v>
      </c>
      <c r="C60" s="122">
        <f t="shared" si="1"/>
        <v>0</v>
      </c>
      <c r="D60" s="121">
        <f>ROUND(IF(C60&lt;='FR_Mantenimiento tasas'!$C$55,'Tabla Ahorro Futuro Reservas'!C60*'FR_Mantenimiento tasas'!$D$55/360,IF(C60&lt;='FR_Mantenimiento tasas'!$C$56,'Tabla Ahorro Futuro Reservas'!C60*'FR_Mantenimiento tasas'!$D$56/360,IF(C60&lt;='FR_Mantenimiento tasas'!$C$57,'Tabla Ahorro Futuro Reservas'!C60*'FR_Mantenimiento tasas'!$D$57/360,""))),5)</f>
        <v>0</v>
      </c>
      <c r="E60" s="121">
        <f>ROUND(IF(C60&lt;='FR_Mantenimiento tasas'!$C$55,'Tabla Ahorro Futuro Reservas'!C60*'FR_Mantenimiento tasas'!$E$55/360,IF(C60&lt;='FR_Mantenimiento tasas'!$C$56,'Tabla Ahorro Futuro Reservas'!C60*'FR_Mantenimiento tasas'!$E$56/360,IF(C60&lt;='FR_Mantenimiento tasas'!$C$57,'Tabla Ahorro Futuro Reservas'!C60*'FR_Mantenimiento tasas'!$E$57/360,""))),5)</f>
        <v>0</v>
      </c>
    </row>
    <row r="61" spans="1:5">
      <c r="A61" s="123">
        <f t="shared" si="0"/>
        <v>59</v>
      </c>
      <c r="B61" s="122">
        <f>IF(DAY(A61)=DAY('F-Ahorro Futuro Reservas'!$H$10),'F-Ahorro Futuro Reservas'!$H$9,0)</f>
        <v>0</v>
      </c>
      <c r="C61" s="122">
        <f t="shared" si="1"/>
        <v>0</v>
      </c>
      <c r="D61" s="121">
        <f>ROUND(IF(C61&lt;='FR_Mantenimiento tasas'!$C$55,'Tabla Ahorro Futuro Reservas'!C61*'FR_Mantenimiento tasas'!$D$55/360,IF(C61&lt;='FR_Mantenimiento tasas'!$C$56,'Tabla Ahorro Futuro Reservas'!C61*'FR_Mantenimiento tasas'!$D$56/360,IF(C61&lt;='FR_Mantenimiento tasas'!$C$57,'Tabla Ahorro Futuro Reservas'!C61*'FR_Mantenimiento tasas'!$D$57/360,""))),5)</f>
        <v>0</v>
      </c>
      <c r="E61" s="121">
        <f>ROUND(IF(C61&lt;='FR_Mantenimiento tasas'!$C$55,'Tabla Ahorro Futuro Reservas'!C61*'FR_Mantenimiento tasas'!$E$55/360,IF(C61&lt;='FR_Mantenimiento tasas'!$C$56,'Tabla Ahorro Futuro Reservas'!C61*'FR_Mantenimiento tasas'!$E$56/360,IF(C61&lt;='FR_Mantenimiento tasas'!$C$57,'Tabla Ahorro Futuro Reservas'!C61*'FR_Mantenimiento tasas'!$E$57/360,""))),5)</f>
        <v>0</v>
      </c>
    </row>
    <row r="62" spans="1:5">
      <c r="A62" s="123">
        <f t="shared" si="0"/>
        <v>60</v>
      </c>
      <c r="B62" s="122">
        <f>IF(DAY(A62)=DAY('F-Ahorro Futuro Reservas'!$H$10),'F-Ahorro Futuro Reservas'!$H$9,0)</f>
        <v>0</v>
      </c>
      <c r="C62" s="122">
        <f t="shared" si="1"/>
        <v>0</v>
      </c>
      <c r="D62" s="121">
        <f>ROUND(IF(C62&lt;='FR_Mantenimiento tasas'!$C$55,'Tabla Ahorro Futuro Reservas'!C62*'FR_Mantenimiento tasas'!$D$55/360,IF(C62&lt;='FR_Mantenimiento tasas'!$C$56,'Tabla Ahorro Futuro Reservas'!C62*'FR_Mantenimiento tasas'!$D$56/360,IF(C62&lt;='FR_Mantenimiento tasas'!$C$57,'Tabla Ahorro Futuro Reservas'!C62*'FR_Mantenimiento tasas'!$D$57/360,""))),5)</f>
        <v>0</v>
      </c>
      <c r="E62" s="121">
        <f>ROUND(IF(C62&lt;='FR_Mantenimiento tasas'!$C$55,'Tabla Ahorro Futuro Reservas'!C62*'FR_Mantenimiento tasas'!$E$55/360,IF(C62&lt;='FR_Mantenimiento tasas'!$C$56,'Tabla Ahorro Futuro Reservas'!C62*'FR_Mantenimiento tasas'!$E$56/360,IF(C62&lt;='FR_Mantenimiento tasas'!$C$57,'Tabla Ahorro Futuro Reservas'!C62*'FR_Mantenimiento tasas'!$E$57/360,""))),5)</f>
        <v>0</v>
      </c>
    </row>
    <row r="63" spans="1:5">
      <c r="A63" s="123">
        <f t="shared" si="0"/>
        <v>61</v>
      </c>
      <c r="B63" s="122">
        <f>IF(DAY(A63)=DAY('F-Ahorro Futuro Reservas'!$H$10),'F-Ahorro Futuro Reservas'!$H$9,0)</f>
        <v>0</v>
      </c>
      <c r="C63" s="122">
        <f t="shared" si="1"/>
        <v>0</v>
      </c>
      <c r="D63" s="121">
        <f>ROUND(IF(C63&lt;='FR_Mantenimiento tasas'!$C$55,'Tabla Ahorro Futuro Reservas'!C63*'FR_Mantenimiento tasas'!$D$55/360,IF(C63&lt;='FR_Mantenimiento tasas'!$C$56,'Tabla Ahorro Futuro Reservas'!C63*'FR_Mantenimiento tasas'!$D$56/360,IF(C63&lt;='FR_Mantenimiento tasas'!$C$57,'Tabla Ahorro Futuro Reservas'!C63*'FR_Mantenimiento tasas'!$D$57/360,""))),5)</f>
        <v>0</v>
      </c>
      <c r="E63" s="121">
        <f>ROUND(IF(C63&lt;='FR_Mantenimiento tasas'!$C$55,'Tabla Ahorro Futuro Reservas'!C63*'FR_Mantenimiento tasas'!$E$55/360,IF(C63&lt;='FR_Mantenimiento tasas'!$C$56,'Tabla Ahorro Futuro Reservas'!C63*'FR_Mantenimiento tasas'!$E$56/360,IF(C63&lt;='FR_Mantenimiento tasas'!$C$57,'Tabla Ahorro Futuro Reservas'!C63*'FR_Mantenimiento tasas'!$E$57/360,""))),5)</f>
        <v>0</v>
      </c>
    </row>
    <row r="64" spans="1:5">
      <c r="A64" s="123">
        <f t="shared" si="0"/>
        <v>62</v>
      </c>
      <c r="B64" s="122">
        <f>IF(DAY(A64)=DAY('F-Ahorro Futuro Reservas'!$H$10),'F-Ahorro Futuro Reservas'!$H$9,0)</f>
        <v>0</v>
      </c>
      <c r="C64" s="122">
        <f t="shared" si="1"/>
        <v>0</v>
      </c>
      <c r="D64" s="121">
        <f>ROUND(IF(C64&lt;='FR_Mantenimiento tasas'!$C$55,'Tabla Ahorro Futuro Reservas'!C64*'FR_Mantenimiento tasas'!$D$55/360,IF(C64&lt;='FR_Mantenimiento tasas'!$C$56,'Tabla Ahorro Futuro Reservas'!C64*'FR_Mantenimiento tasas'!$D$56/360,IF(C64&lt;='FR_Mantenimiento tasas'!$C$57,'Tabla Ahorro Futuro Reservas'!C64*'FR_Mantenimiento tasas'!$D$57/360,""))),5)</f>
        <v>0</v>
      </c>
      <c r="E64" s="121">
        <f>ROUND(IF(C64&lt;='FR_Mantenimiento tasas'!$C$55,'Tabla Ahorro Futuro Reservas'!C64*'FR_Mantenimiento tasas'!$E$55/360,IF(C64&lt;='FR_Mantenimiento tasas'!$C$56,'Tabla Ahorro Futuro Reservas'!C64*'FR_Mantenimiento tasas'!$E$56/360,IF(C64&lt;='FR_Mantenimiento tasas'!$C$57,'Tabla Ahorro Futuro Reservas'!C64*'FR_Mantenimiento tasas'!$E$57/360,""))),5)</f>
        <v>0</v>
      </c>
    </row>
    <row r="65" spans="1:5">
      <c r="A65" s="123">
        <f t="shared" si="0"/>
        <v>63</v>
      </c>
      <c r="B65" s="122">
        <f>IF(DAY(A65)=DAY('F-Ahorro Futuro Reservas'!$H$10),'F-Ahorro Futuro Reservas'!$H$9,0)</f>
        <v>0</v>
      </c>
      <c r="C65" s="122">
        <f t="shared" si="1"/>
        <v>0</v>
      </c>
      <c r="D65" s="121">
        <f>ROUND(IF(C65&lt;='FR_Mantenimiento tasas'!$C$55,'Tabla Ahorro Futuro Reservas'!C65*'FR_Mantenimiento tasas'!$D$55/360,IF(C65&lt;='FR_Mantenimiento tasas'!$C$56,'Tabla Ahorro Futuro Reservas'!C65*'FR_Mantenimiento tasas'!$D$56/360,IF(C65&lt;='FR_Mantenimiento tasas'!$C$57,'Tabla Ahorro Futuro Reservas'!C65*'FR_Mantenimiento tasas'!$D$57/360,""))),5)</f>
        <v>0</v>
      </c>
      <c r="E65" s="121">
        <f>ROUND(IF(C65&lt;='FR_Mantenimiento tasas'!$C$55,'Tabla Ahorro Futuro Reservas'!C65*'FR_Mantenimiento tasas'!$E$55/360,IF(C65&lt;='FR_Mantenimiento tasas'!$C$56,'Tabla Ahorro Futuro Reservas'!C65*'FR_Mantenimiento tasas'!$E$56/360,IF(C65&lt;='FR_Mantenimiento tasas'!$C$57,'Tabla Ahorro Futuro Reservas'!C65*'FR_Mantenimiento tasas'!$E$57/360,""))),5)</f>
        <v>0</v>
      </c>
    </row>
    <row r="66" spans="1:5">
      <c r="A66" s="123">
        <f t="shared" si="0"/>
        <v>64</v>
      </c>
      <c r="B66" s="122">
        <f>IF(DAY(A66)=DAY('F-Ahorro Futuro Reservas'!$H$10),'F-Ahorro Futuro Reservas'!$H$9,0)</f>
        <v>0</v>
      </c>
      <c r="C66" s="122">
        <f t="shared" si="1"/>
        <v>0</v>
      </c>
      <c r="D66" s="121">
        <f>ROUND(IF(C66&lt;='FR_Mantenimiento tasas'!$C$55,'Tabla Ahorro Futuro Reservas'!C66*'FR_Mantenimiento tasas'!$D$55/360,IF(C66&lt;='FR_Mantenimiento tasas'!$C$56,'Tabla Ahorro Futuro Reservas'!C66*'FR_Mantenimiento tasas'!$D$56/360,IF(C66&lt;='FR_Mantenimiento tasas'!$C$57,'Tabla Ahorro Futuro Reservas'!C66*'FR_Mantenimiento tasas'!$D$57/360,""))),5)</f>
        <v>0</v>
      </c>
      <c r="E66" s="121">
        <f>ROUND(IF(C66&lt;='FR_Mantenimiento tasas'!$C$55,'Tabla Ahorro Futuro Reservas'!C66*'FR_Mantenimiento tasas'!$E$55/360,IF(C66&lt;='FR_Mantenimiento tasas'!$C$56,'Tabla Ahorro Futuro Reservas'!C66*'FR_Mantenimiento tasas'!$E$56/360,IF(C66&lt;='FR_Mantenimiento tasas'!$C$57,'Tabla Ahorro Futuro Reservas'!C66*'FR_Mantenimiento tasas'!$E$57/360,""))),5)</f>
        <v>0</v>
      </c>
    </row>
    <row r="67" spans="1:5">
      <c r="A67" s="123">
        <f t="shared" si="0"/>
        <v>65</v>
      </c>
      <c r="B67" s="122">
        <f>IF(DAY(A67)=DAY('F-Ahorro Futuro Reservas'!$H$10),'F-Ahorro Futuro Reservas'!$H$9,0)</f>
        <v>0</v>
      </c>
      <c r="C67" s="122">
        <f t="shared" si="1"/>
        <v>0</v>
      </c>
      <c r="D67" s="121">
        <f>ROUND(IF(C67&lt;='FR_Mantenimiento tasas'!$C$55,'Tabla Ahorro Futuro Reservas'!C67*'FR_Mantenimiento tasas'!$D$55/360,IF(C67&lt;='FR_Mantenimiento tasas'!$C$56,'Tabla Ahorro Futuro Reservas'!C67*'FR_Mantenimiento tasas'!$D$56/360,IF(C67&lt;='FR_Mantenimiento tasas'!$C$57,'Tabla Ahorro Futuro Reservas'!C67*'FR_Mantenimiento tasas'!$D$57/360,""))),5)</f>
        <v>0</v>
      </c>
      <c r="E67" s="121">
        <f>ROUND(IF(C67&lt;='FR_Mantenimiento tasas'!$C$55,'Tabla Ahorro Futuro Reservas'!C67*'FR_Mantenimiento tasas'!$E$55/360,IF(C67&lt;='FR_Mantenimiento tasas'!$C$56,'Tabla Ahorro Futuro Reservas'!C67*'FR_Mantenimiento tasas'!$E$56/360,IF(C67&lt;='FR_Mantenimiento tasas'!$C$57,'Tabla Ahorro Futuro Reservas'!C67*'FR_Mantenimiento tasas'!$E$57/360,""))),5)</f>
        <v>0</v>
      </c>
    </row>
    <row r="68" spans="1:5">
      <c r="A68" s="123">
        <f t="shared" ref="A68:A131" si="2">+A67+1</f>
        <v>66</v>
      </c>
      <c r="B68" s="122">
        <f>IF(DAY(A68)=DAY('F-Ahorro Futuro Reservas'!$H$10),'F-Ahorro Futuro Reservas'!$H$9,0)</f>
        <v>0</v>
      </c>
      <c r="C68" s="122">
        <f t="shared" ref="C68:C131" si="3">+B68+C67+D67</f>
        <v>0</v>
      </c>
      <c r="D68" s="121">
        <f>ROUND(IF(C68&lt;='FR_Mantenimiento tasas'!$C$55,'Tabla Ahorro Futuro Reservas'!C68*'FR_Mantenimiento tasas'!$D$55/360,IF(C68&lt;='FR_Mantenimiento tasas'!$C$56,'Tabla Ahorro Futuro Reservas'!C68*'FR_Mantenimiento tasas'!$D$56/360,IF(C68&lt;='FR_Mantenimiento tasas'!$C$57,'Tabla Ahorro Futuro Reservas'!C68*'FR_Mantenimiento tasas'!$D$57/360,""))),5)</f>
        <v>0</v>
      </c>
      <c r="E68" s="121">
        <f>ROUND(IF(C68&lt;='FR_Mantenimiento tasas'!$C$55,'Tabla Ahorro Futuro Reservas'!C68*'FR_Mantenimiento tasas'!$E$55/360,IF(C68&lt;='FR_Mantenimiento tasas'!$C$56,'Tabla Ahorro Futuro Reservas'!C68*'FR_Mantenimiento tasas'!$E$56/360,IF(C68&lt;='FR_Mantenimiento tasas'!$C$57,'Tabla Ahorro Futuro Reservas'!C68*'FR_Mantenimiento tasas'!$E$57/360,""))),5)</f>
        <v>0</v>
      </c>
    </row>
    <row r="69" spans="1:5">
      <c r="A69" s="123">
        <f t="shared" si="2"/>
        <v>67</v>
      </c>
      <c r="B69" s="122">
        <f>IF(DAY(A69)=DAY('F-Ahorro Futuro Reservas'!$H$10),'F-Ahorro Futuro Reservas'!$H$9,0)</f>
        <v>0</v>
      </c>
      <c r="C69" s="122">
        <f t="shared" si="3"/>
        <v>0</v>
      </c>
      <c r="D69" s="121">
        <f>ROUND(IF(C69&lt;='FR_Mantenimiento tasas'!$C$55,'Tabla Ahorro Futuro Reservas'!C69*'FR_Mantenimiento tasas'!$D$55/360,IF(C69&lt;='FR_Mantenimiento tasas'!$C$56,'Tabla Ahorro Futuro Reservas'!C69*'FR_Mantenimiento tasas'!$D$56/360,IF(C69&lt;='FR_Mantenimiento tasas'!$C$57,'Tabla Ahorro Futuro Reservas'!C69*'FR_Mantenimiento tasas'!$D$57/360,""))),5)</f>
        <v>0</v>
      </c>
      <c r="E69" s="121">
        <f>ROUND(IF(C69&lt;='FR_Mantenimiento tasas'!$C$55,'Tabla Ahorro Futuro Reservas'!C69*'FR_Mantenimiento tasas'!$E$55/360,IF(C69&lt;='FR_Mantenimiento tasas'!$C$56,'Tabla Ahorro Futuro Reservas'!C69*'FR_Mantenimiento tasas'!$E$56/360,IF(C69&lt;='FR_Mantenimiento tasas'!$C$57,'Tabla Ahorro Futuro Reservas'!C69*'FR_Mantenimiento tasas'!$E$57/360,""))),5)</f>
        <v>0</v>
      </c>
    </row>
    <row r="70" spans="1:5">
      <c r="A70" s="123">
        <f t="shared" si="2"/>
        <v>68</v>
      </c>
      <c r="B70" s="122">
        <f>IF(DAY(A70)=DAY('F-Ahorro Futuro Reservas'!$H$10),'F-Ahorro Futuro Reservas'!$H$9,0)</f>
        <v>0</v>
      </c>
      <c r="C70" s="122">
        <f t="shared" si="3"/>
        <v>0</v>
      </c>
      <c r="D70" s="121">
        <f>ROUND(IF(C70&lt;='FR_Mantenimiento tasas'!$C$55,'Tabla Ahorro Futuro Reservas'!C70*'FR_Mantenimiento tasas'!$D$55/360,IF(C70&lt;='FR_Mantenimiento tasas'!$C$56,'Tabla Ahorro Futuro Reservas'!C70*'FR_Mantenimiento tasas'!$D$56/360,IF(C70&lt;='FR_Mantenimiento tasas'!$C$57,'Tabla Ahorro Futuro Reservas'!C70*'FR_Mantenimiento tasas'!$D$57/360,""))),5)</f>
        <v>0</v>
      </c>
      <c r="E70" s="121">
        <f>ROUND(IF(C70&lt;='FR_Mantenimiento tasas'!$C$55,'Tabla Ahorro Futuro Reservas'!C70*'FR_Mantenimiento tasas'!$E$55/360,IF(C70&lt;='FR_Mantenimiento tasas'!$C$56,'Tabla Ahorro Futuro Reservas'!C70*'FR_Mantenimiento tasas'!$E$56/360,IF(C70&lt;='FR_Mantenimiento tasas'!$C$57,'Tabla Ahorro Futuro Reservas'!C70*'FR_Mantenimiento tasas'!$E$57/360,""))),5)</f>
        <v>0</v>
      </c>
    </row>
    <row r="71" spans="1:5">
      <c r="A71" s="123">
        <f t="shared" si="2"/>
        <v>69</v>
      </c>
      <c r="B71" s="122">
        <f>IF(DAY(A71)=DAY('F-Ahorro Futuro Reservas'!$H$10),'F-Ahorro Futuro Reservas'!$H$9,0)</f>
        <v>0</v>
      </c>
      <c r="C71" s="122">
        <f t="shared" si="3"/>
        <v>0</v>
      </c>
      <c r="D71" s="121">
        <f>ROUND(IF(C71&lt;='FR_Mantenimiento tasas'!$C$55,'Tabla Ahorro Futuro Reservas'!C71*'FR_Mantenimiento tasas'!$D$55/360,IF(C71&lt;='FR_Mantenimiento tasas'!$C$56,'Tabla Ahorro Futuro Reservas'!C71*'FR_Mantenimiento tasas'!$D$56/360,IF(C71&lt;='FR_Mantenimiento tasas'!$C$57,'Tabla Ahorro Futuro Reservas'!C71*'FR_Mantenimiento tasas'!$D$57/360,""))),5)</f>
        <v>0</v>
      </c>
      <c r="E71" s="121">
        <f>ROUND(IF(C71&lt;='FR_Mantenimiento tasas'!$C$55,'Tabla Ahorro Futuro Reservas'!C71*'FR_Mantenimiento tasas'!$E$55/360,IF(C71&lt;='FR_Mantenimiento tasas'!$C$56,'Tabla Ahorro Futuro Reservas'!C71*'FR_Mantenimiento tasas'!$E$56/360,IF(C71&lt;='FR_Mantenimiento tasas'!$C$57,'Tabla Ahorro Futuro Reservas'!C71*'FR_Mantenimiento tasas'!$E$57/360,""))),5)</f>
        <v>0</v>
      </c>
    </row>
    <row r="72" spans="1:5">
      <c r="A72" s="123">
        <f t="shared" si="2"/>
        <v>70</v>
      </c>
      <c r="B72" s="122">
        <f>IF(DAY(A72)=DAY('F-Ahorro Futuro Reservas'!$H$10),'F-Ahorro Futuro Reservas'!$H$9,0)</f>
        <v>0</v>
      </c>
      <c r="C72" s="122">
        <f t="shared" si="3"/>
        <v>0</v>
      </c>
      <c r="D72" s="121">
        <f>ROUND(IF(C72&lt;='FR_Mantenimiento tasas'!$C$55,'Tabla Ahorro Futuro Reservas'!C72*'FR_Mantenimiento tasas'!$D$55/360,IF(C72&lt;='FR_Mantenimiento tasas'!$C$56,'Tabla Ahorro Futuro Reservas'!C72*'FR_Mantenimiento tasas'!$D$56/360,IF(C72&lt;='FR_Mantenimiento tasas'!$C$57,'Tabla Ahorro Futuro Reservas'!C72*'FR_Mantenimiento tasas'!$D$57/360,""))),5)</f>
        <v>0</v>
      </c>
      <c r="E72" s="121">
        <f>ROUND(IF(C72&lt;='FR_Mantenimiento tasas'!$C$55,'Tabla Ahorro Futuro Reservas'!C72*'FR_Mantenimiento tasas'!$E$55/360,IF(C72&lt;='FR_Mantenimiento tasas'!$C$56,'Tabla Ahorro Futuro Reservas'!C72*'FR_Mantenimiento tasas'!$E$56/360,IF(C72&lt;='FR_Mantenimiento tasas'!$C$57,'Tabla Ahorro Futuro Reservas'!C72*'FR_Mantenimiento tasas'!$E$57/360,""))),5)</f>
        <v>0</v>
      </c>
    </row>
    <row r="73" spans="1:5">
      <c r="A73" s="123">
        <f t="shared" si="2"/>
        <v>71</v>
      </c>
      <c r="B73" s="122">
        <f>IF(DAY(A73)=DAY('F-Ahorro Futuro Reservas'!$H$10),'F-Ahorro Futuro Reservas'!$H$9,0)</f>
        <v>0</v>
      </c>
      <c r="C73" s="122">
        <f t="shared" si="3"/>
        <v>0</v>
      </c>
      <c r="D73" s="121">
        <f>ROUND(IF(C73&lt;='FR_Mantenimiento tasas'!$C$55,'Tabla Ahorro Futuro Reservas'!C73*'FR_Mantenimiento tasas'!$D$55/360,IF(C73&lt;='FR_Mantenimiento tasas'!$C$56,'Tabla Ahorro Futuro Reservas'!C73*'FR_Mantenimiento tasas'!$D$56/360,IF(C73&lt;='FR_Mantenimiento tasas'!$C$57,'Tabla Ahorro Futuro Reservas'!C73*'FR_Mantenimiento tasas'!$D$57/360,""))),5)</f>
        <v>0</v>
      </c>
      <c r="E73" s="121">
        <f>ROUND(IF(C73&lt;='FR_Mantenimiento tasas'!$C$55,'Tabla Ahorro Futuro Reservas'!C73*'FR_Mantenimiento tasas'!$E$55/360,IF(C73&lt;='FR_Mantenimiento tasas'!$C$56,'Tabla Ahorro Futuro Reservas'!C73*'FR_Mantenimiento tasas'!$E$56/360,IF(C73&lt;='FR_Mantenimiento tasas'!$C$57,'Tabla Ahorro Futuro Reservas'!C73*'FR_Mantenimiento tasas'!$E$57/360,""))),5)</f>
        <v>0</v>
      </c>
    </row>
    <row r="74" spans="1:5">
      <c r="A74" s="123">
        <f t="shared" si="2"/>
        <v>72</v>
      </c>
      <c r="B74" s="122">
        <f>IF(DAY(A74)=DAY('F-Ahorro Futuro Reservas'!$H$10),'F-Ahorro Futuro Reservas'!$H$9,0)</f>
        <v>0</v>
      </c>
      <c r="C74" s="122">
        <f t="shared" si="3"/>
        <v>0</v>
      </c>
      <c r="D74" s="121">
        <f>ROUND(IF(C74&lt;='FR_Mantenimiento tasas'!$C$55,'Tabla Ahorro Futuro Reservas'!C74*'FR_Mantenimiento tasas'!$D$55/360,IF(C74&lt;='FR_Mantenimiento tasas'!$C$56,'Tabla Ahorro Futuro Reservas'!C74*'FR_Mantenimiento tasas'!$D$56/360,IF(C74&lt;='FR_Mantenimiento tasas'!$C$57,'Tabla Ahorro Futuro Reservas'!C74*'FR_Mantenimiento tasas'!$D$57/360,""))),5)</f>
        <v>0</v>
      </c>
      <c r="E74" s="121">
        <f>ROUND(IF(C74&lt;='FR_Mantenimiento tasas'!$C$55,'Tabla Ahorro Futuro Reservas'!C74*'FR_Mantenimiento tasas'!$E$55/360,IF(C74&lt;='FR_Mantenimiento tasas'!$C$56,'Tabla Ahorro Futuro Reservas'!C74*'FR_Mantenimiento tasas'!$E$56/360,IF(C74&lt;='FR_Mantenimiento tasas'!$C$57,'Tabla Ahorro Futuro Reservas'!C74*'FR_Mantenimiento tasas'!$E$57/360,""))),5)</f>
        <v>0</v>
      </c>
    </row>
    <row r="75" spans="1:5">
      <c r="A75" s="123">
        <f t="shared" si="2"/>
        <v>73</v>
      </c>
      <c r="B75" s="122">
        <f>IF(DAY(A75)=DAY('F-Ahorro Futuro Reservas'!$H$10),'F-Ahorro Futuro Reservas'!$H$9,0)</f>
        <v>0</v>
      </c>
      <c r="C75" s="122">
        <f t="shared" si="3"/>
        <v>0</v>
      </c>
      <c r="D75" s="121">
        <f>ROUND(IF(C75&lt;='FR_Mantenimiento tasas'!$C$55,'Tabla Ahorro Futuro Reservas'!C75*'FR_Mantenimiento tasas'!$D$55/360,IF(C75&lt;='FR_Mantenimiento tasas'!$C$56,'Tabla Ahorro Futuro Reservas'!C75*'FR_Mantenimiento tasas'!$D$56/360,IF(C75&lt;='FR_Mantenimiento tasas'!$C$57,'Tabla Ahorro Futuro Reservas'!C75*'FR_Mantenimiento tasas'!$D$57/360,""))),5)</f>
        <v>0</v>
      </c>
      <c r="E75" s="121">
        <f>ROUND(IF(C75&lt;='FR_Mantenimiento tasas'!$C$55,'Tabla Ahorro Futuro Reservas'!C75*'FR_Mantenimiento tasas'!$E$55/360,IF(C75&lt;='FR_Mantenimiento tasas'!$C$56,'Tabla Ahorro Futuro Reservas'!C75*'FR_Mantenimiento tasas'!$E$56/360,IF(C75&lt;='FR_Mantenimiento tasas'!$C$57,'Tabla Ahorro Futuro Reservas'!C75*'FR_Mantenimiento tasas'!$E$57/360,""))),5)</f>
        <v>0</v>
      </c>
    </row>
    <row r="76" spans="1:5">
      <c r="A76" s="123">
        <f t="shared" si="2"/>
        <v>74</v>
      </c>
      <c r="B76" s="122">
        <f>IF(DAY(A76)=DAY('F-Ahorro Futuro Reservas'!$H$10),'F-Ahorro Futuro Reservas'!$H$9,0)</f>
        <v>0</v>
      </c>
      <c r="C76" s="122">
        <f t="shared" si="3"/>
        <v>0</v>
      </c>
      <c r="D76" s="121">
        <f>ROUND(IF(C76&lt;='FR_Mantenimiento tasas'!$C$55,'Tabla Ahorro Futuro Reservas'!C76*'FR_Mantenimiento tasas'!$D$55/360,IF(C76&lt;='FR_Mantenimiento tasas'!$C$56,'Tabla Ahorro Futuro Reservas'!C76*'FR_Mantenimiento tasas'!$D$56/360,IF(C76&lt;='FR_Mantenimiento tasas'!$C$57,'Tabla Ahorro Futuro Reservas'!C76*'FR_Mantenimiento tasas'!$D$57/360,""))),5)</f>
        <v>0</v>
      </c>
      <c r="E76" s="121">
        <f>ROUND(IF(C76&lt;='FR_Mantenimiento tasas'!$C$55,'Tabla Ahorro Futuro Reservas'!C76*'FR_Mantenimiento tasas'!$E$55/360,IF(C76&lt;='FR_Mantenimiento tasas'!$C$56,'Tabla Ahorro Futuro Reservas'!C76*'FR_Mantenimiento tasas'!$E$56/360,IF(C76&lt;='FR_Mantenimiento tasas'!$C$57,'Tabla Ahorro Futuro Reservas'!C76*'FR_Mantenimiento tasas'!$E$57/360,""))),5)</f>
        <v>0</v>
      </c>
    </row>
    <row r="77" spans="1:5">
      <c r="A77" s="123">
        <f t="shared" si="2"/>
        <v>75</v>
      </c>
      <c r="B77" s="122">
        <f>IF(DAY(A77)=DAY('F-Ahorro Futuro Reservas'!$H$10),'F-Ahorro Futuro Reservas'!$H$9,0)</f>
        <v>0</v>
      </c>
      <c r="C77" s="122">
        <f t="shared" si="3"/>
        <v>0</v>
      </c>
      <c r="D77" s="121">
        <f>ROUND(IF(C77&lt;='FR_Mantenimiento tasas'!$C$55,'Tabla Ahorro Futuro Reservas'!C77*'FR_Mantenimiento tasas'!$D$55/360,IF(C77&lt;='FR_Mantenimiento tasas'!$C$56,'Tabla Ahorro Futuro Reservas'!C77*'FR_Mantenimiento tasas'!$D$56/360,IF(C77&lt;='FR_Mantenimiento tasas'!$C$57,'Tabla Ahorro Futuro Reservas'!C77*'FR_Mantenimiento tasas'!$D$57/360,""))),5)</f>
        <v>0</v>
      </c>
      <c r="E77" s="121">
        <f>ROUND(IF(C77&lt;='FR_Mantenimiento tasas'!$C$55,'Tabla Ahorro Futuro Reservas'!C77*'FR_Mantenimiento tasas'!$E$55/360,IF(C77&lt;='FR_Mantenimiento tasas'!$C$56,'Tabla Ahorro Futuro Reservas'!C77*'FR_Mantenimiento tasas'!$E$56/360,IF(C77&lt;='FR_Mantenimiento tasas'!$C$57,'Tabla Ahorro Futuro Reservas'!C77*'FR_Mantenimiento tasas'!$E$57/360,""))),5)</f>
        <v>0</v>
      </c>
    </row>
    <row r="78" spans="1:5">
      <c r="A78" s="123">
        <f t="shared" si="2"/>
        <v>76</v>
      </c>
      <c r="B78" s="122">
        <f>IF(DAY(A78)=DAY('F-Ahorro Futuro Reservas'!$H$10),'F-Ahorro Futuro Reservas'!$H$9,0)</f>
        <v>0</v>
      </c>
      <c r="C78" s="122">
        <f t="shared" si="3"/>
        <v>0</v>
      </c>
      <c r="D78" s="121">
        <f>ROUND(IF(C78&lt;='FR_Mantenimiento tasas'!$C$55,'Tabla Ahorro Futuro Reservas'!C78*'FR_Mantenimiento tasas'!$D$55/360,IF(C78&lt;='FR_Mantenimiento tasas'!$C$56,'Tabla Ahorro Futuro Reservas'!C78*'FR_Mantenimiento tasas'!$D$56/360,IF(C78&lt;='FR_Mantenimiento tasas'!$C$57,'Tabla Ahorro Futuro Reservas'!C78*'FR_Mantenimiento tasas'!$D$57/360,""))),5)</f>
        <v>0</v>
      </c>
      <c r="E78" s="121">
        <f>ROUND(IF(C78&lt;='FR_Mantenimiento tasas'!$C$55,'Tabla Ahorro Futuro Reservas'!C78*'FR_Mantenimiento tasas'!$E$55/360,IF(C78&lt;='FR_Mantenimiento tasas'!$C$56,'Tabla Ahorro Futuro Reservas'!C78*'FR_Mantenimiento tasas'!$E$56/360,IF(C78&lt;='FR_Mantenimiento tasas'!$C$57,'Tabla Ahorro Futuro Reservas'!C78*'FR_Mantenimiento tasas'!$E$57/360,""))),5)</f>
        <v>0</v>
      </c>
    </row>
    <row r="79" spans="1:5">
      <c r="A79" s="123">
        <f t="shared" si="2"/>
        <v>77</v>
      </c>
      <c r="B79" s="122">
        <f>IF(DAY(A79)=DAY('F-Ahorro Futuro Reservas'!$H$10),'F-Ahorro Futuro Reservas'!$H$9,0)</f>
        <v>0</v>
      </c>
      <c r="C79" s="122">
        <f t="shared" si="3"/>
        <v>0</v>
      </c>
      <c r="D79" s="121">
        <f>ROUND(IF(C79&lt;='FR_Mantenimiento tasas'!$C$55,'Tabla Ahorro Futuro Reservas'!C79*'FR_Mantenimiento tasas'!$D$55/360,IF(C79&lt;='FR_Mantenimiento tasas'!$C$56,'Tabla Ahorro Futuro Reservas'!C79*'FR_Mantenimiento tasas'!$D$56/360,IF(C79&lt;='FR_Mantenimiento tasas'!$C$57,'Tabla Ahorro Futuro Reservas'!C79*'FR_Mantenimiento tasas'!$D$57/360,""))),5)</f>
        <v>0</v>
      </c>
      <c r="E79" s="121">
        <f>ROUND(IF(C79&lt;='FR_Mantenimiento tasas'!$C$55,'Tabla Ahorro Futuro Reservas'!C79*'FR_Mantenimiento tasas'!$E$55/360,IF(C79&lt;='FR_Mantenimiento tasas'!$C$56,'Tabla Ahorro Futuro Reservas'!C79*'FR_Mantenimiento tasas'!$E$56/360,IF(C79&lt;='FR_Mantenimiento tasas'!$C$57,'Tabla Ahorro Futuro Reservas'!C79*'FR_Mantenimiento tasas'!$E$57/360,""))),5)</f>
        <v>0</v>
      </c>
    </row>
    <row r="80" spans="1:5">
      <c r="A80" s="123">
        <f t="shared" si="2"/>
        <v>78</v>
      </c>
      <c r="B80" s="122">
        <f>IF(DAY(A80)=DAY('F-Ahorro Futuro Reservas'!$H$10),'F-Ahorro Futuro Reservas'!$H$9,0)</f>
        <v>0</v>
      </c>
      <c r="C80" s="122">
        <f t="shared" si="3"/>
        <v>0</v>
      </c>
      <c r="D80" s="121">
        <f>ROUND(IF(C80&lt;='FR_Mantenimiento tasas'!$C$55,'Tabla Ahorro Futuro Reservas'!C80*'FR_Mantenimiento tasas'!$D$55/360,IF(C80&lt;='FR_Mantenimiento tasas'!$C$56,'Tabla Ahorro Futuro Reservas'!C80*'FR_Mantenimiento tasas'!$D$56/360,IF(C80&lt;='FR_Mantenimiento tasas'!$C$57,'Tabla Ahorro Futuro Reservas'!C80*'FR_Mantenimiento tasas'!$D$57/360,""))),5)</f>
        <v>0</v>
      </c>
      <c r="E80" s="121">
        <f>ROUND(IF(C80&lt;='FR_Mantenimiento tasas'!$C$55,'Tabla Ahorro Futuro Reservas'!C80*'FR_Mantenimiento tasas'!$E$55/360,IF(C80&lt;='FR_Mantenimiento tasas'!$C$56,'Tabla Ahorro Futuro Reservas'!C80*'FR_Mantenimiento tasas'!$E$56/360,IF(C80&lt;='FR_Mantenimiento tasas'!$C$57,'Tabla Ahorro Futuro Reservas'!C80*'FR_Mantenimiento tasas'!$E$57/360,""))),5)</f>
        <v>0</v>
      </c>
    </row>
    <row r="81" spans="1:5">
      <c r="A81" s="123">
        <f t="shared" si="2"/>
        <v>79</v>
      </c>
      <c r="B81" s="122">
        <f>IF(DAY(A81)=DAY('F-Ahorro Futuro Reservas'!$H$10),'F-Ahorro Futuro Reservas'!$H$9,0)</f>
        <v>0</v>
      </c>
      <c r="C81" s="122">
        <f t="shared" si="3"/>
        <v>0</v>
      </c>
      <c r="D81" s="121">
        <f>ROUND(IF(C81&lt;='FR_Mantenimiento tasas'!$C$55,'Tabla Ahorro Futuro Reservas'!C81*'FR_Mantenimiento tasas'!$D$55/360,IF(C81&lt;='FR_Mantenimiento tasas'!$C$56,'Tabla Ahorro Futuro Reservas'!C81*'FR_Mantenimiento tasas'!$D$56/360,IF(C81&lt;='FR_Mantenimiento tasas'!$C$57,'Tabla Ahorro Futuro Reservas'!C81*'FR_Mantenimiento tasas'!$D$57/360,""))),5)</f>
        <v>0</v>
      </c>
      <c r="E81" s="121">
        <f>ROUND(IF(C81&lt;='FR_Mantenimiento tasas'!$C$55,'Tabla Ahorro Futuro Reservas'!C81*'FR_Mantenimiento tasas'!$E$55/360,IF(C81&lt;='FR_Mantenimiento tasas'!$C$56,'Tabla Ahorro Futuro Reservas'!C81*'FR_Mantenimiento tasas'!$E$56/360,IF(C81&lt;='FR_Mantenimiento tasas'!$C$57,'Tabla Ahorro Futuro Reservas'!C81*'FR_Mantenimiento tasas'!$E$57/360,""))),5)</f>
        <v>0</v>
      </c>
    </row>
    <row r="82" spans="1:5">
      <c r="A82" s="123">
        <f t="shared" si="2"/>
        <v>80</v>
      </c>
      <c r="B82" s="122">
        <f>IF(DAY(A82)=DAY('F-Ahorro Futuro Reservas'!$H$10),'F-Ahorro Futuro Reservas'!$H$9,0)</f>
        <v>0</v>
      </c>
      <c r="C82" s="122">
        <f t="shared" si="3"/>
        <v>0</v>
      </c>
      <c r="D82" s="121">
        <f>ROUND(IF(C82&lt;='FR_Mantenimiento tasas'!$C$55,'Tabla Ahorro Futuro Reservas'!C82*'FR_Mantenimiento tasas'!$D$55/360,IF(C82&lt;='FR_Mantenimiento tasas'!$C$56,'Tabla Ahorro Futuro Reservas'!C82*'FR_Mantenimiento tasas'!$D$56/360,IF(C82&lt;='FR_Mantenimiento tasas'!$C$57,'Tabla Ahorro Futuro Reservas'!C82*'FR_Mantenimiento tasas'!$D$57/360,""))),5)</f>
        <v>0</v>
      </c>
      <c r="E82" s="121">
        <f>ROUND(IF(C82&lt;='FR_Mantenimiento tasas'!$C$55,'Tabla Ahorro Futuro Reservas'!C82*'FR_Mantenimiento tasas'!$E$55/360,IF(C82&lt;='FR_Mantenimiento tasas'!$C$56,'Tabla Ahorro Futuro Reservas'!C82*'FR_Mantenimiento tasas'!$E$56/360,IF(C82&lt;='FR_Mantenimiento tasas'!$C$57,'Tabla Ahorro Futuro Reservas'!C82*'FR_Mantenimiento tasas'!$E$57/360,""))),5)</f>
        <v>0</v>
      </c>
    </row>
    <row r="83" spans="1:5">
      <c r="A83" s="123">
        <f t="shared" si="2"/>
        <v>81</v>
      </c>
      <c r="B83" s="122">
        <f>IF(DAY(A83)=DAY('F-Ahorro Futuro Reservas'!$H$10),'F-Ahorro Futuro Reservas'!$H$9,0)</f>
        <v>0</v>
      </c>
      <c r="C83" s="122">
        <f t="shared" si="3"/>
        <v>0</v>
      </c>
      <c r="D83" s="121">
        <f>ROUND(IF(C83&lt;='FR_Mantenimiento tasas'!$C$55,'Tabla Ahorro Futuro Reservas'!C83*'FR_Mantenimiento tasas'!$D$55/360,IF(C83&lt;='FR_Mantenimiento tasas'!$C$56,'Tabla Ahorro Futuro Reservas'!C83*'FR_Mantenimiento tasas'!$D$56/360,IF(C83&lt;='FR_Mantenimiento tasas'!$C$57,'Tabla Ahorro Futuro Reservas'!C83*'FR_Mantenimiento tasas'!$D$57/360,""))),5)</f>
        <v>0</v>
      </c>
      <c r="E83" s="121">
        <f>ROUND(IF(C83&lt;='FR_Mantenimiento tasas'!$C$55,'Tabla Ahorro Futuro Reservas'!C83*'FR_Mantenimiento tasas'!$E$55/360,IF(C83&lt;='FR_Mantenimiento tasas'!$C$56,'Tabla Ahorro Futuro Reservas'!C83*'FR_Mantenimiento tasas'!$E$56/360,IF(C83&lt;='FR_Mantenimiento tasas'!$C$57,'Tabla Ahorro Futuro Reservas'!C83*'FR_Mantenimiento tasas'!$E$57/360,""))),5)</f>
        <v>0</v>
      </c>
    </row>
    <row r="84" spans="1:5">
      <c r="A84" s="123">
        <f t="shared" si="2"/>
        <v>82</v>
      </c>
      <c r="B84" s="122">
        <f>IF(DAY(A84)=DAY('F-Ahorro Futuro Reservas'!$H$10),'F-Ahorro Futuro Reservas'!$H$9,0)</f>
        <v>0</v>
      </c>
      <c r="C84" s="122">
        <f t="shared" si="3"/>
        <v>0</v>
      </c>
      <c r="D84" s="121">
        <f>ROUND(IF(C84&lt;='FR_Mantenimiento tasas'!$C$55,'Tabla Ahorro Futuro Reservas'!C84*'FR_Mantenimiento tasas'!$D$55/360,IF(C84&lt;='FR_Mantenimiento tasas'!$C$56,'Tabla Ahorro Futuro Reservas'!C84*'FR_Mantenimiento tasas'!$D$56/360,IF(C84&lt;='FR_Mantenimiento tasas'!$C$57,'Tabla Ahorro Futuro Reservas'!C84*'FR_Mantenimiento tasas'!$D$57/360,""))),5)</f>
        <v>0</v>
      </c>
      <c r="E84" s="121">
        <f>ROUND(IF(C84&lt;='FR_Mantenimiento tasas'!$C$55,'Tabla Ahorro Futuro Reservas'!C84*'FR_Mantenimiento tasas'!$E$55/360,IF(C84&lt;='FR_Mantenimiento tasas'!$C$56,'Tabla Ahorro Futuro Reservas'!C84*'FR_Mantenimiento tasas'!$E$56/360,IF(C84&lt;='FR_Mantenimiento tasas'!$C$57,'Tabla Ahorro Futuro Reservas'!C84*'FR_Mantenimiento tasas'!$E$57/360,""))),5)</f>
        <v>0</v>
      </c>
    </row>
    <row r="85" spans="1:5">
      <c r="A85" s="123">
        <f t="shared" si="2"/>
        <v>83</v>
      </c>
      <c r="B85" s="122">
        <f>IF(DAY(A85)=DAY('F-Ahorro Futuro Reservas'!$H$10),'F-Ahorro Futuro Reservas'!$H$9,0)</f>
        <v>0</v>
      </c>
      <c r="C85" s="122">
        <f t="shared" si="3"/>
        <v>0</v>
      </c>
      <c r="D85" s="121">
        <f>ROUND(IF(C85&lt;='FR_Mantenimiento tasas'!$C$55,'Tabla Ahorro Futuro Reservas'!C85*'FR_Mantenimiento tasas'!$D$55/360,IF(C85&lt;='FR_Mantenimiento tasas'!$C$56,'Tabla Ahorro Futuro Reservas'!C85*'FR_Mantenimiento tasas'!$D$56/360,IF(C85&lt;='FR_Mantenimiento tasas'!$C$57,'Tabla Ahorro Futuro Reservas'!C85*'FR_Mantenimiento tasas'!$D$57/360,""))),5)</f>
        <v>0</v>
      </c>
      <c r="E85" s="121">
        <f>ROUND(IF(C85&lt;='FR_Mantenimiento tasas'!$C$55,'Tabla Ahorro Futuro Reservas'!C85*'FR_Mantenimiento tasas'!$E$55/360,IF(C85&lt;='FR_Mantenimiento tasas'!$C$56,'Tabla Ahorro Futuro Reservas'!C85*'FR_Mantenimiento tasas'!$E$56/360,IF(C85&lt;='FR_Mantenimiento tasas'!$C$57,'Tabla Ahorro Futuro Reservas'!C85*'FR_Mantenimiento tasas'!$E$57/360,""))),5)</f>
        <v>0</v>
      </c>
    </row>
    <row r="86" spans="1:5">
      <c r="A86" s="123">
        <f t="shared" si="2"/>
        <v>84</v>
      </c>
      <c r="B86" s="122">
        <f>IF(DAY(A86)=DAY('F-Ahorro Futuro Reservas'!$H$10),'F-Ahorro Futuro Reservas'!$H$9,0)</f>
        <v>0</v>
      </c>
      <c r="C86" s="122">
        <f t="shared" si="3"/>
        <v>0</v>
      </c>
      <c r="D86" s="121">
        <f>ROUND(IF(C86&lt;='FR_Mantenimiento tasas'!$C$55,'Tabla Ahorro Futuro Reservas'!C86*'FR_Mantenimiento tasas'!$D$55/360,IF(C86&lt;='FR_Mantenimiento tasas'!$C$56,'Tabla Ahorro Futuro Reservas'!C86*'FR_Mantenimiento tasas'!$D$56/360,IF(C86&lt;='FR_Mantenimiento tasas'!$C$57,'Tabla Ahorro Futuro Reservas'!C86*'FR_Mantenimiento tasas'!$D$57/360,""))),5)</f>
        <v>0</v>
      </c>
      <c r="E86" s="121">
        <f>ROUND(IF(C86&lt;='FR_Mantenimiento tasas'!$C$55,'Tabla Ahorro Futuro Reservas'!C86*'FR_Mantenimiento tasas'!$E$55/360,IF(C86&lt;='FR_Mantenimiento tasas'!$C$56,'Tabla Ahorro Futuro Reservas'!C86*'FR_Mantenimiento tasas'!$E$56/360,IF(C86&lt;='FR_Mantenimiento tasas'!$C$57,'Tabla Ahorro Futuro Reservas'!C86*'FR_Mantenimiento tasas'!$E$57/360,""))),5)</f>
        <v>0</v>
      </c>
    </row>
    <row r="87" spans="1:5">
      <c r="A87" s="123">
        <f t="shared" si="2"/>
        <v>85</v>
      </c>
      <c r="B87" s="122">
        <f>IF(DAY(A87)=DAY('F-Ahorro Futuro Reservas'!$H$10),'F-Ahorro Futuro Reservas'!$H$9,0)</f>
        <v>0</v>
      </c>
      <c r="C87" s="122">
        <f t="shared" si="3"/>
        <v>0</v>
      </c>
      <c r="D87" s="121">
        <f>ROUND(IF(C87&lt;='FR_Mantenimiento tasas'!$C$55,'Tabla Ahorro Futuro Reservas'!C87*'FR_Mantenimiento tasas'!$D$55/360,IF(C87&lt;='FR_Mantenimiento tasas'!$C$56,'Tabla Ahorro Futuro Reservas'!C87*'FR_Mantenimiento tasas'!$D$56/360,IF(C87&lt;='FR_Mantenimiento tasas'!$C$57,'Tabla Ahorro Futuro Reservas'!C87*'FR_Mantenimiento tasas'!$D$57/360,""))),5)</f>
        <v>0</v>
      </c>
      <c r="E87" s="121">
        <f>ROUND(IF(C87&lt;='FR_Mantenimiento tasas'!$C$55,'Tabla Ahorro Futuro Reservas'!C87*'FR_Mantenimiento tasas'!$E$55/360,IF(C87&lt;='FR_Mantenimiento tasas'!$C$56,'Tabla Ahorro Futuro Reservas'!C87*'FR_Mantenimiento tasas'!$E$56/360,IF(C87&lt;='FR_Mantenimiento tasas'!$C$57,'Tabla Ahorro Futuro Reservas'!C87*'FR_Mantenimiento tasas'!$E$57/360,""))),5)</f>
        <v>0</v>
      </c>
    </row>
    <row r="88" spans="1:5">
      <c r="A88" s="123">
        <f t="shared" si="2"/>
        <v>86</v>
      </c>
      <c r="B88" s="122">
        <f>IF(DAY(A88)=DAY('F-Ahorro Futuro Reservas'!$H$10),'F-Ahorro Futuro Reservas'!$H$9,0)</f>
        <v>0</v>
      </c>
      <c r="C88" s="122">
        <f t="shared" si="3"/>
        <v>0</v>
      </c>
      <c r="D88" s="121">
        <f>ROUND(IF(C88&lt;='FR_Mantenimiento tasas'!$C$55,'Tabla Ahorro Futuro Reservas'!C88*'FR_Mantenimiento tasas'!$D$55/360,IF(C88&lt;='FR_Mantenimiento tasas'!$C$56,'Tabla Ahorro Futuro Reservas'!C88*'FR_Mantenimiento tasas'!$D$56/360,IF(C88&lt;='FR_Mantenimiento tasas'!$C$57,'Tabla Ahorro Futuro Reservas'!C88*'FR_Mantenimiento tasas'!$D$57/360,""))),5)</f>
        <v>0</v>
      </c>
      <c r="E88" s="121">
        <f>ROUND(IF(C88&lt;='FR_Mantenimiento tasas'!$C$55,'Tabla Ahorro Futuro Reservas'!C88*'FR_Mantenimiento tasas'!$E$55/360,IF(C88&lt;='FR_Mantenimiento tasas'!$C$56,'Tabla Ahorro Futuro Reservas'!C88*'FR_Mantenimiento tasas'!$E$56/360,IF(C88&lt;='FR_Mantenimiento tasas'!$C$57,'Tabla Ahorro Futuro Reservas'!C88*'FR_Mantenimiento tasas'!$E$57/360,""))),5)</f>
        <v>0</v>
      </c>
    </row>
    <row r="89" spans="1:5">
      <c r="A89" s="123">
        <f t="shared" si="2"/>
        <v>87</v>
      </c>
      <c r="B89" s="122">
        <f>IF(DAY(A89)=DAY('F-Ahorro Futuro Reservas'!$H$10),'F-Ahorro Futuro Reservas'!$H$9,0)</f>
        <v>0</v>
      </c>
      <c r="C89" s="122">
        <f t="shared" si="3"/>
        <v>0</v>
      </c>
      <c r="D89" s="121">
        <f>ROUND(IF(C89&lt;='FR_Mantenimiento tasas'!$C$55,'Tabla Ahorro Futuro Reservas'!C89*'FR_Mantenimiento tasas'!$D$55/360,IF(C89&lt;='FR_Mantenimiento tasas'!$C$56,'Tabla Ahorro Futuro Reservas'!C89*'FR_Mantenimiento tasas'!$D$56/360,IF(C89&lt;='FR_Mantenimiento tasas'!$C$57,'Tabla Ahorro Futuro Reservas'!C89*'FR_Mantenimiento tasas'!$D$57/360,""))),5)</f>
        <v>0</v>
      </c>
      <c r="E89" s="121">
        <f>ROUND(IF(C89&lt;='FR_Mantenimiento tasas'!$C$55,'Tabla Ahorro Futuro Reservas'!C89*'FR_Mantenimiento tasas'!$E$55/360,IF(C89&lt;='FR_Mantenimiento tasas'!$C$56,'Tabla Ahorro Futuro Reservas'!C89*'FR_Mantenimiento tasas'!$E$56/360,IF(C89&lt;='FR_Mantenimiento tasas'!$C$57,'Tabla Ahorro Futuro Reservas'!C89*'FR_Mantenimiento tasas'!$E$57/360,""))),5)</f>
        <v>0</v>
      </c>
    </row>
    <row r="90" spans="1:5">
      <c r="A90" s="123">
        <f t="shared" si="2"/>
        <v>88</v>
      </c>
      <c r="B90" s="122">
        <f>IF(DAY(A90)=DAY('F-Ahorro Futuro Reservas'!$H$10),'F-Ahorro Futuro Reservas'!$H$9,0)</f>
        <v>0</v>
      </c>
      <c r="C90" s="122">
        <f t="shared" si="3"/>
        <v>0</v>
      </c>
      <c r="D90" s="121">
        <f>ROUND(IF(C90&lt;='FR_Mantenimiento tasas'!$C$55,'Tabla Ahorro Futuro Reservas'!C90*'FR_Mantenimiento tasas'!$D$55/360,IF(C90&lt;='FR_Mantenimiento tasas'!$C$56,'Tabla Ahorro Futuro Reservas'!C90*'FR_Mantenimiento tasas'!$D$56/360,IF(C90&lt;='FR_Mantenimiento tasas'!$C$57,'Tabla Ahorro Futuro Reservas'!C90*'FR_Mantenimiento tasas'!$D$57/360,""))),5)</f>
        <v>0</v>
      </c>
      <c r="E90" s="121">
        <f>ROUND(IF(C90&lt;='FR_Mantenimiento tasas'!$C$55,'Tabla Ahorro Futuro Reservas'!C90*'FR_Mantenimiento tasas'!$E$55/360,IF(C90&lt;='FR_Mantenimiento tasas'!$C$56,'Tabla Ahorro Futuro Reservas'!C90*'FR_Mantenimiento tasas'!$E$56/360,IF(C90&lt;='FR_Mantenimiento tasas'!$C$57,'Tabla Ahorro Futuro Reservas'!C90*'FR_Mantenimiento tasas'!$E$57/360,""))),5)</f>
        <v>0</v>
      </c>
    </row>
    <row r="91" spans="1:5">
      <c r="A91" s="123">
        <f t="shared" si="2"/>
        <v>89</v>
      </c>
      <c r="B91" s="122">
        <f>IF(DAY(A91)=DAY('F-Ahorro Futuro Reservas'!$H$10),'F-Ahorro Futuro Reservas'!$H$9,0)</f>
        <v>0</v>
      </c>
      <c r="C91" s="122">
        <f t="shared" si="3"/>
        <v>0</v>
      </c>
      <c r="D91" s="121">
        <f>ROUND(IF(C91&lt;='FR_Mantenimiento tasas'!$C$55,'Tabla Ahorro Futuro Reservas'!C91*'FR_Mantenimiento tasas'!$D$55/360,IF(C91&lt;='FR_Mantenimiento tasas'!$C$56,'Tabla Ahorro Futuro Reservas'!C91*'FR_Mantenimiento tasas'!$D$56/360,IF(C91&lt;='FR_Mantenimiento tasas'!$C$57,'Tabla Ahorro Futuro Reservas'!C91*'FR_Mantenimiento tasas'!$D$57/360,""))),5)</f>
        <v>0</v>
      </c>
      <c r="E91" s="121">
        <f>ROUND(IF(C91&lt;='FR_Mantenimiento tasas'!$C$55,'Tabla Ahorro Futuro Reservas'!C91*'FR_Mantenimiento tasas'!$E$55/360,IF(C91&lt;='FR_Mantenimiento tasas'!$C$56,'Tabla Ahorro Futuro Reservas'!C91*'FR_Mantenimiento tasas'!$E$56/360,IF(C91&lt;='FR_Mantenimiento tasas'!$C$57,'Tabla Ahorro Futuro Reservas'!C91*'FR_Mantenimiento tasas'!$E$57/360,""))),5)</f>
        <v>0</v>
      </c>
    </row>
    <row r="92" spans="1:5">
      <c r="A92" s="123">
        <f t="shared" si="2"/>
        <v>90</v>
      </c>
      <c r="B92" s="122">
        <f>IF(DAY(A92)=DAY('F-Ahorro Futuro Reservas'!$H$10),'F-Ahorro Futuro Reservas'!$H$9,0)</f>
        <v>0</v>
      </c>
      <c r="C92" s="122">
        <f t="shared" si="3"/>
        <v>0</v>
      </c>
      <c r="D92" s="121">
        <f>ROUND(IF(C92&lt;='FR_Mantenimiento tasas'!$C$55,'Tabla Ahorro Futuro Reservas'!C92*'FR_Mantenimiento tasas'!$D$55/360,IF(C92&lt;='FR_Mantenimiento tasas'!$C$56,'Tabla Ahorro Futuro Reservas'!C92*'FR_Mantenimiento tasas'!$D$56/360,IF(C92&lt;='FR_Mantenimiento tasas'!$C$57,'Tabla Ahorro Futuro Reservas'!C92*'FR_Mantenimiento tasas'!$D$57/360,""))),5)</f>
        <v>0</v>
      </c>
      <c r="E92" s="121">
        <f>ROUND(IF(C92&lt;='FR_Mantenimiento tasas'!$C$55,'Tabla Ahorro Futuro Reservas'!C92*'FR_Mantenimiento tasas'!$E$55/360,IF(C92&lt;='FR_Mantenimiento tasas'!$C$56,'Tabla Ahorro Futuro Reservas'!C92*'FR_Mantenimiento tasas'!$E$56/360,IF(C92&lt;='FR_Mantenimiento tasas'!$C$57,'Tabla Ahorro Futuro Reservas'!C92*'FR_Mantenimiento tasas'!$E$57/360,""))),5)</f>
        <v>0</v>
      </c>
    </row>
    <row r="93" spans="1:5">
      <c r="A93" s="123">
        <f t="shared" si="2"/>
        <v>91</v>
      </c>
      <c r="B93" s="122">
        <f>IF(DAY(A93)=DAY('F-Ahorro Futuro Reservas'!$H$10),'F-Ahorro Futuro Reservas'!$H$9,0)</f>
        <v>0</v>
      </c>
      <c r="C93" s="122">
        <f t="shared" si="3"/>
        <v>0</v>
      </c>
      <c r="D93" s="121">
        <f>ROUND(IF(C93&lt;='FR_Mantenimiento tasas'!$C$55,'Tabla Ahorro Futuro Reservas'!C93*'FR_Mantenimiento tasas'!$D$55/360,IF(C93&lt;='FR_Mantenimiento tasas'!$C$56,'Tabla Ahorro Futuro Reservas'!C93*'FR_Mantenimiento tasas'!$D$56/360,IF(C93&lt;='FR_Mantenimiento tasas'!$C$57,'Tabla Ahorro Futuro Reservas'!C93*'FR_Mantenimiento tasas'!$D$57/360,""))),5)</f>
        <v>0</v>
      </c>
      <c r="E93" s="121">
        <f>ROUND(IF(C93&lt;='FR_Mantenimiento tasas'!$C$55,'Tabla Ahorro Futuro Reservas'!C93*'FR_Mantenimiento tasas'!$E$55/360,IF(C93&lt;='FR_Mantenimiento tasas'!$C$56,'Tabla Ahorro Futuro Reservas'!C93*'FR_Mantenimiento tasas'!$E$56/360,IF(C93&lt;='FR_Mantenimiento tasas'!$C$57,'Tabla Ahorro Futuro Reservas'!C93*'FR_Mantenimiento tasas'!$E$57/360,""))),5)</f>
        <v>0</v>
      </c>
    </row>
    <row r="94" spans="1:5">
      <c r="A94" s="123">
        <f t="shared" si="2"/>
        <v>92</v>
      </c>
      <c r="B94" s="122">
        <f>IF(DAY(A94)=DAY('F-Ahorro Futuro Reservas'!$H$10),'F-Ahorro Futuro Reservas'!$H$9,0)</f>
        <v>0</v>
      </c>
      <c r="C94" s="122">
        <f t="shared" si="3"/>
        <v>0</v>
      </c>
      <c r="D94" s="121">
        <f>ROUND(IF(C94&lt;='FR_Mantenimiento tasas'!$C$55,'Tabla Ahorro Futuro Reservas'!C94*'FR_Mantenimiento tasas'!$D$55/360,IF(C94&lt;='FR_Mantenimiento tasas'!$C$56,'Tabla Ahorro Futuro Reservas'!C94*'FR_Mantenimiento tasas'!$D$56/360,IF(C94&lt;='FR_Mantenimiento tasas'!$C$57,'Tabla Ahorro Futuro Reservas'!C94*'FR_Mantenimiento tasas'!$D$57/360,""))),5)</f>
        <v>0</v>
      </c>
      <c r="E94" s="121">
        <f>ROUND(IF(C94&lt;='FR_Mantenimiento tasas'!$C$55,'Tabla Ahorro Futuro Reservas'!C94*'FR_Mantenimiento tasas'!$E$55/360,IF(C94&lt;='FR_Mantenimiento tasas'!$C$56,'Tabla Ahorro Futuro Reservas'!C94*'FR_Mantenimiento tasas'!$E$56/360,IF(C94&lt;='FR_Mantenimiento tasas'!$C$57,'Tabla Ahorro Futuro Reservas'!C94*'FR_Mantenimiento tasas'!$E$57/360,""))),5)</f>
        <v>0</v>
      </c>
    </row>
    <row r="95" spans="1:5">
      <c r="A95" s="123">
        <f t="shared" si="2"/>
        <v>93</v>
      </c>
      <c r="B95" s="122">
        <f>IF(DAY(A95)=DAY('F-Ahorro Futuro Reservas'!$H$10),'F-Ahorro Futuro Reservas'!$H$9,0)</f>
        <v>0</v>
      </c>
      <c r="C95" s="122">
        <f t="shared" si="3"/>
        <v>0</v>
      </c>
      <c r="D95" s="121">
        <f>ROUND(IF(C95&lt;='FR_Mantenimiento tasas'!$C$55,'Tabla Ahorro Futuro Reservas'!C95*'FR_Mantenimiento tasas'!$D$55/360,IF(C95&lt;='FR_Mantenimiento tasas'!$C$56,'Tabla Ahorro Futuro Reservas'!C95*'FR_Mantenimiento tasas'!$D$56/360,IF(C95&lt;='FR_Mantenimiento tasas'!$C$57,'Tabla Ahorro Futuro Reservas'!C95*'FR_Mantenimiento tasas'!$D$57/360,""))),5)</f>
        <v>0</v>
      </c>
      <c r="E95" s="121">
        <f>ROUND(IF(C95&lt;='FR_Mantenimiento tasas'!$C$55,'Tabla Ahorro Futuro Reservas'!C95*'FR_Mantenimiento tasas'!$E$55/360,IF(C95&lt;='FR_Mantenimiento tasas'!$C$56,'Tabla Ahorro Futuro Reservas'!C95*'FR_Mantenimiento tasas'!$E$56/360,IF(C95&lt;='FR_Mantenimiento tasas'!$C$57,'Tabla Ahorro Futuro Reservas'!C95*'FR_Mantenimiento tasas'!$E$57/360,""))),5)</f>
        <v>0</v>
      </c>
    </row>
    <row r="96" spans="1:5">
      <c r="A96" s="123">
        <f t="shared" si="2"/>
        <v>94</v>
      </c>
      <c r="B96" s="122">
        <f>IF(DAY(A96)=DAY('F-Ahorro Futuro Reservas'!$H$10),'F-Ahorro Futuro Reservas'!$H$9,0)</f>
        <v>0</v>
      </c>
      <c r="C96" s="122">
        <f t="shared" si="3"/>
        <v>0</v>
      </c>
      <c r="D96" s="121">
        <f>ROUND(IF(C96&lt;='FR_Mantenimiento tasas'!$C$55,'Tabla Ahorro Futuro Reservas'!C96*'FR_Mantenimiento tasas'!$D$55/360,IF(C96&lt;='FR_Mantenimiento tasas'!$C$56,'Tabla Ahorro Futuro Reservas'!C96*'FR_Mantenimiento tasas'!$D$56/360,IF(C96&lt;='FR_Mantenimiento tasas'!$C$57,'Tabla Ahorro Futuro Reservas'!C96*'FR_Mantenimiento tasas'!$D$57/360,""))),5)</f>
        <v>0</v>
      </c>
      <c r="E96" s="121">
        <f>ROUND(IF(C96&lt;='FR_Mantenimiento tasas'!$C$55,'Tabla Ahorro Futuro Reservas'!C96*'FR_Mantenimiento tasas'!$E$55/360,IF(C96&lt;='FR_Mantenimiento tasas'!$C$56,'Tabla Ahorro Futuro Reservas'!C96*'FR_Mantenimiento tasas'!$E$56/360,IF(C96&lt;='FR_Mantenimiento tasas'!$C$57,'Tabla Ahorro Futuro Reservas'!C96*'FR_Mantenimiento tasas'!$E$57/360,""))),5)</f>
        <v>0</v>
      </c>
    </row>
    <row r="97" spans="1:5">
      <c r="A97" s="123">
        <f t="shared" si="2"/>
        <v>95</v>
      </c>
      <c r="B97" s="122">
        <f>IF(DAY(A97)=DAY('F-Ahorro Futuro Reservas'!$H$10),'F-Ahorro Futuro Reservas'!$H$9,0)</f>
        <v>0</v>
      </c>
      <c r="C97" s="122">
        <f t="shared" si="3"/>
        <v>0</v>
      </c>
      <c r="D97" s="121">
        <f>ROUND(IF(C97&lt;='FR_Mantenimiento tasas'!$C$55,'Tabla Ahorro Futuro Reservas'!C97*'FR_Mantenimiento tasas'!$D$55/360,IF(C97&lt;='FR_Mantenimiento tasas'!$C$56,'Tabla Ahorro Futuro Reservas'!C97*'FR_Mantenimiento tasas'!$D$56/360,IF(C97&lt;='FR_Mantenimiento tasas'!$C$57,'Tabla Ahorro Futuro Reservas'!C97*'FR_Mantenimiento tasas'!$D$57/360,""))),5)</f>
        <v>0</v>
      </c>
      <c r="E97" s="121">
        <f>ROUND(IF(C97&lt;='FR_Mantenimiento tasas'!$C$55,'Tabla Ahorro Futuro Reservas'!C97*'FR_Mantenimiento tasas'!$E$55/360,IF(C97&lt;='FR_Mantenimiento tasas'!$C$56,'Tabla Ahorro Futuro Reservas'!C97*'FR_Mantenimiento tasas'!$E$56/360,IF(C97&lt;='FR_Mantenimiento tasas'!$C$57,'Tabla Ahorro Futuro Reservas'!C97*'FR_Mantenimiento tasas'!$E$57/360,""))),5)</f>
        <v>0</v>
      </c>
    </row>
    <row r="98" spans="1:5">
      <c r="A98" s="123">
        <f t="shared" si="2"/>
        <v>96</v>
      </c>
      <c r="B98" s="122">
        <f>IF(DAY(A98)=DAY('F-Ahorro Futuro Reservas'!$H$10),'F-Ahorro Futuro Reservas'!$H$9,0)</f>
        <v>0</v>
      </c>
      <c r="C98" s="122">
        <f t="shared" si="3"/>
        <v>0</v>
      </c>
      <c r="D98" s="121">
        <f>ROUND(IF(C98&lt;='FR_Mantenimiento tasas'!$C$55,'Tabla Ahorro Futuro Reservas'!C98*'FR_Mantenimiento tasas'!$D$55/360,IF(C98&lt;='FR_Mantenimiento tasas'!$C$56,'Tabla Ahorro Futuro Reservas'!C98*'FR_Mantenimiento tasas'!$D$56/360,IF(C98&lt;='FR_Mantenimiento tasas'!$C$57,'Tabla Ahorro Futuro Reservas'!C98*'FR_Mantenimiento tasas'!$D$57/360,""))),5)</f>
        <v>0</v>
      </c>
      <c r="E98" s="121">
        <f>ROUND(IF(C98&lt;='FR_Mantenimiento tasas'!$C$55,'Tabla Ahorro Futuro Reservas'!C98*'FR_Mantenimiento tasas'!$E$55/360,IF(C98&lt;='FR_Mantenimiento tasas'!$C$56,'Tabla Ahorro Futuro Reservas'!C98*'FR_Mantenimiento tasas'!$E$56/360,IF(C98&lt;='FR_Mantenimiento tasas'!$C$57,'Tabla Ahorro Futuro Reservas'!C98*'FR_Mantenimiento tasas'!$E$57/360,""))),5)</f>
        <v>0</v>
      </c>
    </row>
    <row r="99" spans="1:5">
      <c r="A99" s="123">
        <f t="shared" si="2"/>
        <v>97</v>
      </c>
      <c r="B99" s="122">
        <f>IF(DAY(A99)=DAY('F-Ahorro Futuro Reservas'!$H$10),'F-Ahorro Futuro Reservas'!$H$9,0)</f>
        <v>0</v>
      </c>
      <c r="C99" s="122">
        <f t="shared" si="3"/>
        <v>0</v>
      </c>
      <c r="D99" s="121">
        <f>ROUND(IF(C99&lt;='FR_Mantenimiento tasas'!$C$55,'Tabla Ahorro Futuro Reservas'!C99*'FR_Mantenimiento tasas'!$D$55/360,IF(C99&lt;='FR_Mantenimiento tasas'!$C$56,'Tabla Ahorro Futuro Reservas'!C99*'FR_Mantenimiento tasas'!$D$56/360,IF(C99&lt;='FR_Mantenimiento tasas'!$C$57,'Tabla Ahorro Futuro Reservas'!C99*'FR_Mantenimiento tasas'!$D$57/360,""))),5)</f>
        <v>0</v>
      </c>
      <c r="E99" s="121">
        <f>ROUND(IF(C99&lt;='FR_Mantenimiento tasas'!$C$55,'Tabla Ahorro Futuro Reservas'!C99*'FR_Mantenimiento tasas'!$E$55/360,IF(C99&lt;='FR_Mantenimiento tasas'!$C$56,'Tabla Ahorro Futuro Reservas'!C99*'FR_Mantenimiento tasas'!$E$56/360,IF(C99&lt;='FR_Mantenimiento tasas'!$C$57,'Tabla Ahorro Futuro Reservas'!C99*'FR_Mantenimiento tasas'!$E$57/360,""))),5)</f>
        <v>0</v>
      </c>
    </row>
    <row r="100" spans="1:5">
      <c r="A100" s="123">
        <f t="shared" si="2"/>
        <v>98</v>
      </c>
      <c r="B100" s="122">
        <f>IF(DAY(A100)=DAY('F-Ahorro Futuro Reservas'!$H$10),'F-Ahorro Futuro Reservas'!$H$9,0)</f>
        <v>0</v>
      </c>
      <c r="C100" s="122">
        <f t="shared" si="3"/>
        <v>0</v>
      </c>
      <c r="D100" s="121">
        <f>ROUND(IF(C100&lt;='FR_Mantenimiento tasas'!$C$55,'Tabla Ahorro Futuro Reservas'!C100*'FR_Mantenimiento tasas'!$D$55/360,IF(C100&lt;='FR_Mantenimiento tasas'!$C$56,'Tabla Ahorro Futuro Reservas'!C100*'FR_Mantenimiento tasas'!$D$56/360,IF(C100&lt;='FR_Mantenimiento tasas'!$C$57,'Tabla Ahorro Futuro Reservas'!C100*'FR_Mantenimiento tasas'!$D$57/360,""))),5)</f>
        <v>0</v>
      </c>
      <c r="E100" s="121">
        <f>ROUND(IF(C100&lt;='FR_Mantenimiento tasas'!$C$55,'Tabla Ahorro Futuro Reservas'!C100*'FR_Mantenimiento tasas'!$E$55/360,IF(C100&lt;='FR_Mantenimiento tasas'!$C$56,'Tabla Ahorro Futuro Reservas'!C100*'FR_Mantenimiento tasas'!$E$56/360,IF(C100&lt;='FR_Mantenimiento tasas'!$C$57,'Tabla Ahorro Futuro Reservas'!C100*'FR_Mantenimiento tasas'!$E$57/360,""))),5)</f>
        <v>0</v>
      </c>
    </row>
    <row r="101" spans="1:5">
      <c r="A101" s="123">
        <f t="shared" si="2"/>
        <v>99</v>
      </c>
      <c r="B101" s="122">
        <f>IF(DAY(A101)=DAY('F-Ahorro Futuro Reservas'!$H$10),'F-Ahorro Futuro Reservas'!$H$9,0)</f>
        <v>0</v>
      </c>
      <c r="C101" s="122">
        <f t="shared" si="3"/>
        <v>0</v>
      </c>
      <c r="D101" s="121">
        <f>ROUND(IF(C101&lt;='FR_Mantenimiento tasas'!$C$55,'Tabla Ahorro Futuro Reservas'!C101*'FR_Mantenimiento tasas'!$D$55/360,IF(C101&lt;='FR_Mantenimiento tasas'!$C$56,'Tabla Ahorro Futuro Reservas'!C101*'FR_Mantenimiento tasas'!$D$56/360,IF(C101&lt;='FR_Mantenimiento tasas'!$C$57,'Tabla Ahorro Futuro Reservas'!C101*'FR_Mantenimiento tasas'!$D$57/360,""))),5)</f>
        <v>0</v>
      </c>
      <c r="E101" s="121">
        <f>ROUND(IF(C101&lt;='FR_Mantenimiento tasas'!$C$55,'Tabla Ahorro Futuro Reservas'!C101*'FR_Mantenimiento tasas'!$E$55/360,IF(C101&lt;='FR_Mantenimiento tasas'!$C$56,'Tabla Ahorro Futuro Reservas'!C101*'FR_Mantenimiento tasas'!$E$56/360,IF(C101&lt;='FR_Mantenimiento tasas'!$C$57,'Tabla Ahorro Futuro Reservas'!C101*'FR_Mantenimiento tasas'!$E$57/360,""))),5)</f>
        <v>0</v>
      </c>
    </row>
    <row r="102" spans="1:5">
      <c r="A102" s="123">
        <f t="shared" si="2"/>
        <v>100</v>
      </c>
      <c r="B102" s="122">
        <f>IF(DAY(A102)=DAY('F-Ahorro Futuro Reservas'!$H$10),'F-Ahorro Futuro Reservas'!$H$9,0)</f>
        <v>0</v>
      </c>
      <c r="C102" s="122">
        <f t="shared" si="3"/>
        <v>0</v>
      </c>
      <c r="D102" s="121">
        <f>ROUND(IF(C102&lt;='FR_Mantenimiento tasas'!$C$55,'Tabla Ahorro Futuro Reservas'!C102*'FR_Mantenimiento tasas'!$D$55/360,IF(C102&lt;='FR_Mantenimiento tasas'!$C$56,'Tabla Ahorro Futuro Reservas'!C102*'FR_Mantenimiento tasas'!$D$56/360,IF(C102&lt;='FR_Mantenimiento tasas'!$C$57,'Tabla Ahorro Futuro Reservas'!C102*'FR_Mantenimiento tasas'!$D$57/360,""))),5)</f>
        <v>0</v>
      </c>
      <c r="E102" s="121">
        <f>ROUND(IF(C102&lt;='FR_Mantenimiento tasas'!$C$55,'Tabla Ahorro Futuro Reservas'!C102*'FR_Mantenimiento tasas'!$E$55/360,IF(C102&lt;='FR_Mantenimiento tasas'!$C$56,'Tabla Ahorro Futuro Reservas'!C102*'FR_Mantenimiento tasas'!$E$56/360,IF(C102&lt;='FR_Mantenimiento tasas'!$C$57,'Tabla Ahorro Futuro Reservas'!C102*'FR_Mantenimiento tasas'!$E$57/360,""))),5)</f>
        <v>0</v>
      </c>
    </row>
    <row r="103" spans="1:5">
      <c r="A103" s="123">
        <f t="shared" si="2"/>
        <v>101</v>
      </c>
      <c r="B103" s="122">
        <f>IF(DAY(A103)=DAY('F-Ahorro Futuro Reservas'!$H$10),'F-Ahorro Futuro Reservas'!$H$9,0)</f>
        <v>0</v>
      </c>
      <c r="C103" s="122">
        <f t="shared" si="3"/>
        <v>0</v>
      </c>
      <c r="D103" s="121">
        <f>ROUND(IF(C103&lt;='FR_Mantenimiento tasas'!$C$55,'Tabla Ahorro Futuro Reservas'!C103*'FR_Mantenimiento tasas'!$D$55/360,IF(C103&lt;='FR_Mantenimiento tasas'!$C$56,'Tabla Ahorro Futuro Reservas'!C103*'FR_Mantenimiento tasas'!$D$56/360,IF(C103&lt;='FR_Mantenimiento tasas'!$C$57,'Tabla Ahorro Futuro Reservas'!C103*'FR_Mantenimiento tasas'!$D$57/360,""))),5)</f>
        <v>0</v>
      </c>
      <c r="E103" s="121">
        <f>ROUND(IF(C103&lt;='FR_Mantenimiento tasas'!$C$55,'Tabla Ahorro Futuro Reservas'!C103*'FR_Mantenimiento tasas'!$E$55/360,IF(C103&lt;='FR_Mantenimiento tasas'!$C$56,'Tabla Ahorro Futuro Reservas'!C103*'FR_Mantenimiento tasas'!$E$56/360,IF(C103&lt;='FR_Mantenimiento tasas'!$C$57,'Tabla Ahorro Futuro Reservas'!C103*'FR_Mantenimiento tasas'!$E$57/360,""))),5)</f>
        <v>0</v>
      </c>
    </row>
    <row r="104" spans="1:5">
      <c r="A104" s="123">
        <f t="shared" si="2"/>
        <v>102</v>
      </c>
      <c r="B104" s="122">
        <f>IF(DAY(A104)=DAY('F-Ahorro Futuro Reservas'!$H$10),'F-Ahorro Futuro Reservas'!$H$9,0)</f>
        <v>0</v>
      </c>
      <c r="C104" s="122">
        <f t="shared" si="3"/>
        <v>0</v>
      </c>
      <c r="D104" s="121">
        <f>ROUND(IF(C104&lt;='FR_Mantenimiento tasas'!$C$55,'Tabla Ahorro Futuro Reservas'!C104*'FR_Mantenimiento tasas'!$D$55/360,IF(C104&lt;='FR_Mantenimiento tasas'!$C$56,'Tabla Ahorro Futuro Reservas'!C104*'FR_Mantenimiento tasas'!$D$56/360,IF(C104&lt;='FR_Mantenimiento tasas'!$C$57,'Tabla Ahorro Futuro Reservas'!C104*'FR_Mantenimiento tasas'!$D$57/360,""))),5)</f>
        <v>0</v>
      </c>
      <c r="E104" s="121">
        <f>ROUND(IF(C104&lt;='FR_Mantenimiento tasas'!$C$55,'Tabla Ahorro Futuro Reservas'!C104*'FR_Mantenimiento tasas'!$E$55/360,IF(C104&lt;='FR_Mantenimiento tasas'!$C$56,'Tabla Ahorro Futuro Reservas'!C104*'FR_Mantenimiento tasas'!$E$56/360,IF(C104&lt;='FR_Mantenimiento tasas'!$C$57,'Tabla Ahorro Futuro Reservas'!C104*'FR_Mantenimiento tasas'!$E$57/360,""))),5)</f>
        <v>0</v>
      </c>
    </row>
    <row r="105" spans="1:5">
      <c r="A105" s="123">
        <f t="shared" si="2"/>
        <v>103</v>
      </c>
      <c r="B105" s="122">
        <f>IF(DAY(A105)=DAY('F-Ahorro Futuro Reservas'!$H$10),'F-Ahorro Futuro Reservas'!$H$9,0)</f>
        <v>0</v>
      </c>
      <c r="C105" s="122">
        <f t="shared" si="3"/>
        <v>0</v>
      </c>
      <c r="D105" s="121">
        <f>ROUND(IF(C105&lt;='FR_Mantenimiento tasas'!$C$55,'Tabla Ahorro Futuro Reservas'!C105*'FR_Mantenimiento tasas'!$D$55/360,IF(C105&lt;='FR_Mantenimiento tasas'!$C$56,'Tabla Ahorro Futuro Reservas'!C105*'FR_Mantenimiento tasas'!$D$56/360,IF(C105&lt;='FR_Mantenimiento tasas'!$C$57,'Tabla Ahorro Futuro Reservas'!C105*'FR_Mantenimiento tasas'!$D$57/360,""))),5)</f>
        <v>0</v>
      </c>
      <c r="E105" s="121">
        <f>ROUND(IF(C105&lt;='FR_Mantenimiento tasas'!$C$55,'Tabla Ahorro Futuro Reservas'!C105*'FR_Mantenimiento tasas'!$E$55/360,IF(C105&lt;='FR_Mantenimiento tasas'!$C$56,'Tabla Ahorro Futuro Reservas'!C105*'FR_Mantenimiento tasas'!$E$56/360,IF(C105&lt;='FR_Mantenimiento tasas'!$C$57,'Tabla Ahorro Futuro Reservas'!C105*'FR_Mantenimiento tasas'!$E$57/360,""))),5)</f>
        <v>0</v>
      </c>
    </row>
    <row r="106" spans="1:5">
      <c r="A106" s="123">
        <f t="shared" si="2"/>
        <v>104</v>
      </c>
      <c r="B106" s="122">
        <f>IF(DAY(A106)=DAY('F-Ahorro Futuro Reservas'!$H$10),'F-Ahorro Futuro Reservas'!$H$9,0)</f>
        <v>0</v>
      </c>
      <c r="C106" s="122">
        <f t="shared" si="3"/>
        <v>0</v>
      </c>
      <c r="D106" s="121">
        <f>ROUND(IF(C106&lt;='FR_Mantenimiento tasas'!$C$55,'Tabla Ahorro Futuro Reservas'!C106*'FR_Mantenimiento tasas'!$D$55/360,IF(C106&lt;='FR_Mantenimiento tasas'!$C$56,'Tabla Ahorro Futuro Reservas'!C106*'FR_Mantenimiento tasas'!$D$56/360,IF(C106&lt;='FR_Mantenimiento tasas'!$C$57,'Tabla Ahorro Futuro Reservas'!C106*'FR_Mantenimiento tasas'!$D$57/360,""))),5)</f>
        <v>0</v>
      </c>
      <c r="E106" s="121">
        <f>ROUND(IF(C106&lt;='FR_Mantenimiento tasas'!$C$55,'Tabla Ahorro Futuro Reservas'!C106*'FR_Mantenimiento tasas'!$E$55/360,IF(C106&lt;='FR_Mantenimiento tasas'!$C$56,'Tabla Ahorro Futuro Reservas'!C106*'FR_Mantenimiento tasas'!$E$56/360,IF(C106&lt;='FR_Mantenimiento tasas'!$C$57,'Tabla Ahorro Futuro Reservas'!C106*'FR_Mantenimiento tasas'!$E$57/360,""))),5)</f>
        <v>0</v>
      </c>
    </row>
    <row r="107" spans="1:5">
      <c r="A107" s="123">
        <f t="shared" si="2"/>
        <v>105</v>
      </c>
      <c r="B107" s="122">
        <f>IF(DAY(A107)=DAY('F-Ahorro Futuro Reservas'!$H$10),'F-Ahorro Futuro Reservas'!$H$9,0)</f>
        <v>0</v>
      </c>
      <c r="C107" s="122">
        <f t="shared" si="3"/>
        <v>0</v>
      </c>
      <c r="D107" s="121">
        <f>ROUND(IF(C107&lt;='FR_Mantenimiento tasas'!$C$55,'Tabla Ahorro Futuro Reservas'!C107*'FR_Mantenimiento tasas'!$D$55/360,IF(C107&lt;='FR_Mantenimiento tasas'!$C$56,'Tabla Ahorro Futuro Reservas'!C107*'FR_Mantenimiento tasas'!$D$56/360,IF(C107&lt;='FR_Mantenimiento tasas'!$C$57,'Tabla Ahorro Futuro Reservas'!C107*'FR_Mantenimiento tasas'!$D$57/360,""))),5)</f>
        <v>0</v>
      </c>
      <c r="E107" s="121">
        <f>ROUND(IF(C107&lt;='FR_Mantenimiento tasas'!$C$55,'Tabla Ahorro Futuro Reservas'!C107*'FR_Mantenimiento tasas'!$E$55/360,IF(C107&lt;='FR_Mantenimiento tasas'!$C$56,'Tabla Ahorro Futuro Reservas'!C107*'FR_Mantenimiento tasas'!$E$56/360,IF(C107&lt;='FR_Mantenimiento tasas'!$C$57,'Tabla Ahorro Futuro Reservas'!C107*'FR_Mantenimiento tasas'!$E$57/360,""))),5)</f>
        <v>0</v>
      </c>
    </row>
    <row r="108" spans="1:5">
      <c r="A108" s="123">
        <f t="shared" si="2"/>
        <v>106</v>
      </c>
      <c r="B108" s="122">
        <f>IF(DAY(A108)=DAY('F-Ahorro Futuro Reservas'!$H$10),'F-Ahorro Futuro Reservas'!$H$9,0)</f>
        <v>0</v>
      </c>
      <c r="C108" s="122">
        <f t="shared" si="3"/>
        <v>0</v>
      </c>
      <c r="D108" s="121">
        <f>ROUND(IF(C108&lt;='FR_Mantenimiento tasas'!$C$55,'Tabla Ahorro Futuro Reservas'!C108*'FR_Mantenimiento tasas'!$D$55/360,IF(C108&lt;='FR_Mantenimiento tasas'!$C$56,'Tabla Ahorro Futuro Reservas'!C108*'FR_Mantenimiento tasas'!$D$56/360,IF(C108&lt;='FR_Mantenimiento tasas'!$C$57,'Tabla Ahorro Futuro Reservas'!C108*'FR_Mantenimiento tasas'!$D$57/360,""))),5)</f>
        <v>0</v>
      </c>
      <c r="E108" s="121">
        <f>ROUND(IF(C108&lt;='FR_Mantenimiento tasas'!$C$55,'Tabla Ahorro Futuro Reservas'!C108*'FR_Mantenimiento tasas'!$E$55/360,IF(C108&lt;='FR_Mantenimiento tasas'!$C$56,'Tabla Ahorro Futuro Reservas'!C108*'FR_Mantenimiento tasas'!$E$56/360,IF(C108&lt;='FR_Mantenimiento tasas'!$C$57,'Tabla Ahorro Futuro Reservas'!C108*'FR_Mantenimiento tasas'!$E$57/360,""))),5)</f>
        <v>0</v>
      </c>
    </row>
    <row r="109" spans="1:5">
      <c r="A109" s="123">
        <f t="shared" si="2"/>
        <v>107</v>
      </c>
      <c r="B109" s="122">
        <f>IF(DAY(A109)=DAY('F-Ahorro Futuro Reservas'!$H$10),'F-Ahorro Futuro Reservas'!$H$9,0)</f>
        <v>0</v>
      </c>
      <c r="C109" s="122">
        <f t="shared" si="3"/>
        <v>0</v>
      </c>
      <c r="D109" s="121">
        <f>ROUND(IF(C109&lt;='FR_Mantenimiento tasas'!$C$55,'Tabla Ahorro Futuro Reservas'!C109*'FR_Mantenimiento tasas'!$D$55/360,IF(C109&lt;='FR_Mantenimiento tasas'!$C$56,'Tabla Ahorro Futuro Reservas'!C109*'FR_Mantenimiento tasas'!$D$56/360,IF(C109&lt;='FR_Mantenimiento tasas'!$C$57,'Tabla Ahorro Futuro Reservas'!C109*'FR_Mantenimiento tasas'!$D$57/360,""))),5)</f>
        <v>0</v>
      </c>
      <c r="E109" s="121">
        <f>ROUND(IF(C109&lt;='FR_Mantenimiento tasas'!$C$55,'Tabla Ahorro Futuro Reservas'!C109*'FR_Mantenimiento tasas'!$E$55/360,IF(C109&lt;='FR_Mantenimiento tasas'!$C$56,'Tabla Ahorro Futuro Reservas'!C109*'FR_Mantenimiento tasas'!$E$56/360,IF(C109&lt;='FR_Mantenimiento tasas'!$C$57,'Tabla Ahorro Futuro Reservas'!C109*'FR_Mantenimiento tasas'!$E$57/360,""))),5)</f>
        <v>0</v>
      </c>
    </row>
    <row r="110" spans="1:5">
      <c r="A110" s="123">
        <f t="shared" si="2"/>
        <v>108</v>
      </c>
      <c r="B110" s="122">
        <f>IF(DAY(A110)=DAY('F-Ahorro Futuro Reservas'!$H$10),'F-Ahorro Futuro Reservas'!$H$9,0)</f>
        <v>0</v>
      </c>
      <c r="C110" s="122">
        <f t="shared" si="3"/>
        <v>0</v>
      </c>
      <c r="D110" s="121">
        <f>ROUND(IF(C110&lt;='FR_Mantenimiento tasas'!$C$55,'Tabla Ahorro Futuro Reservas'!C110*'FR_Mantenimiento tasas'!$D$55/360,IF(C110&lt;='FR_Mantenimiento tasas'!$C$56,'Tabla Ahorro Futuro Reservas'!C110*'FR_Mantenimiento tasas'!$D$56/360,IF(C110&lt;='FR_Mantenimiento tasas'!$C$57,'Tabla Ahorro Futuro Reservas'!C110*'FR_Mantenimiento tasas'!$D$57/360,""))),5)</f>
        <v>0</v>
      </c>
      <c r="E110" s="121">
        <f>ROUND(IF(C110&lt;='FR_Mantenimiento tasas'!$C$55,'Tabla Ahorro Futuro Reservas'!C110*'FR_Mantenimiento tasas'!$E$55/360,IF(C110&lt;='FR_Mantenimiento tasas'!$C$56,'Tabla Ahorro Futuro Reservas'!C110*'FR_Mantenimiento tasas'!$E$56/360,IF(C110&lt;='FR_Mantenimiento tasas'!$C$57,'Tabla Ahorro Futuro Reservas'!C110*'FR_Mantenimiento tasas'!$E$57/360,""))),5)</f>
        <v>0</v>
      </c>
    </row>
    <row r="111" spans="1:5">
      <c r="A111" s="123">
        <f t="shared" si="2"/>
        <v>109</v>
      </c>
      <c r="B111" s="122">
        <f>IF(DAY(A111)=DAY('F-Ahorro Futuro Reservas'!$H$10),'F-Ahorro Futuro Reservas'!$H$9,0)</f>
        <v>0</v>
      </c>
      <c r="C111" s="122">
        <f t="shared" si="3"/>
        <v>0</v>
      </c>
      <c r="D111" s="121">
        <f>ROUND(IF(C111&lt;='FR_Mantenimiento tasas'!$C$55,'Tabla Ahorro Futuro Reservas'!C111*'FR_Mantenimiento tasas'!$D$55/360,IF(C111&lt;='FR_Mantenimiento tasas'!$C$56,'Tabla Ahorro Futuro Reservas'!C111*'FR_Mantenimiento tasas'!$D$56/360,IF(C111&lt;='FR_Mantenimiento tasas'!$C$57,'Tabla Ahorro Futuro Reservas'!C111*'FR_Mantenimiento tasas'!$D$57/360,""))),5)</f>
        <v>0</v>
      </c>
      <c r="E111" s="121">
        <f>ROUND(IF(C111&lt;='FR_Mantenimiento tasas'!$C$55,'Tabla Ahorro Futuro Reservas'!C111*'FR_Mantenimiento tasas'!$E$55/360,IF(C111&lt;='FR_Mantenimiento tasas'!$C$56,'Tabla Ahorro Futuro Reservas'!C111*'FR_Mantenimiento tasas'!$E$56/360,IF(C111&lt;='FR_Mantenimiento tasas'!$C$57,'Tabla Ahorro Futuro Reservas'!C111*'FR_Mantenimiento tasas'!$E$57/360,""))),5)</f>
        <v>0</v>
      </c>
    </row>
    <row r="112" spans="1:5">
      <c r="A112" s="123">
        <f t="shared" si="2"/>
        <v>110</v>
      </c>
      <c r="B112" s="122">
        <f>IF(DAY(A112)=DAY('F-Ahorro Futuro Reservas'!$H$10),'F-Ahorro Futuro Reservas'!$H$9,0)</f>
        <v>0</v>
      </c>
      <c r="C112" s="122">
        <f t="shared" si="3"/>
        <v>0</v>
      </c>
      <c r="D112" s="121">
        <f>ROUND(IF(C112&lt;='FR_Mantenimiento tasas'!$C$55,'Tabla Ahorro Futuro Reservas'!C112*'FR_Mantenimiento tasas'!$D$55/360,IF(C112&lt;='FR_Mantenimiento tasas'!$C$56,'Tabla Ahorro Futuro Reservas'!C112*'FR_Mantenimiento tasas'!$D$56/360,IF(C112&lt;='FR_Mantenimiento tasas'!$C$57,'Tabla Ahorro Futuro Reservas'!C112*'FR_Mantenimiento tasas'!$D$57/360,""))),5)</f>
        <v>0</v>
      </c>
      <c r="E112" s="121">
        <f>ROUND(IF(C112&lt;='FR_Mantenimiento tasas'!$C$55,'Tabla Ahorro Futuro Reservas'!C112*'FR_Mantenimiento tasas'!$E$55/360,IF(C112&lt;='FR_Mantenimiento tasas'!$C$56,'Tabla Ahorro Futuro Reservas'!C112*'FR_Mantenimiento tasas'!$E$56/360,IF(C112&lt;='FR_Mantenimiento tasas'!$C$57,'Tabla Ahorro Futuro Reservas'!C112*'FR_Mantenimiento tasas'!$E$57/360,""))),5)</f>
        <v>0</v>
      </c>
    </row>
    <row r="113" spans="1:5">
      <c r="A113" s="123">
        <f t="shared" si="2"/>
        <v>111</v>
      </c>
      <c r="B113" s="122">
        <f>IF(DAY(A113)=DAY('F-Ahorro Futuro Reservas'!$H$10),'F-Ahorro Futuro Reservas'!$H$9,0)</f>
        <v>0</v>
      </c>
      <c r="C113" s="122">
        <f t="shared" si="3"/>
        <v>0</v>
      </c>
      <c r="D113" s="121">
        <f>ROUND(IF(C113&lt;='FR_Mantenimiento tasas'!$C$55,'Tabla Ahorro Futuro Reservas'!C113*'FR_Mantenimiento tasas'!$D$55/360,IF(C113&lt;='FR_Mantenimiento tasas'!$C$56,'Tabla Ahorro Futuro Reservas'!C113*'FR_Mantenimiento tasas'!$D$56/360,IF(C113&lt;='FR_Mantenimiento tasas'!$C$57,'Tabla Ahorro Futuro Reservas'!C113*'FR_Mantenimiento tasas'!$D$57/360,""))),5)</f>
        <v>0</v>
      </c>
      <c r="E113" s="121">
        <f>ROUND(IF(C113&lt;='FR_Mantenimiento tasas'!$C$55,'Tabla Ahorro Futuro Reservas'!C113*'FR_Mantenimiento tasas'!$E$55/360,IF(C113&lt;='FR_Mantenimiento tasas'!$C$56,'Tabla Ahorro Futuro Reservas'!C113*'FR_Mantenimiento tasas'!$E$56/360,IF(C113&lt;='FR_Mantenimiento tasas'!$C$57,'Tabla Ahorro Futuro Reservas'!C113*'FR_Mantenimiento tasas'!$E$57/360,""))),5)</f>
        <v>0</v>
      </c>
    </row>
    <row r="114" spans="1:5">
      <c r="A114" s="123">
        <f t="shared" si="2"/>
        <v>112</v>
      </c>
      <c r="B114" s="122">
        <f>IF(DAY(A114)=DAY('F-Ahorro Futuro Reservas'!$H$10),'F-Ahorro Futuro Reservas'!$H$9,0)</f>
        <v>0</v>
      </c>
      <c r="C114" s="122">
        <f t="shared" si="3"/>
        <v>0</v>
      </c>
      <c r="D114" s="121">
        <f>ROUND(IF(C114&lt;='FR_Mantenimiento tasas'!$C$55,'Tabla Ahorro Futuro Reservas'!C114*'FR_Mantenimiento tasas'!$D$55/360,IF(C114&lt;='FR_Mantenimiento tasas'!$C$56,'Tabla Ahorro Futuro Reservas'!C114*'FR_Mantenimiento tasas'!$D$56/360,IF(C114&lt;='FR_Mantenimiento tasas'!$C$57,'Tabla Ahorro Futuro Reservas'!C114*'FR_Mantenimiento tasas'!$D$57/360,""))),5)</f>
        <v>0</v>
      </c>
      <c r="E114" s="121">
        <f>ROUND(IF(C114&lt;='FR_Mantenimiento tasas'!$C$55,'Tabla Ahorro Futuro Reservas'!C114*'FR_Mantenimiento tasas'!$E$55/360,IF(C114&lt;='FR_Mantenimiento tasas'!$C$56,'Tabla Ahorro Futuro Reservas'!C114*'FR_Mantenimiento tasas'!$E$56/360,IF(C114&lt;='FR_Mantenimiento tasas'!$C$57,'Tabla Ahorro Futuro Reservas'!C114*'FR_Mantenimiento tasas'!$E$57/360,""))),5)</f>
        <v>0</v>
      </c>
    </row>
    <row r="115" spans="1:5">
      <c r="A115" s="123">
        <f t="shared" si="2"/>
        <v>113</v>
      </c>
      <c r="B115" s="122">
        <f>IF(DAY(A115)=DAY('F-Ahorro Futuro Reservas'!$H$10),'F-Ahorro Futuro Reservas'!$H$9,0)</f>
        <v>0</v>
      </c>
      <c r="C115" s="122">
        <f t="shared" si="3"/>
        <v>0</v>
      </c>
      <c r="D115" s="121">
        <f>ROUND(IF(C115&lt;='FR_Mantenimiento tasas'!$C$55,'Tabla Ahorro Futuro Reservas'!C115*'FR_Mantenimiento tasas'!$D$55/360,IF(C115&lt;='FR_Mantenimiento tasas'!$C$56,'Tabla Ahorro Futuro Reservas'!C115*'FR_Mantenimiento tasas'!$D$56/360,IF(C115&lt;='FR_Mantenimiento tasas'!$C$57,'Tabla Ahorro Futuro Reservas'!C115*'FR_Mantenimiento tasas'!$D$57/360,""))),5)</f>
        <v>0</v>
      </c>
      <c r="E115" s="121">
        <f>ROUND(IF(C115&lt;='FR_Mantenimiento tasas'!$C$55,'Tabla Ahorro Futuro Reservas'!C115*'FR_Mantenimiento tasas'!$E$55/360,IF(C115&lt;='FR_Mantenimiento tasas'!$C$56,'Tabla Ahorro Futuro Reservas'!C115*'FR_Mantenimiento tasas'!$E$56/360,IF(C115&lt;='FR_Mantenimiento tasas'!$C$57,'Tabla Ahorro Futuro Reservas'!C115*'FR_Mantenimiento tasas'!$E$57/360,""))),5)</f>
        <v>0</v>
      </c>
    </row>
    <row r="116" spans="1:5">
      <c r="A116" s="123">
        <f t="shared" si="2"/>
        <v>114</v>
      </c>
      <c r="B116" s="122">
        <f>IF(DAY(A116)=DAY('F-Ahorro Futuro Reservas'!$H$10),'F-Ahorro Futuro Reservas'!$H$9,0)</f>
        <v>0</v>
      </c>
      <c r="C116" s="122">
        <f t="shared" si="3"/>
        <v>0</v>
      </c>
      <c r="D116" s="121">
        <f>ROUND(IF(C116&lt;='FR_Mantenimiento tasas'!$C$55,'Tabla Ahorro Futuro Reservas'!C116*'FR_Mantenimiento tasas'!$D$55/360,IF(C116&lt;='FR_Mantenimiento tasas'!$C$56,'Tabla Ahorro Futuro Reservas'!C116*'FR_Mantenimiento tasas'!$D$56/360,IF(C116&lt;='FR_Mantenimiento tasas'!$C$57,'Tabla Ahorro Futuro Reservas'!C116*'FR_Mantenimiento tasas'!$D$57/360,""))),5)</f>
        <v>0</v>
      </c>
      <c r="E116" s="121">
        <f>ROUND(IF(C116&lt;='FR_Mantenimiento tasas'!$C$55,'Tabla Ahorro Futuro Reservas'!C116*'FR_Mantenimiento tasas'!$E$55/360,IF(C116&lt;='FR_Mantenimiento tasas'!$C$56,'Tabla Ahorro Futuro Reservas'!C116*'FR_Mantenimiento tasas'!$E$56/360,IF(C116&lt;='FR_Mantenimiento tasas'!$C$57,'Tabla Ahorro Futuro Reservas'!C116*'FR_Mantenimiento tasas'!$E$57/360,""))),5)</f>
        <v>0</v>
      </c>
    </row>
    <row r="117" spans="1:5">
      <c r="A117" s="123">
        <f t="shared" si="2"/>
        <v>115</v>
      </c>
      <c r="B117" s="122">
        <f>IF(DAY(A117)=DAY('F-Ahorro Futuro Reservas'!$H$10),'F-Ahorro Futuro Reservas'!$H$9,0)</f>
        <v>0</v>
      </c>
      <c r="C117" s="122">
        <f t="shared" si="3"/>
        <v>0</v>
      </c>
      <c r="D117" s="121">
        <f>ROUND(IF(C117&lt;='FR_Mantenimiento tasas'!$C$55,'Tabla Ahorro Futuro Reservas'!C117*'FR_Mantenimiento tasas'!$D$55/360,IF(C117&lt;='FR_Mantenimiento tasas'!$C$56,'Tabla Ahorro Futuro Reservas'!C117*'FR_Mantenimiento tasas'!$D$56/360,IF(C117&lt;='FR_Mantenimiento tasas'!$C$57,'Tabla Ahorro Futuro Reservas'!C117*'FR_Mantenimiento tasas'!$D$57/360,""))),5)</f>
        <v>0</v>
      </c>
      <c r="E117" s="121">
        <f>ROUND(IF(C117&lt;='FR_Mantenimiento tasas'!$C$55,'Tabla Ahorro Futuro Reservas'!C117*'FR_Mantenimiento tasas'!$E$55/360,IF(C117&lt;='FR_Mantenimiento tasas'!$C$56,'Tabla Ahorro Futuro Reservas'!C117*'FR_Mantenimiento tasas'!$E$56/360,IF(C117&lt;='FR_Mantenimiento tasas'!$C$57,'Tabla Ahorro Futuro Reservas'!C117*'FR_Mantenimiento tasas'!$E$57/360,""))),5)</f>
        <v>0</v>
      </c>
    </row>
    <row r="118" spans="1:5">
      <c r="A118" s="123">
        <f t="shared" si="2"/>
        <v>116</v>
      </c>
      <c r="B118" s="122">
        <f>IF(DAY(A118)=DAY('F-Ahorro Futuro Reservas'!$H$10),'F-Ahorro Futuro Reservas'!$H$9,0)</f>
        <v>0</v>
      </c>
      <c r="C118" s="122">
        <f t="shared" si="3"/>
        <v>0</v>
      </c>
      <c r="D118" s="121">
        <f>ROUND(IF(C118&lt;='FR_Mantenimiento tasas'!$C$55,'Tabla Ahorro Futuro Reservas'!C118*'FR_Mantenimiento tasas'!$D$55/360,IF(C118&lt;='FR_Mantenimiento tasas'!$C$56,'Tabla Ahorro Futuro Reservas'!C118*'FR_Mantenimiento tasas'!$D$56/360,IF(C118&lt;='FR_Mantenimiento tasas'!$C$57,'Tabla Ahorro Futuro Reservas'!C118*'FR_Mantenimiento tasas'!$D$57/360,""))),5)</f>
        <v>0</v>
      </c>
      <c r="E118" s="121">
        <f>ROUND(IF(C118&lt;='FR_Mantenimiento tasas'!$C$55,'Tabla Ahorro Futuro Reservas'!C118*'FR_Mantenimiento tasas'!$E$55/360,IF(C118&lt;='FR_Mantenimiento tasas'!$C$56,'Tabla Ahorro Futuro Reservas'!C118*'FR_Mantenimiento tasas'!$E$56/360,IF(C118&lt;='FR_Mantenimiento tasas'!$C$57,'Tabla Ahorro Futuro Reservas'!C118*'FR_Mantenimiento tasas'!$E$57/360,""))),5)</f>
        <v>0</v>
      </c>
    </row>
    <row r="119" spans="1:5">
      <c r="A119" s="123">
        <f t="shared" si="2"/>
        <v>117</v>
      </c>
      <c r="B119" s="122">
        <f>IF(DAY(A119)=DAY('F-Ahorro Futuro Reservas'!$H$10),'F-Ahorro Futuro Reservas'!$H$9,0)</f>
        <v>0</v>
      </c>
      <c r="C119" s="122">
        <f t="shared" si="3"/>
        <v>0</v>
      </c>
      <c r="D119" s="121">
        <f>ROUND(IF(C119&lt;='FR_Mantenimiento tasas'!$C$55,'Tabla Ahorro Futuro Reservas'!C119*'FR_Mantenimiento tasas'!$D$55/360,IF(C119&lt;='FR_Mantenimiento tasas'!$C$56,'Tabla Ahorro Futuro Reservas'!C119*'FR_Mantenimiento tasas'!$D$56/360,IF(C119&lt;='FR_Mantenimiento tasas'!$C$57,'Tabla Ahorro Futuro Reservas'!C119*'FR_Mantenimiento tasas'!$D$57/360,""))),5)</f>
        <v>0</v>
      </c>
      <c r="E119" s="121">
        <f>ROUND(IF(C119&lt;='FR_Mantenimiento tasas'!$C$55,'Tabla Ahorro Futuro Reservas'!C119*'FR_Mantenimiento tasas'!$E$55/360,IF(C119&lt;='FR_Mantenimiento tasas'!$C$56,'Tabla Ahorro Futuro Reservas'!C119*'FR_Mantenimiento tasas'!$E$56/360,IF(C119&lt;='FR_Mantenimiento tasas'!$C$57,'Tabla Ahorro Futuro Reservas'!C119*'FR_Mantenimiento tasas'!$E$57/360,""))),5)</f>
        <v>0</v>
      </c>
    </row>
    <row r="120" spans="1:5">
      <c r="A120" s="123">
        <f t="shared" si="2"/>
        <v>118</v>
      </c>
      <c r="B120" s="122">
        <f>IF(DAY(A120)=DAY('F-Ahorro Futuro Reservas'!$H$10),'F-Ahorro Futuro Reservas'!$H$9,0)</f>
        <v>0</v>
      </c>
      <c r="C120" s="122">
        <f t="shared" si="3"/>
        <v>0</v>
      </c>
      <c r="D120" s="121">
        <f>ROUND(IF(C120&lt;='FR_Mantenimiento tasas'!$C$55,'Tabla Ahorro Futuro Reservas'!C120*'FR_Mantenimiento tasas'!$D$55/360,IF(C120&lt;='FR_Mantenimiento tasas'!$C$56,'Tabla Ahorro Futuro Reservas'!C120*'FR_Mantenimiento tasas'!$D$56/360,IF(C120&lt;='FR_Mantenimiento tasas'!$C$57,'Tabla Ahorro Futuro Reservas'!C120*'FR_Mantenimiento tasas'!$D$57/360,""))),5)</f>
        <v>0</v>
      </c>
      <c r="E120" s="121">
        <f>ROUND(IF(C120&lt;='FR_Mantenimiento tasas'!$C$55,'Tabla Ahorro Futuro Reservas'!C120*'FR_Mantenimiento tasas'!$E$55/360,IF(C120&lt;='FR_Mantenimiento tasas'!$C$56,'Tabla Ahorro Futuro Reservas'!C120*'FR_Mantenimiento tasas'!$E$56/360,IF(C120&lt;='FR_Mantenimiento tasas'!$C$57,'Tabla Ahorro Futuro Reservas'!C120*'FR_Mantenimiento tasas'!$E$57/360,""))),5)</f>
        <v>0</v>
      </c>
    </row>
    <row r="121" spans="1:5">
      <c r="A121" s="123">
        <f t="shared" si="2"/>
        <v>119</v>
      </c>
      <c r="B121" s="122">
        <f>IF(DAY(A121)=DAY('F-Ahorro Futuro Reservas'!$H$10),'F-Ahorro Futuro Reservas'!$H$9,0)</f>
        <v>0</v>
      </c>
      <c r="C121" s="122">
        <f t="shared" si="3"/>
        <v>0</v>
      </c>
      <c r="D121" s="121">
        <f>ROUND(IF(C121&lt;='FR_Mantenimiento tasas'!$C$55,'Tabla Ahorro Futuro Reservas'!C121*'FR_Mantenimiento tasas'!$D$55/360,IF(C121&lt;='FR_Mantenimiento tasas'!$C$56,'Tabla Ahorro Futuro Reservas'!C121*'FR_Mantenimiento tasas'!$D$56/360,IF(C121&lt;='FR_Mantenimiento tasas'!$C$57,'Tabla Ahorro Futuro Reservas'!C121*'FR_Mantenimiento tasas'!$D$57/360,""))),5)</f>
        <v>0</v>
      </c>
      <c r="E121" s="121">
        <f>ROUND(IF(C121&lt;='FR_Mantenimiento tasas'!$C$55,'Tabla Ahorro Futuro Reservas'!C121*'FR_Mantenimiento tasas'!$E$55/360,IF(C121&lt;='FR_Mantenimiento tasas'!$C$56,'Tabla Ahorro Futuro Reservas'!C121*'FR_Mantenimiento tasas'!$E$56/360,IF(C121&lt;='FR_Mantenimiento tasas'!$C$57,'Tabla Ahorro Futuro Reservas'!C121*'FR_Mantenimiento tasas'!$E$57/360,""))),5)</f>
        <v>0</v>
      </c>
    </row>
    <row r="122" spans="1:5">
      <c r="A122" s="123">
        <f t="shared" si="2"/>
        <v>120</v>
      </c>
      <c r="B122" s="122">
        <f>IF(DAY(A122)=DAY('F-Ahorro Futuro Reservas'!$H$10),'F-Ahorro Futuro Reservas'!$H$9,0)</f>
        <v>0</v>
      </c>
      <c r="C122" s="122">
        <f t="shared" si="3"/>
        <v>0</v>
      </c>
      <c r="D122" s="121">
        <f>ROUND(IF(C122&lt;='FR_Mantenimiento tasas'!$C$55,'Tabla Ahorro Futuro Reservas'!C122*'FR_Mantenimiento tasas'!$D$55/360,IF(C122&lt;='FR_Mantenimiento tasas'!$C$56,'Tabla Ahorro Futuro Reservas'!C122*'FR_Mantenimiento tasas'!$D$56/360,IF(C122&lt;='FR_Mantenimiento tasas'!$C$57,'Tabla Ahorro Futuro Reservas'!C122*'FR_Mantenimiento tasas'!$D$57/360,""))),5)</f>
        <v>0</v>
      </c>
      <c r="E122" s="121">
        <f>ROUND(IF(C122&lt;='FR_Mantenimiento tasas'!$C$55,'Tabla Ahorro Futuro Reservas'!C122*'FR_Mantenimiento tasas'!$E$55/360,IF(C122&lt;='FR_Mantenimiento tasas'!$C$56,'Tabla Ahorro Futuro Reservas'!C122*'FR_Mantenimiento tasas'!$E$56/360,IF(C122&lt;='FR_Mantenimiento tasas'!$C$57,'Tabla Ahorro Futuro Reservas'!C122*'FR_Mantenimiento tasas'!$E$57/360,""))),5)</f>
        <v>0</v>
      </c>
    </row>
    <row r="123" spans="1:5">
      <c r="A123" s="123">
        <f t="shared" si="2"/>
        <v>121</v>
      </c>
      <c r="B123" s="122">
        <f>IF(DAY(A123)=DAY('F-Ahorro Futuro Reservas'!$H$10),'F-Ahorro Futuro Reservas'!$H$9,0)</f>
        <v>0</v>
      </c>
      <c r="C123" s="122">
        <f t="shared" si="3"/>
        <v>0</v>
      </c>
      <c r="D123" s="121">
        <f>ROUND(IF(C123&lt;='FR_Mantenimiento tasas'!$C$55,'Tabla Ahorro Futuro Reservas'!C123*'FR_Mantenimiento tasas'!$D$55/360,IF(C123&lt;='FR_Mantenimiento tasas'!$C$56,'Tabla Ahorro Futuro Reservas'!C123*'FR_Mantenimiento tasas'!$D$56/360,IF(C123&lt;='FR_Mantenimiento tasas'!$C$57,'Tabla Ahorro Futuro Reservas'!C123*'FR_Mantenimiento tasas'!$D$57/360,""))),5)</f>
        <v>0</v>
      </c>
      <c r="E123" s="121">
        <f>ROUND(IF(C123&lt;='FR_Mantenimiento tasas'!$C$55,'Tabla Ahorro Futuro Reservas'!C123*'FR_Mantenimiento tasas'!$E$55/360,IF(C123&lt;='FR_Mantenimiento tasas'!$C$56,'Tabla Ahorro Futuro Reservas'!C123*'FR_Mantenimiento tasas'!$E$56/360,IF(C123&lt;='FR_Mantenimiento tasas'!$C$57,'Tabla Ahorro Futuro Reservas'!C123*'FR_Mantenimiento tasas'!$E$57/360,""))),5)</f>
        <v>0</v>
      </c>
    </row>
    <row r="124" spans="1:5">
      <c r="A124" s="123">
        <f t="shared" si="2"/>
        <v>122</v>
      </c>
      <c r="B124" s="122">
        <f>IF(DAY(A124)=DAY('F-Ahorro Futuro Reservas'!$H$10),'F-Ahorro Futuro Reservas'!$H$9,0)</f>
        <v>0</v>
      </c>
      <c r="C124" s="122">
        <f t="shared" si="3"/>
        <v>0</v>
      </c>
      <c r="D124" s="121">
        <f>ROUND(IF(C124&lt;='FR_Mantenimiento tasas'!$C$55,'Tabla Ahorro Futuro Reservas'!C124*'FR_Mantenimiento tasas'!$D$55/360,IF(C124&lt;='FR_Mantenimiento tasas'!$C$56,'Tabla Ahorro Futuro Reservas'!C124*'FR_Mantenimiento tasas'!$D$56/360,IF(C124&lt;='FR_Mantenimiento tasas'!$C$57,'Tabla Ahorro Futuro Reservas'!C124*'FR_Mantenimiento tasas'!$D$57/360,""))),5)</f>
        <v>0</v>
      </c>
      <c r="E124" s="121">
        <f>ROUND(IF(C124&lt;='FR_Mantenimiento tasas'!$C$55,'Tabla Ahorro Futuro Reservas'!C124*'FR_Mantenimiento tasas'!$E$55/360,IF(C124&lt;='FR_Mantenimiento tasas'!$C$56,'Tabla Ahorro Futuro Reservas'!C124*'FR_Mantenimiento tasas'!$E$56/360,IF(C124&lt;='FR_Mantenimiento tasas'!$C$57,'Tabla Ahorro Futuro Reservas'!C124*'FR_Mantenimiento tasas'!$E$57/360,""))),5)</f>
        <v>0</v>
      </c>
    </row>
    <row r="125" spans="1:5">
      <c r="A125" s="123">
        <f t="shared" si="2"/>
        <v>123</v>
      </c>
      <c r="B125" s="122">
        <f>IF(DAY(A125)=DAY('F-Ahorro Futuro Reservas'!$H$10),'F-Ahorro Futuro Reservas'!$H$9,0)</f>
        <v>0</v>
      </c>
      <c r="C125" s="122">
        <f t="shared" si="3"/>
        <v>0</v>
      </c>
      <c r="D125" s="121">
        <f>ROUND(IF(C125&lt;='FR_Mantenimiento tasas'!$C$55,'Tabla Ahorro Futuro Reservas'!C125*'FR_Mantenimiento tasas'!$D$55/360,IF(C125&lt;='FR_Mantenimiento tasas'!$C$56,'Tabla Ahorro Futuro Reservas'!C125*'FR_Mantenimiento tasas'!$D$56/360,IF(C125&lt;='FR_Mantenimiento tasas'!$C$57,'Tabla Ahorro Futuro Reservas'!C125*'FR_Mantenimiento tasas'!$D$57/360,""))),5)</f>
        <v>0</v>
      </c>
      <c r="E125" s="121">
        <f>ROUND(IF(C125&lt;='FR_Mantenimiento tasas'!$C$55,'Tabla Ahorro Futuro Reservas'!C125*'FR_Mantenimiento tasas'!$E$55/360,IF(C125&lt;='FR_Mantenimiento tasas'!$C$56,'Tabla Ahorro Futuro Reservas'!C125*'FR_Mantenimiento tasas'!$E$56/360,IF(C125&lt;='FR_Mantenimiento tasas'!$C$57,'Tabla Ahorro Futuro Reservas'!C125*'FR_Mantenimiento tasas'!$E$57/360,""))),5)</f>
        <v>0</v>
      </c>
    </row>
    <row r="126" spans="1:5">
      <c r="A126" s="123">
        <f t="shared" si="2"/>
        <v>124</v>
      </c>
      <c r="B126" s="122">
        <f>IF(DAY(A126)=DAY('F-Ahorro Futuro Reservas'!$H$10),'F-Ahorro Futuro Reservas'!$H$9,0)</f>
        <v>0</v>
      </c>
      <c r="C126" s="122">
        <f t="shared" si="3"/>
        <v>0</v>
      </c>
      <c r="D126" s="121">
        <f>ROUND(IF(C126&lt;='FR_Mantenimiento tasas'!$C$55,'Tabla Ahorro Futuro Reservas'!C126*'FR_Mantenimiento tasas'!$D$55/360,IF(C126&lt;='FR_Mantenimiento tasas'!$C$56,'Tabla Ahorro Futuro Reservas'!C126*'FR_Mantenimiento tasas'!$D$56/360,IF(C126&lt;='FR_Mantenimiento tasas'!$C$57,'Tabla Ahorro Futuro Reservas'!C126*'FR_Mantenimiento tasas'!$D$57/360,""))),5)</f>
        <v>0</v>
      </c>
      <c r="E126" s="121">
        <f>ROUND(IF(C126&lt;='FR_Mantenimiento tasas'!$C$55,'Tabla Ahorro Futuro Reservas'!C126*'FR_Mantenimiento tasas'!$E$55/360,IF(C126&lt;='FR_Mantenimiento tasas'!$C$56,'Tabla Ahorro Futuro Reservas'!C126*'FR_Mantenimiento tasas'!$E$56/360,IF(C126&lt;='FR_Mantenimiento tasas'!$C$57,'Tabla Ahorro Futuro Reservas'!C126*'FR_Mantenimiento tasas'!$E$57/360,""))),5)</f>
        <v>0</v>
      </c>
    </row>
    <row r="127" spans="1:5">
      <c r="A127" s="123">
        <f t="shared" si="2"/>
        <v>125</v>
      </c>
      <c r="B127" s="122">
        <f>IF(DAY(A127)=DAY('F-Ahorro Futuro Reservas'!$H$10),'F-Ahorro Futuro Reservas'!$H$9,0)</f>
        <v>0</v>
      </c>
      <c r="C127" s="122">
        <f t="shared" si="3"/>
        <v>0</v>
      </c>
      <c r="D127" s="121">
        <f>ROUND(IF(C127&lt;='FR_Mantenimiento tasas'!$C$55,'Tabla Ahorro Futuro Reservas'!C127*'FR_Mantenimiento tasas'!$D$55/360,IF(C127&lt;='FR_Mantenimiento tasas'!$C$56,'Tabla Ahorro Futuro Reservas'!C127*'FR_Mantenimiento tasas'!$D$56/360,IF(C127&lt;='FR_Mantenimiento tasas'!$C$57,'Tabla Ahorro Futuro Reservas'!C127*'FR_Mantenimiento tasas'!$D$57/360,""))),5)</f>
        <v>0</v>
      </c>
      <c r="E127" s="121">
        <f>ROUND(IF(C127&lt;='FR_Mantenimiento tasas'!$C$55,'Tabla Ahorro Futuro Reservas'!C127*'FR_Mantenimiento tasas'!$E$55/360,IF(C127&lt;='FR_Mantenimiento tasas'!$C$56,'Tabla Ahorro Futuro Reservas'!C127*'FR_Mantenimiento tasas'!$E$56/360,IF(C127&lt;='FR_Mantenimiento tasas'!$C$57,'Tabla Ahorro Futuro Reservas'!C127*'FR_Mantenimiento tasas'!$E$57/360,""))),5)</f>
        <v>0</v>
      </c>
    </row>
    <row r="128" spans="1:5">
      <c r="A128" s="123">
        <f t="shared" si="2"/>
        <v>126</v>
      </c>
      <c r="B128" s="122">
        <f>IF(DAY(A128)=DAY('F-Ahorro Futuro Reservas'!$H$10),'F-Ahorro Futuro Reservas'!$H$9,0)</f>
        <v>0</v>
      </c>
      <c r="C128" s="122">
        <f t="shared" si="3"/>
        <v>0</v>
      </c>
      <c r="D128" s="121">
        <f>ROUND(IF(C128&lt;='FR_Mantenimiento tasas'!$C$55,'Tabla Ahorro Futuro Reservas'!C128*'FR_Mantenimiento tasas'!$D$55/360,IF(C128&lt;='FR_Mantenimiento tasas'!$C$56,'Tabla Ahorro Futuro Reservas'!C128*'FR_Mantenimiento tasas'!$D$56/360,IF(C128&lt;='FR_Mantenimiento tasas'!$C$57,'Tabla Ahorro Futuro Reservas'!C128*'FR_Mantenimiento tasas'!$D$57/360,""))),5)</f>
        <v>0</v>
      </c>
      <c r="E128" s="121">
        <f>ROUND(IF(C128&lt;='FR_Mantenimiento tasas'!$C$55,'Tabla Ahorro Futuro Reservas'!C128*'FR_Mantenimiento tasas'!$E$55/360,IF(C128&lt;='FR_Mantenimiento tasas'!$C$56,'Tabla Ahorro Futuro Reservas'!C128*'FR_Mantenimiento tasas'!$E$56/360,IF(C128&lt;='FR_Mantenimiento tasas'!$C$57,'Tabla Ahorro Futuro Reservas'!C128*'FR_Mantenimiento tasas'!$E$57/360,""))),5)</f>
        <v>0</v>
      </c>
    </row>
    <row r="129" spans="1:5">
      <c r="A129" s="123">
        <f t="shared" si="2"/>
        <v>127</v>
      </c>
      <c r="B129" s="122">
        <f>IF(DAY(A129)=DAY('F-Ahorro Futuro Reservas'!$H$10),'F-Ahorro Futuro Reservas'!$H$9,0)</f>
        <v>0</v>
      </c>
      <c r="C129" s="122">
        <f t="shared" si="3"/>
        <v>0</v>
      </c>
      <c r="D129" s="121">
        <f>ROUND(IF(C129&lt;='FR_Mantenimiento tasas'!$C$55,'Tabla Ahorro Futuro Reservas'!C129*'FR_Mantenimiento tasas'!$D$55/360,IF(C129&lt;='FR_Mantenimiento tasas'!$C$56,'Tabla Ahorro Futuro Reservas'!C129*'FR_Mantenimiento tasas'!$D$56/360,IF(C129&lt;='FR_Mantenimiento tasas'!$C$57,'Tabla Ahorro Futuro Reservas'!C129*'FR_Mantenimiento tasas'!$D$57/360,""))),5)</f>
        <v>0</v>
      </c>
      <c r="E129" s="121">
        <f>ROUND(IF(C129&lt;='FR_Mantenimiento tasas'!$C$55,'Tabla Ahorro Futuro Reservas'!C129*'FR_Mantenimiento tasas'!$E$55/360,IF(C129&lt;='FR_Mantenimiento tasas'!$C$56,'Tabla Ahorro Futuro Reservas'!C129*'FR_Mantenimiento tasas'!$E$56/360,IF(C129&lt;='FR_Mantenimiento tasas'!$C$57,'Tabla Ahorro Futuro Reservas'!C129*'FR_Mantenimiento tasas'!$E$57/360,""))),5)</f>
        <v>0</v>
      </c>
    </row>
    <row r="130" spans="1:5">
      <c r="A130" s="123">
        <f t="shared" si="2"/>
        <v>128</v>
      </c>
      <c r="B130" s="122">
        <f>IF(DAY(A130)=DAY('F-Ahorro Futuro Reservas'!$H$10),'F-Ahorro Futuro Reservas'!$H$9,0)</f>
        <v>0</v>
      </c>
      <c r="C130" s="122">
        <f t="shared" si="3"/>
        <v>0</v>
      </c>
      <c r="D130" s="121">
        <f>ROUND(IF(C130&lt;='FR_Mantenimiento tasas'!$C$55,'Tabla Ahorro Futuro Reservas'!C130*'FR_Mantenimiento tasas'!$D$55/360,IF(C130&lt;='FR_Mantenimiento tasas'!$C$56,'Tabla Ahorro Futuro Reservas'!C130*'FR_Mantenimiento tasas'!$D$56/360,IF(C130&lt;='FR_Mantenimiento tasas'!$C$57,'Tabla Ahorro Futuro Reservas'!C130*'FR_Mantenimiento tasas'!$D$57/360,""))),5)</f>
        <v>0</v>
      </c>
      <c r="E130" s="121">
        <f>ROUND(IF(C130&lt;='FR_Mantenimiento tasas'!$C$55,'Tabla Ahorro Futuro Reservas'!C130*'FR_Mantenimiento tasas'!$E$55/360,IF(C130&lt;='FR_Mantenimiento tasas'!$C$56,'Tabla Ahorro Futuro Reservas'!C130*'FR_Mantenimiento tasas'!$E$56/360,IF(C130&lt;='FR_Mantenimiento tasas'!$C$57,'Tabla Ahorro Futuro Reservas'!C130*'FR_Mantenimiento tasas'!$E$57/360,""))),5)</f>
        <v>0</v>
      </c>
    </row>
    <row r="131" spans="1:5">
      <c r="A131" s="123">
        <f t="shared" si="2"/>
        <v>129</v>
      </c>
      <c r="B131" s="122">
        <f>IF(DAY(A131)=DAY('F-Ahorro Futuro Reservas'!$H$10),'F-Ahorro Futuro Reservas'!$H$9,0)</f>
        <v>0</v>
      </c>
      <c r="C131" s="122">
        <f t="shared" si="3"/>
        <v>0</v>
      </c>
      <c r="D131" s="121">
        <f>ROUND(IF(C131&lt;='FR_Mantenimiento tasas'!$C$55,'Tabla Ahorro Futuro Reservas'!C131*'FR_Mantenimiento tasas'!$D$55/360,IF(C131&lt;='FR_Mantenimiento tasas'!$C$56,'Tabla Ahorro Futuro Reservas'!C131*'FR_Mantenimiento tasas'!$D$56/360,IF(C131&lt;='FR_Mantenimiento tasas'!$C$57,'Tabla Ahorro Futuro Reservas'!C131*'FR_Mantenimiento tasas'!$D$57/360,""))),5)</f>
        <v>0</v>
      </c>
      <c r="E131" s="121">
        <f>ROUND(IF(C131&lt;='FR_Mantenimiento tasas'!$C$55,'Tabla Ahorro Futuro Reservas'!C131*'FR_Mantenimiento tasas'!$E$55/360,IF(C131&lt;='FR_Mantenimiento tasas'!$C$56,'Tabla Ahorro Futuro Reservas'!C131*'FR_Mantenimiento tasas'!$E$56/360,IF(C131&lt;='FR_Mantenimiento tasas'!$C$57,'Tabla Ahorro Futuro Reservas'!C131*'FR_Mantenimiento tasas'!$E$57/360,""))),5)</f>
        <v>0</v>
      </c>
    </row>
    <row r="132" spans="1:5">
      <c r="A132" s="123">
        <f t="shared" ref="A132:A195" si="4">+A131+1</f>
        <v>130</v>
      </c>
      <c r="B132" s="122">
        <f>IF(DAY(A132)=DAY('F-Ahorro Futuro Reservas'!$H$10),'F-Ahorro Futuro Reservas'!$H$9,0)</f>
        <v>0</v>
      </c>
      <c r="C132" s="122">
        <f t="shared" ref="C132:C195" si="5">+B132+C131+D131</f>
        <v>0</v>
      </c>
      <c r="D132" s="121">
        <f>ROUND(IF(C132&lt;='FR_Mantenimiento tasas'!$C$55,'Tabla Ahorro Futuro Reservas'!C132*'FR_Mantenimiento tasas'!$D$55/360,IF(C132&lt;='FR_Mantenimiento tasas'!$C$56,'Tabla Ahorro Futuro Reservas'!C132*'FR_Mantenimiento tasas'!$D$56/360,IF(C132&lt;='FR_Mantenimiento tasas'!$C$57,'Tabla Ahorro Futuro Reservas'!C132*'FR_Mantenimiento tasas'!$D$57/360,""))),5)</f>
        <v>0</v>
      </c>
      <c r="E132" s="121">
        <f>ROUND(IF(C132&lt;='FR_Mantenimiento tasas'!$C$55,'Tabla Ahorro Futuro Reservas'!C132*'FR_Mantenimiento tasas'!$E$55/360,IF(C132&lt;='FR_Mantenimiento tasas'!$C$56,'Tabla Ahorro Futuro Reservas'!C132*'FR_Mantenimiento tasas'!$E$56/360,IF(C132&lt;='FR_Mantenimiento tasas'!$C$57,'Tabla Ahorro Futuro Reservas'!C132*'FR_Mantenimiento tasas'!$E$57/360,""))),5)</f>
        <v>0</v>
      </c>
    </row>
    <row r="133" spans="1:5">
      <c r="A133" s="123">
        <f t="shared" si="4"/>
        <v>131</v>
      </c>
      <c r="B133" s="122">
        <f>IF(DAY(A133)=DAY('F-Ahorro Futuro Reservas'!$H$10),'F-Ahorro Futuro Reservas'!$H$9,0)</f>
        <v>0</v>
      </c>
      <c r="C133" s="122">
        <f t="shared" si="5"/>
        <v>0</v>
      </c>
      <c r="D133" s="121">
        <f>ROUND(IF(C133&lt;='FR_Mantenimiento tasas'!$C$55,'Tabla Ahorro Futuro Reservas'!C133*'FR_Mantenimiento tasas'!$D$55/360,IF(C133&lt;='FR_Mantenimiento tasas'!$C$56,'Tabla Ahorro Futuro Reservas'!C133*'FR_Mantenimiento tasas'!$D$56/360,IF(C133&lt;='FR_Mantenimiento tasas'!$C$57,'Tabla Ahorro Futuro Reservas'!C133*'FR_Mantenimiento tasas'!$D$57/360,""))),5)</f>
        <v>0</v>
      </c>
      <c r="E133" s="121">
        <f>ROUND(IF(C133&lt;='FR_Mantenimiento tasas'!$C$55,'Tabla Ahorro Futuro Reservas'!C133*'FR_Mantenimiento tasas'!$E$55/360,IF(C133&lt;='FR_Mantenimiento tasas'!$C$56,'Tabla Ahorro Futuro Reservas'!C133*'FR_Mantenimiento tasas'!$E$56/360,IF(C133&lt;='FR_Mantenimiento tasas'!$C$57,'Tabla Ahorro Futuro Reservas'!C133*'FR_Mantenimiento tasas'!$E$57/360,""))),5)</f>
        <v>0</v>
      </c>
    </row>
    <row r="134" spans="1:5">
      <c r="A134" s="123">
        <f t="shared" si="4"/>
        <v>132</v>
      </c>
      <c r="B134" s="122">
        <f>IF(DAY(A134)=DAY('F-Ahorro Futuro Reservas'!$H$10),'F-Ahorro Futuro Reservas'!$H$9,0)</f>
        <v>0</v>
      </c>
      <c r="C134" s="122">
        <f t="shared" si="5"/>
        <v>0</v>
      </c>
      <c r="D134" s="121">
        <f>ROUND(IF(C134&lt;='FR_Mantenimiento tasas'!$C$55,'Tabla Ahorro Futuro Reservas'!C134*'FR_Mantenimiento tasas'!$D$55/360,IF(C134&lt;='FR_Mantenimiento tasas'!$C$56,'Tabla Ahorro Futuro Reservas'!C134*'FR_Mantenimiento tasas'!$D$56/360,IF(C134&lt;='FR_Mantenimiento tasas'!$C$57,'Tabla Ahorro Futuro Reservas'!C134*'FR_Mantenimiento tasas'!$D$57/360,""))),5)</f>
        <v>0</v>
      </c>
      <c r="E134" s="121">
        <f>ROUND(IF(C134&lt;='FR_Mantenimiento tasas'!$C$55,'Tabla Ahorro Futuro Reservas'!C134*'FR_Mantenimiento tasas'!$E$55/360,IF(C134&lt;='FR_Mantenimiento tasas'!$C$56,'Tabla Ahorro Futuro Reservas'!C134*'FR_Mantenimiento tasas'!$E$56/360,IF(C134&lt;='FR_Mantenimiento tasas'!$C$57,'Tabla Ahorro Futuro Reservas'!C134*'FR_Mantenimiento tasas'!$E$57/360,""))),5)</f>
        <v>0</v>
      </c>
    </row>
    <row r="135" spans="1:5">
      <c r="A135" s="123">
        <f t="shared" si="4"/>
        <v>133</v>
      </c>
      <c r="B135" s="122">
        <f>IF(DAY(A135)=DAY('F-Ahorro Futuro Reservas'!$H$10),'F-Ahorro Futuro Reservas'!$H$9,0)</f>
        <v>0</v>
      </c>
      <c r="C135" s="122">
        <f t="shared" si="5"/>
        <v>0</v>
      </c>
      <c r="D135" s="121">
        <f>ROUND(IF(C135&lt;='FR_Mantenimiento tasas'!$C$55,'Tabla Ahorro Futuro Reservas'!C135*'FR_Mantenimiento tasas'!$D$55/360,IF(C135&lt;='FR_Mantenimiento tasas'!$C$56,'Tabla Ahorro Futuro Reservas'!C135*'FR_Mantenimiento tasas'!$D$56/360,IF(C135&lt;='FR_Mantenimiento tasas'!$C$57,'Tabla Ahorro Futuro Reservas'!C135*'FR_Mantenimiento tasas'!$D$57/360,""))),5)</f>
        <v>0</v>
      </c>
      <c r="E135" s="121">
        <f>ROUND(IF(C135&lt;='FR_Mantenimiento tasas'!$C$55,'Tabla Ahorro Futuro Reservas'!C135*'FR_Mantenimiento tasas'!$E$55/360,IF(C135&lt;='FR_Mantenimiento tasas'!$C$56,'Tabla Ahorro Futuro Reservas'!C135*'FR_Mantenimiento tasas'!$E$56/360,IF(C135&lt;='FR_Mantenimiento tasas'!$C$57,'Tabla Ahorro Futuro Reservas'!C135*'FR_Mantenimiento tasas'!$E$57/360,""))),5)</f>
        <v>0</v>
      </c>
    </row>
    <row r="136" spans="1:5">
      <c r="A136" s="123">
        <f t="shared" si="4"/>
        <v>134</v>
      </c>
      <c r="B136" s="122">
        <f>IF(DAY(A136)=DAY('F-Ahorro Futuro Reservas'!$H$10),'F-Ahorro Futuro Reservas'!$H$9,0)</f>
        <v>0</v>
      </c>
      <c r="C136" s="122">
        <f t="shared" si="5"/>
        <v>0</v>
      </c>
      <c r="D136" s="121">
        <f>ROUND(IF(C136&lt;='FR_Mantenimiento tasas'!$C$55,'Tabla Ahorro Futuro Reservas'!C136*'FR_Mantenimiento tasas'!$D$55/360,IF(C136&lt;='FR_Mantenimiento tasas'!$C$56,'Tabla Ahorro Futuro Reservas'!C136*'FR_Mantenimiento tasas'!$D$56/360,IF(C136&lt;='FR_Mantenimiento tasas'!$C$57,'Tabla Ahorro Futuro Reservas'!C136*'FR_Mantenimiento tasas'!$D$57/360,""))),5)</f>
        <v>0</v>
      </c>
      <c r="E136" s="121">
        <f>ROUND(IF(C136&lt;='FR_Mantenimiento tasas'!$C$55,'Tabla Ahorro Futuro Reservas'!C136*'FR_Mantenimiento tasas'!$E$55/360,IF(C136&lt;='FR_Mantenimiento tasas'!$C$56,'Tabla Ahorro Futuro Reservas'!C136*'FR_Mantenimiento tasas'!$E$56/360,IF(C136&lt;='FR_Mantenimiento tasas'!$C$57,'Tabla Ahorro Futuro Reservas'!C136*'FR_Mantenimiento tasas'!$E$57/360,""))),5)</f>
        <v>0</v>
      </c>
    </row>
    <row r="137" spans="1:5">
      <c r="A137" s="123">
        <f t="shared" si="4"/>
        <v>135</v>
      </c>
      <c r="B137" s="122">
        <f>IF(DAY(A137)=DAY('F-Ahorro Futuro Reservas'!$H$10),'F-Ahorro Futuro Reservas'!$H$9,0)</f>
        <v>0</v>
      </c>
      <c r="C137" s="122">
        <f t="shared" si="5"/>
        <v>0</v>
      </c>
      <c r="D137" s="121">
        <f>ROUND(IF(C137&lt;='FR_Mantenimiento tasas'!$C$55,'Tabla Ahorro Futuro Reservas'!C137*'FR_Mantenimiento tasas'!$D$55/360,IF(C137&lt;='FR_Mantenimiento tasas'!$C$56,'Tabla Ahorro Futuro Reservas'!C137*'FR_Mantenimiento tasas'!$D$56/360,IF(C137&lt;='FR_Mantenimiento tasas'!$C$57,'Tabla Ahorro Futuro Reservas'!C137*'FR_Mantenimiento tasas'!$D$57/360,""))),5)</f>
        <v>0</v>
      </c>
      <c r="E137" s="121">
        <f>ROUND(IF(C137&lt;='FR_Mantenimiento tasas'!$C$55,'Tabla Ahorro Futuro Reservas'!C137*'FR_Mantenimiento tasas'!$E$55/360,IF(C137&lt;='FR_Mantenimiento tasas'!$C$56,'Tabla Ahorro Futuro Reservas'!C137*'FR_Mantenimiento tasas'!$E$56/360,IF(C137&lt;='FR_Mantenimiento tasas'!$C$57,'Tabla Ahorro Futuro Reservas'!C137*'FR_Mantenimiento tasas'!$E$57/360,""))),5)</f>
        <v>0</v>
      </c>
    </row>
    <row r="138" spans="1:5">
      <c r="A138" s="123">
        <f t="shared" si="4"/>
        <v>136</v>
      </c>
      <c r="B138" s="122">
        <f>IF(DAY(A138)=DAY('F-Ahorro Futuro Reservas'!$H$10),'F-Ahorro Futuro Reservas'!$H$9,0)</f>
        <v>0</v>
      </c>
      <c r="C138" s="122">
        <f t="shared" si="5"/>
        <v>0</v>
      </c>
      <c r="D138" s="121">
        <f>ROUND(IF(C138&lt;='FR_Mantenimiento tasas'!$C$55,'Tabla Ahorro Futuro Reservas'!C138*'FR_Mantenimiento tasas'!$D$55/360,IF(C138&lt;='FR_Mantenimiento tasas'!$C$56,'Tabla Ahorro Futuro Reservas'!C138*'FR_Mantenimiento tasas'!$D$56/360,IF(C138&lt;='FR_Mantenimiento tasas'!$C$57,'Tabla Ahorro Futuro Reservas'!C138*'FR_Mantenimiento tasas'!$D$57/360,""))),5)</f>
        <v>0</v>
      </c>
      <c r="E138" s="121">
        <f>ROUND(IF(C138&lt;='FR_Mantenimiento tasas'!$C$55,'Tabla Ahorro Futuro Reservas'!C138*'FR_Mantenimiento tasas'!$E$55/360,IF(C138&lt;='FR_Mantenimiento tasas'!$C$56,'Tabla Ahorro Futuro Reservas'!C138*'FR_Mantenimiento tasas'!$E$56/360,IF(C138&lt;='FR_Mantenimiento tasas'!$C$57,'Tabla Ahorro Futuro Reservas'!C138*'FR_Mantenimiento tasas'!$E$57/360,""))),5)</f>
        <v>0</v>
      </c>
    </row>
    <row r="139" spans="1:5">
      <c r="A139" s="123">
        <f t="shared" si="4"/>
        <v>137</v>
      </c>
      <c r="B139" s="122">
        <f>IF(DAY(A139)=DAY('F-Ahorro Futuro Reservas'!$H$10),'F-Ahorro Futuro Reservas'!$H$9,0)</f>
        <v>0</v>
      </c>
      <c r="C139" s="122">
        <f t="shared" si="5"/>
        <v>0</v>
      </c>
      <c r="D139" s="121">
        <f>ROUND(IF(C139&lt;='FR_Mantenimiento tasas'!$C$55,'Tabla Ahorro Futuro Reservas'!C139*'FR_Mantenimiento tasas'!$D$55/360,IF(C139&lt;='FR_Mantenimiento tasas'!$C$56,'Tabla Ahorro Futuro Reservas'!C139*'FR_Mantenimiento tasas'!$D$56/360,IF(C139&lt;='FR_Mantenimiento tasas'!$C$57,'Tabla Ahorro Futuro Reservas'!C139*'FR_Mantenimiento tasas'!$D$57/360,""))),5)</f>
        <v>0</v>
      </c>
      <c r="E139" s="121">
        <f>ROUND(IF(C139&lt;='FR_Mantenimiento tasas'!$C$55,'Tabla Ahorro Futuro Reservas'!C139*'FR_Mantenimiento tasas'!$E$55/360,IF(C139&lt;='FR_Mantenimiento tasas'!$C$56,'Tabla Ahorro Futuro Reservas'!C139*'FR_Mantenimiento tasas'!$E$56/360,IF(C139&lt;='FR_Mantenimiento tasas'!$C$57,'Tabla Ahorro Futuro Reservas'!C139*'FR_Mantenimiento tasas'!$E$57/360,""))),5)</f>
        <v>0</v>
      </c>
    </row>
    <row r="140" spans="1:5">
      <c r="A140" s="123">
        <f t="shared" si="4"/>
        <v>138</v>
      </c>
      <c r="B140" s="122">
        <f>IF(DAY(A140)=DAY('F-Ahorro Futuro Reservas'!$H$10),'F-Ahorro Futuro Reservas'!$H$9,0)</f>
        <v>0</v>
      </c>
      <c r="C140" s="122">
        <f t="shared" si="5"/>
        <v>0</v>
      </c>
      <c r="D140" s="121">
        <f>ROUND(IF(C140&lt;='FR_Mantenimiento tasas'!$C$55,'Tabla Ahorro Futuro Reservas'!C140*'FR_Mantenimiento tasas'!$D$55/360,IF(C140&lt;='FR_Mantenimiento tasas'!$C$56,'Tabla Ahorro Futuro Reservas'!C140*'FR_Mantenimiento tasas'!$D$56/360,IF(C140&lt;='FR_Mantenimiento tasas'!$C$57,'Tabla Ahorro Futuro Reservas'!C140*'FR_Mantenimiento tasas'!$D$57/360,""))),5)</f>
        <v>0</v>
      </c>
      <c r="E140" s="121">
        <f>ROUND(IF(C140&lt;='FR_Mantenimiento tasas'!$C$55,'Tabla Ahorro Futuro Reservas'!C140*'FR_Mantenimiento tasas'!$E$55/360,IF(C140&lt;='FR_Mantenimiento tasas'!$C$56,'Tabla Ahorro Futuro Reservas'!C140*'FR_Mantenimiento tasas'!$E$56/360,IF(C140&lt;='FR_Mantenimiento tasas'!$C$57,'Tabla Ahorro Futuro Reservas'!C140*'FR_Mantenimiento tasas'!$E$57/360,""))),5)</f>
        <v>0</v>
      </c>
    </row>
    <row r="141" spans="1:5">
      <c r="A141" s="123">
        <f t="shared" si="4"/>
        <v>139</v>
      </c>
      <c r="B141" s="122">
        <f>IF(DAY(A141)=DAY('F-Ahorro Futuro Reservas'!$H$10),'F-Ahorro Futuro Reservas'!$H$9,0)</f>
        <v>0</v>
      </c>
      <c r="C141" s="122">
        <f t="shared" si="5"/>
        <v>0</v>
      </c>
      <c r="D141" s="121">
        <f>ROUND(IF(C141&lt;='FR_Mantenimiento tasas'!$C$55,'Tabla Ahorro Futuro Reservas'!C141*'FR_Mantenimiento tasas'!$D$55/360,IF(C141&lt;='FR_Mantenimiento tasas'!$C$56,'Tabla Ahorro Futuro Reservas'!C141*'FR_Mantenimiento tasas'!$D$56/360,IF(C141&lt;='FR_Mantenimiento tasas'!$C$57,'Tabla Ahorro Futuro Reservas'!C141*'FR_Mantenimiento tasas'!$D$57/360,""))),5)</f>
        <v>0</v>
      </c>
      <c r="E141" s="121">
        <f>ROUND(IF(C141&lt;='FR_Mantenimiento tasas'!$C$55,'Tabla Ahorro Futuro Reservas'!C141*'FR_Mantenimiento tasas'!$E$55/360,IF(C141&lt;='FR_Mantenimiento tasas'!$C$56,'Tabla Ahorro Futuro Reservas'!C141*'FR_Mantenimiento tasas'!$E$56/360,IF(C141&lt;='FR_Mantenimiento tasas'!$C$57,'Tabla Ahorro Futuro Reservas'!C141*'FR_Mantenimiento tasas'!$E$57/360,""))),5)</f>
        <v>0</v>
      </c>
    </row>
    <row r="142" spans="1:5">
      <c r="A142" s="123">
        <f t="shared" si="4"/>
        <v>140</v>
      </c>
      <c r="B142" s="122">
        <f>IF(DAY(A142)=DAY('F-Ahorro Futuro Reservas'!$H$10),'F-Ahorro Futuro Reservas'!$H$9,0)</f>
        <v>0</v>
      </c>
      <c r="C142" s="122">
        <f t="shared" si="5"/>
        <v>0</v>
      </c>
      <c r="D142" s="121">
        <f>ROUND(IF(C142&lt;='FR_Mantenimiento tasas'!$C$55,'Tabla Ahorro Futuro Reservas'!C142*'FR_Mantenimiento tasas'!$D$55/360,IF(C142&lt;='FR_Mantenimiento tasas'!$C$56,'Tabla Ahorro Futuro Reservas'!C142*'FR_Mantenimiento tasas'!$D$56/360,IF(C142&lt;='FR_Mantenimiento tasas'!$C$57,'Tabla Ahorro Futuro Reservas'!C142*'FR_Mantenimiento tasas'!$D$57/360,""))),5)</f>
        <v>0</v>
      </c>
      <c r="E142" s="121">
        <f>ROUND(IF(C142&lt;='FR_Mantenimiento tasas'!$C$55,'Tabla Ahorro Futuro Reservas'!C142*'FR_Mantenimiento tasas'!$E$55/360,IF(C142&lt;='FR_Mantenimiento tasas'!$C$56,'Tabla Ahorro Futuro Reservas'!C142*'FR_Mantenimiento tasas'!$E$56/360,IF(C142&lt;='FR_Mantenimiento tasas'!$C$57,'Tabla Ahorro Futuro Reservas'!C142*'FR_Mantenimiento tasas'!$E$57/360,""))),5)</f>
        <v>0</v>
      </c>
    </row>
    <row r="143" spans="1:5">
      <c r="A143" s="123">
        <f t="shared" si="4"/>
        <v>141</v>
      </c>
      <c r="B143" s="122">
        <f>IF(DAY(A143)=DAY('F-Ahorro Futuro Reservas'!$H$10),'F-Ahorro Futuro Reservas'!$H$9,0)</f>
        <v>0</v>
      </c>
      <c r="C143" s="122">
        <f t="shared" si="5"/>
        <v>0</v>
      </c>
      <c r="D143" s="121">
        <f>ROUND(IF(C143&lt;='FR_Mantenimiento tasas'!$C$55,'Tabla Ahorro Futuro Reservas'!C143*'FR_Mantenimiento tasas'!$D$55/360,IF(C143&lt;='FR_Mantenimiento tasas'!$C$56,'Tabla Ahorro Futuro Reservas'!C143*'FR_Mantenimiento tasas'!$D$56/360,IF(C143&lt;='FR_Mantenimiento tasas'!$C$57,'Tabla Ahorro Futuro Reservas'!C143*'FR_Mantenimiento tasas'!$D$57/360,""))),5)</f>
        <v>0</v>
      </c>
      <c r="E143" s="121">
        <f>ROUND(IF(C143&lt;='FR_Mantenimiento tasas'!$C$55,'Tabla Ahorro Futuro Reservas'!C143*'FR_Mantenimiento tasas'!$E$55/360,IF(C143&lt;='FR_Mantenimiento tasas'!$C$56,'Tabla Ahorro Futuro Reservas'!C143*'FR_Mantenimiento tasas'!$E$56/360,IF(C143&lt;='FR_Mantenimiento tasas'!$C$57,'Tabla Ahorro Futuro Reservas'!C143*'FR_Mantenimiento tasas'!$E$57/360,""))),5)</f>
        <v>0</v>
      </c>
    </row>
    <row r="144" spans="1:5">
      <c r="A144" s="123">
        <f t="shared" si="4"/>
        <v>142</v>
      </c>
      <c r="B144" s="122">
        <f>IF(DAY(A144)=DAY('F-Ahorro Futuro Reservas'!$H$10),'F-Ahorro Futuro Reservas'!$H$9,0)</f>
        <v>0</v>
      </c>
      <c r="C144" s="122">
        <f t="shared" si="5"/>
        <v>0</v>
      </c>
      <c r="D144" s="121">
        <f>ROUND(IF(C144&lt;='FR_Mantenimiento tasas'!$C$55,'Tabla Ahorro Futuro Reservas'!C144*'FR_Mantenimiento tasas'!$D$55/360,IF(C144&lt;='FR_Mantenimiento tasas'!$C$56,'Tabla Ahorro Futuro Reservas'!C144*'FR_Mantenimiento tasas'!$D$56/360,IF(C144&lt;='FR_Mantenimiento tasas'!$C$57,'Tabla Ahorro Futuro Reservas'!C144*'FR_Mantenimiento tasas'!$D$57/360,""))),5)</f>
        <v>0</v>
      </c>
      <c r="E144" s="121">
        <f>ROUND(IF(C144&lt;='FR_Mantenimiento tasas'!$C$55,'Tabla Ahorro Futuro Reservas'!C144*'FR_Mantenimiento tasas'!$E$55/360,IF(C144&lt;='FR_Mantenimiento tasas'!$C$56,'Tabla Ahorro Futuro Reservas'!C144*'FR_Mantenimiento tasas'!$E$56/360,IF(C144&lt;='FR_Mantenimiento tasas'!$C$57,'Tabla Ahorro Futuro Reservas'!C144*'FR_Mantenimiento tasas'!$E$57/360,""))),5)</f>
        <v>0</v>
      </c>
    </row>
    <row r="145" spans="1:5">
      <c r="A145" s="123">
        <f t="shared" si="4"/>
        <v>143</v>
      </c>
      <c r="B145" s="122">
        <f>IF(DAY(A145)=DAY('F-Ahorro Futuro Reservas'!$H$10),'F-Ahorro Futuro Reservas'!$H$9,0)</f>
        <v>0</v>
      </c>
      <c r="C145" s="122">
        <f t="shared" si="5"/>
        <v>0</v>
      </c>
      <c r="D145" s="121">
        <f>ROUND(IF(C145&lt;='FR_Mantenimiento tasas'!$C$55,'Tabla Ahorro Futuro Reservas'!C145*'FR_Mantenimiento tasas'!$D$55/360,IF(C145&lt;='FR_Mantenimiento tasas'!$C$56,'Tabla Ahorro Futuro Reservas'!C145*'FR_Mantenimiento tasas'!$D$56/360,IF(C145&lt;='FR_Mantenimiento tasas'!$C$57,'Tabla Ahorro Futuro Reservas'!C145*'FR_Mantenimiento tasas'!$D$57/360,""))),5)</f>
        <v>0</v>
      </c>
      <c r="E145" s="121">
        <f>ROUND(IF(C145&lt;='FR_Mantenimiento tasas'!$C$55,'Tabla Ahorro Futuro Reservas'!C145*'FR_Mantenimiento tasas'!$E$55/360,IF(C145&lt;='FR_Mantenimiento tasas'!$C$56,'Tabla Ahorro Futuro Reservas'!C145*'FR_Mantenimiento tasas'!$E$56/360,IF(C145&lt;='FR_Mantenimiento tasas'!$C$57,'Tabla Ahorro Futuro Reservas'!C145*'FR_Mantenimiento tasas'!$E$57/360,""))),5)</f>
        <v>0</v>
      </c>
    </row>
    <row r="146" spans="1:5">
      <c r="A146" s="123">
        <f t="shared" si="4"/>
        <v>144</v>
      </c>
      <c r="B146" s="122">
        <f>IF(DAY(A146)=DAY('F-Ahorro Futuro Reservas'!$H$10),'F-Ahorro Futuro Reservas'!$H$9,0)</f>
        <v>0</v>
      </c>
      <c r="C146" s="122">
        <f t="shared" si="5"/>
        <v>0</v>
      </c>
      <c r="D146" s="121">
        <f>ROUND(IF(C146&lt;='FR_Mantenimiento tasas'!$C$55,'Tabla Ahorro Futuro Reservas'!C146*'FR_Mantenimiento tasas'!$D$55/360,IF(C146&lt;='FR_Mantenimiento tasas'!$C$56,'Tabla Ahorro Futuro Reservas'!C146*'FR_Mantenimiento tasas'!$D$56/360,IF(C146&lt;='FR_Mantenimiento tasas'!$C$57,'Tabla Ahorro Futuro Reservas'!C146*'FR_Mantenimiento tasas'!$D$57/360,""))),5)</f>
        <v>0</v>
      </c>
      <c r="E146" s="121">
        <f>ROUND(IF(C146&lt;='FR_Mantenimiento tasas'!$C$55,'Tabla Ahorro Futuro Reservas'!C146*'FR_Mantenimiento tasas'!$E$55/360,IF(C146&lt;='FR_Mantenimiento tasas'!$C$56,'Tabla Ahorro Futuro Reservas'!C146*'FR_Mantenimiento tasas'!$E$56/360,IF(C146&lt;='FR_Mantenimiento tasas'!$C$57,'Tabla Ahorro Futuro Reservas'!C146*'FR_Mantenimiento tasas'!$E$57/360,""))),5)</f>
        <v>0</v>
      </c>
    </row>
    <row r="147" spans="1:5">
      <c r="A147" s="123">
        <f t="shared" si="4"/>
        <v>145</v>
      </c>
      <c r="B147" s="122">
        <f>IF(DAY(A147)=DAY('F-Ahorro Futuro Reservas'!$H$10),'F-Ahorro Futuro Reservas'!$H$9,0)</f>
        <v>0</v>
      </c>
      <c r="C147" s="122">
        <f t="shared" si="5"/>
        <v>0</v>
      </c>
      <c r="D147" s="121">
        <f>ROUND(IF(C147&lt;='FR_Mantenimiento tasas'!$C$55,'Tabla Ahorro Futuro Reservas'!C147*'FR_Mantenimiento tasas'!$D$55/360,IF(C147&lt;='FR_Mantenimiento tasas'!$C$56,'Tabla Ahorro Futuro Reservas'!C147*'FR_Mantenimiento tasas'!$D$56/360,IF(C147&lt;='FR_Mantenimiento tasas'!$C$57,'Tabla Ahorro Futuro Reservas'!C147*'FR_Mantenimiento tasas'!$D$57/360,""))),5)</f>
        <v>0</v>
      </c>
      <c r="E147" s="121">
        <f>ROUND(IF(C147&lt;='FR_Mantenimiento tasas'!$C$55,'Tabla Ahorro Futuro Reservas'!C147*'FR_Mantenimiento tasas'!$E$55/360,IF(C147&lt;='FR_Mantenimiento tasas'!$C$56,'Tabla Ahorro Futuro Reservas'!C147*'FR_Mantenimiento tasas'!$E$56/360,IF(C147&lt;='FR_Mantenimiento tasas'!$C$57,'Tabla Ahorro Futuro Reservas'!C147*'FR_Mantenimiento tasas'!$E$57/360,""))),5)</f>
        <v>0</v>
      </c>
    </row>
    <row r="148" spans="1:5">
      <c r="A148" s="123">
        <f t="shared" si="4"/>
        <v>146</v>
      </c>
      <c r="B148" s="122">
        <f>IF(DAY(A148)=DAY('F-Ahorro Futuro Reservas'!$H$10),'F-Ahorro Futuro Reservas'!$H$9,0)</f>
        <v>0</v>
      </c>
      <c r="C148" s="122">
        <f t="shared" si="5"/>
        <v>0</v>
      </c>
      <c r="D148" s="121">
        <f>ROUND(IF(C148&lt;='FR_Mantenimiento tasas'!$C$55,'Tabla Ahorro Futuro Reservas'!C148*'FR_Mantenimiento tasas'!$D$55/360,IF(C148&lt;='FR_Mantenimiento tasas'!$C$56,'Tabla Ahorro Futuro Reservas'!C148*'FR_Mantenimiento tasas'!$D$56/360,IF(C148&lt;='FR_Mantenimiento tasas'!$C$57,'Tabla Ahorro Futuro Reservas'!C148*'FR_Mantenimiento tasas'!$D$57/360,""))),5)</f>
        <v>0</v>
      </c>
      <c r="E148" s="121">
        <f>ROUND(IF(C148&lt;='FR_Mantenimiento tasas'!$C$55,'Tabla Ahorro Futuro Reservas'!C148*'FR_Mantenimiento tasas'!$E$55/360,IF(C148&lt;='FR_Mantenimiento tasas'!$C$56,'Tabla Ahorro Futuro Reservas'!C148*'FR_Mantenimiento tasas'!$E$56/360,IF(C148&lt;='FR_Mantenimiento tasas'!$C$57,'Tabla Ahorro Futuro Reservas'!C148*'FR_Mantenimiento tasas'!$E$57/360,""))),5)</f>
        <v>0</v>
      </c>
    </row>
    <row r="149" spans="1:5">
      <c r="A149" s="123">
        <f t="shared" si="4"/>
        <v>147</v>
      </c>
      <c r="B149" s="122">
        <f>IF(DAY(A149)=DAY('F-Ahorro Futuro Reservas'!$H$10),'F-Ahorro Futuro Reservas'!$H$9,0)</f>
        <v>0</v>
      </c>
      <c r="C149" s="122">
        <f t="shared" si="5"/>
        <v>0</v>
      </c>
      <c r="D149" s="121">
        <f>ROUND(IF(C149&lt;='FR_Mantenimiento tasas'!$C$55,'Tabla Ahorro Futuro Reservas'!C149*'FR_Mantenimiento tasas'!$D$55/360,IF(C149&lt;='FR_Mantenimiento tasas'!$C$56,'Tabla Ahorro Futuro Reservas'!C149*'FR_Mantenimiento tasas'!$D$56/360,IF(C149&lt;='FR_Mantenimiento tasas'!$C$57,'Tabla Ahorro Futuro Reservas'!C149*'FR_Mantenimiento tasas'!$D$57/360,""))),5)</f>
        <v>0</v>
      </c>
      <c r="E149" s="121">
        <f>ROUND(IF(C149&lt;='FR_Mantenimiento tasas'!$C$55,'Tabla Ahorro Futuro Reservas'!C149*'FR_Mantenimiento tasas'!$E$55/360,IF(C149&lt;='FR_Mantenimiento tasas'!$C$56,'Tabla Ahorro Futuro Reservas'!C149*'FR_Mantenimiento tasas'!$E$56/360,IF(C149&lt;='FR_Mantenimiento tasas'!$C$57,'Tabla Ahorro Futuro Reservas'!C149*'FR_Mantenimiento tasas'!$E$57/360,""))),5)</f>
        <v>0</v>
      </c>
    </row>
    <row r="150" spans="1:5">
      <c r="A150" s="123">
        <f t="shared" si="4"/>
        <v>148</v>
      </c>
      <c r="B150" s="122">
        <f>IF(DAY(A150)=DAY('F-Ahorro Futuro Reservas'!$H$10),'F-Ahorro Futuro Reservas'!$H$9,0)</f>
        <v>0</v>
      </c>
      <c r="C150" s="122">
        <f t="shared" si="5"/>
        <v>0</v>
      </c>
      <c r="D150" s="121">
        <f>ROUND(IF(C150&lt;='FR_Mantenimiento tasas'!$C$55,'Tabla Ahorro Futuro Reservas'!C150*'FR_Mantenimiento tasas'!$D$55/360,IF(C150&lt;='FR_Mantenimiento tasas'!$C$56,'Tabla Ahorro Futuro Reservas'!C150*'FR_Mantenimiento tasas'!$D$56/360,IF(C150&lt;='FR_Mantenimiento tasas'!$C$57,'Tabla Ahorro Futuro Reservas'!C150*'FR_Mantenimiento tasas'!$D$57/360,""))),5)</f>
        <v>0</v>
      </c>
      <c r="E150" s="121">
        <f>ROUND(IF(C150&lt;='FR_Mantenimiento tasas'!$C$55,'Tabla Ahorro Futuro Reservas'!C150*'FR_Mantenimiento tasas'!$E$55/360,IF(C150&lt;='FR_Mantenimiento tasas'!$C$56,'Tabla Ahorro Futuro Reservas'!C150*'FR_Mantenimiento tasas'!$E$56/360,IF(C150&lt;='FR_Mantenimiento tasas'!$C$57,'Tabla Ahorro Futuro Reservas'!C150*'FR_Mantenimiento tasas'!$E$57/360,""))),5)</f>
        <v>0</v>
      </c>
    </row>
    <row r="151" spans="1:5">
      <c r="A151" s="123">
        <f t="shared" si="4"/>
        <v>149</v>
      </c>
      <c r="B151" s="122">
        <f>IF(DAY(A151)=DAY('F-Ahorro Futuro Reservas'!$H$10),'F-Ahorro Futuro Reservas'!$H$9,0)</f>
        <v>0</v>
      </c>
      <c r="C151" s="122">
        <f t="shared" si="5"/>
        <v>0</v>
      </c>
      <c r="D151" s="121">
        <f>ROUND(IF(C151&lt;='FR_Mantenimiento tasas'!$C$55,'Tabla Ahorro Futuro Reservas'!C151*'FR_Mantenimiento tasas'!$D$55/360,IF(C151&lt;='FR_Mantenimiento tasas'!$C$56,'Tabla Ahorro Futuro Reservas'!C151*'FR_Mantenimiento tasas'!$D$56/360,IF(C151&lt;='FR_Mantenimiento tasas'!$C$57,'Tabla Ahorro Futuro Reservas'!C151*'FR_Mantenimiento tasas'!$D$57/360,""))),5)</f>
        <v>0</v>
      </c>
      <c r="E151" s="121">
        <f>ROUND(IF(C151&lt;='FR_Mantenimiento tasas'!$C$55,'Tabla Ahorro Futuro Reservas'!C151*'FR_Mantenimiento tasas'!$E$55/360,IF(C151&lt;='FR_Mantenimiento tasas'!$C$56,'Tabla Ahorro Futuro Reservas'!C151*'FR_Mantenimiento tasas'!$E$56/360,IF(C151&lt;='FR_Mantenimiento tasas'!$C$57,'Tabla Ahorro Futuro Reservas'!C151*'FR_Mantenimiento tasas'!$E$57/360,""))),5)</f>
        <v>0</v>
      </c>
    </row>
    <row r="152" spans="1:5">
      <c r="A152" s="123">
        <f t="shared" si="4"/>
        <v>150</v>
      </c>
      <c r="B152" s="122">
        <f>IF(DAY(A152)=DAY('F-Ahorro Futuro Reservas'!$H$10),'F-Ahorro Futuro Reservas'!$H$9,0)</f>
        <v>0</v>
      </c>
      <c r="C152" s="122">
        <f t="shared" si="5"/>
        <v>0</v>
      </c>
      <c r="D152" s="121">
        <f>ROUND(IF(C152&lt;='FR_Mantenimiento tasas'!$C$55,'Tabla Ahorro Futuro Reservas'!C152*'FR_Mantenimiento tasas'!$D$55/360,IF(C152&lt;='FR_Mantenimiento tasas'!$C$56,'Tabla Ahorro Futuro Reservas'!C152*'FR_Mantenimiento tasas'!$D$56/360,IF(C152&lt;='FR_Mantenimiento tasas'!$C$57,'Tabla Ahorro Futuro Reservas'!C152*'FR_Mantenimiento tasas'!$D$57/360,""))),5)</f>
        <v>0</v>
      </c>
      <c r="E152" s="121">
        <f>ROUND(IF(C152&lt;='FR_Mantenimiento tasas'!$C$55,'Tabla Ahorro Futuro Reservas'!C152*'FR_Mantenimiento tasas'!$E$55/360,IF(C152&lt;='FR_Mantenimiento tasas'!$C$56,'Tabla Ahorro Futuro Reservas'!C152*'FR_Mantenimiento tasas'!$E$56/360,IF(C152&lt;='FR_Mantenimiento tasas'!$C$57,'Tabla Ahorro Futuro Reservas'!C152*'FR_Mantenimiento tasas'!$E$57/360,""))),5)</f>
        <v>0</v>
      </c>
    </row>
    <row r="153" spans="1:5">
      <c r="A153" s="123">
        <f t="shared" si="4"/>
        <v>151</v>
      </c>
      <c r="B153" s="122">
        <f>IF(DAY(A153)=DAY('F-Ahorro Futuro Reservas'!$H$10),'F-Ahorro Futuro Reservas'!$H$9,0)</f>
        <v>0</v>
      </c>
      <c r="C153" s="122">
        <f t="shared" si="5"/>
        <v>0</v>
      </c>
      <c r="D153" s="121">
        <f>ROUND(IF(C153&lt;='FR_Mantenimiento tasas'!$C$55,'Tabla Ahorro Futuro Reservas'!C153*'FR_Mantenimiento tasas'!$D$55/360,IF(C153&lt;='FR_Mantenimiento tasas'!$C$56,'Tabla Ahorro Futuro Reservas'!C153*'FR_Mantenimiento tasas'!$D$56/360,IF(C153&lt;='FR_Mantenimiento tasas'!$C$57,'Tabla Ahorro Futuro Reservas'!C153*'FR_Mantenimiento tasas'!$D$57/360,""))),5)</f>
        <v>0</v>
      </c>
      <c r="E153" s="121">
        <f>ROUND(IF(C153&lt;='FR_Mantenimiento tasas'!$C$55,'Tabla Ahorro Futuro Reservas'!C153*'FR_Mantenimiento tasas'!$E$55/360,IF(C153&lt;='FR_Mantenimiento tasas'!$C$56,'Tabla Ahorro Futuro Reservas'!C153*'FR_Mantenimiento tasas'!$E$56/360,IF(C153&lt;='FR_Mantenimiento tasas'!$C$57,'Tabla Ahorro Futuro Reservas'!C153*'FR_Mantenimiento tasas'!$E$57/360,""))),5)</f>
        <v>0</v>
      </c>
    </row>
    <row r="154" spans="1:5">
      <c r="A154" s="123">
        <f t="shared" si="4"/>
        <v>152</v>
      </c>
      <c r="B154" s="122">
        <f>IF(DAY(A154)=DAY('F-Ahorro Futuro Reservas'!$H$10),'F-Ahorro Futuro Reservas'!$H$9,0)</f>
        <v>0</v>
      </c>
      <c r="C154" s="122">
        <f t="shared" si="5"/>
        <v>0</v>
      </c>
      <c r="D154" s="121">
        <f>ROUND(IF(C154&lt;='FR_Mantenimiento tasas'!$C$55,'Tabla Ahorro Futuro Reservas'!C154*'FR_Mantenimiento tasas'!$D$55/360,IF(C154&lt;='FR_Mantenimiento tasas'!$C$56,'Tabla Ahorro Futuro Reservas'!C154*'FR_Mantenimiento tasas'!$D$56/360,IF(C154&lt;='FR_Mantenimiento tasas'!$C$57,'Tabla Ahorro Futuro Reservas'!C154*'FR_Mantenimiento tasas'!$D$57/360,""))),5)</f>
        <v>0</v>
      </c>
      <c r="E154" s="121">
        <f>ROUND(IF(C154&lt;='FR_Mantenimiento tasas'!$C$55,'Tabla Ahorro Futuro Reservas'!C154*'FR_Mantenimiento tasas'!$E$55/360,IF(C154&lt;='FR_Mantenimiento tasas'!$C$56,'Tabla Ahorro Futuro Reservas'!C154*'FR_Mantenimiento tasas'!$E$56/360,IF(C154&lt;='FR_Mantenimiento tasas'!$C$57,'Tabla Ahorro Futuro Reservas'!C154*'FR_Mantenimiento tasas'!$E$57/360,""))),5)</f>
        <v>0</v>
      </c>
    </row>
    <row r="155" spans="1:5">
      <c r="A155" s="123">
        <f t="shared" si="4"/>
        <v>153</v>
      </c>
      <c r="B155" s="122">
        <f>IF(DAY(A155)=DAY('F-Ahorro Futuro Reservas'!$H$10),'F-Ahorro Futuro Reservas'!$H$9,0)</f>
        <v>0</v>
      </c>
      <c r="C155" s="122">
        <f t="shared" si="5"/>
        <v>0</v>
      </c>
      <c r="D155" s="121">
        <f>ROUND(IF(C155&lt;='FR_Mantenimiento tasas'!$C$55,'Tabla Ahorro Futuro Reservas'!C155*'FR_Mantenimiento tasas'!$D$55/360,IF(C155&lt;='FR_Mantenimiento tasas'!$C$56,'Tabla Ahorro Futuro Reservas'!C155*'FR_Mantenimiento tasas'!$D$56/360,IF(C155&lt;='FR_Mantenimiento tasas'!$C$57,'Tabla Ahorro Futuro Reservas'!C155*'FR_Mantenimiento tasas'!$D$57/360,""))),5)</f>
        <v>0</v>
      </c>
      <c r="E155" s="121">
        <f>ROUND(IF(C155&lt;='FR_Mantenimiento tasas'!$C$55,'Tabla Ahorro Futuro Reservas'!C155*'FR_Mantenimiento tasas'!$E$55/360,IF(C155&lt;='FR_Mantenimiento tasas'!$C$56,'Tabla Ahorro Futuro Reservas'!C155*'FR_Mantenimiento tasas'!$E$56/360,IF(C155&lt;='FR_Mantenimiento tasas'!$C$57,'Tabla Ahorro Futuro Reservas'!C155*'FR_Mantenimiento tasas'!$E$57/360,""))),5)</f>
        <v>0</v>
      </c>
    </row>
    <row r="156" spans="1:5">
      <c r="A156" s="123">
        <f t="shared" si="4"/>
        <v>154</v>
      </c>
      <c r="B156" s="122">
        <f>IF(DAY(A156)=DAY('F-Ahorro Futuro Reservas'!$H$10),'F-Ahorro Futuro Reservas'!$H$9,0)</f>
        <v>0</v>
      </c>
      <c r="C156" s="122">
        <f t="shared" si="5"/>
        <v>0</v>
      </c>
      <c r="D156" s="121">
        <f>ROUND(IF(C156&lt;='FR_Mantenimiento tasas'!$C$55,'Tabla Ahorro Futuro Reservas'!C156*'FR_Mantenimiento tasas'!$D$55/360,IF(C156&lt;='FR_Mantenimiento tasas'!$C$56,'Tabla Ahorro Futuro Reservas'!C156*'FR_Mantenimiento tasas'!$D$56/360,IF(C156&lt;='FR_Mantenimiento tasas'!$C$57,'Tabla Ahorro Futuro Reservas'!C156*'FR_Mantenimiento tasas'!$D$57/360,""))),5)</f>
        <v>0</v>
      </c>
      <c r="E156" s="121">
        <f>ROUND(IF(C156&lt;='FR_Mantenimiento tasas'!$C$55,'Tabla Ahorro Futuro Reservas'!C156*'FR_Mantenimiento tasas'!$E$55/360,IF(C156&lt;='FR_Mantenimiento tasas'!$C$56,'Tabla Ahorro Futuro Reservas'!C156*'FR_Mantenimiento tasas'!$E$56/360,IF(C156&lt;='FR_Mantenimiento tasas'!$C$57,'Tabla Ahorro Futuro Reservas'!C156*'FR_Mantenimiento tasas'!$E$57/360,""))),5)</f>
        <v>0</v>
      </c>
    </row>
    <row r="157" spans="1:5">
      <c r="A157" s="123">
        <f t="shared" si="4"/>
        <v>155</v>
      </c>
      <c r="B157" s="122">
        <f>IF(DAY(A157)=DAY('F-Ahorro Futuro Reservas'!$H$10),'F-Ahorro Futuro Reservas'!$H$9,0)</f>
        <v>0</v>
      </c>
      <c r="C157" s="122">
        <f t="shared" si="5"/>
        <v>0</v>
      </c>
      <c r="D157" s="121">
        <f>ROUND(IF(C157&lt;='FR_Mantenimiento tasas'!$C$55,'Tabla Ahorro Futuro Reservas'!C157*'FR_Mantenimiento tasas'!$D$55/360,IF(C157&lt;='FR_Mantenimiento tasas'!$C$56,'Tabla Ahorro Futuro Reservas'!C157*'FR_Mantenimiento tasas'!$D$56/360,IF(C157&lt;='FR_Mantenimiento tasas'!$C$57,'Tabla Ahorro Futuro Reservas'!C157*'FR_Mantenimiento tasas'!$D$57/360,""))),5)</f>
        <v>0</v>
      </c>
      <c r="E157" s="121">
        <f>ROUND(IF(C157&lt;='FR_Mantenimiento tasas'!$C$55,'Tabla Ahorro Futuro Reservas'!C157*'FR_Mantenimiento tasas'!$E$55/360,IF(C157&lt;='FR_Mantenimiento tasas'!$C$56,'Tabla Ahorro Futuro Reservas'!C157*'FR_Mantenimiento tasas'!$E$56/360,IF(C157&lt;='FR_Mantenimiento tasas'!$C$57,'Tabla Ahorro Futuro Reservas'!C157*'FR_Mantenimiento tasas'!$E$57/360,""))),5)</f>
        <v>0</v>
      </c>
    </row>
    <row r="158" spans="1:5">
      <c r="A158" s="123">
        <f t="shared" si="4"/>
        <v>156</v>
      </c>
      <c r="B158" s="122">
        <f>IF(DAY(A158)=DAY('F-Ahorro Futuro Reservas'!$H$10),'F-Ahorro Futuro Reservas'!$H$9,0)</f>
        <v>0</v>
      </c>
      <c r="C158" s="122">
        <f t="shared" si="5"/>
        <v>0</v>
      </c>
      <c r="D158" s="121">
        <f>ROUND(IF(C158&lt;='FR_Mantenimiento tasas'!$C$55,'Tabla Ahorro Futuro Reservas'!C158*'FR_Mantenimiento tasas'!$D$55/360,IF(C158&lt;='FR_Mantenimiento tasas'!$C$56,'Tabla Ahorro Futuro Reservas'!C158*'FR_Mantenimiento tasas'!$D$56/360,IF(C158&lt;='FR_Mantenimiento tasas'!$C$57,'Tabla Ahorro Futuro Reservas'!C158*'FR_Mantenimiento tasas'!$D$57/360,""))),5)</f>
        <v>0</v>
      </c>
      <c r="E158" s="121">
        <f>ROUND(IF(C158&lt;='FR_Mantenimiento tasas'!$C$55,'Tabla Ahorro Futuro Reservas'!C158*'FR_Mantenimiento tasas'!$E$55/360,IF(C158&lt;='FR_Mantenimiento tasas'!$C$56,'Tabla Ahorro Futuro Reservas'!C158*'FR_Mantenimiento tasas'!$E$56/360,IF(C158&lt;='FR_Mantenimiento tasas'!$C$57,'Tabla Ahorro Futuro Reservas'!C158*'FR_Mantenimiento tasas'!$E$57/360,""))),5)</f>
        <v>0</v>
      </c>
    </row>
    <row r="159" spans="1:5">
      <c r="A159" s="123">
        <f t="shared" si="4"/>
        <v>157</v>
      </c>
      <c r="B159" s="122">
        <f>IF(DAY(A159)=DAY('F-Ahorro Futuro Reservas'!$H$10),'F-Ahorro Futuro Reservas'!$H$9,0)</f>
        <v>0</v>
      </c>
      <c r="C159" s="122">
        <f t="shared" si="5"/>
        <v>0</v>
      </c>
      <c r="D159" s="121">
        <f>ROUND(IF(C159&lt;='FR_Mantenimiento tasas'!$C$55,'Tabla Ahorro Futuro Reservas'!C159*'FR_Mantenimiento tasas'!$D$55/360,IF(C159&lt;='FR_Mantenimiento tasas'!$C$56,'Tabla Ahorro Futuro Reservas'!C159*'FR_Mantenimiento tasas'!$D$56/360,IF(C159&lt;='FR_Mantenimiento tasas'!$C$57,'Tabla Ahorro Futuro Reservas'!C159*'FR_Mantenimiento tasas'!$D$57/360,""))),5)</f>
        <v>0</v>
      </c>
      <c r="E159" s="121">
        <f>ROUND(IF(C159&lt;='FR_Mantenimiento tasas'!$C$55,'Tabla Ahorro Futuro Reservas'!C159*'FR_Mantenimiento tasas'!$E$55/360,IF(C159&lt;='FR_Mantenimiento tasas'!$C$56,'Tabla Ahorro Futuro Reservas'!C159*'FR_Mantenimiento tasas'!$E$56/360,IF(C159&lt;='FR_Mantenimiento tasas'!$C$57,'Tabla Ahorro Futuro Reservas'!C159*'FR_Mantenimiento tasas'!$E$57/360,""))),5)</f>
        <v>0</v>
      </c>
    </row>
    <row r="160" spans="1:5">
      <c r="A160" s="123">
        <f t="shared" si="4"/>
        <v>158</v>
      </c>
      <c r="B160" s="122">
        <f>IF(DAY(A160)=DAY('F-Ahorro Futuro Reservas'!$H$10),'F-Ahorro Futuro Reservas'!$H$9,0)</f>
        <v>0</v>
      </c>
      <c r="C160" s="122">
        <f t="shared" si="5"/>
        <v>0</v>
      </c>
      <c r="D160" s="121">
        <f>ROUND(IF(C160&lt;='FR_Mantenimiento tasas'!$C$55,'Tabla Ahorro Futuro Reservas'!C160*'FR_Mantenimiento tasas'!$D$55/360,IF(C160&lt;='FR_Mantenimiento tasas'!$C$56,'Tabla Ahorro Futuro Reservas'!C160*'FR_Mantenimiento tasas'!$D$56/360,IF(C160&lt;='FR_Mantenimiento tasas'!$C$57,'Tabla Ahorro Futuro Reservas'!C160*'FR_Mantenimiento tasas'!$D$57/360,""))),5)</f>
        <v>0</v>
      </c>
      <c r="E160" s="121">
        <f>ROUND(IF(C160&lt;='FR_Mantenimiento tasas'!$C$55,'Tabla Ahorro Futuro Reservas'!C160*'FR_Mantenimiento tasas'!$E$55/360,IF(C160&lt;='FR_Mantenimiento tasas'!$C$56,'Tabla Ahorro Futuro Reservas'!C160*'FR_Mantenimiento tasas'!$E$56/360,IF(C160&lt;='FR_Mantenimiento tasas'!$C$57,'Tabla Ahorro Futuro Reservas'!C160*'FR_Mantenimiento tasas'!$E$57/360,""))),5)</f>
        <v>0</v>
      </c>
    </row>
    <row r="161" spans="1:5">
      <c r="A161" s="123">
        <f t="shared" si="4"/>
        <v>159</v>
      </c>
      <c r="B161" s="122">
        <f>IF(DAY(A161)=DAY('F-Ahorro Futuro Reservas'!$H$10),'F-Ahorro Futuro Reservas'!$H$9,0)</f>
        <v>0</v>
      </c>
      <c r="C161" s="122">
        <f t="shared" si="5"/>
        <v>0</v>
      </c>
      <c r="D161" s="121">
        <f>ROUND(IF(C161&lt;='FR_Mantenimiento tasas'!$C$55,'Tabla Ahorro Futuro Reservas'!C161*'FR_Mantenimiento tasas'!$D$55/360,IF(C161&lt;='FR_Mantenimiento tasas'!$C$56,'Tabla Ahorro Futuro Reservas'!C161*'FR_Mantenimiento tasas'!$D$56/360,IF(C161&lt;='FR_Mantenimiento tasas'!$C$57,'Tabla Ahorro Futuro Reservas'!C161*'FR_Mantenimiento tasas'!$D$57/360,""))),5)</f>
        <v>0</v>
      </c>
      <c r="E161" s="121">
        <f>ROUND(IF(C161&lt;='FR_Mantenimiento tasas'!$C$55,'Tabla Ahorro Futuro Reservas'!C161*'FR_Mantenimiento tasas'!$E$55/360,IF(C161&lt;='FR_Mantenimiento tasas'!$C$56,'Tabla Ahorro Futuro Reservas'!C161*'FR_Mantenimiento tasas'!$E$56/360,IF(C161&lt;='FR_Mantenimiento tasas'!$C$57,'Tabla Ahorro Futuro Reservas'!C161*'FR_Mantenimiento tasas'!$E$57/360,""))),5)</f>
        <v>0</v>
      </c>
    </row>
    <row r="162" spans="1:5">
      <c r="A162" s="123">
        <f t="shared" si="4"/>
        <v>160</v>
      </c>
      <c r="B162" s="122">
        <f>IF(DAY(A162)=DAY('F-Ahorro Futuro Reservas'!$H$10),'F-Ahorro Futuro Reservas'!$H$9,0)</f>
        <v>0</v>
      </c>
      <c r="C162" s="122">
        <f t="shared" si="5"/>
        <v>0</v>
      </c>
      <c r="D162" s="121">
        <f>ROUND(IF(C162&lt;='FR_Mantenimiento tasas'!$C$55,'Tabla Ahorro Futuro Reservas'!C162*'FR_Mantenimiento tasas'!$D$55/360,IF(C162&lt;='FR_Mantenimiento tasas'!$C$56,'Tabla Ahorro Futuro Reservas'!C162*'FR_Mantenimiento tasas'!$D$56/360,IF(C162&lt;='FR_Mantenimiento tasas'!$C$57,'Tabla Ahorro Futuro Reservas'!C162*'FR_Mantenimiento tasas'!$D$57/360,""))),5)</f>
        <v>0</v>
      </c>
      <c r="E162" s="121">
        <f>ROUND(IF(C162&lt;='FR_Mantenimiento tasas'!$C$55,'Tabla Ahorro Futuro Reservas'!C162*'FR_Mantenimiento tasas'!$E$55/360,IF(C162&lt;='FR_Mantenimiento tasas'!$C$56,'Tabla Ahorro Futuro Reservas'!C162*'FR_Mantenimiento tasas'!$E$56/360,IF(C162&lt;='FR_Mantenimiento tasas'!$C$57,'Tabla Ahorro Futuro Reservas'!C162*'FR_Mantenimiento tasas'!$E$57/360,""))),5)</f>
        <v>0</v>
      </c>
    </row>
    <row r="163" spans="1:5">
      <c r="A163" s="123">
        <f t="shared" si="4"/>
        <v>161</v>
      </c>
      <c r="B163" s="122">
        <f>IF(DAY(A163)=DAY('F-Ahorro Futuro Reservas'!$H$10),'F-Ahorro Futuro Reservas'!$H$9,0)</f>
        <v>0</v>
      </c>
      <c r="C163" s="122">
        <f t="shared" si="5"/>
        <v>0</v>
      </c>
      <c r="D163" s="121">
        <f>ROUND(IF(C163&lt;='FR_Mantenimiento tasas'!$C$55,'Tabla Ahorro Futuro Reservas'!C163*'FR_Mantenimiento tasas'!$D$55/360,IF(C163&lt;='FR_Mantenimiento tasas'!$C$56,'Tabla Ahorro Futuro Reservas'!C163*'FR_Mantenimiento tasas'!$D$56/360,IF(C163&lt;='FR_Mantenimiento tasas'!$C$57,'Tabla Ahorro Futuro Reservas'!C163*'FR_Mantenimiento tasas'!$D$57/360,""))),5)</f>
        <v>0</v>
      </c>
      <c r="E163" s="121">
        <f>ROUND(IF(C163&lt;='FR_Mantenimiento tasas'!$C$55,'Tabla Ahorro Futuro Reservas'!C163*'FR_Mantenimiento tasas'!$E$55/360,IF(C163&lt;='FR_Mantenimiento tasas'!$C$56,'Tabla Ahorro Futuro Reservas'!C163*'FR_Mantenimiento tasas'!$E$56/360,IF(C163&lt;='FR_Mantenimiento tasas'!$C$57,'Tabla Ahorro Futuro Reservas'!C163*'FR_Mantenimiento tasas'!$E$57/360,""))),5)</f>
        <v>0</v>
      </c>
    </row>
    <row r="164" spans="1:5">
      <c r="A164" s="123">
        <f t="shared" si="4"/>
        <v>162</v>
      </c>
      <c r="B164" s="122">
        <f>IF(DAY(A164)=DAY('F-Ahorro Futuro Reservas'!$H$10),'F-Ahorro Futuro Reservas'!$H$9,0)</f>
        <v>0</v>
      </c>
      <c r="C164" s="122">
        <f t="shared" si="5"/>
        <v>0</v>
      </c>
      <c r="D164" s="121">
        <f>ROUND(IF(C164&lt;='FR_Mantenimiento tasas'!$C$55,'Tabla Ahorro Futuro Reservas'!C164*'FR_Mantenimiento tasas'!$D$55/360,IF(C164&lt;='FR_Mantenimiento tasas'!$C$56,'Tabla Ahorro Futuro Reservas'!C164*'FR_Mantenimiento tasas'!$D$56/360,IF(C164&lt;='FR_Mantenimiento tasas'!$C$57,'Tabla Ahorro Futuro Reservas'!C164*'FR_Mantenimiento tasas'!$D$57/360,""))),5)</f>
        <v>0</v>
      </c>
      <c r="E164" s="121">
        <f>ROUND(IF(C164&lt;='FR_Mantenimiento tasas'!$C$55,'Tabla Ahorro Futuro Reservas'!C164*'FR_Mantenimiento tasas'!$E$55/360,IF(C164&lt;='FR_Mantenimiento tasas'!$C$56,'Tabla Ahorro Futuro Reservas'!C164*'FR_Mantenimiento tasas'!$E$56/360,IF(C164&lt;='FR_Mantenimiento tasas'!$C$57,'Tabla Ahorro Futuro Reservas'!C164*'FR_Mantenimiento tasas'!$E$57/360,""))),5)</f>
        <v>0</v>
      </c>
    </row>
    <row r="165" spans="1:5">
      <c r="A165" s="123">
        <f t="shared" si="4"/>
        <v>163</v>
      </c>
      <c r="B165" s="122">
        <f>IF(DAY(A165)=DAY('F-Ahorro Futuro Reservas'!$H$10),'F-Ahorro Futuro Reservas'!$H$9,0)</f>
        <v>0</v>
      </c>
      <c r="C165" s="122">
        <f t="shared" si="5"/>
        <v>0</v>
      </c>
      <c r="D165" s="121">
        <f>ROUND(IF(C165&lt;='FR_Mantenimiento tasas'!$C$55,'Tabla Ahorro Futuro Reservas'!C165*'FR_Mantenimiento tasas'!$D$55/360,IF(C165&lt;='FR_Mantenimiento tasas'!$C$56,'Tabla Ahorro Futuro Reservas'!C165*'FR_Mantenimiento tasas'!$D$56/360,IF(C165&lt;='FR_Mantenimiento tasas'!$C$57,'Tabla Ahorro Futuro Reservas'!C165*'FR_Mantenimiento tasas'!$D$57/360,""))),5)</f>
        <v>0</v>
      </c>
      <c r="E165" s="121">
        <f>ROUND(IF(C165&lt;='FR_Mantenimiento tasas'!$C$55,'Tabla Ahorro Futuro Reservas'!C165*'FR_Mantenimiento tasas'!$E$55/360,IF(C165&lt;='FR_Mantenimiento tasas'!$C$56,'Tabla Ahorro Futuro Reservas'!C165*'FR_Mantenimiento tasas'!$E$56/360,IF(C165&lt;='FR_Mantenimiento tasas'!$C$57,'Tabla Ahorro Futuro Reservas'!C165*'FR_Mantenimiento tasas'!$E$57/360,""))),5)</f>
        <v>0</v>
      </c>
    </row>
    <row r="166" spans="1:5">
      <c r="A166" s="123">
        <f t="shared" si="4"/>
        <v>164</v>
      </c>
      <c r="B166" s="122">
        <f>IF(DAY(A166)=DAY('F-Ahorro Futuro Reservas'!$H$10),'F-Ahorro Futuro Reservas'!$H$9,0)</f>
        <v>0</v>
      </c>
      <c r="C166" s="122">
        <f t="shared" si="5"/>
        <v>0</v>
      </c>
      <c r="D166" s="121">
        <f>ROUND(IF(C166&lt;='FR_Mantenimiento tasas'!$C$55,'Tabla Ahorro Futuro Reservas'!C166*'FR_Mantenimiento tasas'!$D$55/360,IF(C166&lt;='FR_Mantenimiento tasas'!$C$56,'Tabla Ahorro Futuro Reservas'!C166*'FR_Mantenimiento tasas'!$D$56/360,IF(C166&lt;='FR_Mantenimiento tasas'!$C$57,'Tabla Ahorro Futuro Reservas'!C166*'FR_Mantenimiento tasas'!$D$57/360,""))),5)</f>
        <v>0</v>
      </c>
      <c r="E166" s="121">
        <f>ROUND(IF(C166&lt;='FR_Mantenimiento tasas'!$C$55,'Tabla Ahorro Futuro Reservas'!C166*'FR_Mantenimiento tasas'!$E$55/360,IF(C166&lt;='FR_Mantenimiento tasas'!$C$56,'Tabla Ahorro Futuro Reservas'!C166*'FR_Mantenimiento tasas'!$E$56/360,IF(C166&lt;='FR_Mantenimiento tasas'!$C$57,'Tabla Ahorro Futuro Reservas'!C166*'FR_Mantenimiento tasas'!$E$57/360,""))),5)</f>
        <v>0</v>
      </c>
    </row>
    <row r="167" spans="1:5">
      <c r="A167" s="123">
        <f t="shared" si="4"/>
        <v>165</v>
      </c>
      <c r="B167" s="122">
        <f>IF(DAY(A167)=DAY('F-Ahorro Futuro Reservas'!$H$10),'F-Ahorro Futuro Reservas'!$H$9,0)</f>
        <v>0</v>
      </c>
      <c r="C167" s="122">
        <f t="shared" si="5"/>
        <v>0</v>
      </c>
      <c r="D167" s="121">
        <f>ROUND(IF(C167&lt;='FR_Mantenimiento tasas'!$C$55,'Tabla Ahorro Futuro Reservas'!C167*'FR_Mantenimiento tasas'!$D$55/360,IF(C167&lt;='FR_Mantenimiento tasas'!$C$56,'Tabla Ahorro Futuro Reservas'!C167*'FR_Mantenimiento tasas'!$D$56/360,IF(C167&lt;='FR_Mantenimiento tasas'!$C$57,'Tabla Ahorro Futuro Reservas'!C167*'FR_Mantenimiento tasas'!$D$57/360,""))),5)</f>
        <v>0</v>
      </c>
      <c r="E167" s="121">
        <f>ROUND(IF(C167&lt;='FR_Mantenimiento tasas'!$C$55,'Tabla Ahorro Futuro Reservas'!C167*'FR_Mantenimiento tasas'!$E$55/360,IF(C167&lt;='FR_Mantenimiento tasas'!$C$56,'Tabla Ahorro Futuro Reservas'!C167*'FR_Mantenimiento tasas'!$E$56/360,IF(C167&lt;='FR_Mantenimiento tasas'!$C$57,'Tabla Ahorro Futuro Reservas'!C167*'FR_Mantenimiento tasas'!$E$57/360,""))),5)</f>
        <v>0</v>
      </c>
    </row>
    <row r="168" spans="1:5">
      <c r="A168" s="123">
        <f t="shared" si="4"/>
        <v>166</v>
      </c>
      <c r="B168" s="122">
        <f>IF(DAY(A168)=DAY('F-Ahorro Futuro Reservas'!$H$10),'F-Ahorro Futuro Reservas'!$H$9,0)</f>
        <v>0</v>
      </c>
      <c r="C168" s="122">
        <f t="shared" si="5"/>
        <v>0</v>
      </c>
      <c r="D168" s="121">
        <f>ROUND(IF(C168&lt;='FR_Mantenimiento tasas'!$C$55,'Tabla Ahorro Futuro Reservas'!C168*'FR_Mantenimiento tasas'!$D$55/360,IF(C168&lt;='FR_Mantenimiento tasas'!$C$56,'Tabla Ahorro Futuro Reservas'!C168*'FR_Mantenimiento tasas'!$D$56/360,IF(C168&lt;='FR_Mantenimiento tasas'!$C$57,'Tabla Ahorro Futuro Reservas'!C168*'FR_Mantenimiento tasas'!$D$57/360,""))),5)</f>
        <v>0</v>
      </c>
      <c r="E168" s="121">
        <f>ROUND(IF(C168&lt;='FR_Mantenimiento tasas'!$C$55,'Tabla Ahorro Futuro Reservas'!C168*'FR_Mantenimiento tasas'!$E$55/360,IF(C168&lt;='FR_Mantenimiento tasas'!$C$56,'Tabla Ahorro Futuro Reservas'!C168*'FR_Mantenimiento tasas'!$E$56/360,IF(C168&lt;='FR_Mantenimiento tasas'!$C$57,'Tabla Ahorro Futuro Reservas'!C168*'FR_Mantenimiento tasas'!$E$57/360,""))),5)</f>
        <v>0</v>
      </c>
    </row>
    <row r="169" spans="1:5">
      <c r="A169" s="123">
        <f t="shared" si="4"/>
        <v>167</v>
      </c>
      <c r="B169" s="122">
        <f>IF(DAY(A169)=DAY('F-Ahorro Futuro Reservas'!$H$10),'F-Ahorro Futuro Reservas'!$H$9,0)</f>
        <v>0</v>
      </c>
      <c r="C169" s="122">
        <f t="shared" si="5"/>
        <v>0</v>
      </c>
      <c r="D169" s="121">
        <f>ROUND(IF(C169&lt;='FR_Mantenimiento tasas'!$C$55,'Tabla Ahorro Futuro Reservas'!C169*'FR_Mantenimiento tasas'!$D$55/360,IF(C169&lt;='FR_Mantenimiento tasas'!$C$56,'Tabla Ahorro Futuro Reservas'!C169*'FR_Mantenimiento tasas'!$D$56/360,IF(C169&lt;='FR_Mantenimiento tasas'!$C$57,'Tabla Ahorro Futuro Reservas'!C169*'FR_Mantenimiento tasas'!$D$57/360,""))),5)</f>
        <v>0</v>
      </c>
      <c r="E169" s="121">
        <f>ROUND(IF(C169&lt;='FR_Mantenimiento tasas'!$C$55,'Tabla Ahorro Futuro Reservas'!C169*'FR_Mantenimiento tasas'!$E$55/360,IF(C169&lt;='FR_Mantenimiento tasas'!$C$56,'Tabla Ahorro Futuro Reservas'!C169*'FR_Mantenimiento tasas'!$E$56/360,IF(C169&lt;='FR_Mantenimiento tasas'!$C$57,'Tabla Ahorro Futuro Reservas'!C169*'FR_Mantenimiento tasas'!$E$57/360,""))),5)</f>
        <v>0</v>
      </c>
    </row>
    <row r="170" spans="1:5">
      <c r="A170" s="123">
        <f t="shared" si="4"/>
        <v>168</v>
      </c>
      <c r="B170" s="122">
        <f>IF(DAY(A170)=DAY('F-Ahorro Futuro Reservas'!$H$10),'F-Ahorro Futuro Reservas'!$H$9,0)</f>
        <v>0</v>
      </c>
      <c r="C170" s="122">
        <f t="shared" si="5"/>
        <v>0</v>
      </c>
      <c r="D170" s="121">
        <f>ROUND(IF(C170&lt;='FR_Mantenimiento tasas'!$C$55,'Tabla Ahorro Futuro Reservas'!C170*'FR_Mantenimiento tasas'!$D$55/360,IF(C170&lt;='FR_Mantenimiento tasas'!$C$56,'Tabla Ahorro Futuro Reservas'!C170*'FR_Mantenimiento tasas'!$D$56/360,IF(C170&lt;='FR_Mantenimiento tasas'!$C$57,'Tabla Ahorro Futuro Reservas'!C170*'FR_Mantenimiento tasas'!$D$57/360,""))),5)</f>
        <v>0</v>
      </c>
      <c r="E170" s="121">
        <f>ROUND(IF(C170&lt;='FR_Mantenimiento tasas'!$C$55,'Tabla Ahorro Futuro Reservas'!C170*'FR_Mantenimiento tasas'!$E$55/360,IF(C170&lt;='FR_Mantenimiento tasas'!$C$56,'Tabla Ahorro Futuro Reservas'!C170*'FR_Mantenimiento tasas'!$E$56/360,IF(C170&lt;='FR_Mantenimiento tasas'!$C$57,'Tabla Ahorro Futuro Reservas'!C170*'FR_Mantenimiento tasas'!$E$57/360,""))),5)</f>
        <v>0</v>
      </c>
    </row>
    <row r="171" spans="1:5">
      <c r="A171" s="123">
        <f t="shared" si="4"/>
        <v>169</v>
      </c>
      <c r="B171" s="122">
        <f>IF(DAY(A171)=DAY('F-Ahorro Futuro Reservas'!$H$10),'F-Ahorro Futuro Reservas'!$H$9,0)</f>
        <v>0</v>
      </c>
      <c r="C171" s="122">
        <f t="shared" si="5"/>
        <v>0</v>
      </c>
      <c r="D171" s="121">
        <f>ROUND(IF(C171&lt;='FR_Mantenimiento tasas'!$C$55,'Tabla Ahorro Futuro Reservas'!C171*'FR_Mantenimiento tasas'!$D$55/360,IF(C171&lt;='FR_Mantenimiento tasas'!$C$56,'Tabla Ahorro Futuro Reservas'!C171*'FR_Mantenimiento tasas'!$D$56/360,IF(C171&lt;='FR_Mantenimiento tasas'!$C$57,'Tabla Ahorro Futuro Reservas'!C171*'FR_Mantenimiento tasas'!$D$57/360,""))),5)</f>
        <v>0</v>
      </c>
      <c r="E171" s="121">
        <f>ROUND(IF(C171&lt;='FR_Mantenimiento tasas'!$C$55,'Tabla Ahorro Futuro Reservas'!C171*'FR_Mantenimiento tasas'!$E$55/360,IF(C171&lt;='FR_Mantenimiento tasas'!$C$56,'Tabla Ahorro Futuro Reservas'!C171*'FR_Mantenimiento tasas'!$E$56/360,IF(C171&lt;='FR_Mantenimiento tasas'!$C$57,'Tabla Ahorro Futuro Reservas'!C171*'FR_Mantenimiento tasas'!$E$57/360,""))),5)</f>
        <v>0</v>
      </c>
    </row>
    <row r="172" spans="1:5">
      <c r="A172" s="123">
        <f t="shared" si="4"/>
        <v>170</v>
      </c>
      <c r="B172" s="122">
        <f>IF(DAY(A172)=DAY('F-Ahorro Futuro Reservas'!$H$10),'F-Ahorro Futuro Reservas'!$H$9,0)</f>
        <v>0</v>
      </c>
      <c r="C172" s="122">
        <f t="shared" si="5"/>
        <v>0</v>
      </c>
      <c r="D172" s="121">
        <f>ROUND(IF(C172&lt;='FR_Mantenimiento tasas'!$C$55,'Tabla Ahorro Futuro Reservas'!C172*'FR_Mantenimiento tasas'!$D$55/360,IF(C172&lt;='FR_Mantenimiento tasas'!$C$56,'Tabla Ahorro Futuro Reservas'!C172*'FR_Mantenimiento tasas'!$D$56/360,IF(C172&lt;='FR_Mantenimiento tasas'!$C$57,'Tabla Ahorro Futuro Reservas'!C172*'FR_Mantenimiento tasas'!$D$57/360,""))),5)</f>
        <v>0</v>
      </c>
      <c r="E172" s="121">
        <f>ROUND(IF(C172&lt;='FR_Mantenimiento tasas'!$C$55,'Tabla Ahorro Futuro Reservas'!C172*'FR_Mantenimiento tasas'!$E$55/360,IF(C172&lt;='FR_Mantenimiento tasas'!$C$56,'Tabla Ahorro Futuro Reservas'!C172*'FR_Mantenimiento tasas'!$E$56/360,IF(C172&lt;='FR_Mantenimiento tasas'!$C$57,'Tabla Ahorro Futuro Reservas'!C172*'FR_Mantenimiento tasas'!$E$57/360,""))),5)</f>
        <v>0</v>
      </c>
    </row>
    <row r="173" spans="1:5">
      <c r="A173" s="123">
        <f t="shared" si="4"/>
        <v>171</v>
      </c>
      <c r="B173" s="122">
        <f>IF(DAY(A173)=DAY('F-Ahorro Futuro Reservas'!$H$10),'F-Ahorro Futuro Reservas'!$H$9,0)</f>
        <v>0</v>
      </c>
      <c r="C173" s="122">
        <f t="shared" si="5"/>
        <v>0</v>
      </c>
      <c r="D173" s="121">
        <f>ROUND(IF(C173&lt;='FR_Mantenimiento tasas'!$C$55,'Tabla Ahorro Futuro Reservas'!C173*'FR_Mantenimiento tasas'!$D$55/360,IF(C173&lt;='FR_Mantenimiento tasas'!$C$56,'Tabla Ahorro Futuro Reservas'!C173*'FR_Mantenimiento tasas'!$D$56/360,IF(C173&lt;='FR_Mantenimiento tasas'!$C$57,'Tabla Ahorro Futuro Reservas'!C173*'FR_Mantenimiento tasas'!$D$57/360,""))),5)</f>
        <v>0</v>
      </c>
      <c r="E173" s="121">
        <f>ROUND(IF(C173&lt;='FR_Mantenimiento tasas'!$C$55,'Tabla Ahorro Futuro Reservas'!C173*'FR_Mantenimiento tasas'!$E$55/360,IF(C173&lt;='FR_Mantenimiento tasas'!$C$56,'Tabla Ahorro Futuro Reservas'!C173*'FR_Mantenimiento tasas'!$E$56/360,IF(C173&lt;='FR_Mantenimiento tasas'!$C$57,'Tabla Ahorro Futuro Reservas'!C173*'FR_Mantenimiento tasas'!$E$57/360,""))),5)</f>
        <v>0</v>
      </c>
    </row>
    <row r="174" spans="1:5">
      <c r="A174" s="123">
        <f t="shared" si="4"/>
        <v>172</v>
      </c>
      <c r="B174" s="122">
        <f>IF(DAY(A174)=DAY('F-Ahorro Futuro Reservas'!$H$10),'F-Ahorro Futuro Reservas'!$H$9,0)</f>
        <v>0</v>
      </c>
      <c r="C174" s="122">
        <f t="shared" si="5"/>
        <v>0</v>
      </c>
      <c r="D174" s="121">
        <f>ROUND(IF(C174&lt;='FR_Mantenimiento tasas'!$C$55,'Tabla Ahorro Futuro Reservas'!C174*'FR_Mantenimiento tasas'!$D$55/360,IF(C174&lt;='FR_Mantenimiento tasas'!$C$56,'Tabla Ahorro Futuro Reservas'!C174*'FR_Mantenimiento tasas'!$D$56/360,IF(C174&lt;='FR_Mantenimiento tasas'!$C$57,'Tabla Ahorro Futuro Reservas'!C174*'FR_Mantenimiento tasas'!$D$57/360,""))),5)</f>
        <v>0</v>
      </c>
      <c r="E174" s="121">
        <f>ROUND(IF(C174&lt;='FR_Mantenimiento tasas'!$C$55,'Tabla Ahorro Futuro Reservas'!C174*'FR_Mantenimiento tasas'!$E$55/360,IF(C174&lt;='FR_Mantenimiento tasas'!$C$56,'Tabla Ahorro Futuro Reservas'!C174*'FR_Mantenimiento tasas'!$E$56/360,IF(C174&lt;='FR_Mantenimiento tasas'!$C$57,'Tabla Ahorro Futuro Reservas'!C174*'FR_Mantenimiento tasas'!$E$57/360,""))),5)</f>
        <v>0</v>
      </c>
    </row>
    <row r="175" spans="1:5">
      <c r="A175" s="123">
        <f t="shared" si="4"/>
        <v>173</v>
      </c>
      <c r="B175" s="122">
        <f>IF(DAY(A175)=DAY('F-Ahorro Futuro Reservas'!$H$10),'F-Ahorro Futuro Reservas'!$H$9,0)</f>
        <v>0</v>
      </c>
      <c r="C175" s="122">
        <f t="shared" si="5"/>
        <v>0</v>
      </c>
      <c r="D175" s="121">
        <f>ROUND(IF(C175&lt;='FR_Mantenimiento tasas'!$C$55,'Tabla Ahorro Futuro Reservas'!C175*'FR_Mantenimiento tasas'!$D$55/360,IF(C175&lt;='FR_Mantenimiento tasas'!$C$56,'Tabla Ahorro Futuro Reservas'!C175*'FR_Mantenimiento tasas'!$D$56/360,IF(C175&lt;='FR_Mantenimiento tasas'!$C$57,'Tabla Ahorro Futuro Reservas'!C175*'FR_Mantenimiento tasas'!$D$57/360,""))),5)</f>
        <v>0</v>
      </c>
      <c r="E175" s="121">
        <f>ROUND(IF(C175&lt;='FR_Mantenimiento tasas'!$C$55,'Tabla Ahorro Futuro Reservas'!C175*'FR_Mantenimiento tasas'!$E$55/360,IF(C175&lt;='FR_Mantenimiento tasas'!$C$56,'Tabla Ahorro Futuro Reservas'!C175*'FR_Mantenimiento tasas'!$E$56/360,IF(C175&lt;='FR_Mantenimiento tasas'!$C$57,'Tabla Ahorro Futuro Reservas'!C175*'FR_Mantenimiento tasas'!$E$57/360,""))),5)</f>
        <v>0</v>
      </c>
    </row>
    <row r="176" spans="1:5">
      <c r="A176" s="123">
        <f t="shared" si="4"/>
        <v>174</v>
      </c>
      <c r="B176" s="122">
        <f>IF(DAY(A176)=DAY('F-Ahorro Futuro Reservas'!$H$10),'F-Ahorro Futuro Reservas'!$H$9,0)</f>
        <v>0</v>
      </c>
      <c r="C176" s="122">
        <f t="shared" si="5"/>
        <v>0</v>
      </c>
      <c r="D176" s="121">
        <f>ROUND(IF(C176&lt;='FR_Mantenimiento tasas'!$C$55,'Tabla Ahorro Futuro Reservas'!C176*'FR_Mantenimiento tasas'!$D$55/360,IF(C176&lt;='FR_Mantenimiento tasas'!$C$56,'Tabla Ahorro Futuro Reservas'!C176*'FR_Mantenimiento tasas'!$D$56/360,IF(C176&lt;='FR_Mantenimiento tasas'!$C$57,'Tabla Ahorro Futuro Reservas'!C176*'FR_Mantenimiento tasas'!$D$57/360,""))),5)</f>
        <v>0</v>
      </c>
      <c r="E176" s="121">
        <f>ROUND(IF(C176&lt;='FR_Mantenimiento tasas'!$C$55,'Tabla Ahorro Futuro Reservas'!C176*'FR_Mantenimiento tasas'!$E$55/360,IF(C176&lt;='FR_Mantenimiento tasas'!$C$56,'Tabla Ahorro Futuro Reservas'!C176*'FR_Mantenimiento tasas'!$E$56/360,IF(C176&lt;='FR_Mantenimiento tasas'!$C$57,'Tabla Ahorro Futuro Reservas'!C176*'FR_Mantenimiento tasas'!$E$57/360,""))),5)</f>
        <v>0</v>
      </c>
    </row>
    <row r="177" spans="1:5">
      <c r="A177" s="123">
        <f t="shared" si="4"/>
        <v>175</v>
      </c>
      <c r="B177" s="122">
        <f>IF(DAY(A177)=DAY('F-Ahorro Futuro Reservas'!$H$10),'F-Ahorro Futuro Reservas'!$H$9,0)</f>
        <v>0</v>
      </c>
      <c r="C177" s="122">
        <f t="shared" si="5"/>
        <v>0</v>
      </c>
      <c r="D177" s="121">
        <f>ROUND(IF(C177&lt;='FR_Mantenimiento tasas'!$C$55,'Tabla Ahorro Futuro Reservas'!C177*'FR_Mantenimiento tasas'!$D$55/360,IF(C177&lt;='FR_Mantenimiento tasas'!$C$56,'Tabla Ahorro Futuro Reservas'!C177*'FR_Mantenimiento tasas'!$D$56/360,IF(C177&lt;='FR_Mantenimiento tasas'!$C$57,'Tabla Ahorro Futuro Reservas'!C177*'FR_Mantenimiento tasas'!$D$57/360,""))),5)</f>
        <v>0</v>
      </c>
      <c r="E177" s="121">
        <f>ROUND(IF(C177&lt;='FR_Mantenimiento tasas'!$C$55,'Tabla Ahorro Futuro Reservas'!C177*'FR_Mantenimiento tasas'!$E$55/360,IF(C177&lt;='FR_Mantenimiento tasas'!$C$56,'Tabla Ahorro Futuro Reservas'!C177*'FR_Mantenimiento tasas'!$E$56/360,IF(C177&lt;='FR_Mantenimiento tasas'!$C$57,'Tabla Ahorro Futuro Reservas'!C177*'FR_Mantenimiento tasas'!$E$57/360,""))),5)</f>
        <v>0</v>
      </c>
    </row>
    <row r="178" spans="1:5">
      <c r="A178" s="123">
        <f t="shared" si="4"/>
        <v>176</v>
      </c>
      <c r="B178" s="122">
        <f>IF(DAY(A178)=DAY('F-Ahorro Futuro Reservas'!$H$10),'F-Ahorro Futuro Reservas'!$H$9,0)</f>
        <v>0</v>
      </c>
      <c r="C178" s="122">
        <f t="shared" si="5"/>
        <v>0</v>
      </c>
      <c r="D178" s="121">
        <f>ROUND(IF(C178&lt;='FR_Mantenimiento tasas'!$C$55,'Tabla Ahorro Futuro Reservas'!C178*'FR_Mantenimiento tasas'!$D$55/360,IF(C178&lt;='FR_Mantenimiento tasas'!$C$56,'Tabla Ahorro Futuro Reservas'!C178*'FR_Mantenimiento tasas'!$D$56/360,IF(C178&lt;='FR_Mantenimiento tasas'!$C$57,'Tabla Ahorro Futuro Reservas'!C178*'FR_Mantenimiento tasas'!$D$57/360,""))),5)</f>
        <v>0</v>
      </c>
      <c r="E178" s="121">
        <f>ROUND(IF(C178&lt;='FR_Mantenimiento tasas'!$C$55,'Tabla Ahorro Futuro Reservas'!C178*'FR_Mantenimiento tasas'!$E$55/360,IF(C178&lt;='FR_Mantenimiento tasas'!$C$56,'Tabla Ahorro Futuro Reservas'!C178*'FR_Mantenimiento tasas'!$E$56/360,IF(C178&lt;='FR_Mantenimiento tasas'!$C$57,'Tabla Ahorro Futuro Reservas'!C178*'FR_Mantenimiento tasas'!$E$57/360,""))),5)</f>
        <v>0</v>
      </c>
    </row>
    <row r="179" spans="1:5">
      <c r="A179" s="123">
        <f t="shared" si="4"/>
        <v>177</v>
      </c>
      <c r="B179" s="122">
        <f>IF(DAY(A179)=DAY('F-Ahorro Futuro Reservas'!$H$10),'F-Ahorro Futuro Reservas'!$H$9,0)</f>
        <v>0</v>
      </c>
      <c r="C179" s="122">
        <f t="shared" si="5"/>
        <v>0</v>
      </c>
      <c r="D179" s="121">
        <f>ROUND(IF(C179&lt;='FR_Mantenimiento tasas'!$C$55,'Tabla Ahorro Futuro Reservas'!C179*'FR_Mantenimiento tasas'!$D$55/360,IF(C179&lt;='FR_Mantenimiento tasas'!$C$56,'Tabla Ahorro Futuro Reservas'!C179*'FR_Mantenimiento tasas'!$D$56/360,IF(C179&lt;='FR_Mantenimiento tasas'!$C$57,'Tabla Ahorro Futuro Reservas'!C179*'FR_Mantenimiento tasas'!$D$57/360,""))),5)</f>
        <v>0</v>
      </c>
      <c r="E179" s="121">
        <f>ROUND(IF(C179&lt;='FR_Mantenimiento tasas'!$C$55,'Tabla Ahorro Futuro Reservas'!C179*'FR_Mantenimiento tasas'!$E$55/360,IF(C179&lt;='FR_Mantenimiento tasas'!$C$56,'Tabla Ahorro Futuro Reservas'!C179*'FR_Mantenimiento tasas'!$E$56/360,IF(C179&lt;='FR_Mantenimiento tasas'!$C$57,'Tabla Ahorro Futuro Reservas'!C179*'FR_Mantenimiento tasas'!$E$57/360,""))),5)</f>
        <v>0</v>
      </c>
    </row>
    <row r="180" spans="1:5">
      <c r="A180" s="123">
        <f t="shared" si="4"/>
        <v>178</v>
      </c>
      <c r="B180" s="122">
        <f>IF(DAY(A180)=DAY('F-Ahorro Futuro Reservas'!$H$10),'F-Ahorro Futuro Reservas'!$H$9,0)</f>
        <v>0</v>
      </c>
      <c r="C180" s="122">
        <f t="shared" si="5"/>
        <v>0</v>
      </c>
      <c r="D180" s="121">
        <f>ROUND(IF(C180&lt;='FR_Mantenimiento tasas'!$C$55,'Tabla Ahorro Futuro Reservas'!C180*'FR_Mantenimiento tasas'!$D$55/360,IF(C180&lt;='FR_Mantenimiento tasas'!$C$56,'Tabla Ahorro Futuro Reservas'!C180*'FR_Mantenimiento tasas'!$D$56/360,IF(C180&lt;='FR_Mantenimiento tasas'!$C$57,'Tabla Ahorro Futuro Reservas'!C180*'FR_Mantenimiento tasas'!$D$57/360,""))),5)</f>
        <v>0</v>
      </c>
      <c r="E180" s="121">
        <f>ROUND(IF(C180&lt;='FR_Mantenimiento tasas'!$C$55,'Tabla Ahorro Futuro Reservas'!C180*'FR_Mantenimiento tasas'!$E$55/360,IF(C180&lt;='FR_Mantenimiento tasas'!$C$56,'Tabla Ahorro Futuro Reservas'!C180*'FR_Mantenimiento tasas'!$E$56/360,IF(C180&lt;='FR_Mantenimiento tasas'!$C$57,'Tabla Ahorro Futuro Reservas'!C180*'FR_Mantenimiento tasas'!$E$57/360,""))),5)</f>
        <v>0</v>
      </c>
    </row>
    <row r="181" spans="1:5">
      <c r="A181" s="123">
        <f t="shared" si="4"/>
        <v>179</v>
      </c>
      <c r="B181" s="122">
        <f>IF(DAY(A181)=DAY('F-Ahorro Futuro Reservas'!$H$10),'F-Ahorro Futuro Reservas'!$H$9,0)</f>
        <v>0</v>
      </c>
      <c r="C181" s="122">
        <f t="shared" si="5"/>
        <v>0</v>
      </c>
      <c r="D181" s="121">
        <f>ROUND(IF(C181&lt;='FR_Mantenimiento tasas'!$C$55,'Tabla Ahorro Futuro Reservas'!C181*'FR_Mantenimiento tasas'!$D$55/360,IF(C181&lt;='FR_Mantenimiento tasas'!$C$56,'Tabla Ahorro Futuro Reservas'!C181*'FR_Mantenimiento tasas'!$D$56/360,IF(C181&lt;='FR_Mantenimiento tasas'!$C$57,'Tabla Ahorro Futuro Reservas'!C181*'FR_Mantenimiento tasas'!$D$57/360,""))),5)</f>
        <v>0</v>
      </c>
      <c r="E181" s="121">
        <f>ROUND(IF(C181&lt;='FR_Mantenimiento tasas'!$C$55,'Tabla Ahorro Futuro Reservas'!C181*'FR_Mantenimiento tasas'!$E$55/360,IF(C181&lt;='FR_Mantenimiento tasas'!$C$56,'Tabla Ahorro Futuro Reservas'!C181*'FR_Mantenimiento tasas'!$E$56/360,IF(C181&lt;='FR_Mantenimiento tasas'!$C$57,'Tabla Ahorro Futuro Reservas'!C181*'FR_Mantenimiento tasas'!$E$57/360,""))),5)</f>
        <v>0</v>
      </c>
    </row>
    <row r="182" spans="1:5">
      <c r="A182" s="123">
        <f t="shared" si="4"/>
        <v>180</v>
      </c>
      <c r="B182" s="122">
        <f>IF(DAY(A182)=DAY('F-Ahorro Futuro Reservas'!$H$10),'F-Ahorro Futuro Reservas'!$H$9,0)</f>
        <v>0</v>
      </c>
      <c r="C182" s="122">
        <f t="shared" si="5"/>
        <v>0</v>
      </c>
      <c r="D182" s="121">
        <f>ROUND(IF(C182&lt;='FR_Mantenimiento tasas'!$C$55,'Tabla Ahorro Futuro Reservas'!C182*'FR_Mantenimiento tasas'!$D$55/360,IF(C182&lt;='FR_Mantenimiento tasas'!$C$56,'Tabla Ahorro Futuro Reservas'!C182*'FR_Mantenimiento tasas'!$D$56/360,IF(C182&lt;='FR_Mantenimiento tasas'!$C$57,'Tabla Ahorro Futuro Reservas'!C182*'FR_Mantenimiento tasas'!$D$57/360,""))),5)</f>
        <v>0</v>
      </c>
      <c r="E182" s="121">
        <f>ROUND(IF(C182&lt;='FR_Mantenimiento tasas'!$C$55,'Tabla Ahorro Futuro Reservas'!C182*'FR_Mantenimiento tasas'!$E$55/360,IF(C182&lt;='FR_Mantenimiento tasas'!$C$56,'Tabla Ahorro Futuro Reservas'!C182*'FR_Mantenimiento tasas'!$E$56/360,IF(C182&lt;='FR_Mantenimiento tasas'!$C$57,'Tabla Ahorro Futuro Reservas'!C182*'FR_Mantenimiento tasas'!$E$57/360,""))),5)</f>
        <v>0</v>
      </c>
    </row>
    <row r="183" spans="1:5">
      <c r="A183" s="123">
        <f t="shared" si="4"/>
        <v>181</v>
      </c>
      <c r="B183" s="122">
        <f>IF(DAY(A183)=DAY('F-Ahorro Futuro Reservas'!$H$10),'F-Ahorro Futuro Reservas'!$H$9,0)</f>
        <v>0</v>
      </c>
      <c r="C183" s="122">
        <f t="shared" si="5"/>
        <v>0</v>
      </c>
      <c r="D183" s="121">
        <f>ROUND(IF(C183&lt;='FR_Mantenimiento tasas'!$C$55,'Tabla Ahorro Futuro Reservas'!C183*'FR_Mantenimiento tasas'!$D$55/360,IF(C183&lt;='FR_Mantenimiento tasas'!$C$56,'Tabla Ahorro Futuro Reservas'!C183*'FR_Mantenimiento tasas'!$D$56/360,IF(C183&lt;='FR_Mantenimiento tasas'!$C$57,'Tabla Ahorro Futuro Reservas'!C183*'FR_Mantenimiento tasas'!$D$57/360,""))),5)</f>
        <v>0</v>
      </c>
      <c r="E183" s="121">
        <f>ROUND(IF(C183&lt;='FR_Mantenimiento tasas'!$C$55,'Tabla Ahorro Futuro Reservas'!C183*'FR_Mantenimiento tasas'!$E$55/360,IF(C183&lt;='FR_Mantenimiento tasas'!$C$56,'Tabla Ahorro Futuro Reservas'!C183*'FR_Mantenimiento tasas'!$E$56/360,IF(C183&lt;='FR_Mantenimiento tasas'!$C$57,'Tabla Ahorro Futuro Reservas'!C183*'FR_Mantenimiento tasas'!$E$57/360,""))),5)</f>
        <v>0</v>
      </c>
    </row>
    <row r="184" spans="1:5">
      <c r="A184" s="123">
        <f t="shared" si="4"/>
        <v>182</v>
      </c>
      <c r="B184" s="122">
        <f>IF(DAY(A184)=DAY('F-Ahorro Futuro Reservas'!$H$10),'F-Ahorro Futuro Reservas'!$H$9,0)</f>
        <v>0</v>
      </c>
      <c r="C184" s="122">
        <f t="shared" si="5"/>
        <v>0</v>
      </c>
      <c r="D184" s="121">
        <f>ROUND(IF(C184&lt;='FR_Mantenimiento tasas'!$C$55,'Tabla Ahorro Futuro Reservas'!C184*'FR_Mantenimiento tasas'!$D$55/360,IF(C184&lt;='FR_Mantenimiento tasas'!$C$56,'Tabla Ahorro Futuro Reservas'!C184*'FR_Mantenimiento tasas'!$D$56/360,IF(C184&lt;='FR_Mantenimiento tasas'!$C$57,'Tabla Ahorro Futuro Reservas'!C184*'FR_Mantenimiento tasas'!$D$57/360,""))),5)</f>
        <v>0</v>
      </c>
      <c r="E184" s="121">
        <f>ROUND(IF(C184&lt;='FR_Mantenimiento tasas'!$C$55,'Tabla Ahorro Futuro Reservas'!C184*'FR_Mantenimiento tasas'!$E$55/360,IF(C184&lt;='FR_Mantenimiento tasas'!$C$56,'Tabla Ahorro Futuro Reservas'!C184*'FR_Mantenimiento tasas'!$E$56/360,IF(C184&lt;='FR_Mantenimiento tasas'!$C$57,'Tabla Ahorro Futuro Reservas'!C184*'FR_Mantenimiento tasas'!$E$57/360,""))),5)</f>
        <v>0</v>
      </c>
    </row>
    <row r="185" spans="1:5">
      <c r="A185" s="123">
        <f t="shared" si="4"/>
        <v>183</v>
      </c>
      <c r="B185" s="122">
        <f>IF(DAY(A185)=DAY('F-Ahorro Futuro Reservas'!$H$10),'F-Ahorro Futuro Reservas'!$H$9,0)</f>
        <v>0</v>
      </c>
      <c r="C185" s="122">
        <f t="shared" si="5"/>
        <v>0</v>
      </c>
      <c r="D185" s="121">
        <f>ROUND(IF(C185&lt;='FR_Mantenimiento tasas'!$C$55,'Tabla Ahorro Futuro Reservas'!C185*'FR_Mantenimiento tasas'!$D$55/360,IF(C185&lt;='FR_Mantenimiento tasas'!$C$56,'Tabla Ahorro Futuro Reservas'!C185*'FR_Mantenimiento tasas'!$D$56/360,IF(C185&lt;='FR_Mantenimiento tasas'!$C$57,'Tabla Ahorro Futuro Reservas'!C185*'FR_Mantenimiento tasas'!$D$57/360,""))),5)</f>
        <v>0</v>
      </c>
      <c r="E185" s="121">
        <f>ROUND(IF(C185&lt;='FR_Mantenimiento tasas'!$C$55,'Tabla Ahorro Futuro Reservas'!C185*'FR_Mantenimiento tasas'!$E$55/360,IF(C185&lt;='FR_Mantenimiento tasas'!$C$56,'Tabla Ahorro Futuro Reservas'!C185*'FR_Mantenimiento tasas'!$E$56/360,IF(C185&lt;='FR_Mantenimiento tasas'!$C$57,'Tabla Ahorro Futuro Reservas'!C185*'FR_Mantenimiento tasas'!$E$57/360,""))),5)</f>
        <v>0</v>
      </c>
    </row>
    <row r="186" spans="1:5">
      <c r="A186" s="123">
        <f t="shared" si="4"/>
        <v>184</v>
      </c>
      <c r="B186" s="122">
        <f>IF(DAY(A186)=DAY('F-Ahorro Futuro Reservas'!$H$10),'F-Ahorro Futuro Reservas'!$H$9,0)</f>
        <v>0</v>
      </c>
      <c r="C186" s="122">
        <f t="shared" si="5"/>
        <v>0</v>
      </c>
      <c r="D186" s="121">
        <f>ROUND(IF(C186&lt;='FR_Mantenimiento tasas'!$C$55,'Tabla Ahorro Futuro Reservas'!C186*'FR_Mantenimiento tasas'!$D$55/360,IF(C186&lt;='FR_Mantenimiento tasas'!$C$56,'Tabla Ahorro Futuro Reservas'!C186*'FR_Mantenimiento tasas'!$D$56/360,IF(C186&lt;='FR_Mantenimiento tasas'!$C$57,'Tabla Ahorro Futuro Reservas'!C186*'FR_Mantenimiento tasas'!$D$57/360,""))),5)</f>
        <v>0</v>
      </c>
      <c r="E186" s="121">
        <f>ROUND(IF(C186&lt;='FR_Mantenimiento tasas'!$C$55,'Tabla Ahorro Futuro Reservas'!C186*'FR_Mantenimiento tasas'!$E$55/360,IF(C186&lt;='FR_Mantenimiento tasas'!$C$56,'Tabla Ahorro Futuro Reservas'!C186*'FR_Mantenimiento tasas'!$E$56/360,IF(C186&lt;='FR_Mantenimiento tasas'!$C$57,'Tabla Ahorro Futuro Reservas'!C186*'FR_Mantenimiento tasas'!$E$57/360,""))),5)</f>
        <v>0</v>
      </c>
    </row>
    <row r="187" spans="1:5">
      <c r="A187" s="123">
        <f t="shared" si="4"/>
        <v>185</v>
      </c>
      <c r="B187" s="122">
        <f>IF(DAY(A187)=DAY('F-Ahorro Futuro Reservas'!$H$10),'F-Ahorro Futuro Reservas'!$H$9,0)</f>
        <v>0</v>
      </c>
      <c r="C187" s="122">
        <f t="shared" si="5"/>
        <v>0</v>
      </c>
      <c r="D187" s="121">
        <f>ROUND(IF(C187&lt;='FR_Mantenimiento tasas'!$C$55,'Tabla Ahorro Futuro Reservas'!C187*'FR_Mantenimiento tasas'!$D$55/360,IF(C187&lt;='FR_Mantenimiento tasas'!$C$56,'Tabla Ahorro Futuro Reservas'!C187*'FR_Mantenimiento tasas'!$D$56/360,IF(C187&lt;='FR_Mantenimiento tasas'!$C$57,'Tabla Ahorro Futuro Reservas'!C187*'FR_Mantenimiento tasas'!$D$57/360,""))),5)</f>
        <v>0</v>
      </c>
      <c r="E187" s="121">
        <f>ROUND(IF(C187&lt;='FR_Mantenimiento tasas'!$C$55,'Tabla Ahorro Futuro Reservas'!C187*'FR_Mantenimiento tasas'!$E$55/360,IF(C187&lt;='FR_Mantenimiento tasas'!$C$56,'Tabla Ahorro Futuro Reservas'!C187*'FR_Mantenimiento tasas'!$E$56/360,IF(C187&lt;='FR_Mantenimiento tasas'!$C$57,'Tabla Ahorro Futuro Reservas'!C187*'FR_Mantenimiento tasas'!$E$57/360,""))),5)</f>
        <v>0</v>
      </c>
    </row>
    <row r="188" spans="1:5">
      <c r="A188" s="123">
        <f t="shared" si="4"/>
        <v>186</v>
      </c>
      <c r="B188" s="122">
        <f>IF(DAY(A188)=DAY('F-Ahorro Futuro Reservas'!$H$10),'F-Ahorro Futuro Reservas'!$H$9,0)</f>
        <v>0</v>
      </c>
      <c r="C188" s="122">
        <f t="shared" si="5"/>
        <v>0</v>
      </c>
      <c r="D188" s="121">
        <f>ROUND(IF(C188&lt;='FR_Mantenimiento tasas'!$C$55,'Tabla Ahorro Futuro Reservas'!C188*'FR_Mantenimiento tasas'!$D$55/360,IF(C188&lt;='FR_Mantenimiento tasas'!$C$56,'Tabla Ahorro Futuro Reservas'!C188*'FR_Mantenimiento tasas'!$D$56/360,IF(C188&lt;='FR_Mantenimiento tasas'!$C$57,'Tabla Ahorro Futuro Reservas'!C188*'FR_Mantenimiento tasas'!$D$57/360,""))),5)</f>
        <v>0</v>
      </c>
      <c r="E188" s="121">
        <f>ROUND(IF(C188&lt;='FR_Mantenimiento tasas'!$C$55,'Tabla Ahorro Futuro Reservas'!C188*'FR_Mantenimiento tasas'!$E$55/360,IF(C188&lt;='FR_Mantenimiento tasas'!$C$56,'Tabla Ahorro Futuro Reservas'!C188*'FR_Mantenimiento tasas'!$E$56/360,IF(C188&lt;='FR_Mantenimiento tasas'!$C$57,'Tabla Ahorro Futuro Reservas'!C188*'FR_Mantenimiento tasas'!$E$57/360,""))),5)</f>
        <v>0</v>
      </c>
    </row>
    <row r="189" spans="1:5">
      <c r="A189" s="123">
        <f t="shared" si="4"/>
        <v>187</v>
      </c>
      <c r="B189" s="122">
        <f>IF(DAY(A189)=DAY('F-Ahorro Futuro Reservas'!$H$10),'F-Ahorro Futuro Reservas'!$H$9,0)</f>
        <v>0</v>
      </c>
      <c r="C189" s="122">
        <f t="shared" si="5"/>
        <v>0</v>
      </c>
      <c r="D189" s="121">
        <f>ROUND(IF(C189&lt;='FR_Mantenimiento tasas'!$C$55,'Tabla Ahorro Futuro Reservas'!C189*'FR_Mantenimiento tasas'!$D$55/360,IF(C189&lt;='FR_Mantenimiento tasas'!$C$56,'Tabla Ahorro Futuro Reservas'!C189*'FR_Mantenimiento tasas'!$D$56/360,IF(C189&lt;='FR_Mantenimiento tasas'!$C$57,'Tabla Ahorro Futuro Reservas'!C189*'FR_Mantenimiento tasas'!$D$57/360,""))),5)</f>
        <v>0</v>
      </c>
      <c r="E189" s="121">
        <f>ROUND(IF(C189&lt;='FR_Mantenimiento tasas'!$C$55,'Tabla Ahorro Futuro Reservas'!C189*'FR_Mantenimiento tasas'!$E$55/360,IF(C189&lt;='FR_Mantenimiento tasas'!$C$56,'Tabla Ahorro Futuro Reservas'!C189*'FR_Mantenimiento tasas'!$E$56/360,IF(C189&lt;='FR_Mantenimiento tasas'!$C$57,'Tabla Ahorro Futuro Reservas'!C189*'FR_Mantenimiento tasas'!$E$57/360,""))),5)</f>
        <v>0</v>
      </c>
    </row>
    <row r="190" spans="1:5">
      <c r="A190" s="123">
        <f t="shared" si="4"/>
        <v>188</v>
      </c>
      <c r="B190" s="122">
        <f>IF(DAY(A190)=DAY('F-Ahorro Futuro Reservas'!$H$10),'F-Ahorro Futuro Reservas'!$H$9,0)</f>
        <v>0</v>
      </c>
      <c r="C190" s="122">
        <f t="shared" si="5"/>
        <v>0</v>
      </c>
      <c r="D190" s="121">
        <f>ROUND(IF(C190&lt;='FR_Mantenimiento tasas'!$C$55,'Tabla Ahorro Futuro Reservas'!C190*'FR_Mantenimiento tasas'!$D$55/360,IF(C190&lt;='FR_Mantenimiento tasas'!$C$56,'Tabla Ahorro Futuro Reservas'!C190*'FR_Mantenimiento tasas'!$D$56/360,IF(C190&lt;='FR_Mantenimiento tasas'!$C$57,'Tabla Ahorro Futuro Reservas'!C190*'FR_Mantenimiento tasas'!$D$57/360,""))),5)</f>
        <v>0</v>
      </c>
      <c r="E190" s="121">
        <f>ROUND(IF(C190&lt;='FR_Mantenimiento tasas'!$C$55,'Tabla Ahorro Futuro Reservas'!C190*'FR_Mantenimiento tasas'!$E$55/360,IF(C190&lt;='FR_Mantenimiento tasas'!$C$56,'Tabla Ahorro Futuro Reservas'!C190*'FR_Mantenimiento tasas'!$E$56/360,IF(C190&lt;='FR_Mantenimiento tasas'!$C$57,'Tabla Ahorro Futuro Reservas'!C190*'FR_Mantenimiento tasas'!$E$57/360,""))),5)</f>
        <v>0</v>
      </c>
    </row>
    <row r="191" spans="1:5">
      <c r="A191" s="123">
        <f t="shared" si="4"/>
        <v>189</v>
      </c>
      <c r="B191" s="122">
        <f>IF(DAY(A191)=DAY('F-Ahorro Futuro Reservas'!$H$10),'F-Ahorro Futuro Reservas'!$H$9,0)</f>
        <v>0</v>
      </c>
      <c r="C191" s="122">
        <f t="shared" si="5"/>
        <v>0</v>
      </c>
      <c r="D191" s="121">
        <f>ROUND(IF(C191&lt;='FR_Mantenimiento tasas'!$C$55,'Tabla Ahorro Futuro Reservas'!C191*'FR_Mantenimiento tasas'!$D$55/360,IF(C191&lt;='FR_Mantenimiento tasas'!$C$56,'Tabla Ahorro Futuro Reservas'!C191*'FR_Mantenimiento tasas'!$D$56/360,IF(C191&lt;='FR_Mantenimiento tasas'!$C$57,'Tabla Ahorro Futuro Reservas'!C191*'FR_Mantenimiento tasas'!$D$57/360,""))),5)</f>
        <v>0</v>
      </c>
      <c r="E191" s="121">
        <f>ROUND(IF(C191&lt;='FR_Mantenimiento tasas'!$C$55,'Tabla Ahorro Futuro Reservas'!C191*'FR_Mantenimiento tasas'!$E$55/360,IF(C191&lt;='FR_Mantenimiento tasas'!$C$56,'Tabla Ahorro Futuro Reservas'!C191*'FR_Mantenimiento tasas'!$E$56/360,IF(C191&lt;='FR_Mantenimiento tasas'!$C$57,'Tabla Ahorro Futuro Reservas'!C191*'FR_Mantenimiento tasas'!$E$57/360,""))),5)</f>
        <v>0</v>
      </c>
    </row>
    <row r="192" spans="1:5">
      <c r="A192" s="123">
        <f t="shared" si="4"/>
        <v>190</v>
      </c>
      <c r="B192" s="122">
        <f>IF(DAY(A192)=DAY('F-Ahorro Futuro Reservas'!$H$10),'F-Ahorro Futuro Reservas'!$H$9,0)</f>
        <v>0</v>
      </c>
      <c r="C192" s="122">
        <f t="shared" si="5"/>
        <v>0</v>
      </c>
      <c r="D192" s="121">
        <f>ROUND(IF(C192&lt;='FR_Mantenimiento tasas'!$C$55,'Tabla Ahorro Futuro Reservas'!C192*'FR_Mantenimiento tasas'!$D$55/360,IF(C192&lt;='FR_Mantenimiento tasas'!$C$56,'Tabla Ahorro Futuro Reservas'!C192*'FR_Mantenimiento tasas'!$D$56/360,IF(C192&lt;='FR_Mantenimiento tasas'!$C$57,'Tabla Ahorro Futuro Reservas'!C192*'FR_Mantenimiento tasas'!$D$57/360,""))),5)</f>
        <v>0</v>
      </c>
      <c r="E192" s="121">
        <f>ROUND(IF(C192&lt;='FR_Mantenimiento tasas'!$C$55,'Tabla Ahorro Futuro Reservas'!C192*'FR_Mantenimiento tasas'!$E$55/360,IF(C192&lt;='FR_Mantenimiento tasas'!$C$56,'Tabla Ahorro Futuro Reservas'!C192*'FR_Mantenimiento tasas'!$E$56/360,IF(C192&lt;='FR_Mantenimiento tasas'!$C$57,'Tabla Ahorro Futuro Reservas'!C192*'FR_Mantenimiento tasas'!$E$57/360,""))),5)</f>
        <v>0</v>
      </c>
    </row>
    <row r="193" spans="1:5">
      <c r="A193" s="123">
        <f t="shared" si="4"/>
        <v>191</v>
      </c>
      <c r="B193" s="122">
        <f>IF(DAY(A193)=DAY('F-Ahorro Futuro Reservas'!$H$10),'F-Ahorro Futuro Reservas'!$H$9,0)</f>
        <v>0</v>
      </c>
      <c r="C193" s="122">
        <f t="shared" si="5"/>
        <v>0</v>
      </c>
      <c r="D193" s="121">
        <f>ROUND(IF(C193&lt;='FR_Mantenimiento tasas'!$C$55,'Tabla Ahorro Futuro Reservas'!C193*'FR_Mantenimiento tasas'!$D$55/360,IF(C193&lt;='FR_Mantenimiento tasas'!$C$56,'Tabla Ahorro Futuro Reservas'!C193*'FR_Mantenimiento tasas'!$D$56/360,IF(C193&lt;='FR_Mantenimiento tasas'!$C$57,'Tabla Ahorro Futuro Reservas'!C193*'FR_Mantenimiento tasas'!$D$57/360,""))),5)</f>
        <v>0</v>
      </c>
      <c r="E193" s="121">
        <f>ROUND(IF(C193&lt;='FR_Mantenimiento tasas'!$C$55,'Tabla Ahorro Futuro Reservas'!C193*'FR_Mantenimiento tasas'!$E$55/360,IF(C193&lt;='FR_Mantenimiento tasas'!$C$56,'Tabla Ahorro Futuro Reservas'!C193*'FR_Mantenimiento tasas'!$E$56/360,IF(C193&lt;='FR_Mantenimiento tasas'!$C$57,'Tabla Ahorro Futuro Reservas'!C193*'FR_Mantenimiento tasas'!$E$57/360,""))),5)</f>
        <v>0</v>
      </c>
    </row>
    <row r="194" spans="1:5">
      <c r="A194" s="123">
        <f t="shared" si="4"/>
        <v>192</v>
      </c>
      <c r="B194" s="122">
        <f>IF(DAY(A194)=DAY('F-Ahorro Futuro Reservas'!$H$10),'F-Ahorro Futuro Reservas'!$H$9,0)</f>
        <v>0</v>
      </c>
      <c r="C194" s="122">
        <f t="shared" si="5"/>
        <v>0</v>
      </c>
      <c r="D194" s="121">
        <f>ROUND(IF(C194&lt;='FR_Mantenimiento tasas'!$C$55,'Tabla Ahorro Futuro Reservas'!C194*'FR_Mantenimiento tasas'!$D$55/360,IF(C194&lt;='FR_Mantenimiento tasas'!$C$56,'Tabla Ahorro Futuro Reservas'!C194*'FR_Mantenimiento tasas'!$D$56/360,IF(C194&lt;='FR_Mantenimiento tasas'!$C$57,'Tabla Ahorro Futuro Reservas'!C194*'FR_Mantenimiento tasas'!$D$57/360,""))),5)</f>
        <v>0</v>
      </c>
      <c r="E194" s="121">
        <f>ROUND(IF(C194&lt;='FR_Mantenimiento tasas'!$C$55,'Tabla Ahorro Futuro Reservas'!C194*'FR_Mantenimiento tasas'!$E$55/360,IF(C194&lt;='FR_Mantenimiento tasas'!$C$56,'Tabla Ahorro Futuro Reservas'!C194*'FR_Mantenimiento tasas'!$E$56/360,IF(C194&lt;='FR_Mantenimiento tasas'!$C$57,'Tabla Ahorro Futuro Reservas'!C194*'FR_Mantenimiento tasas'!$E$57/360,""))),5)</f>
        <v>0</v>
      </c>
    </row>
    <row r="195" spans="1:5">
      <c r="A195" s="123">
        <f t="shared" si="4"/>
        <v>193</v>
      </c>
      <c r="B195" s="122">
        <f>IF(DAY(A195)=DAY('F-Ahorro Futuro Reservas'!$H$10),'F-Ahorro Futuro Reservas'!$H$9,0)</f>
        <v>0</v>
      </c>
      <c r="C195" s="122">
        <f t="shared" si="5"/>
        <v>0</v>
      </c>
      <c r="D195" s="121">
        <f>ROUND(IF(C195&lt;='FR_Mantenimiento tasas'!$C$55,'Tabla Ahorro Futuro Reservas'!C195*'FR_Mantenimiento tasas'!$D$55/360,IF(C195&lt;='FR_Mantenimiento tasas'!$C$56,'Tabla Ahorro Futuro Reservas'!C195*'FR_Mantenimiento tasas'!$D$56/360,IF(C195&lt;='FR_Mantenimiento tasas'!$C$57,'Tabla Ahorro Futuro Reservas'!C195*'FR_Mantenimiento tasas'!$D$57/360,""))),5)</f>
        <v>0</v>
      </c>
      <c r="E195" s="121">
        <f>ROUND(IF(C195&lt;='FR_Mantenimiento tasas'!$C$55,'Tabla Ahorro Futuro Reservas'!C195*'FR_Mantenimiento tasas'!$E$55/360,IF(C195&lt;='FR_Mantenimiento tasas'!$C$56,'Tabla Ahorro Futuro Reservas'!C195*'FR_Mantenimiento tasas'!$E$56/360,IF(C195&lt;='FR_Mantenimiento tasas'!$C$57,'Tabla Ahorro Futuro Reservas'!C195*'FR_Mantenimiento tasas'!$E$57/360,""))),5)</f>
        <v>0</v>
      </c>
    </row>
    <row r="196" spans="1:5">
      <c r="A196" s="123">
        <f t="shared" ref="A196:A259" si="6">+A195+1</f>
        <v>194</v>
      </c>
      <c r="B196" s="122">
        <f>IF(DAY(A196)=DAY('F-Ahorro Futuro Reservas'!$H$10),'F-Ahorro Futuro Reservas'!$H$9,0)</f>
        <v>0</v>
      </c>
      <c r="C196" s="122">
        <f t="shared" ref="C196:C259" si="7">+B196+C195+D195</f>
        <v>0</v>
      </c>
      <c r="D196" s="121">
        <f>ROUND(IF(C196&lt;='FR_Mantenimiento tasas'!$C$55,'Tabla Ahorro Futuro Reservas'!C196*'FR_Mantenimiento tasas'!$D$55/360,IF(C196&lt;='FR_Mantenimiento tasas'!$C$56,'Tabla Ahorro Futuro Reservas'!C196*'FR_Mantenimiento tasas'!$D$56/360,IF(C196&lt;='FR_Mantenimiento tasas'!$C$57,'Tabla Ahorro Futuro Reservas'!C196*'FR_Mantenimiento tasas'!$D$57/360,""))),5)</f>
        <v>0</v>
      </c>
      <c r="E196" s="121">
        <f>ROUND(IF(C196&lt;='FR_Mantenimiento tasas'!$C$55,'Tabla Ahorro Futuro Reservas'!C196*'FR_Mantenimiento tasas'!$E$55/360,IF(C196&lt;='FR_Mantenimiento tasas'!$C$56,'Tabla Ahorro Futuro Reservas'!C196*'FR_Mantenimiento tasas'!$E$56/360,IF(C196&lt;='FR_Mantenimiento tasas'!$C$57,'Tabla Ahorro Futuro Reservas'!C196*'FR_Mantenimiento tasas'!$E$57/360,""))),5)</f>
        <v>0</v>
      </c>
    </row>
    <row r="197" spans="1:5">
      <c r="A197" s="123">
        <f t="shared" si="6"/>
        <v>195</v>
      </c>
      <c r="B197" s="122">
        <f>IF(DAY(A197)=DAY('F-Ahorro Futuro Reservas'!$H$10),'F-Ahorro Futuro Reservas'!$H$9,0)</f>
        <v>0</v>
      </c>
      <c r="C197" s="122">
        <f t="shared" si="7"/>
        <v>0</v>
      </c>
      <c r="D197" s="121">
        <f>ROUND(IF(C197&lt;='FR_Mantenimiento tasas'!$C$55,'Tabla Ahorro Futuro Reservas'!C197*'FR_Mantenimiento tasas'!$D$55/360,IF(C197&lt;='FR_Mantenimiento tasas'!$C$56,'Tabla Ahorro Futuro Reservas'!C197*'FR_Mantenimiento tasas'!$D$56/360,IF(C197&lt;='FR_Mantenimiento tasas'!$C$57,'Tabla Ahorro Futuro Reservas'!C197*'FR_Mantenimiento tasas'!$D$57/360,""))),5)</f>
        <v>0</v>
      </c>
      <c r="E197" s="121">
        <f>ROUND(IF(C197&lt;='FR_Mantenimiento tasas'!$C$55,'Tabla Ahorro Futuro Reservas'!C197*'FR_Mantenimiento tasas'!$E$55/360,IF(C197&lt;='FR_Mantenimiento tasas'!$C$56,'Tabla Ahorro Futuro Reservas'!C197*'FR_Mantenimiento tasas'!$E$56/360,IF(C197&lt;='FR_Mantenimiento tasas'!$C$57,'Tabla Ahorro Futuro Reservas'!C197*'FR_Mantenimiento tasas'!$E$57/360,""))),5)</f>
        <v>0</v>
      </c>
    </row>
    <row r="198" spans="1:5">
      <c r="A198" s="123">
        <f t="shared" si="6"/>
        <v>196</v>
      </c>
      <c r="B198" s="122">
        <f>IF(DAY(A198)=DAY('F-Ahorro Futuro Reservas'!$H$10),'F-Ahorro Futuro Reservas'!$H$9,0)</f>
        <v>0</v>
      </c>
      <c r="C198" s="122">
        <f t="shared" si="7"/>
        <v>0</v>
      </c>
      <c r="D198" s="121">
        <f>ROUND(IF(C198&lt;='FR_Mantenimiento tasas'!$C$55,'Tabla Ahorro Futuro Reservas'!C198*'FR_Mantenimiento tasas'!$D$55/360,IF(C198&lt;='FR_Mantenimiento tasas'!$C$56,'Tabla Ahorro Futuro Reservas'!C198*'FR_Mantenimiento tasas'!$D$56/360,IF(C198&lt;='FR_Mantenimiento tasas'!$C$57,'Tabla Ahorro Futuro Reservas'!C198*'FR_Mantenimiento tasas'!$D$57/360,""))),5)</f>
        <v>0</v>
      </c>
      <c r="E198" s="121">
        <f>ROUND(IF(C198&lt;='FR_Mantenimiento tasas'!$C$55,'Tabla Ahorro Futuro Reservas'!C198*'FR_Mantenimiento tasas'!$E$55/360,IF(C198&lt;='FR_Mantenimiento tasas'!$C$56,'Tabla Ahorro Futuro Reservas'!C198*'FR_Mantenimiento tasas'!$E$56/360,IF(C198&lt;='FR_Mantenimiento tasas'!$C$57,'Tabla Ahorro Futuro Reservas'!C198*'FR_Mantenimiento tasas'!$E$57/360,""))),5)</f>
        <v>0</v>
      </c>
    </row>
    <row r="199" spans="1:5">
      <c r="A199" s="123">
        <f t="shared" si="6"/>
        <v>197</v>
      </c>
      <c r="B199" s="122">
        <f>IF(DAY(A199)=DAY('F-Ahorro Futuro Reservas'!$H$10),'F-Ahorro Futuro Reservas'!$H$9,0)</f>
        <v>0</v>
      </c>
      <c r="C199" s="122">
        <f t="shared" si="7"/>
        <v>0</v>
      </c>
      <c r="D199" s="121">
        <f>ROUND(IF(C199&lt;='FR_Mantenimiento tasas'!$C$55,'Tabla Ahorro Futuro Reservas'!C199*'FR_Mantenimiento tasas'!$D$55/360,IF(C199&lt;='FR_Mantenimiento tasas'!$C$56,'Tabla Ahorro Futuro Reservas'!C199*'FR_Mantenimiento tasas'!$D$56/360,IF(C199&lt;='FR_Mantenimiento tasas'!$C$57,'Tabla Ahorro Futuro Reservas'!C199*'FR_Mantenimiento tasas'!$D$57/360,""))),5)</f>
        <v>0</v>
      </c>
      <c r="E199" s="121">
        <f>ROUND(IF(C199&lt;='FR_Mantenimiento tasas'!$C$55,'Tabla Ahorro Futuro Reservas'!C199*'FR_Mantenimiento tasas'!$E$55/360,IF(C199&lt;='FR_Mantenimiento tasas'!$C$56,'Tabla Ahorro Futuro Reservas'!C199*'FR_Mantenimiento tasas'!$E$56/360,IF(C199&lt;='FR_Mantenimiento tasas'!$C$57,'Tabla Ahorro Futuro Reservas'!C199*'FR_Mantenimiento tasas'!$E$57/360,""))),5)</f>
        <v>0</v>
      </c>
    </row>
    <row r="200" spans="1:5">
      <c r="A200" s="123">
        <f t="shared" si="6"/>
        <v>198</v>
      </c>
      <c r="B200" s="122">
        <f>IF(DAY(A200)=DAY('F-Ahorro Futuro Reservas'!$H$10),'F-Ahorro Futuro Reservas'!$H$9,0)</f>
        <v>0</v>
      </c>
      <c r="C200" s="122">
        <f t="shared" si="7"/>
        <v>0</v>
      </c>
      <c r="D200" s="121">
        <f>ROUND(IF(C200&lt;='FR_Mantenimiento tasas'!$C$55,'Tabla Ahorro Futuro Reservas'!C200*'FR_Mantenimiento tasas'!$D$55/360,IF(C200&lt;='FR_Mantenimiento tasas'!$C$56,'Tabla Ahorro Futuro Reservas'!C200*'FR_Mantenimiento tasas'!$D$56/360,IF(C200&lt;='FR_Mantenimiento tasas'!$C$57,'Tabla Ahorro Futuro Reservas'!C200*'FR_Mantenimiento tasas'!$D$57/360,""))),5)</f>
        <v>0</v>
      </c>
      <c r="E200" s="121">
        <f>ROUND(IF(C200&lt;='FR_Mantenimiento tasas'!$C$55,'Tabla Ahorro Futuro Reservas'!C200*'FR_Mantenimiento tasas'!$E$55/360,IF(C200&lt;='FR_Mantenimiento tasas'!$C$56,'Tabla Ahorro Futuro Reservas'!C200*'FR_Mantenimiento tasas'!$E$56/360,IF(C200&lt;='FR_Mantenimiento tasas'!$C$57,'Tabla Ahorro Futuro Reservas'!C200*'FR_Mantenimiento tasas'!$E$57/360,""))),5)</f>
        <v>0</v>
      </c>
    </row>
    <row r="201" spans="1:5">
      <c r="A201" s="123">
        <f t="shared" si="6"/>
        <v>199</v>
      </c>
      <c r="B201" s="122">
        <f>IF(DAY(A201)=DAY('F-Ahorro Futuro Reservas'!$H$10),'F-Ahorro Futuro Reservas'!$H$9,0)</f>
        <v>0</v>
      </c>
      <c r="C201" s="122">
        <f t="shared" si="7"/>
        <v>0</v>
      </c>
      <c r="D201" s="121">
        <f>ROUND(IF(C201&lt;='FR_Mantenimiento tasas'!$C$55,'Tabla Ahorro Futuro Reservas'!C201*'FR_Mantenimiento tasas'!$D$55/360,IF(C201&lt;='FR_Mantenimiento tasas'!$C$56,'Tabla Ahorro Futuro Reservas'!C201*'FR_Mantenimiento tasas'!$D$56/360,IF(C201&lt;='FR_Mantenimiento tasas'!$C$57,'Tabla Ahorro Futuro Reservas'!C201*'FR_Mantenimiento tasas'!$D$57/360,""))),5)</f>
        <v>0</v>
      </c>
      <c r="E201" s="121">
        <f>ROUND(IF(C201&lt;='FR_Mantenimiento tasas'!$C$55,'Tabla Ahorro Futuro Reservas'!C201*'FR_Mantenimiento tasas'!$E$55/360,IF(C201&lt;='FR_Mantenimiento tasas'!$C$56,'Tabla Ahorro Futuro Reservas'!C201*'FR_Mantenimiento tasas'!$E$56/360,IF(C201&lt;='FR_Mantenimiento tasas'!$C$57,'Tabla Ahorro Futuro Reservas'!C201*'FR_Mantenimiento tasas'!$E$57/360,""))),5)</f>
        <v>0</v>
      </c>
    </row>
    <row r="202" spans="1:5">
      <c r="A202" s="123">
        <f t="shared" si="6"/>
        <v>200</v>
      </c>
      <c r="B202" s="122">
        <f>IF(DAY(A202)=DAY('F-Ahorro Futuro Reservas'!$H$10),'F-Ahorro Futuro Reservas'!$H$9,0)</f>
        <v>0</v>
      </c>
      <c r="C202" s="122">
        <f t="shared" si="7"/>
        <v>0</v>
      </c>
      <c r="D202" s="121">
        <f>ROUND(IF(C202&lt;='FR_Mantenimiento tasas'!$C$55,'Tabla Ahorro Futuro Reservas'!C202*'FR_Mantenimiento tasas'!$D$55/360,IF(C202&lt;='FR_Mantenimiento tasas'!$C$56,'Tabla Ahorro Futuro Reservas'!C202*'FR_Mantenimiento tasas'!$D$56/360,IF(C202&lt;='FR_Mantenimiento tasas'!$C$57,'Tabla Ahorro Futuro Reservas'!C202*'FR_Mantenimiento tasas'!$D$57/360,""))),5)</f>
        <v>0</v>
      </c>
      <c r="E202" s="121">
        <f>ROUND(IF(C202&lt;='FR_Mantenimiento tasas'!$C$55,'Tabla Ahorro Futuro Reservas'!C202*'FR_Mantenimiento tasas'!$E$55/360,IF(C202&lt;='FR_Mantenimiento tasas'!$C$56,'Tabla Ahorro Futuro Reservas'!C202*'FR_Mantenimiento tasas'!$E$56/360,IF(C202&lt;='FR_Mantenimiento tasas'!$C$57,'Tabla Ahorro Futuro Reservas'!C202*'FR_Mantenimiento tasas'!$E$57/360,""))),5)</f>
        <v>0</v>
      </c>
    </row>
    <row r="203" spans="1:5">
      <c r="A203" s="123">
        <f t="shared" si="6"/>
        <v>201</v>
      </c>
      <c r="B203" s="122">
        <f>IF(DAY(A203)=DAY('F-Ahorro Futuro Reservas'!$H$10),'F-Ahorro Futuro Reservas'!$H$9,0)</f>
        <v>0</v>
      </c>
      <c r="C203" s="122">
        <f t="shared" si="7"/>
        <v>0</v>
      </c>
      <c r="D203" s="121">
        <f>ROUND(IF(C203&lt;='FR_Mantenimiento tasas'!$C$55,'Tabla Ahorro Futuro Reservas'!C203*'FR_Mantenimiento tasas'!$D$55/360,IF(C203&lt;='FR_Mantenimiento tasas'!$C$56,'Tabla Ahorro Futuro Reservas'!C203*'FR_Mantenimiento tasas'!$D$56/360,IF(C203&lt;='FR_Mantenimiento tasas'!$C$57,'Tabla Ahorro Futuro Reservas'!C203*'FR_Mantenimiento tasas'!$D$57/360,""))),5)</f>
        <v>0</v>
      </c>
      <c r="E203" s="121">
        <f>ROUND(IF(C203&lt;='FR_Mantenimiento tasas'!$C$55,'Tabla Ahorro Futuro Reservas'!C203*'FR_Mantenimiento tasas'!$E$55/360,IF(C203&lt;='FR_Mantenimiento tasas'!$C$56,'Tabla Ahorro Futuro Reservas'!C203*'FR_Mantenimiento tasas'!$E$56/360,IF(C203&lt;='FR_Mantenimiento tasas'!$C$57,'Tabla Ahorro Futuro Reservas'!C203*'FR_Mantenimiento tasas'!$E$57/360,""))),5)</f>
        <v>0</v>
      </c>
    </row>
    <row r="204" spans="1:5">
      <c r="A204" s="123">
        <f t="shared" si="6"/>
        <v>202</v>
      </c>
      <c r="B204" s="122">
        <f>IF(DAY(A204)=DAY('F-Ahorro Futuro Reservas'!$H$10),'F-Ahorro Futuro Reservas'!$H$9,0)</f>
        <v>0</v>
      </c>
      <c r="C204" s="122">
        <f t="shared" si="7"/>
        <v>0</v>
      </c>
      <c r="D204" s="121">
        <f>ROUND(IF(C204&lt;='FR_Mantenimiento tasas'!$C$55,'Tabla Ahorro Futuro Reservas'!C204*'FR_Mantenimiento tasas'!$D$55/360,IF(C204&lt;='FR_Mantenimiento tasas'!$C$56,'Tabla Ahorro Futuro Reservas'!C204*'FR_Mantenimiento tasas'!$D$56/360,IF(C204&lt;='FR_Mantenimiento tasas'!$C$57,'Tabla Ahorro Futuro Reservas'!C204*'FR_Mantenimiento tasas'!$D$57/360,""))),5)</f>
        <v>0</v>
      </c>
      <c r="E204" s="121">
        <f>ROUND(IF(C204&lt;='FR_Mantenimiento tasas'!$C$55,'Tabla Ahorro Futuro Reservas'!C204*'FR_Mantenimiento tasas'!$E$55/360,IF(C204&lt;='FR_Mantenimiento tasas'!$C$56,'Tabla Ahorro Futuro Reservas'!C204*'FR_Mantenimiento tasas'!$E$56/360,IF(C204&lt;='FR_Mantenimiento tasas'!$C$57,'Tabla Ahorro Futuro Reservas'!C204*'FR_Mantenimiento tasas'!$E$57/360,""))),5)</f>
        <v>0</v>
      </c>
    </row>
    <row r="205" spans="1:5">
      <c r="A205" s="123">
        <f t="shared" si="6"/>
        <v>203</v>
      </c>
      <c r="B205" s="122">
        <f>IF(DAY(A205)=DAY('F-Ahorro Futuro Reservas'!$H$10),'F-Ahorro Futuro Reservas'!$H$9,0)</f>
        <v>0</v>
      </c>
      <c r="C205" s="122">
        <f t="shared" si="7"/>
        <v>0</v>
      </c>
      <c r="D205" s="121">
        <f>ROUND(IF(C205&lt;='FR_Mantenimiento tasas'!$C$55,'Tabla Ahorro Futuro Reservas'!C205*'FR_Mantenimiento tasas'!$D$55/360,IF(C205&lt;='FR_Mantenimiento tasas'!$C$56,'Tabla Ahorro Futuro Reservas'!C205*'FR_Mantenimiento tasas'!$D$56/360,IF(C205&lt;='FR_Mantenimiento tasas'!$C$57,'Tabla Ahorro Futuro Reservas'!C205*'FR_Mantenimiento tasas'!$D$57/360,""))),5)</f>
        <v>0</v>
      </c>
      <c r="E205" s="121">
        <f>ROUND(IF(C205&lt;='FR_Mantenimiento tasas'!$C$55,'Tabla Ahorro Futuro Reservas'!C205*'FR_Mantenimiento tasas'!$E$55/360,IF(C205&lt;='FR_Mantenimiento tasas'!$C$56,'Tabla Ahorro Futuro Reservas'!C205*'FR_Mantenimiento tasas'!$E$56/360,IF(C205&lt;='FR_Mantenimiento tasas'!$C$57,'Tabla Ahorro Futuro Reservas'!C205*'FR_Mantenimiento tasas'!$E$57/360,""))),5)</f>
        <v>0</v>
      </c>
    </row>
    <row r="206" spans="1:5">
      <c r="A206" s="123">
        <f t="shared" si="6"/>
        <v>204</v>
      </c>
      <c r="B206" s="122">
        <f>IF(DAY(A206)=DAY('F-Ahorro Futuro Reservas'!$H$10),'F-Ahorro Futuro Reservas'!$H$9,0)</f>
        <v>0</v>
      </c>
      <c r="C206" s="122">
        <f t="shared" si="7"/>
        <v>0</v>
      </c>
      <c r="D206" s="121">
        <f>ROUND(IF(C206&lt;='FR_Mantenimiento tasas'!$C$55,'Tabla Ahorro Futuro Reservas'!C206*'FR_Mantenimiento tasas'!$D$55/360,IF(C206&lt;='FR_Mantenimiento tasas'!$C$56,'Tabla Ahorro Futuro Reservas'!C206*'FR_Mantenimiento tasas'!$D$56/360,IF(C206&lt;='FR_Mantenimiento tasas'!$C$57,'Tabla Ahorro Futuro Reservas'!C206*'FR_Mantenimiento tasas'!$D$57/360,""))),5)</f>
        <v>0</v>
      </c>
      <c r="E206" s="121">
        <f>ROUND(IF(C206&lt;='FR_Mantenimiento tasas'!$C$55,'Tabla Ahorro Futuro Reservas'!C206*'FR_Mantenimiento tasas'!$E$55/360,IF(C206&lt;='FR_Mantenimiento tasas'!$C$56,'Tabla Ahorro Futuro Reservas'!C206*'FR_Mantenimiento tasas'!$E$56/360,IF(C206&lt;='FR_Mantenimiento tasas'!$C$57,'Tabla Ahorro Futuro Reservas'!C206*'FR_Mantenimiento tasas'!$E$57/360,""))),5)</f>
        <v>0</v>
      </c>
    </row>
    <row r="207" spans="1:5">
      <c r="A207" s="123">
        <f t="shared" si="6"/>
        <v>205</v>
      </c>
      <c r="B207" s="122">
        <f>IF(DAY(A207)=DAY('F-Ahorro Futuro Reservas'!$H$10),'F-Ahorro Futuro Reservas'!$H$9,0)</f>
        <v>0</v>
      </c>
      <c r="C207" s="122">
        <f t="shared" si="7"/>
        <v>0</v>
      </c>
      <c r="D207" s="121">
        <f>ROUND(IF(C207&lt;='FR_Mantenimiento tasas'!$C$55,'Tabla Ahorro Futuro Reservas'!C207*'FR_Mantenimiento tasas'!$D$55/360,IF(C207&lt;='FR_Mantenimiento tasas'!$C$56,'Tabla Ahorro Futuro Reservas'!C207*'FR_Mantenimiento tasas'!$D$56/360,IF(C207&lt;='FR_Mantenimiento tasas'!$C$57,'Tabla Ahorro Futuro Reservas'!C207*'FR_Mantenimiento tasas'!$D$57/360,""))),5)</f>
        <v>0</v>
      </c>
      <c r="E207" s="121">
        <f>ROUND(IF(C207&lt;='FR_Mantenimiento tasas'!$C$55,'Tabla Ahorro Futuro Reservas'!C207*'FR_Mantenimiento tasas'!$E$55/360,IF(C207&lt;='FR_Mantenimiento tasas'!$C$56,'Tabla Ahorro Futuro Reservas'!C207*'FR_Mantenimiento tasas'!$E$56/360,IF(C207&lt;='FR_Mantenimiento tasas'!$C$57,'Tabla Ahorro Futuro Reservas'!C207*'FR_Mantenimiento tasas'!$E$57/360,""))),5)</f>
        <v>0</v>
      </c>
    </row>
    <row r="208" spans="1:5">
      <c r="A208" s="123">
        <f t="shared" si="6"/>
        <v>206</v>
      </c>
      <c r="B208" s="122">
        <f>IF(DAY(A208)=DAY('F-Ahorro Futuro Reservas'!$H$10),'F-Ahorro Futuro Reservas'!$H$9,0)</f>
        <v>0</v>
      </c>
      <c r="C208" s="122">
        <f t="shared" si="7"/>
        <v>0</v>
      </c>
      <c r="D208" s="121">
        <f>ROUND(IF(C208&lt;='FR_Mantenimiento tasas'!$C$55,'Tabla Ahorro Futuro Reservas'!C208*'FR_Mantenimiento tasas'!$D$55/360,IF(C208&lt;='FR_Mantenimiento tasas'!$C$56,'Tabla Ahorro Futuro Reservas'!C208*'FR_Mantenimiento tasas'!$D$56/360,IF(C208&lt;='FR_Mantenimiento tasas'!$C$57,'Tabla Ahorro Futuro Reservas'!C208*'FR_Mantenimiento tasas'!$D$57/360,""))),5)</f>
        <v>0</v>
      </c>
      <c r="E208" s="121">
        <f>ROUND(IF(C208&lt;='FR_Mantenimiento tasas'!$C$55,'Tabla Ahorro Futuro Reservas'!C208*'FR_Mantenimiento tasas'!$E$55/360,IF(C208&lt;='FR_Mantenimiento tasas'!$C$56,'Tabla Ahorro Futuro Reservas'!C208*'FR_Mantenimiento tasas'!$E$56/360,IF(C208&lt;='FR_Mantenimiento tasas'!$C$57,'Tabla Ahorro Futuro Reservas'!C208*'FR_Mantenimiento tasas'!$E$57/360,""))),5)</f>
        <v>0</v>
      </c>
    </row>
    <row r="209" spans="1:5">
      <c r="A209" s="123">
        <f t="shared" si="6"/>
        <v>207</v>
      </c>
      <c r="B209" s="122">
        <f>IF(DAY(A209)=DAY('F-Ahorro Futuro Reservas'!$H$10),'F-Ahorro Futuro Reservas'!$H$9,0)</f>
        <v>0</v>
      </c>
      <c r="C209" s="122">
        <f t="shared" si="7"/>
        <v>0</v>
      </c>
      <c r="D209" s="121">
        <f>ROUND(IF(C209&lt;='FR_Mantenimiento tasas'!$C$55,'Tabla Ahorro Futuro Reservas'!C209*'FR_Mantenimiento tasas'!$D$55/360,IF(C209&lt;='FR_Mantenimiento tasas'!$C$56,'Tabla Ahorro Futuro Reservas'!C209*'FR_Mantenimiento tasas'!$D$56/360,IF(C209&lt;='FR_Mantenimiento tasas'!$C$57,'Tabla Ahorro Futuro Reservas'!C209*'FR_Mantenimiento tasas'!$D$57/360,""))),5)</f>
        <v>0</v>
      </c>
      <c r="E209" s="121">
        <f>ROUND(IF(C209&lt;='FR_Mantenimiento tasas'!$C$55,'Tabla Ahorro Futuro Reservas'!C209*'FR_Mantenimiento tasas'!$E$55/360,IF(C209&lt;='FR_Mantenimiento tasas'!$C$56,'Tabla Ahorro Futuro Reservas'!C209*'FR_Mantenimiento tasas'!$E$56/360,IF(C209&lt;='FR_Mantenimiento tasas'!$C$57,'Tabla Ahorro Futuro Reservas'!C209*'FR_Mantenimiento tasas'!$E$57/360,""))),5)</f>
        <v>0</v>
      </c>
    </row>
    <row r="210" spans="1:5">
      <c r="A210" s="123">
        <f t="shared" si="6"/>
        <v>208</v>
      </c>
      <c r="B210" s="122">
        <f>IF(DAY(A210)=DAY('F-Ahorro Futuro Reservas'!$H$10),'F-Ahorro Futuro Reservas'!$H$9,0)</f>
        <v>0</v>
      </c>
      <c r="C210" s="122">
        <f t="shared" si="7"/>
        <v>0</v>
      </c>
      <c r="D210" s="121">
        <f>ROUND(IF(C210&lt;='FR_Mantenimiento tasas'!$C$55,'Tabla Ahorro Futuro Reservas'!C210*'FR_Mantenimiento tasas'!$D$55/360,IF(C210&lt;='FR_Mantenimiento tasas'!$C$56,'Tabla Ahorro Futuro Reservas'!C210*'FR_Mantenimiento tasas'!$D$56/360,IF(C210&lt;='FR_Mantenimiento tasas'!$C$57,'Tabla Ahorro Futuro Reservas'!C210*'FR_Mantenimiento tasas'!$D$57/360,""))),5)</f>
        <v>0</v>
      </c>
      <c r="E210" s="121">
        <f>ROUND(IF(C210&lt;='FR_Mantenimiento tasas'!$C$55,'Tabla Ahorro Futuro Reservas'!C210*'FR_Mantenimiento tasas'!$E$55/360,IF(C210&lt;='FR_Mantenimiento tasas'!$C$56,'Tabla Ahorro Futuro Reservas'!C210*'FR_Mantenimiento tasas'!$E$56/360,IF(C210&lt;='FR_Mantenimiento tasas'!$C$57,'Tabla Ahorro Futuro Reservas'!C210*'FR_Mantenimiento tasas'!$E$57/360,""))),5)</f>
        <v>0</v>
      </c>
    </row>
    <row r="211" spans="1:5">
      <c r="A211" s="123">
        <f t="shared" si="6"/>
        <v>209</v>
      </c>
      <c r="B211" s="122">
        <f>IF(DAY(A211)=DAY('F-Ahorro Futuro Reservas'!$H$10),'F-Ahorro Futuro Reservas'!$H$9,0)</f>
        <v>0</v>
      </c>
      <c r="C211" s="122">
        <f t="shared" si="7"/>
        <v>0</v>
      </c>
      <c r="D211" s="121">
        <f>ROUND(IF(C211&lt;='FR_Mantenimiento tasas'!$C$55,'Tabla Ahorro Futuro Reservas'!C211*'FR_Mantenimiento tasas'!$D$55/360,IF(C211&lt;='FR_Mantenimiento tasas'!$C$56,'Tabla Ahorro Futuro Reservas'!C211*'FR_Mantenimiento tasas'!$D$56/360,IF(C211&lt;='FR_Mantenimiento tasas'!$C$57,'Tabla Ahorro Futuro Reservas'!C211*'FR_Mantenimiento tasas'!$D$57/360,""))),5)</f>
        <v>0</v>
      </c>
      <c r="E211" s="121">
        <f>ROUND(IF(C211&lt;='FR_Mantenimiento tasas'!$C$55,'Tabla Ahorro Futuro Reservas'!C211*'FR_Mantenimiento tasas'!$E$55/360,IF(C211&lt;='FR_Mantenimiento tasas'!$C$56,'Tabla Ahorro Futuro Reservas'!C211*'FR_Mantenimiento tasas'!$E$56/360,IF(C211&lt;='FR_Mantenimiento tasas'!$C$57,'Tabla Ahorro Futuro Reservas'!C211*'FR_Mantenimiento tasas'!$E$57/360,""))),5)</f>
        <v>0</v>
      </c>
    </row>
    <row r="212" spans="1:5">
      <c r="A212" s="123">
        <f t="shared" si="6"/>
        <v>210</v>
      </c>
      <c r="B212" s="122">
        <f>IF(DAY(A212)=DAY('F-Ahorro Futuro Reservas'!$H$10),'F-Ahorro Futuro Reservas'!$H$9,0)</f>
        <v>0</v>
      </c>
      <c r="C212" s="122">
        <f t="shared" si="7"/>
        <v>0</v>
      </c>
      <c r="D212" s="121">
        <f>ROUND(IF(C212&lt;='FR_Mantenimiento tasas'!$C$55,'Tabla Ahorro Futuro Reservas'!C212*'FR_Mantenimiento tasas'!$D$55/360,IF(C212&lt;='FR_Mantenimiento tasas'!$C$56,'Tabla Ahorro Futuro Reservas'!C212*'FR_Mantenimiento tasas'!$D$56/360,IF(C212&lt;='FR_Mantenimiento tasas'!$C$57,'Tabla Ahorro Futuro Reservas'!C212*'FR_Mantenimiento tasas'!$D$57/360,""))),5)</f>
        <v>0</v>
      </c>
      <c r="E212" s="121">
        <f>ROUND(IF(C212&lt;='FR_Mantenimiento tasas'!$C$55,'Tabla Ahorro Futuro Reservas'!C212*'FR_Mantenimiento tasas'!$E$55/360,IF(C212&lt;='FR_Mantenimiento tasas'!$C$56,'Tabla Ahorro Futuro Reservas'!C212*'FR_Mantenimiento tasas'!$E$56/360,IF(C212&lt;='FR_Mantenimiento tasas'!$C$57,'Tabla Ahorro Futuro Reservas'!C212*'FR_Mantenimiento tasas'!$E$57/360,""))),5)</f>
        <v>0</v>
      </c>
    </row>
    <row r="213" spans="1:5">
      <c r="A213" s="123">
        <f t="shared" si="6"/>
        <v>211</v>
      </c>
      <c r="B213" s="122">
        <f>IF(DAY(A213)=DAY('F-Ahorro Futuro Reservas'!$H$10),'F-Ahorro Futuro Reservas'!$H$9,0)</f>
        <v>0</v>
      </c>
      <c r="C213" s="122">
        <f t="shared" si="7"/>
        <v>0</v>
      </c>
      <c r="D213" s="121">
        <f>ROUND(IF(C213&lt;='FR_Mantenimiento tasas'!$C$55,'Tabla Ahorro Futuro Reservas'!C213*'FR_Mantenimiento tasas'!$D$55/360,IF(C213&lt;='FR_Mantenimiento tasas'!$C$56,'Tabla Ahorro Futuro Reservas'!C213*'FR_Mantenimiento tasas'!$D$56/360,IF(C213&lt;='FR_Mantenimiento tasas'!$C$57,'Tabla Ahorro Futuro Reservas'!C213*'FR_Mantenimiento tasas'!$D$57/360,""))),5)</f>
        <v>0</v>
      </c>
      <c r="E213" s="121">
        <f>ROUND(IF(C213&lt;='FR_Mantenimiento tasas'!$C$55,'Tabla Ahorro Futuro Reservas'!C213*'FR_Mantenimiento tasas'!$E$55/360,IF(C213&lt;='FR_Mantenimiento tasas'!$C$56,'Tabla Ahorro Futuro Reservas'!C213*'FR_Mantenimiento tasas'!$E$56/360,IF(C213&lt;='FR_Mantenimiento tasas'!$C$57,'Tabla Ahorro Futuro Reservas'!C213*'FR_Mantenimiento tasas'!$E$57/360,""))),5)</f>
        <v>0</v>
      </c>
    </row>
    <row r="214" spans="1:5">
      <c r="A214" s="123">
        <f t="shared" si="6"/>
        <v>212</v>
      </c>
      <c r="B214" s="122">
        <f>IF(DAY(A214)=DAY('F-Ahorro Futuro Reservas'!$H$10),'F-Ahorro Futuro Reservas'!$H$9,0)</f>
        <v>0</v>
      </c>
      <c r="C214" s="122">
        <f t="shared" si="7"/>
        <v>0</v>
      </c>
      <c r="D214" s="121">
        <f>ROUND(IF(C214&lt;='FR_Mantenimiento tasas'!$C$55,'Tabla Ahorro Futuro Reservas'!C214*'FR_Mantenimiento tasas'!$D$55/360,IF(C214&lt;='FR_Mantenimiento tasas'!$C$56,'Tabla Ahorro Futuro Reservas'!C214*'FR_Mantenimiento tasas'!$D$56/360,IF(C214&lt;='FR_Mantenimiento tasas'!$C$57,'Tabla Ahorro Futuro Reservas'!C214*'FR_Mantenimiento tasas'!$D$57/360,""))),5)</f>
        <v>0</v>
      </c>
      <c r="E214" s="121">
        <f>ROUND(IF(C214&lt;='FR_Mantenimiento tasas'!$C$55,'Tabla Ahorro Futuro Reservas'!C214*'FR_Mantenimiento tasas'!$E$55/360,IF(C214&lt;='FR_Mantenimiento tasas'!$C$56,'Tabla Ahorro Futuro Reservas'!C214*'FR_Mantenimiento tasas'!$E$56/360,IF(C214&lt;='FR_Mantenimiento tasas'!$C$57,'Tabla Ahorro Futuro Reservas'!C214*'FR_Mantenimiento tasas'!$E$57/360,""))),5)</f>
        <v>0</v>
      </c>
    </row>
    <row r="215" spans="1:5">
      <c r="A215" s="123">
        <f t="shared" si="6"/>
        <v>213</v>
      </c>
      <c r="B215" s="122">
        <f>IF(DAY(A215)=DAY('F-Ahorro Futuro Reservas'!$H$10),'F-Ahorro Futuro Reservas'!$H$9,0)</f>
        <v>0</v>
      </c>
      <c r="C215" s="122">
        <f t="shared" si="7"/>
        <v>0</v>
      </c>
      <c r="D215" s="121">
        <f>ROUND(IF(C215&lt;='FR_Mantenimiento tasas'!$C$55,'Tabla Ahorro Futuro Reservas'!C215*'FR_Mantenimiento tasas'!$D$55/360,IF(C215&lt;='FR_Mantenimiento tasas'!$C$56,'Tabla Ahorro Futuro Reservas'!C215*'FR_Mantenimiento tasas'!$D$56/360,IF(C215&lt;='FR_Mantenimiento tasas'!$C$57,'Tabla Ahorro Futuro Reservas'!C215*'FR_Mantenimiento tasas'!$D$57/360,""))),5)</f>
        <v>0</v>
      </c>
      <c r="E215" s="121">
        <f>ROUND(IF(C215&lt;='FR_Mantenimiento tasas'!$C$55,'Tabla Ahorro Futuro Reservas'!C215*'FR_Mantenimiento tasas'!$E$55/360,IF(C215&lt;='FR_Mantenimiento tasas'!$C$56,'Tabla Ahorro Futuro Reservas'!C215*'FR_Mantenimiento tasas'!$E$56/360,IF(C215&lt;='FR_Mantenimiento tasas'!$C$57,'Tabla Ahorro Futuro Reservas'!C215*'FR_Mantenimiento tasas'!$E$57/360,""))),5)</f>
        <v>0</v>
      </c>
    </row>
    <row r="216" spans="1:5">
      <c r="A216" s="123">
        <f t="shared" si="6"/>
        <v>214</v>
      </c>
      <c r="B216" s="122">
        <f>IF(DAY(A216)=DAY('F-Ahorro Futuro Reservas'!$H$10),'F-Ahorro Futuro Reservas'!$H$9,0)</f>
        <v>0</v>
      </c>
      <c r="C216" s="122">
        <f t="shared" si="7"/>
        <v>0</v>
      </c>
      <c r="D216" s="121">
        <f>ROUND(IF(C216&lt;='FR_Mantenimiento tasas'!$C$55,'Tabla Ahorro Futuro Reservas'!C216*'FR_Mantenimiento tasas'!$D$55/360,IF(C216&lt;='FR_Mantenimiento tasas'!$C$56,'Tabla Ahorro Futuro Reservas'!C216*'FR_Mantenimiento tasas'!$D$56/360,IF(C216&lt;='FR_Mantenimiento tasas'!$C$57,'Tabla Ahorro Futuro Reservas'!C216*'FR_Mantenimiento tasas'!$D$57/360,""))),5)</f>
        <v>0</v>
      </c>
      <c r="E216" s="121">
        <f>ROUND(IF(C216&lt;='FR_Mantenimiento tasas'!$C$55,'Tabla Ahorro Futuro Reservas'!C216*'FR_Mantenimiento tasas'!$E$55/360,IF(C216&lt;='FR_Mantenimiento tasas'!$C$56,'Tabla Ahorro Futuro Reservas'!C216*'FR_Mantenimiento tasas'!$E$56/360,IF(C216&lt;='FR_Mantenimiento tasas'!$C$57,'Tabla Ahorro Futuro Reservas'!C216*'FR_Mantenimiento tasas'!$E$57/360,""))),5)</f>
        <v>0</v>
      </c>
    </row>
    <row r="217" spans="1:5">
      <c r="A217" s="123">
        <f t="shared" si="6"/>
        <v>215</v>
      </c>
      <c r="B217" s="122">
        <f>IF(DAY(A217)=DAY('F-Ahorro Futuro Reservas'!$H$10),'F-Ahorro Futuro Reservas'!$H$9,0)</f>
        <v>0</v>
      </c>
      <c r="C217" s="122">
        <f t="shared" si="7"/>
        <v>0</v>
      </c>
      <c r="D217" s="121">
        <f>ROUND(IF(C217&lt;='FR_Mantenimiento tasas'!$C$55,'Tabla Ahorro Futuro Reservas'!C217*'FR_Mantenimiento tasas'!$D$55/360,IF(C217&lt;='FR_Mantenimiento tasas'!$C$56,'Tabla Ahorro Futuro Reservas'!C217*'FR_Mantenimiento tasas'!$D$56/360,IF(C217&lt;='FR_Mantenimiento tasas'!$C$57,'Tabla Ahorro Futuro Reservas'!C217*'FR_Mantenimiento tasas'!$D$57/360,""))),5)</f>
        <v>0</v>
      </c>
      <c r="E217" s="121">
        <f>ROUND(IF(C217&lt;='FR_Mantenimiento tasas'!$C$55,'Tabla Ahorro Futuro Reservas'!C217*'FR_Mantenimiento tasas'!$E$55/360,IF(C217&lt;='FR_Mantenimiento tasas'!$C$56,'Tabla Ahorro Futuro Reservas'!C217*'FR_Mantenimiento tasas'!$E$56/360,IF(C217&lt;='FR_Mantenimiento tasas'!$C$57,'Tabla Ahorro Futuro Reservas'!C217*'FR_Mantenimiento tasas'!$E$57/360,""))),5)</f>
        <v>0</v>
      </c>
    </row>
    <row r="218" spans="1:5">
      <c r="A218" s="123">
        <f t="shared" si="6"/>
        <v>216</v>
      </c>
      <c r="B218" s="122">
        <f>IF(DAY(A218)=DAY('F-Ahorro Futuro Reservas'!$H$10),'F-Ahorro Futuro Reservas'!$H$9,0)</f>
        <v>0</v>
      </c>
      <c r="C218" s="122">
        <f t="shared" si="7"/>
        <v>0</v>
      </c>
      <c r="D218" s="121">
        <f>ROUND(IF(C218&lt;='FR_Mantenimiento tasas'!$C$55,'Tabla Ahorro Futuro Reservas'!C218*'FR_Mantenimiento tasas'!$D$55/360,IF(C218&lt;='FR_Mantenimiento tasas'!$C$56,'Tabla Ahorro Futuro Reservas'!C218*'FR_Mantenimiento tasas'!$D$56/360,IF(C218&lt;='FR_Mantenimiento tasas'!$C$57,'Tabla Ahorro Futuro Reservas'!C218*'FR_Mantenimiento tasas'!$D$57/360,""))),5)</f>
        <v>0</v>
      </c>
      <c r="E218" s="121">
        <f>ROUND(IF(C218&lt;='FR_Mantenimiento tasas'!$C$55,'Tabla Ahorro Futuro Reservas'!C218*'FR_Mantenimiento tasas'!$E$55/360,IF(C218&lt;='FR_Mantenimiento tasas'!$C$56,'Tabla Ahorro Futuro Reservas'!C218*'FR_Mantenimiento tasas'!$E$56/360,IF(C218&lt;='FR_Mantenimiento tasas'!$C$57,'Tabla Ahorro Futuro Reservas'!C218*'FR_Mantenimiento tasas'!$E$57/360,""))),5)</f>
        <v>0</v>
      </c>
    </row>
    <row r="219" spans="1:5">
      <c r="A219" s="123">
        <f t="shared" si="6"/>
        <v>217</v>
      </c>
      <c r="B219" s="122">
        <f>IF(DAY(A219)=DAY('F-Ahorro Futuro Reservas'!$H$10),'F-Ahorro Futuro Reservas'!$H$9,0)</f>
        <v>0</v>
      </c>
      <c r="C219" s="122">
        <f t="shared" si="7"/>
        <v>0</v>
      </c>
      <c r="D219" s="121">
        <f>ROUND(IF(C219&lt;='FR_Mantenimiento tasas'!$C$55,'Tabla Ahorro Futuro Reservas'!C219*'FR_Mantenimiento tasas'!$D$55/360,IF(C219&lt;='FR_Mantenimiento tasas'!$C$56,'Tabla Ahorro Futuro Reservas'!C219*'FR_Mantenimiento tasas'!$D$56/360,IF(C219&lt;='FR_Mantenimiento tasas'!$C$57,'Tabla Ahorro Futuro Reservas'!C219*'FR_Mantenimiento tasas'!$D$57/360,""))),5)</f>
        <v>0</v>
      </c>
      <c r="E219" s="121">
        <f>ROUND(IF(C219&lt;='FR_Mantenimiento tasas'!$C$55,'Tabla Ahorro Futuro Reservas'!C219*'FR_Mantenimiento tasas'!$E$55/360,IF(C219&lt;='FR_Mantenimiento tasas'!$C$56,'Tabla Ahorro Futuro Reservas'!C219*'FR_Mantenimiento tasas'!$E$56/360,IF(C219&lt;='FR_Mantenimiento tasas'!$C$57,'Tabla Ahorro Futuro Reservas'!C219*'FR_Mantenimiento tasas'!$E$57/360,""))),5)</f>
        <v>0</v>
      </c>
    </row>
    <row r="220" spans="1:5">
      <c r="A220" s="123">
        <f t="shared" si="6"/>
        <v>218</v>
      </c>
      <c r="B220" s="122">
        <f>IF(DAY(A220)=DAY('F-Ahorro Futuro Reservas'!$H$10),'F-Ahorro Futuro Reservas'!$H$9,0)</f>
        <v>0</v>
      </c>
      <c r="C220" s="122">
        <f t="shared" si="7"/>
        <v>0</v>
      </c>
      <c r="D220" s="121">
        <f>ROUND(IF(C220&lt;='FR_Mantenimiento tasas'!$C$55,'Tabla Ahorro Futuro Reservas'!C220*'FR_Mantenimiento tasas'!$D$55/360,IF(C220&lt;='FR_Mantenimiento tasas'!$C$56,'Tabla Ahorro Futuro Reservas'!C220*'FR_Mantenimiento tasas'!$D$56/360,IF(C220&lt;='FR_Mantenimiento tasas'!$C$57,'Tabla Ahorro Futuro Reservas'!C220*'FR_Mantenimiento tasas'!$D$57/360,""))),5)</f>
        <v>0</v>
      </c>
      <c r="E220" s="121">
        <f>ROUND(IF(C220&lt;='FR_Mantenimiento tasas'!$C$55,'Tabla Ahorro Futuro Reservas'!C220*'FR_Mantenimiento tasas'!$E$55/360,IF(C220&lt;='FR_Mantenimiento tasas'!$C$56,'Tabla Ahorro Futuro Reservas'!C220*'FR_Mantenimiento tasas'!$E$56/360,IF(C220&lt;='FR_Mantenimiento tasas'!$C$57,'Tabla Ahorro Futuro Reservas'!C220*'FR_Mantenimiento tasas'!$E$57/360,""))),5)</f>
        <v>0</v>
      </c>
    </row>
    <row r="221" spans="1:5">
      <c r="A221" s="123">
        <f t="shared" si="6"/>
        <v>219</v>
      </c>
      <c r="B221" s="122">
        <f>IF(DAY(A221)=DAY('F-Ahorro Futuro Reservas'!$H$10),'F-Ahorro Futuro Reservas'!$H$9,0)</f>
        <v>0</v>
      </c>
      <c r="C221" s="122">
        <f t="shared" si="7"/>
        <v>0</v>
      </c>
      <c r="D221" s="121">
        <f>ROUND(IF(C221&lt;='FR_Mantenimiento tasas'!$C$55,'Tabla Ahorro Futuro Reservas'!C221*'FR_Mantenimiento tasas'!$D$55/360,IF(C221&lt;='FR_Mantenimiento tasas'!$C$56,'Tabla Ahorro Futuro Reservas'!C221*'FR_Mantenimiento tasas'!$D$56/360,IF(C221&lt;='FR_Mantenimiento tasas'!$C$57,'Tabla Ahorro Futuro Reservas'!C221*'FR_Mantenimiento tasas'!$D$57/360,""))),5)</f>
        <v>0</v>
      </c>
      <c r="E221" s="121">
        <f>ROUND(IF(C221&lt;='FR_Mantenimiento tasas'!$C$55,'Tabla Ahorro Futuro Reservas'!C221*'FR_Mantenimiento tasas'!$E$55/360,IF(C221&lt;='FR_Mantenimiento tasas'!$C$56,'Tabla Ahorro Futuro Reservas'!C221*'FR_Mantenimiento tasas'!$E$56/360,IF(C221&lt;='FR_Mantenimiento tasas'!$C$57,'Tabla Ahorro Futuro Reservas'!C221*'FR_Mantenimiento tasas'!$E$57/360,""))),5)</f>
        <v>0</v>
      </c>
    </row>
    <row r="222" spans="1:5">
      <c r="A222" s="123">
        <f t="shared" si="6"/>
        <v>220</v>
      </c>
      <c r="B222" s="122">
        <f>IF(DAY(A222)=DAY('F-Ahorro Futuro Reservas'!$H$10),'F-Ahorro Futuro Reservas'!$H$9,0)</f>
        <v>0</v>
      </c>
      <c r="C222" s="122">
        <f t="shared" si="7"/>
        <v>0</v>
      </c>
      <c r="D222" s="121">
        <f>ROUND(IF(C222&lt;='FR_Mantenimiento tasas'!$C$55,'Tabla Ahorro Futuro Reservas'!C222*'FR_Mantenimiento tasas'!$D$55/360,IF(C222&lt;='FR_Mantenimiento tasas'!$C$56,'Tabla Ahorro Futuro Reservas'!C222*'FR_Mantenimiento tasas'!$D$56/360,IF(C222&lt;='FR_Mantenimiento tasas'!$C$57,'Tabla Ahorro Futuro Reservas'!C222*'FR_Mantenimiento tasas'!$D$57/360,""))),5)</f>
        <v>0</v>
      </c>
      <c r="E222" s="121">
        <f>ROUND(IF(C222&lt;='FR_Mantenimiento tasas'!$C$55,'Tabla Ahorro Futuro Reservas'!C222*'FR_Mantenimiento tasas'!$E$55/360,IF(C222&lt;='FR_Mantenimiento tasas'!$C$56,'Tabla Ahorro Futuro Reservas'!C222*'FR_Mantenimiento tasas'!$E$56/360,IF(C222&lt;='FR_Mantenimiento tasas'!$C$57,'Tabla Ahorro Futuro Reservas'!C222*'FR_Mantenimiento tasas'!$E$57/360,""))),5)</f>
        <v>0</v>
      </c>
    </row>
    <row r="223" spans="1:5">
      <c r="A223" s="123">
        <f t="shared" si="6"/>
        <v>221</v>
      </c>
      <c r="B223" s="122">
        <f>IF(DAY(A223)=DAY('F-Ahorro Futuro Reservas'!$H$10),'F-Ahorro Futuro Reservas'!$H$9,0)</f>
        <v>0</v>
      </c>
      <c r="C223" s="122">
        <f t="shared" si="7"/>
        <v>0</v>
      </c>
      <c r="D223" s="121">
        <f>ROUND(IF(C223&lt;='FR_Mantenimiento tasas'!$C$55,'Tabla Ahorro Futuro Reservas'!C223*'FR_Mantenimiento tasas'!$D$55/360,IF(C223&lt;='FR_Mantenimiento tasas'!$C$56,'Tabla Ahorro Futuro Reservas'!C223*'FR_Mantenimiento tasas'!$D$56/360,IF(C223&lt;='FR_Mantenimiento tasas'!$C$57,'Tabla Ahorro Futuro Reservas'!C223*'FR_Mantenimiento tasas'!$D$57/360,""))),5)</f>
        <v>0</v>
      </c>
      <c r="E223" s="121">
        <f>ROUND(IF(C223&lt;='FR_Mantenimiento tasas'!$C$55,'Tabla Ahorro Futuro Reservas'!C223*'FR_Mantenimiento tasas'!$E$55/360,IF(C223&lt;='FR_Mantenimiento tasas'!$C$56,'Tabla Ahorro Futuro Reservas'!C223*'FR_Mantenimiento tasas'!$E$56/360,IF(C223&lt;='FR_Mantenimiento tasas'!$C$57,'Tabla Ahorro Futuro Reservas'!C223*'FR_Mantenimiento tasas'!$E$57/360,""))),5)</f>
        <v>0</v>
      </c>
    </row>
    <row r="224" spans="1:5">
      <c r="A224" s="123">
        <f t="shared" si="6"/>
        <v>222</v>
      </c>
      <c r="B224" s="122">
        <f>IF(DAY(A224)=DAY('F-Ahorro Futuro Reservas'!$H$10),'F-Ahorro Futuro Reservas'!$H$9,0)</f>
        <v>0</v>
      </c>
      <c r="C224" s="122">
        <f t="shared" si="7"/>
        <v>0</v>
      </c>
      <c r="D224" s="121">
        <f>ROUND(IF(C224&lt;='FR_Mantenimiento tasas'!$C$55,'Tabla Ahorro Futuro Reservas'!C224*'FR_Mantenimiento tasas'!$D$55/360,IF(C224&lt;='FR_Mantenimiento tasas'!$C$56,'Tabla Ahorro Futuro Reservas'!C224*'FR_Mantenimiento tasas'!$D$56/360,IF(C224&lt;='FR_Mantenimiento tasas'!$C$57,'Tabla Ahorro Futuro Reservas'!C224*'FR_Mantenimiento tasas'!$D$57/360,""))),5)</f>
        <v>0</v>
      </c>
      <c r="E224" s="121">
        <f>ROUND(IF(C224&lt;='FR_Mantenimiento tasas'!$C$55,'Tabla Ahorro Futuro Reservas'!C224*'FR_Mantenimiento tasas'!$E$55/360,IF(C224&lt;='FR_Mantenimiento tasas'!$C$56,'Tabla Ahorro Futuro Reservas'!C224*'FR_Mantenimiento tasas'!$E$56/360,IF(C224&lt;='FR_Mantenimiento tasas'!$C$57,'Tabla Ahorro Futuro Reservas'!C224*'FR_Mantenimiento tasas'!$E$57/360,""))),5)</f>
        <v>0</v>
      </c>
    </row>
    <row r="225" spans="1:5">
      <c r="A225" s="123">
        <f t="shared" si="6"/>
        <v>223</v>
      </c>
      <c r="B225" s="122">
        <f>IF(DAY(A225)=DAY('F-Ahorro Futuro Reservas'!$H$10),'F-Ahorro Futuro Reservas'!$H$9,0)</f>
        <v>0</v>
      </c>
      <c r="C225" s="122">
        <f t="shared" si="7"/>
        <v>0</v>
      </c>
      <c r="D225" s="121">
        <f>ROUND(IF(C225&lt;='FR_Mantenimiento tasas'!$C$55,'Tabla Ahorro Futuro Reservas'!C225*'FR_Mantenimiento tasas'!$D$55/360,IF(C225&lt;='FR_Mantenimiento tasas'!$C$56,'Tabla Ahorro Futuro Reservas'!C225*'FR_Mantenimiento tasas'!$D$56/360,IF(C225&lt;='FR_Mantenimiento tasas'!$C$57,'Tabla Ahorro Futuro Reservas'!C225*'FR_Mantenimiento tasas'!$D$57/360,""))),5)</f>
        <v>0</v>
      </c>
      <c r="E225" s="121">
        <f>ROUND(IF(C225&lt;='FR_Mantenimiento tasas'!$C$55,'Tabla Ahorro Futuro Reservas'!C225*'FR_Mantenimiento tasas'!$E$55/360,IF(C225&lt;='FR_Mantenimiento tasas'!$C$56,'Tabla Ahorro Futuro Reservas'!C225*'FR_Mantenimiento tasas'!$E$56/360,IF(C225&lt;='FR_Mantenimiento tasas'!$C$57,'Tabla Ahorro Futuro Reservas'!C225*'FR_Mantenimiento tasas'!$E$57/360,""))),5)</f>
        <v>0</v>
      </c>
    </row>
    <row r="226" spans="1:5">
      <c r="A226" s="123">
        <f t="shared" si="6"/>
        <v>224</v>
      </c>
      <c r="B226" s="122">
        <f>IF(DAY(A226)=DAY('F-Ahorro Futuro Reservas'!$H$10),'F-Ahorro Futuro Reservas'!$H$9,0)</f>
        <v>0</v>
      </c>
      <c r="C226" s="122">
        <f t="shared" si="7"/>
        <v>0</v>
      </c>
      <c r="D226" s="121">
        <f>ROUND(IF(C226&lt;='FR_Mantenimiento tasas'!$C$55,'Tabla Ahorro Futuro Reservas'!C226*'FR_Mantenimiento tasas'!$D$55/360,IF(C226&lt;='FR_Mantenimiento tasas'!$C$56,'Tabla Ahorro Futuro Reservas'!C226*'FR_Mantenimiento tasas'!$D$56/360,IF(C226&lt;='FR_Mantenimiento tasas'!$C$57,'Tabla Ahorro Futuro Reservas'!C226*'FR_Mantenimiento tasas'!$D$57/360,""))),5)</f>
        <v>0</v>
      </c>
      <c r="E226" s="121">
        <f>ROUND(IF(C226&lt;='FR_Mantenimiento tasas'!$C$55,'Tabla Ahorro Futuro Reservas'!C226*'FR_Mantenimiento tasas'!$E$55/360,IF(C226&lt;='FR_Mantenimiento tasas'!$C$56,'Tabla Ahorro Futuro Reservas'!C226*'FR_Mantenimiento tasas'!$E$56/360,IF(C226&lt;='FR_Mantenimiento tasas'!$C$57,'Tabla Ahorro Futuro Reservas'!C226*'FR_Mantenimiento tasas'!$E$57/360,""))),5)</f>
        <v>0</v>
      </c>
    </row>
    <row r="227" spans="1:5">
      <c r="A227" s="123">
        <f t="shared" si="6"/>
        <v>225</v>
      </c>
      <c r="B227" s="122">
        <f>IF(DAY(A227)=DAY('F-Ahorro Futuro Reservas'!$H$10),'F-Ahorro Futuro Reservas'!$H$9,0)</f>
        <v>0</v>
      </c>
      <c r="C227" s="122">
        <f t="shared" si="7"/>
        <v>0</v>
      </c>
      <c r="D227" s="121">
        <f>ROUND(IF(C227&lt;='FR_Mantenimiento tasas'!$C$55,'Tabla Ahorro Futuro Reservas'!C227*'FR_Mantenimiento tasas'!$D$55/360,IF(C227&lt;='FR_Mantenimiento tasas'!$C$56,'Tabla Ahorro Futuro Reservas'!C227*'FR_Mantenimiento tasas'!$D$56/360,IF(C227&lt;='FR_Mantenimiento tasas'!$C$57,'Tabla Ahorro Futuro Reservas'!C227*'FR_Mantenimiento tasas'!$D$57/360,""))),5)</f>
        <v>0</v>
      </c>
      <c r="E227" s="121">
        <f>ROUND(IF(C227&lt;='FR_Mantenimiento tasas'!$C$55,'Tabla Ahorro Futuro Reservas'!C227*'FR_Mantenimiento tasas'!$E$55/360,IF(C227&lt;='FR_Mantenimiento tasas'!$C$56,'Tabla Ahorro Futuro Reservas'!C227*'FR_Mantenimiento tasas'!$E$56/360,IF(C227&lt;='FR_Mantenimiento tasas'!$C$57,'Tabla Ahorro Futuro Reservas'!C227*'FR_Mantenimiento tasas'!$E$57/360,""))),5)</f>
        <v>0</v>
      </c>
    </row>
    <row r="228" spans="1:5">
      <c r="A228" s="123">
        <f t="shared" si="6"/>
        <v>226</v>
      </c>
      <c r="B228" s="122">
        <f>IF(DAY(A228)=DAY('F-Ahorro Futuro Reservas'!$H$10),'F-Ahorro Futuro Reservas'!$H$9,0)</f>
        <v>0</v>
      </c>
      <c r="C228" s="122">
        <f t="shared" si="7"/>
        <v>0</v>
      </c>
      <c r="D228" s="121">
        <f>ROUND(IF(C228&lt;='FR_Mantenimiento tasas'!$C$55,'Tabla Ahorro Futuro Reservas'!C228*'FR_Mantenimiento tasas'!$D$55/360,IF(C228&lt;='FR_Mantenimiento tasas'!$C$56,'Tabla Ahorro Futuro Reservas'!C228*'FR_Mantenimiento tasas'!$D$56/360,IF(C228&lt;='FR_Mantenimiento tasas'!$C$57,'Tabla Ahorro Futuro Reservas'!C228*'FR_Mantenimiento tasas'!$D$57/360,""))),5)</f>
        <v>0</v>
      </c>
      <c r="E228" s="121">
        <f>ROUND(IF(C228&lt;='FR_Mantenimiento tasas'!$C$55,'Tabla Ahorro Futuro Reservas'!C228*'FR_Mantenimiento tasas'!$E$55/360,IF(C228&lt;='FR_Mantenimiento tasas'!$C$56,'Tabla Ahorro Futuro Reservas'!C228*'FR_Mantenimiento tasas'!$E$56/360,IF(C228&lt;='FR_Mantenimiento tasas'!$C$57,'Tabla Ahorro Futuro Reservas'!C228*'FR_Mantenimiento tasas'!$E$57/360,""))),5)</f>
        <v>0</v>
      </c>
    </row>
    <row r="229" spans="1:5">
      <c r="A229" s="123">
        <f t="shared" si="6"/>
        <v>227</v>
      </c>
      <c r="B229" s="122">
        <f>IF(DAY(A229)=DAY('F-Ahorro Futuro Reservas'!$H$10),'F-Ahorro Futuro Reservas'!$H$9,0)</f>
        <v>0</v>
      </c>
      <c r="C229" s="122">
        <f t="shared" si="7"/>
        <v>0</v>
      </c>
      <c r="D229" s="121">
        <f>ROUND(IF(C229&lt;='FR_Mantenimiento tasas'!$C$55,'Tabla Ahorro Futuro Reservas'!C229*'FR_Mantenimiento tasas'!$D$55/360,IF(C229&lt;='FR_Mantenimiento tasas'!$C$56,'Tabla Ahorro Futuro Reservas'!C229*'FR_Mantenimiento tasas'!$D$56/360,IF(C229&lt;='FR_Mantenimiento tasas'!$C$57,'Tabla Ahorro Futuro Reservas'!C229*'FR_Mantenimiento tasas'!$D$57/360,""))),5)</f>
        <v>0</v>
      </c>
      <c r="E229" s="121">
        <f>ROUND(IF(C229&lt;='FR_Mantenimiento tasas'!$C$55,'Tabla Ahorro Futuro Reservas'!C229*'FR_Mantenimiento tasas'!$E$55/360,IF(C229&lt;='FR_Mantenimiento tasas'!$C$56,'Tabla Ahorro Futuro Reservas'!C229*'FR_Mantenimiento tasas'!$E$56/360,IF(C229&lt;='FR_Mantenimiento tasas'!$C$57,'Tabla Ahorro Futuro Reservas'!C229*'FR_Mantenimiento tasas'!$E$57/360,""))),5)</f>
        <v>0</v>
      </c>
    </row>
    <row r="230" spans="1:5">
      <c r="A230" s="123">
        <f t="shared" si="6"/>
        <v>228</v>
      </c>
      <c r="B230" s="122">
        <f>IF(DAY(A230)=DAY('F-Ahorro Futuro Reservas'!$H$10),'F-Ahorro Futuro Reservas'!$H$9,0)</f>
        <v>0</v>
      </c>
      <c r="C230" s="122">
        <f t="shared" si="7"/>
        <v>0</v>
      </c>
      <c r="D230" s="121">
        <f>ROUND(IF(C230&lt;='FR_Mantenimiento tasas'!$C$55,'Tabla Ahorro Futuro Reservas'!C230*'FR_Mantenimiento tasas'!$D$55/360,IF(C230&lt;='FR_Mantenimiento tasas'!$C$56,'Tabla Ahorro Futuro Reservas'!C230*'FR_Mantenimiento tasas'!$D$56/360,IF(C230&lt;='FR_Mantenimiento tasas'!$C$57,'Tabla Ahorro Futuro Reservas'!C230*'FR_Mantenimiento tasas'!$D$57/360,""))),5)</f>
        <v>0</v>
      </c>
      <c r="E230" s="121">
        <f>ROUND(IF(C230&lt;='FR_Mantenimiento tasas'!$C$55,'Tabla Ahorro Futuro Reservas'!C230*'FR_Mantenimiento tasas'!$E$55/360,IF(C230&lt;='FR_Mantenimiento tasas'!$C$56,'Tabla Ahorro Futuro Reservas'!C230*'FR_Mantenimiento tasas'!$E$56/360,IF(C230&lt;='FR_Mantenimiento tasas'!$C$57,'Tabla Ahorro Futuro Reservas'!C230*'FR_Mantenimiento tasas'!$E$57/360,""))),5)</f>
        <v>0</v>
      </c>
    </row>
    <row r="231" spans="1:5">
      <c r="A231" s="123">
        <f t="shared" si="6"/>
        <v>229</v>
      </c>
      <c r="B231" s="122">
        <f>IF(DAY(A231)=DAY('F-Ahorro Futuro Reservas'!$H$10),'F-Ahorro Futuro Reservas'!$H$9,0)</f>
        <v>0</v>
      </c>
      <c r="C231" s="122">
        <f t="shared" si="7"/>
        <v>0</v>
      </c>
      <c r="D231" s="121">
        <f>ROUND(IF(C231&lt;='FR_Mantenimiento tasas'!$C$55,'Tabla Ahorro Futuro Reservas'!C231*'FR_Mantenimiento tasas'!$D$55/360,IF(C231&lt;='FR_Mantenimiento tasas'!$C$56,'Tabla Ahorro Futuro Reservas'!C231*'FR_Mantenimiento tasas'!$D$56/360,IF(C231&lt;='FR_Mantenimiento tasas'!$C$57,'Tabla Ahorro Futuro Reservas'!C231*'FR_Mantenimiento tasas'!$D$57/360,""))),5)</f>
        <v>0</v>
      </c>
      <c r="E231" s="121">
        <f>ROUND(IF(C231&lt;='FR_Mantenimiento tasas'!$C$55,'Tabla Ahorro Futuro Reservas'!C231*'FR_Mantenimiento tasas'!$E$55/360,IF(C231&lt;='FR_Mantenimiento tasas'!$C$56,'Tabla Ahorro Futuro Reservas'!C231*'FR_Mantenimiento tasas'!$E$56/360,IF(C231&lt;='FR_Mantenimiento tasas'!$C$57,'Tabla Ahorro Futuro Reservas'!C231*'FR_Mantenimiento tasas'!$E$57/360,""))),5)</f>
        <v>0</v>
      </c>
    </row>
    <row r="232" spans="1:5">
      <c r="A232" s="123">
        <f t="shared" si="6"/>
        <v>230</v>
      </c>
      <c r="B232" s="122">
        <f>IF(DAY(A232)=DAY('F-Ahorro Futuro Reservas'!$H$10),'F-Ahorro Futuro Reservas'!$H$9,0)</f>
        <v>0</v>
      </c>
      <c r="C232" s="122">
        <f t="shared" si="7"/>
        <v>0</v>
      </c>
      <c r="D232" s="121">
        <f>ROUND(IF(C232&lt;='FR_Mantenimiento tasas'!$C$55,'Tabla Ahorro Futuro Reservas'!C232*'FR_Mantenimiento tasas'!$D$55/360,IF(C232&lt;='FR_Mantenimiento tasas'!$C$56,'Tabla Ahorro Futuro Reservas'!C232*'FR_Mantenimiento tasas'!$D$56/360,IF(C232&lt;='FR_Mantenimiento tasas'!$C$57,'Tabla Ahorro Futuro Reservas'!C232*'FR_Mantenimiento tasas'!$D$57/360,""))),5)</f>
        <v>0</v>
      </c>
      <c r="E232" s="121">
        <f>ROUND(IF(C232&lt;='FR_Mantenimiento tasas'!$C$55,'Tabla Ahorro Futuro Reservas'!C232*'FR_Mantenimiento tasas'!$E$55/360,IF(C232&lt;='FR_Mantenimiento tasas'!$C$56,'Tabla Ahorro Futuro Reservas'!C232*'FR_Mantenimiento tasas'!$E$56/360,IF(C232&lt;='FR_Mantenimiento tasas'!$C$57,'Tabla Ahorro Futuro Reservas'!C232*'FR_Mantenimiento tasas'!$E$57/360,""))),5)</f>
        <v>0</v>
      </c>
    </row>
    <row r="233" spans="1:5">
      <c r="A233" s="123">
        <f t="shared" si="6"/>
        <v>231</v>
      </c>
      <c r="B233" s="122">
        <f>IF(DAY(A233)=DAY('F-Ahorro Futuro Reservas'!$H$10),'F-Ahorro Futuro Reservas'!$H$9,0)</f>
        <v>0</v>
      </c>
      <c r="C233" s="122">
        <f t="shared" si="7"/>
        <v>0</v>
      </c>
      <c r="D233" s="121">
        <f>ROUND(IF(C233&lt;='FR_Mantenimiento tasas'!$C$55,'Tabla Ahorro Futuro Reservas'!C233*'FR_Mantenimiento tasas'!$D$55/360,IF(C233&lt;='FR_Mantenimiento tasas'!$C$56,'Tabla Ahorro Futuro Reservas'!C233*'FR_Mantenimiento tasas'!$D$56/360,IF(C233&lt;='FR_Mantenimiento tasas'!$C$57,'Tabla Ahorro Futuro Reservas'!C233*'FR_Mantenimiento tasas'!$D$57/360,""))),5)</f>
        <v>0</v>
      </c>
      <c r="E233" s="121">
        <f>ROUND(IF(C233&lt;='FR_Mantenimiento tasas'!$C$55,'Tabla Ahorro Futuro Reservas'!C233*'FR_Mantenimiento tasas'!$E$55/360,IF(C233&lt;='FR_Mantenimiento tasas'!$C$56,'Tabla Ahorro Futuro Reservas'!C233*'FR_Mantenimiento tasas'!$E$56/360,IF(C233&lt;='FR_Mantenimiento tasas'!$C$57,'Tabla Ahorro Futuro Reservas'!C233*'FR_Mantenimiento tasas'!$E$57/360,""))),5)</f>
        <v>0</v>
      </c>
    </row>
    <row r="234" spans="1:5">
      <c r="A234" s="123">
        <f t="shared" si="6"/>
        <v>232</v>
      </c>
      <c r="B234" s="122">
        <f>IF(DAY(A234)=DAY('F-Ahorro Futuro Reservas'!$H$10),'F-Ahorro Futuro Reservas'!$H$9,0)</f>
        <v>0</v>
      </c>
      <c r="C234" s="122">
        <f t="shared" si="7"/>
        <v>0</v>
      </c>
      <c r="D234" s="121">
        <f>ROUND(IF(C234&lt;='FR_Mantenimiento tasas'!$C$55,'Tabla Ahorro Futuro Reservas'!C234*'FR_Mantenimiento tasas'!$D$55/360,IF(C234&lt;='FR_Mantenimiento tasas'!$C$56,'Tabla Ahorro Futuro Reservas'!C234*'FR_Mantenimiento tasas'!$D$56/360,IF(C234&lt;='FR_Mantenimiento tasas'!$C$57,'Tabla Ahorro Futuro Reservas'!C234*'FR_Mantenimiento tasas'!$D$57/360,""))),5)</f>
        <v>0</v>
      </c>
      <c r="E234" s="121">
        <f>ROUND(IF(C234&lt;='FR_Mantenimiento tasas'!$C$55,'Tabla Ahorro Futuro Reservas'!C234*'FR_Mantenimiento tasas'!$E$55/360,IF(C234&lt;='FR_Mantenimiento tasas'!$C$56,'Tabla Ahorro Futuro Reservas'!C234*'FR_Mantenimiento tasas'!$E$56/360,IF(C234&lt;='FR_Mantenimiento tasas'!$C$57,'Tabla Ahorro Futuro Reservas'!C234*'FR_Mantenimiento tasas'!$E$57/360,""))),5)</f>
        <v>0</v>
      </c>
    </row>
    <row r="235" spans="1:5">
      <c r="A235" s="123">
        <f t="shared" si="6"/>
        <v>233</v>
      </c>
      <c r="B235" s="122">
        <f>IF(DAY(A235)=DAY('F-Ahorro Futuro Reservas'!$H$10),'F-Ahorro Futuro Reservas'!$H$9,0)</f>
        <v>0</v>
      </c>
      <c r="C235" s="122">
        <f t="shared" si="7"/>
        <v>0</v>
      </c>
      <c r="D235" s="121">
        <f>ROUND(IF(C235&lt;='FR_Mantenimiento tasas'!$C$55,'Tabla Ahorro Futuro Reservas'!C235*'FR_Mantenimiento tasas'!$D$55/360,IF(C235&lt;='FR_Mantenimiento tasas'!$C$56,'Tabla Ahorro Futuro Reservas'!C235*'FR_Mantenimiento tasas'!$D$56/360,IF(C235&lt;='FR_Mantenimiento tasas'!$C$57,'Tabla Ahorro Futuro Reservas'!C235*'FR_Mantenimiento tasas'!$D$57/360,""))),5)</f>
        <v>0</v>
      </c>
      <c r="E235" s="121">
        <f>ROUND(IF(C235&lt;='FR_Mantenimiento tasas'!$C$55,'Tabla Ahorro Futuro Reservas'!C235*'FR_Mantenimiento tasas'!$E$55/360,IF(C235&lt;='FR_Mantenimiento tasas'!$C$56,'Tabla Ahorro Futuro Reservas'!C235*'FR_Mantenimiento tasas'!$E$56/360,IF(C235&lt;='FR_Mantenimiento tasas'!$C$57,'Tabla Ahorro Futuro Reservas'!C235*'FR_Mantenimiento tasas'!$E$57/360,""))),5)</f>
        <v>0</v>
      </c>
    </row>
    <row r="236" spans="1:5">
      <c r="A236" s="123">
        <f t="shared" si="6"/>
        <v>234</v>
      </c>
      <c r="B236" s="122">
        <f>IF(DAY(A236)=DAY('F-Ahorro Futuro Reservas'!$H$10),'F-Ahorro Futuro Reservas'!$H$9,0)</f>
        <v>0</v>
      </c>
      <c r="C236" s="122">
        <f t="shared" si="7"/>
        <v>0</v>
      </c>
      <c r="D236" s="121">
        <f>ROUND(IF(C236&lt;='FR_Mantenimiento tasas'!$C$55,'Tabla Ahorro Futuro Reservas'!C236*'FR_Mantenimiento tasas'!$D$55/360,IF(C236&lt;='FR_Mantenimiento tasas'!$C$56,'Tabla Ahorro Futuro Reservas'!C236*'FR_Mantenimiento tasas'!$D$56/360,IF(C236&lt;='FR_Mantenimiento tasas'!$C$57,'Tabla Ahorro Futuro Reservas'!C236*'FR_Mantenimiento tasas'!$D$57/360,""))),5)</f>
        <v>0</v>
      </c>
      <c r="E236" s="121">
        <f>ROUND(IF(C236&lt;='FR_Mantenimiento tasas'!$C$55,'Tabla Ahorro Futuro Reservas'!C236*'FR_Mantenimiento tasas'!$E$55/360,IF(C236&lt;='FR_Mantenimiento tasas'!$C$56,'Tabla Ahorro Futuro Reservas'!C236*'FR_Mantenimiento tasas'!$E$56/360,IF(C236&lt;='FR_Mantenimiento tasas'!$C$57,'Tabla Ahorro Futuro Reservas'!C236*'FR_Mantenimiento tasas'!$E$57/360,""))),5)</f>
        <v>0</v>
      </c>
    </row>
    <row r="237" spans="1:5">
      <c r="A237" s="123">
        <f t="shared" si="6"/>
        <v>235</v>
      </c>
      <c r="B237" s="122">
        <f>IF(DAY(A237)=DAY('F-Ahorro Futuro Reservas'!$H$10),'F-Ahorro Futuro Reservas'!$H$9,0)</f>
        <v>0</v>
      </c>
      <c r="C237" s="122">
        <f t="shared" si="7"/>
        <v>0</v>
      </c>
      <c r="D237" s="121">
        <f>ROUND(IF(C237&lt;='FR_Mantenimiento tasas'!$C$55,'Tabla Ahorro Futuro Reservas'!C237*'FR_Mantenimiento tasas'!$D$55/360,IF(C237&lt;='FR_Mantenimiento tasas'!$C$56,'Tabla Ahorro Futuro Reservas'!C237*'FR_Mantenimiento tasas'!$D$56/360,IF(C237&lt;='FR_Mantenimiento tasas'!$C$57,'Tabla Ahorro Futuro Reservas'!C237*'FR_Mantenimiento tasas'!$D$57/360,""))),5)</f>
        <v>0</v>
      </c>
      <c r="E237" s="121">
        <f>ROUND(IF(C237&lt;='FR_Mantenimiento tasas'!$C$55,'Tabla Ahorro Futuro Reservas'!C237*'FR_Mantenimiento tasas'!$E$55/360,IF(C237&lt;='FR_Mantenimiento tasas'!$C$56,'Tabla Ahorro Futuro Reservas'!C237*'FR_Mantenimiento tasas'!$E$56/360,IF(C237&lt;='FR_Mantenimiento tasas'!$C$57,'Tabla Ahorro Futuro Reservas'!C237*'FR_Mantenimiento tasas'!$E$57/360,""))),5)</f>
        <v>0</v>
      </c>
    </row>
    <row r="238" spans="1:5">
      <c r="A238" s="123">
        <f t="shared" si="6"/>
        <v>236</v>
      </c>
      <c r="B238" s="122">
        <f>IF(DAY(A238)=DAY('F-Ahorro Futuro Reservas'!$H$10),'F-Ahorro Futuro Reservas'!$H$9,0)</f>
        <v>0</v>
      </c>
      <c r="C238" s="122">
        <f t="shared" si="7"/>
        <v>0</v>
      </c>
      <c r="D238" s="121">
        <f>ROUND(IF(C238&lt;='FR_Mantenimiento tasas'!$C$55,'Tabla Ahorro Futuro Reservas'!C238*'FR_Mantenimiento tasas'!$D$55/360,IF(C238&lt;='FR_Mantenimiento tasas'!$C$56,'Tabla Ahorro Futuro Reservas'!C238*'FR_Mantenimiento tasas'!$D$56/360,IF(C238&lt;='FR_Mantenimiento tasas'!$C$57,'Tabla Ahorro Futuro Reservas'!C238*'FR_Mantenimiento tasas'!$D$57/360,""))),5)</f>
        <v>0</v>
      </c>
      <c r="E238" s="121">
        <f>ROUND(IF(C238&lt;='FR_Mantenimiento tasas'!$C$55,'Tabla Ahorro Futuro Reservas'!C238*'FR_Mantenimiento tasas'!$E$55/360,IF(C238&lt;='FR_Mantenimiento tasas'!$C$56,'Tabla Ahorro Futuro Reservas'!C238*'FR_Mantenimiento tasas'!$E$56/360,IF(C238&lt;='FR_Mantenimiento tasas'!$C$57,'Tabla Ahorro Futuro Reservas'!C238*'FR_Mantenimiento tasas'!$E$57/360,""))),5)</f>
        <v>0</v>
      </c>
    </row>
    <row r="239" spans="1:5">
      <c r="A239" s="123">
        <f t="shared" si="6"/>
        <v>237</v>
      </c>
      <c r="B239" s="122">
        <f>IF(DAY(A239)=DAY('F-Ahorro Futuro Reservas'!$H$10),'F-Ahorro Futuro Reservas'!$H$9,0)</f>
        <v>0</v>
      </c>
      <c r="C239" s="122">
        <f t="shared" si="7"/>
        <v>0</v>
      </c>
      <c r="D239" s="121">
        <f>ROUND(IF(C239&lt;='FR_Mantenimiento tasas'!$C$55,'Tabla Ahorro Futuro Reservas'!C239*'FR_Mantenimiento tasas'!$D$55/360,IF(C239&lt;='FR_Mantenimiento tasas'!$C$56,'Tabla Ahorro Futuro Reservas'!C239*'FR_Mantenimiento tasas'!$D$56/360,IF(C239&lt;='FR_Mantenimiento tasas'!$C$57,'Tabla Ahorro Futuro Reservas'!C239*'FR_Mantenimiento tasas'!$D$57/360,""))),5)</f>
        <v>0</v>
      </c>
      <c r="E239" s="121">
        <f>ROUND(IF(C239&lt;='FR_Mantenimiento tasas'!$C$55,'Tabla Ahorro Futuro Reservas'!C239*'FR_Mantenimiento tasas'!$E$55/360,IF(C239&lt;='FR_Mantenimiento tasas'!$C$56,'Tabla Ahorro Futuro Reservas'!C239*'FR_Mantenimiento tasas'!$E$56/360,IF(C239&lt;='FR_Mantenimiento tasas'!$C$57,'Tabla Ahorro Futuro Reservas'!C239*'FR_Mantenimiento tasas'!$E$57/360,""))),5)</f>
        <v>0</v>
      </c>
    </row>
    <row r="240" spans="1:5">
      <c r="A240" s="123">
        <f t="shared" si="6"/>
        <v>238</v>
      </c>
      <c r="B240" s="122">
        <f>IF(DAY(A240)=DAY('F-Ahorro Futuro Reservas'!$H$10),'F-Ahorro Futuro Reservas'!$H$9,0)</f>
        <v>0</v>
      </c>
      <c r="C240" s="122">
        <f t="shared" si="7"/>
        <v>0</v>
      </c>
      <c r="D240" s="121">
        <f>ROUND(IF(C240&lt;='FR_Mantenimiento tasas'!$C$55,'Tabla Ahorro Futuro Reservas'!C240*'FR_Mantenimiento tasas'!$D$55/360,IF(C240&lt;='FR_Mantenimiento tasas'!$C$56,'Tabla Ahorro Futuro Reservas'!C240*'FR_Mantenimiento tasas'!$D$56/360,IF(C240&lt;='FR_Mantenimiento tasas'!$C$57,'Tabla Ahorro Futuro Reservas'!C240*'FR_Mantenimiento tasas'!$D$57/360,""))),5)</f>
        <v>0</v>
      </c>
      <c r="E240" s="121">
        <f>ROUND(IF(C240&lt;='FR_Mantenimiento tasas'!$C$55,'Tabla Ahorro Futuro Reservas'!C240*'FR_Mantenimiento tasas'!$E$55/360,IF(C240&lt;='FR_Mantenimiento tasas'!$C$56,'Tabla Ahorro Futuro Reservas'!C240*'FR_Mantenimiento tasas'!$E$56/360,IF(C240&lt;='FR_Mantenimiento tasas'!$C$57,'Tabla Ahorro Futuro Reservas'!C240*'FR_Mantenimiento tasas'!$E$57/360,""))),5)</f>
        <v>0</v>
      </c>
    </row>
    <row r="241" spans="1:5">
      <c r="A241" s="123">
        <f t="shared" si="6"/>
        <v>239</v>
      </c>
      <c r="B241" s="122">
        <f>IF(DAY(A241)=DAY('F-Ahorro Futuro Reservas'!$H$10),'F-Ahorro Futuro Reservas'!$H$9,0)</f>
        <v>0</v>
      </c>
      <c r="C241" s="122">
        <f t="shared" si="7"/>
        <v>0</v>
      </c>
      <c r="D241" s="121">
        <f>ROUND(IF(C241&lt;='FR_Mantenimiento tasas'!$C$55,'Tabla Ahorro Futuro Reservas'!C241*'FR_Mantenimiento tasas'!$D$55/360,IF(C241&lt;='FR_Mantenimiento tasas'!$C$56,'Tabla Ahorro Futuro Reservas'!C241*'FR_Mantenimiento tasas'!$D$56/360,IF(C241&lt;='FR_Mantenimiento tasas'!$C$57,'Tabla Ahorro Futuro Reservas'!C241*'FR_Mantenimiento tasas'!$D$57/360,""))),5)</f>
        <v>0</v>
      </c>
      <c r="E241" s="121">
        <f>ROUND(IF(C241&lt;='FR_Mantenimiento tasas'!$C$55,'Tabla Ahorro Futuro Reservas'!C241*'FR_Mantenimiento tasas'!$E$55/360,IF(C241&lt;='FR_Mantenimiento tasas'!$C$56,'Tabla Ahorro Futuro Reservas'!C241*'FR_Mantenimiento tasas'!$E$56/360,IF(C241&lt;='FR_Mantenimiento tasas'!$C$57,'Tabla Ahorro Futuro Reservas'!C241*'FR_Mantenimiento tasas'!$E$57/360,""))),5)</f>
        <v>0</v>
      </c>
    </row>
    <row r="242" spans="1:5">
      <c r="A242" s="123">
        <f t="shared" si="6"/>
        <v>240</v>
      </c>
      <c r="B242" s="122">
        <f>IF(DAY(A242)=DAY('F-Ahorro Futuro Reservas'!$H$10),'F-Ahorro Futuro Reservas'!$H$9,0)</f>
        <v>0</v>
      </c>
      <c r="C242" s="122">
        <f t="shared" si="7"/>
        <v>0</v>
      </c>
      <c r="D242" s="121">
        <f>ROUND(IF(C242&lt;='FR_Mantenimiento tasas'!$C$55,'Tabla Ahorro Futuro Reservas'!C242*'FR_Mantenimiento tasas'!$D$55/360,IF(C242&lt;='FR_Mantenimiento tasas'!$C$56,'Tabla Ahorro Futuro Reservas'!C242*'FR_Mantenimiento tasas'!$D$56/360,IF(C242&lt;='FR_Mantenimiento tasas'!$C$57,'Tabla Ahorro Futuro Reservas'!C242*'FR_Mantenimiento tasas'!$D$57/360,""))),5)</f>
        <v>0</v>
      </c>
      <c r="E242" s="121">
        <f>ROUND(IF(C242&lt;='FR_Mantenimiento tasas'!$C$55,'Tabla Ahorro Futuro Reservas'!C242*'FR_Mantenimiento tasas'!$E$55/360,IF(C242&lt;='FR_Mantenimiento tasas'!$C$56,'Tabla Ahorro Futuro Reservas'!C242*'FR_Mantenimiento tasas'!$E$56/360,IF(C242&lt;='FR_Mantenimiento tasas'!$C$57,'Tabla Ahorro Futuro Reservas'!C242*'FR_Mantenimiento tasas'!$E$57/360,""))),5)</f>
        <v>0</v>
      </c>
    </row>
    <row r="243" spans="1:5">
      <c r="A243" s="123">
        <f t="shared" si="6"/>
        <v>241</v>
      </c>
      <c r="B243" s="122">
        <f>IF(DAY(A243)=DAY('F-Ahorro Futuro Reservas'!$H$10),'F-Ahorro Futuro Reservas'!$H$9,0)</f>
        <v>0</v>
      </c>
      <c r="C243" s="122">
        <f t="shared" si="7"/>
        <v>0</v>
      </c>
      <c r="D243" s="121">
        <f>ROUND(IF(C243&lt;='FR_Mantenimiento tasas'!$C$55,'Tabla Ahorro Futuro Reservas'!C243*'FR_Mantenimiento tasas'!$D$55/360,IF(C243&lt;='FR_Mantenimiento tasas'!$C$56,'Tabla Ahorro Futuro Reservas'!C243*'FR_Mantenimiento tasas'!$D$56/360,IF(C243&lt;='FR_Mantenimiento tasas'!$C$57,'Tabla Ahorro Futuro Reservas'!C243*'FR_Mantenimiento tasas'!$D$57/360,""))),5)</f>
        <v>0</v>
      </c>
      <c r="E243" s="121">
        <f>ROUND(IF(C243&lt;='FR_Mantenimiento tasas'!$C$55,'Tabla Ahorro Futuro Reservas'!C243*'FR_Mantenimiento tasas'!$E$55/360,IF(C243&lt;='FR_Mantenimiento tasas'!$C$56,'Tabla Ahorro Futuro Reservas'!C243*'FR_Mantenimiento tasas'!$E$56/360,IF(C243&lt;='FR_Mantenimiento tasas'!$C$57,'Tabla Ahorro Futuro Reservas'!C243*'FR_Mantenimiento tasas'!$E$57/360,""))),5)</f>
        <v>0</v>
      </c>
    </row>
    <row r="244" spans="1:5">
      <c r="A244" s="123">
        <f t="shared" si="6"/>
        <v>242</v>
      </c>
      <c r="B244" s="122">
        <f>IF(DAY(A244)=DAY('F-Ahorro Futuro Reservas'!$H$10),'F-Ahorro Futuro Reservas'!$H$9,0)</f>
        <v>0</v>
      </c>
      <c r="C244" s="122">
        <f t="shared" si="7"/>
        <v>0</v>
      </c>
      <c r="D244" s="121">
        <f>ROUND(IF(C244&lt;='FR_Mantenimiento tasas'!$C$55,'Tabla Ahorro Futuro Reservas'!C244*'FR_Mantenimiento tasas'!$D$55/360,IF(C244&lt;='FR_Mantenimiento tasas'!$C$56,'Tabla Ahorro Futuro Reservas'!C244*'FR_Mantenimiento tasas'!$D$56/360,IF(C244&lt;='FR_Mantenimiento tasas'!$C$57,'Tabla Ahorro Futuro Reservas'!C244*'FR_Mantenimiento tasas'!$D$57/360,""))),5)</f>
        <v>0</v>
      </c>
      <c r="E244" s="121">
        <f>ROUND(IF(C244&lt;='FR_Mantenimiento tasas'!$C$55,'Tabla Ahorro Futuro Reservas'!C244*'FR_Mantenimiento tasas'!$E$55/360,IF(C244&lt;='FR_Mantenimiento tasas'!$C$56,'Tabla Ahorro Futuro Reservas'!C244*'FR_Mantenimiento tasas'!$E$56/360,IF(C244&lt;='FR_Mantenimiento tasas'!$C$57,'Tabla Ahorro Futuro Reservas'!C244*'FR_Mantenimiento tasas'!$E$57/360,""))),5)</f>
        <v>0</v>
      </c>
    </row>
    <row r="245" spans="1:5">
      <c r="A245" s="123">
        <f t="shared" si="6"/>
        <v>243</v>
      </c>
      <c r="B245" s="122">
        <f>IF(DAY(A245)=DAY('F-Ahorro Futuro Reservas'!$H$10),'F-Ahorro Futuro Reservas'!$H$9,0)</f>
        <v>0</v>
      </c>
      <c r="C245" s="122">
        <f t="shared" si="7"/>
        <v>0</v>
      </c>
      <c r="D245" s="121">
        <f>ROUND(IF(C245&lt;='FR_Mantenimiento tasas'!$C$55,'Tabla Ahorro Futuro Reservas'!C245*'FR_Mantenimiento tasas'!$D$55/360,IF(C245&lt;='FR_Mantenimiento tasas'!$C$56,'Tabla Ahorro Futuro Reservas'!C245*'FR_Mantenimiento tasas'!$D$56/360,IF(C245&lt;='FR_Mantenimiento tasas'!$C$57,'Tabla Ahorro Futuro Reservas'!C245*'FR_Mantenimiento tasas'!$D$57/360,""))),5)</f>
        <v>0</v>
      </c>
      <c r="E245" s="121">
        <f>ROUND(IF(C245&lt;='FR_Mantenimiento tasas'!$C$55,'Tabla Ahorro Futuro Reservas'!C245*'FR_Mantenimiento tasas'!$E$55/360,IF(C245&lt;='FR_Mantenimiento tasas'!$C$56,'Tabla Ahorro Futuro Reservas'!C245*'FR_Mantenimiento tasas'!$E$56/360,IF(C245&lt;='FR_Mantenimiento tasas'!$C$57,'Tabla Ahorro Futuro Reservas'!C245*'FR_Mantenimiento tasas'!$E$57/360,""))),5)</f>
        <v>0</v>
      </c>
    </row>
    <row r="246" spans="1:5">
      <c r="A246" s="123">
        <f t="shared" si="6"/>
        <v>244</v>
      </c>
      <c r="B246" s="122">
        <f>IF(DAY(A246)=DAY('F-Ahorro Futuro Reservas'!$H$10),'F-Ahorro Futuro Reservas'!$H$9,0)</f>
        <v>0</v>
      </c>
      <c r="C246" s="122">
        <f t="shared" si="7"/>
        <v>0</v>
      </c>
      <c r="D246" s="121">
        <f>ROUND(IF(C246&lt;='FR_Mantenimiento tasas'!$C$55,'Tabla Ahorro Futuro Reservas'!C246*'FR_Mantenimiento tasas'!$D$55/360,IF(C246&lt;='FR_Mantenimiento tasas'!$C$56,'Tabla Ahorro Futuro Reservas'!C246*'FR_Mantenimiento tasas'!$D$56/360,IF(C246&lt;='FR_Mantenimiento tasas'!$C$57,'Tabla Ahorro Futuro Reservas'!C246*'FR_Mantenimiento tasas'!$D$57/360,""))),5)</f>
        <v>0</v>
      </c>
      <c r="E246" s="121">
        <f>ROUND(IF(C246&lt;='FR_Mantenimiento tasas'!$C$55,'Tabla Ahorro Futuro Reservas'!C246*'FR_Mantenimiento tasas'!$E$55/360,IF(C246&lt;='FR_Mantenimiento tasas'!$C$56,'Tabla Ahorro Futuro Reservas'!C246*'FR_Mantenimiento tasas'!$E$56/360,IF(C246&lt;='FR_Mantenimiento tasas'!$C$57,'Tabla Ahorro Futuro Reservas'!C246*'FR_Mantenimiento tasas'!$E$57/360,""))),5)</f>
        <v>0</v>
      </c>
    </row>
    <row r="247" spans="1:5">
      <c r="A247" s="123">
        <f t="shared" si="6"/>
        <v>245</v>
      </c>
      <c r="B247" s="122">
        <f>IF(DAY(A247)=DAY('F-Ahorro Futuro Reservas'!$H$10),'F-Ahorro Futuro Reservas'!$H$9,0)</f>
        <v>0</v>
      </c>
      <c r="C247" s="122">
        <f t="shared" si="7"/>
        <v>0</v>
      </c>
      <c r="D247" s="121">
        <f>ROUND(IF(C247&lt;='FR_Mantenimiento tasas'!$C$55,'Tabla Ahorro Futuro Reservas'!C247*'FR_Mantenimiento tasas'!$D$55/360,IF(C247&lt;='FR_Mantenimiento tasas'!$C$56,'Tabla Ahorro Futuro Reservas'!C247*'FR_Mantenimiento tasas'!$D$56/360,IF(C247&lt;='FR_Mantenimiento tasas'!$C$57,'Tabla Ahorro Futuro Reservas'!C247*'FR_Mantenimiento tasas'!$D$57/360,""))),5)</f>
        <v>0</v>
      </c>
      <c r="E247" s="121">
        <f>ROUND(IF(C247&lt;='FR_Mantenimiento tasas'!$C$55,'Tabla Ahorro Futuro Reservas'!C247*'FR_Mantenimiento tasas'!$E$55/360,IF(C247&lt;='FR_Mantenimiento tasas'!$C$56,'Tabla Ahorro Futuro Reservas'!C247*'FR_Mantenimiento tasas'!$E$56/360,IF(C247&lt;='FR_Mantenimiento tasas'!$C$57,'Tabla Ahorro Futuro Reservas'!C247*'FR_Mantenimiento tasas'!$E$57/360,""))),5)</f>
        <v>0</v>
      </c>
    </row>
    <row r="248" spans="1:5">
      <c r="A248" s="123">
        <f t="shared" si="6"/>
        <v>246</v>
      </c>
      <c r="B248" s="122">
        <f>IF(DAY(A248)=DAY('F-Ahorro Futuro Reservas'!$H$10),'F-Ahorro Futuro Reservas'!$H$9,0)</f>
        <v>0</v>
      </c>
      <c r="C248" s="122">
        <f t="shared" si="7"/>
        <v>0</v>
      </c>
      <c r="D248" s="121">
        <f>ROUND(IF(C248&lt;='FR_Mantenimiento tasas'!$C$55,'Tabla Ahorro Futuro Reservas'!C248*'FR_Mantenimiento tasas'!$D$55/360,IF(C248&lt;='FR_Mantenimiento tasas'!$C$56,'Tabla Ahorro Futuro Reservas'!C248*'FR_Mantenimiento tasas'!$D$56/360,IF(C248&lt;='FR_Mantenimiento tasas'!$C$57,'Tabla Ahorro Futuro Reservas'!C248*'FR_Mantenimiento tasas'!$D$57/360,""))),5)</f>
        <v>0</v>
      </c>
      <c r="E248" s="121">
        <f>ROUND(IF(C248&lt;='FR_Mantenimiento tasas'!$C$55,'Tabla Ahorro Futuro Reservas'!C248*'FR_Mantenimiento tasas'!$E$55/360,IF(C248&lt;='FR_Mantenimiento tasas'!$C$56,'Tabla Ahorro Futuro Reservas'!C248*'FR_Mantenimiento tasas'!$E$56/360,IF(C248&lt;='FR_Mantenimiento tasas'!$C$57,'Tabla Ahorro Futuro Reservas'!C248*'FR_Mantenimiento tasas'!$E$57/360,""))),5)</f>
        <v>0</v>
      </c>
    </row>
    <row r="249" spans="1:5">
      <c r="A249" s="123">
        <f t="shared" si="6"/>
        <v>247</v>
      </c>
      <c r="B249" s="122">
        <f>IF(DAY(A249)=DAY('F-Ahorro Futuro Reservas'!$H$10),'F-Ahorro Futuro Reservas'!$H$9,0)</f>
        <v>0</v>
      </c>
      <c r="C249" s="122">
        <f t="shared" si="7"/>
        <v>0</v>
      </c>
      <c r="D249" s="121">
        <f>ROUND(IF(C249&lt;='FR_Mantenimiento tasas'!$C$55,'Tabla Ahorro Futuro Reservas'!C249*'FR_Mantenimiento tasas'!$D$55/360,IF(C249&lt;='FR_Mantenimiento tasas'!$C$56,'Tabla Ahorro Futuro Reservas'!C249*'FR_Mantenimiento tasas'!$D$56/360,IF(C249&lt;='FR_Mantenimiento tasas'!$C$57,'Tabla Ahorro Futuro Reservas'!C249*'FR_Mantenimiento tasas'!$D$57/360,""))),5)</f>
        <v>0</v>
      </c>
      <c r="E249" s="121">
        <f>ROUND(IF(C249&lt;='FR_Mantenimiento tasas'!$C$55,'Tabla Ahorro Futuro Reservas'!C249*'FR_Mantenimiento tasas'!$E$55/360,IF(C249&lt;='FR_Mantenimiento tasas'!$C$56,'Tabla Ahorro Futuro Reservas'!C249*'FR_Mantenimiento tasas'!$E$56/360,IF(C249&lt;='FR_Mantenimiento tasas'!$C$57,'Tabla Ahorro Futuro Reservas'!C249*'FR_Mantenimiento tasas'!$E$57/360,""))),5)</f>
        <v>0</v>
      </c>
    </row>
    <row r="250" spans="1:5">
      <c r="A250" s="123">
        <f t="shared" si="6"/>
        <v>248</v>
      </c>
      <c r="B250" s="122">
        <f>IF(DAY(A250)=DAY('F-Ahorro Futuro Reservas'!$H$10),'F-Ahorro Futuro Reservas'!$H$9,0)</f>
        <v>0</v>
      </c>
      <c r="C250" s="122">
        <f t="shared" si="7"/>
        <v>0</v>
      </c>
      <c r="D250" s="121">
        <f>ROUND(IF(C250&lt;='FR_Mantenimiento tasas'!$C$55,'Tabla Ahorro Futuro Reservas'!C250*'FR_Mantenimiento tasas'!$D$55/360,IF(C250&lt;='FR_Mantenimiento tasas'!$C$56,'Tabla Ahorro Futuro Reservas'!C250*'FR_Mantenimiento tasas'!$D$56/360,IF(C250&lt;='FR_Mantenimiento tasas'!$C$57,'Tabla Ahorro Futuro Reservas'!C250*'FR_Mantenimiento tasas'!$D$57/360,""))),5)</f>
        <v>0</v>
      </c>
      <c r="E250" s="121">
        <f>ROUND(IF(C250&lt;='FR_Mantenimiento tasas'!$C$55,'Tabla Ahorro Futuro Reservas'!C250*'FR_Mantenimiento tasas'!$E$55/360,IF(C250&lt;='FR_Mantenimiento tasas'!$C$56,'Tabla Ahorro Futuro Reservas'!C250*'FR_Mantenimiento tasas'!$E$56/360,IF(C250&lt;='FR_Mantenimiento tasas'!$C$57,'Tabla Ahorro Futuro Reservas'!C250*'FR_Mantenimiento tasas'!$E$57/360,""))),5)</f>
        <v>0</v>
      </c>
    </row>
    <row r="251" spans="1:5">
      <c r="A251" s="123">
        <f t="shared" si="6"/>
        <v>249</v>
      </c>
      <c r="B251" s="122">
        <f>IF(DAY(A251)=DAY('F-Ahorro Futuro Reservas'!$H$10),'F-Ahorro Futuro Reservas'!$H$9,0)</f>
        <v>0</v>
      </c>
      <c r="C251" s="122">
        <f t="shared" si="7"/>
        <v>0</v>
      </c>
      <c r="D251" s="121">
        <f>ROUND(IF(C251&lt;='FR_Mantenimiento tasas'!$C$55,'Tabla Ahorro Futuro Reservas'!C251*'FR_Mantenimiento tasas'!$D$55/360,IF(C251&lt;='FR_Mantenimiento tasas'!$C$56,'Tabla Ahorro Futuro Reservas'!C251*'FR_Mantenimiento tasas'!$D$56/360,IF(C251&lt;='FR_Mantenimiento tasas'!$C$57,'Tabla Ahorro Futuro Reservas'!C251*'FR_Mantenimiento tasas'!$D$57/360,""))),5)</f>
        <v>0</v>
      </c>
      <c r="E251" s="121">
        <f>ROUND(IF(C251&lt;='FR_Mantenimiento tasas'!$C$55,'Tabla Ahorro Futuro Reservas'!C251*'FR_Mantenimiento tasas'!$E$55/360,IF(C251&lt;='FR_Mantenimiento tasas'!$C$56,'Tabla Ahorro Futuro Reservas'!C251*'FR_Mantenimiento tasas'!$E$56/360,IF(C251&lt;='FR_Mantenimiento tasas'!$C$57,'Tabla Ahorro Futuro Reservas'!C251*'FR_Mantenimiento tasas'!$E$57/360,""))),5)</f>
        <v>0</v>
      </c>
    </row>
    <row r="252" spans="1:5">
      <c r="A252" s="123">
        <f t="shared" si="6"/>
        <v>250</v>
      </c>
      <c r="B252" s="122">
        <f>IF(DAY(A252)=DAY('F-Ahorro Futuro Reservas'!$H$10),'F-Ahorro Futuro Reservas'!$H$9,0)</f>
        <v>0</v>
      </c>
      <c r="C252" s="122">
        <f t="shared" si="7"/>
        <v>0</v>
      </c>
      <c r="D252" s="121">
        <f>ROUND(IF(C252&lt;='FR_Mantenimiento tasas'!$C$55,'Tabla Ahorro Futuro Reservas'!C252*'FR_Mantenimiento tasas'!$D$55/360,IF(C252&lt;='FR_Mantenimiento tasas'!$C$56,'Tabla Ahorro Futuro Reservas'!C252*'FR_Mantenimiento tasas'!$D$56/360,IF(C252&lt;='FR_Mantenimiento tasas'!$C$57,'Tabla Ahorro Futuro Reservas'!C252*'FR_Mantenimiento tasas'!$D$57/360,""))),5)</f>
        <v>0</v>
      </c>
      <c r="E252" s="121">
        <f>ROUND(IF(C252&lt;='FR_Mantenimiento tasas'!$C$55,'Tabla Ahorro Futuro Reservas'!C252*'FR_Mantenimiento tasas'!$E$55/360,IF(C252&lt;='FR_Mantenimiento tasas'!$C$56,'Tabla Ahorro Futuro Reservas'!C252*'FR_Mantenimiento tasas'!$E$56/360,IF(C252&lt;='FR_Mantenimiento tasas'!$C$57,'Tabla Ahorro Futuro Reservas'!C252*'FR_Mantenimiento tasas'!$E$57/360,""))),5)</f>
        <v>0</v>
      </c>
    </row>
    <row r="253" spans="1:5">
      <c r="A253" s="123">
        <f t="shared" si="6"/>
        <v>251</v>
      </c>
      <c r="B253" s="122">
        <f>IF(DAY(A253)=DAY('F-Ahorro Futuro Reservas'!$H$10),'F-Ahorro Futuro Reservas'!$H$9,0)</f>
        <v>0</v>
      </c>
      <c r="C253" s="122">
        <f t="shared" si="7"/>
        <v>0</v>
      </c>
      <c r="D253" s="121">
        <f>ROUND(IF(C253&lt;='FR_Mantenimiento tasas'!$C$55,'Tabla Ahorro Futuro Reservas'!C253*'FR_Mantenimiento tasas'!$D$55/360,IF(C253&lt;='FR_Mantenimiento tasas'!$C$56,'Tabla Ahorro Futuro Reservas'!C253*'FR_Mantenimiento tasas'!$D$56/360,IF(C253&lt;='FR_Mantenimiento tasas'!$C$57,'Tabla Ahorro Futuro Reservas'!C253*'FR_Mantenimiento tasas'!$D$57/360,""))),5)</f>
        <v>0</v>
      </c>
      <c r="E253" s="121">
        <f>ROUND(IF(C253&lt;='FR_Mantenimiento tasas'!$C$55,'Tabla Ahorro Futuro Reservas'!C253*'FR_Mantenimiento tasas'!$E$55/360,IF(C253&lt;='FR_Mantenimiento tasas'!$C$56,'Tabla Ahorro Futuro Reservas'!C253*'FR_Mantenimiento tasas'!$E$56/360,IF(C253&lt;='FR_Mantenimiento tasas'!$C$57,'Tabla Ahorro Futuro Reservas'!C253*'FR_Mantenimiento tasas'!$E$57/360,""))),5)</f>
        <v>0</v>
      </c>
    </row>
    <row r="254" spans="1:5">
      <c r="A254" s="123">
        <f t="shared" si="6"/>
        <v>252</v>
      </c>
      <c r="B254" s="122">
        <f>IF(DAY(A254)=DAY('F-Ahorro Futuro Reservas'!$H$10),'F-Ahorro Futuro Reservas'!$H$9,0)</f>
        <v>0</v>
      </c>
      <c r="C254" s="122">
        <f t="shared" si="7"/>
        <v>0</v>
      </c>
      <c r="D254" s="121">
        <f>ROUND(IF(C254&lt;='FR_Mantenimiento tasas'!$C$55,'Tabla Ahorro Futuro Reservas'!C254*'FR_Mantenimiento tasas'!$D$55/360,IF(C254&lt;='FR_Mantenimiento tasas'!$C$56,'Tabla Ahorro Futuro Reservas'!C254*'FR_Mantenimiento tasas'!$D$56/360,IF(C254&lt;='FR_Mantenimiento tasas'!$C$57,'Tabla Ahorro Futuro Reservas'!C254*'FR_Mantenimiento tasas'!$D$57/360,""))),5)</f>
        <v>0</v>
      </c>
      <c r="E254" s="121">
        <f>ROUND(IF(C254&lt;='FR_Mantenimiento tasas'!$C$55,'Tabla Ahorro Futuro Reservas'!C254*'FR_Mantenimiento tasas'!$E$55/360,IF(C254&lt;='FR_Mantenimiento tasas'!$C$56,'Tabla Ahorro Futuro Reservas'!C254*'FR_Mantenimiento tasas'!$E$56/360,IF(C254&lt;='FR_Mantenimiento tasas'!$C$57,'Tabla Ahorro Futuro Reservas'!C254*'FR_Mantenimiento tasas'!$E$57/360,""))),5)</f>
        <v>0</v>
      </c>
    </row>
    <row r="255" spans="1:5">
      <c r="A255" s="123">
        <f t="shared" si="6"/>
        <v>253</v>
      </c>
      <c r="B255" s="122">
        <f>IF(DAY(A255)=DAY('F-Ahorro Futuro Reservas'!$H$10),'F-Ahorro Futuro Reservas'!$H$9,0)</f>
        <v>0</v>
      </c>
      <c r="C255" s="122">
        <f t="shared" si="7"/>
        <v>0</v>
      </c>
      <c r="D255" s="121">
        <f>ROUND(IF(C255&lt;='FR_Mantenimiento tasas'!$C$55,'Tabla Ahorro Futuro Reservas'!C255*'FR_Mantenimiento tasas'!$D$55/360,IF(C255&lt;='FR_Mantenimiento tasas'!$C$56,'Tabla Ahorro Futuro Reservas'!C255*'FR_Mantenimiento tasas'!$D$56/360,IF(C255&lt;='FR_Mantenimiento tasas'!$C$57,'Tabla Ahorro Futuro Reservas'!C255*'FR_Mantenimiento tasas'!$D$57/360,""))),5)</f>
        <v>0</v>
      </c>
      <c r="E255" s="121">
        <f>ROUND(IF(C255&lt;='FR_Mantenimiento tasas'!$C$55,'Tabla Ahorro Futuro Reservas'!C255*'FR_Mantenimiento tasas'!$E$55/360,IF(C255&lt;='FR_Mantenimiento tasas'!$C$56,'Tabla Ahorro Futuro Reservas'!C255*'FR_Mantenimiento tasas'!$E$56/360,IF(C255&lt;='FR_Mantenimiento tasas'!$C$57,'Tabla Ahorro Futuro Reservas'!C255*'FR_Mantenimiento tasas'!$E$57/360,""))),5)</f>
        <v>0</v>
      </c>
    </row>
    <row r="256" spans="1:5">
      <c r="A256" s="123">
        <f t="shared" si="6"/>
        <v>254</v>
      </c>
      <c r="B256" s="122">
        <f>IF(DAY(A256)=DAY('F-Ahorro Futuro Reservas'!$H$10),'F-Ahorro Futuro Reservas'!$H$9,0)</f>
        <v>0</v>
      </c>
      <c r="C256" s="122">
        <f t="shared" si="7"/>
        <v>0</v>
      </c>
      <c r="D256" s="121">
        <f>ROUND(IF(C256&lt;='FR_Mantenimiento tasas'!$C$55,'Tabla Ahorro Futuro Reservas'!C256*'FR_Mantenimiento tasas'!$D$55/360,IF(C256&lt;='FR_Mantenimiento tasas'!$C$56,'Tabla Ahorro Futuro Reservas'!C256*'FR_Mantenimiento tasas'!$D$56/360,IF(C256&lt;='FR_Mantenimiento tasas'!$C$57,'Tabla Ahorro Futuro Reservas'!C256*'FR_Mantenimiento tasas'!$D$57/360,""))),5)</f>
        <v>0</v>
      </c>
      <c r="E256" s="121">
        <f>ROUND(IF(C256&lt;='FR_Mantenimiento tasas'!$C$55,'Tabla Ahorro Futuro Reservas'!C256*'FR_Mantenimiento tasas'!$E$55/360,IF(C256&lt;='FR_Mantenimiento tasas'!$C$56,'Tabla Ahorro Futuro Reservas'!C256*'FR_Mantenimiento tasas'!$E$56/360,IF(C256&lt;='FR_Mantenimiento tasas'!$C$57,'Tabla Ahorro Futuro Reservas'!C256*'FR_Mantenimiento tasas'!$E$57/360,""))),5)</f>
        <v>0</v>
      </c>
    </row>
    <row r="257" spans="1:5">
      <c r="A257" s="123">
        <f t="shared" si="6"/>
        <v>255</v>
      </c>
      <c r="B257" s="122">
        <f>IF(DAY(A257)=DAY('F-Ahorro Futuro Reservas'!$H$10),'F-Ahorro Futuro Reservas'!$H$9,0)</f>
        <v>0</v>
      </c>
      <c r="C257" s="122">
        <f t="shared" si="7"/>
        <v>0</v>
      </c>
      <c r="D257" s="121">
        <f>ROUND(IF(C257&lt;='FR_Mantenimiento tasas'!$C$55,'Tabla Ahorro Futuro Reservas'!C257*'FR_Mantenimiento tasas'!$D$55/360,IF(C257&lt;='FR_Mantenimiento tasas'!$C$56,'Tabla Ahorro Futuro Reservas'!C257*'FR_Mantenimiento tasas'!$D$56/360,IF(C257&lt;='FR_Mantenimiento tasas'!$C$57,'Tabla Ahorro Futuro Reservas'!C257*'FR_Mantenimiento tasas'!$D$57/360,""))),5)</f>
        <v>0</v>
      </c>
      <c r="E257" s="121">
        <f>ROUND(IF(C257&lt;='FR_Mantenimiento tasas'!$C$55,'Tabla Ahorro Futuro Reservas'!C257*'FR_Mantenimiento tasas'!$E$55/360,IF(C257&lt;='FR_Mantenimiento tasas'!$C$56,'Tabla Ahorro Futuro Reservas'!C257*'FR_Mantenimiento tasas'!$E$56/360,IF(C257&lt;='FR_Mantenimiento tasas'!$C$57,'Tabla Ahorro Futuro Reservas'!C257*'FR_Mantenimiento tasas'!$E$57/360,""))),5)</f>
        <v>0</v>
      </c>
    </row>
    <row r="258" spans="1:5">
      <c r="A258" s="123">
        <f t="shared" si="6"/>
        <v>256</v>
      </c>
      <c r="B258" s="122">
        <f>IF(DAY(A258)=DAY('F-Ahorro Futuro Reservas'!$H$10),'F-Ahorro Futuro Reservas'!$H$9,0)</f>
        <v>0</v>
      </c>
      <c r="C258" s="122">
        <f t="shared" si="7"/>
        <v>0</v>
      </c>
      <c r="D258" s="121">
        <f>ROUND(IF(C258&lt;='FR_Mantenimiento tasas'!$C$55,'Tabla Ahorro Futuro Reservas'!C258*'FR_Mantenimiento tasas'!$D$55/360,IF(C258&lt;='FR_Mantenimiento tasas'!$C$56,'Tabla Ahorro Futuro Reservas'!C258*'FR_Mantenimiento tasas'!$D$56/360,IF(C258&lt;='FR_Mantenimiento tasas'!$C$57,'Tabla Ahorro Futuro Reservas'!C258*'FR_Mantenimiento tasas'!$D$57/360,""))),5)</f>
        <v>0</v>
      </c>
      <c r="E258" s="121">
        <f>ROUND(IF(C258&lt;='FR_Mantenimiento tasas'!$C$55,'Tabla Ahorro Futuro Reservas'!C258*'FR_Mantenimiento tasas'!$E$55/360,IF(C258&lt;='FR_Mantenimiento tasas'!$C$56,'Tabla Ahorro Futuro Reservas'!C258*'FR_Mantenimiento tasas'!$E$56/360,IF(C258&lt;='FR_Mantenimiento tasas'!$C$57,'Tabla Ahorro Futuro Reservas'!C258*'FR_Mantenimiento tasas'!$E$57/360,""))),5)</f>
        <v>0</v>
      </c>
    </row>
    <row r="259" spans="1:5">
      <c r="A259" s="123">
        <f t="shared" si="6"/>
        <v>257</v>
      </c>
      <c r="B259" s="122">
        <f>IF(DAY(A259)=DAY('F-Ahorro Futuro Reservas'!$H$10),'F-Ahorro Futuro Reservas'!$H$9,0)</f>
        <v>0</v>
      </c>
      <c r="C259" s="122">
        <f t="shared" si="7"/>
        <v>0</v>
      </c>
      <c r="D259" s="121">
        <f>ROUND(IF(C259&lt;='FR_Mantenimiento tasas'!$C$55,'Tabla Ahorro Futuro Reservas'!C259*'FR_Mantenimiento tasas'!$D$55/360,IF(C259&lt;='FR_Mantenimiento tasas'!$C$56,'Tabla Ahorro Futuro Reservas'!C259*'FR_Mantenimiento tasas'!$D$56/360,IF(C259&lt;='FR_Mantenimiento tasas'!$C$57,'Tabla Ahorro Futuro Reservas'!C259*'FR_Mantenimiento tasas'!$D$57/360,""))),5)</f>
        <v>0</v>
      </c>
      <c r="E259" s="121">
        <f>ROUND(IF(C259&lt;='FR_Mantenimiento tasas'!$C$55,'Tabla Ahorro Futuro Reservas'!C259*'FR_Mantenimiento tasas'!$E$55/360,IF(C259&lt;='FR_Mantenimiento tasas'!$C$56,'Tabla Ahorro Futuro Reservas'!C259*'FR_Mantenimiento tasas'!$E$56/360,IF(C259&lt;='FR_Mantenimiento tasas'!$C$57,'Tabla Ahorro Futuro Reservas'!C259*'FR_Mantenimiento tasas'!$E$57/360,""))),5)</f>
        <v>0</v>
      </c>
    </row>
    <row r="260" spans="1:5">
      <c r="A260" s="123">
        <f t="shared" ref="A260:A323" si="8">+A259+1</f>
        <v>258</v>
      </c>
      <c r="B260" s="122">
        <f>IF(DAY(A260)=DAY('F-Ahorro Futuro Reservas'!$H$10),'F-Ahorro Futuro Reservas'!$H$9,0)</f>
        <v>0</v>
      </c>
      <c r="C260" s="122">
        <f t="shared" ref="C260:C323" si="9">+B260+C259+D259</f>
        <v>0</v>
      </c>
      <c r="D260" s="121">
        <f>ROUND(IF(C260&lt;='FR_Mantenimiento tasas'!$C$55,'Tabla Ahorro Futuro Reservas'!C260*'FR_Mantenimiento tasas'!$D$55/360,IF(C260&lt;='FR_Mantenimiento tasas'!$C$56,'Tabla Ahorro Futuro Reservas'!C260*'FR_Mantenimiento tasas'!$D$56/360,IF(C260&lt;='FR_Mantenimiento tasas'!$C$57,'Tabla Ahorro Futuro Reservas'!C260*'FR_Mantenimiento tasas'!$D$57/360,""))),5)</f>
        <v>0</v>
      </c>
      <c r="E260" s="121">
        <f>ROUND(IF(C260&lt;='FR_Mantenimiento tasas'!$C$55,'Tabla Ahorro Futuro Reservas'!C260*'FR_Mantenimiento tasas'!$E$55/360,IF(C260&lt;='FR_Mantenimiento tasas'!$C$56,'Tabla Ahorro Futuro Reservas'!C260*'FR_Mantenimiento tasas'!$E$56/360,IF(C260&lt;='FR_Mantenimiento tasas'!$C$57,'Tabla Ahorro Futuro Reservas'!C260*'FR_Mantenimiento tasas'!$E$57/360,""))),5)</f>
        <v>0</v>
      </c>
    </row>
    <row r="261" spans="1:5">
      <c r="A261" s="123">
        <f t="shared" si="8"/>
        <v>259</v>
      </c>
      <c r="B261" s="122">
        <f>IF(DAY(A261)=DAY('F-Ahorro Futuro Reservas'!$H$10),'F-Ahorro Futuro Reservas'!$H$9,0)</f>
        <v>0</v>
      </c>
      <c r="C261" s="122">
        <f t="shared" si="9"/>
        <v>0</v>
      </c>
      <c r="D261" s="121">
        <f>ROUND(IF(C261&lt;='FR_Mantenimiento tasas'!$C$55,'Tabla Ahorro Futuro Reservas'!C261*'FR_Mantenimiento tasas'!$D$55/360,IF(C261&lt;='FR_Mantenimiento tasas'!$C$56,'Tabla Ahorro Futuro Reservas'!C261*'FR_Mantenimiento tasas'!$D$56/360,IF(C261&lt;='FR_Mantenimiento tasas'!$C$57,'Tabla Ahorro Futuro Reservas'!C261*'FR_Mantenimiento tasas'!$D$57/360,""))),5)</f>
        <v>0</v>
      </c>
      <c r="E261" s="121">
        <f>ROUND(IF(C261&lt;='FR_Mantenimiento tasas'!$C$55,'Tabla Ahorro Futuro Reservas'!C261*'FR_Mantenimiento tasas'!$E$55/360,IF(C261&lt;='FR_Mantenimiento tasas'!$C$56,'Tabla Ahorro Futuro Reservas'!C261*'FR_Mantenimiento tasas'!$E$56/360,IF(C261&lt;='FR_Mantenimiento tasas'!$C$57,'Tabla Ahorro Futuro Reservas'!C261*'FR_Mantenimiento tasas'!$E$57/360,""))),5)</f>
        <v>0</v>
      </c>
    </row>
    <row r="262" spans="1:5">
      <c r="A262" s="123">
        <f t="shared" si="8"/>
        <v>260</v>
      </c>
      <c r="B262" s="122">
        <f>IF(DAY(A262)=DAY('F-Ahorro Futuro Reservas'!$H$10),'F-Ahorro Futuro Reservas'!$H$9,0)</f>
        <v>0</v>
      </c>
      <c r="C262" s="122">
        <f t="shared" si="9"/>
        <v>0</v>
      </c>
      <c r="D262" s="121">
        <f>ROUND(IF(C262&lt;='FR_Mantenimiento tasas'!$C$55,'Tabla Ahorro Futuro Reservas'!C262*'FR_Mantenimiento tasas'!$D$55/360,IF(C262&lt;='FR_Mantenimiento tasas'!$C$56,'Tabla Ahorro Futuro Reservas'!C262*'FR_Mantenimiento tasas'!$D$56/360,IF(C262&lt;='FR_Mantenimiento tasas'!$C$57,'Tabla Ahorro Futuro Reservas'!C262*'FR_Mantenimiento tasas'!$D$57/360,""))),5)</f>
        <v>0</v>
      </c>
      <c r="E262" s="121">
        <f>ROUND(IF(C262&lt;='FR_Mantenimiento tasas'!$C$55,'Tabla Ahorro Futuro Reservas'!C262*'FR_Mantenimiento tasas'!$E$55/360,IF(C262&lt;='FR_Mantenimiento tasas'!$C$56,'Tabla Ahorro Futuro Reservas'!C262*'FR_Mantenimiento tasas'!$E$56/360,IF(C262&lt;='FR_Mantenimiento tasas'!$C$57,'Tabla Ahorro Futuro Reservas'!C262*'FR_Mantenimiento tasas'!$E$57/360,""))),5)</f>
        <v>0</v>
      </c>
    </row>
    <row r="263" spans="1:5">
      <c r="A263" s="123">
        <f t="shared" si="8"/>
        <v>261</v>
      </c>
      <c r="B263" s="122">
        <f>IF(DAY(A263)=DAY('F-Ahorro Futuro Reservas'!$H$10),'F-Ahorro Futuro Reservas'!$H$9,0)</f>
        <v>0</v>
      </c>
      <c r="C263" s="122">
        <f t="shared" si="9"/>
        <v>0</v>
      </c>
      <c r="D263" s="121">
        <f>ROUND(IF(C263&lt;='FR_Mantenimiento tasas'!$C$55,'Tabla Ahorro Futuro Reservas'!C263*'FR_Mantenimiento tasas'!$D$55/360,IF(C263&lt;='FR_Mantenimiento tasas'!$C$56,'Tabla Ahorro Futuro Reservas'!C263*'FR_Mantenimiento tasas'!$D$56/360,IF(C263&lt;='FR_Mantenimiento tasas'!$C$57,'Tabla Ahorro Futuro Reservas'!C263*'FR_Mantenimiento tasas'!$D$57/360,""))),5)</f>
        <v>0</v>
      </c>
      <c r="E263" s="121">
        <f>ROUND(IF(C263&lt;='FR_Mantenimiento tasas'!$C$55,'Tabla Ahorro Futuro Reservas'!C263*'FR_Mantenimiento tasas'!$E$55/360,IF(C263&lt;='FR_Mantenimiento tasas'!$C$56,'Tabla Ahorro Futuro Reservas'!C263*'FR_Mantenimiento tasas'!$E$56/360,IF(C263&lt;='FR_Mantenimiento tasas'!$C$57,'Tabla Ahorro Futuro Reservas'!C263*'FR_Mantenimiento tasas'!$E$57/360,""))),5)</f>
        <v>0</v>
      </c>
    </row>
    <row r="264" spans="1:5">
      <c r="A264" s="123">
        <f t="shared" si="8"/>
        <v>262</v>
      </c>
      <c r="B264" s="122">
        <f>IF(DAY(A264)=DAY('F-Ahorro Futuro Reservas'!$H$10),'F-Ahorro Futuro Reservas'!$H$9,0)</f>
        <v>0</v>
      </c>
      <c r="C264" s="122">
        <f t="shared" si="9"/>
        <v>0</v>
      </c>
      <c r="D264" s="121">
        <f>ROUND(IF(C264&lt;='FR_Mantenimiento tasas'!$C$55,'Tabla Ahorro Futuro Reservas'!C264*'FR_Mantenimiento tasas'!$D$55/360,IF(C264&lt;='FR_Mantenimiento tasas'!$C$56,'Tabla Ahorro Futuro Reservas'!C264*'FR_Mantenimiento tasas'!$D$56/360,IF(C264&lt;='FR_Mantenimiento tasas'!$C$57,'Tabla Ahorro Futuro Reservas'!C264*'FR_Mantenimiento tasas'!$D$57/360,""))),5)</f>
        <v>0</v>
      </c>
      <c r="E264" s="121">
        <f>ROUND(IF(C264&lt;='FR_Mantenimiento tasas'!$C$55,'Tabla Ahorro Futuro Reservas'!C264*'FR_Mantenimiento tasas'!$E$55/360,IF(C264&lt;='FR_Mantenimiento tasas'!$C$56,'Tabla Ahorro Futuro Reservas'!C264*'FR_Mantenimiento tasas'!$E$56/360,IF(C264&lt;='FR_Mantenimiento tasas'!$C$57,'Tabla Ahorro Futuro Reservas'!C264*'FR_Mantenimiento tasas'!$E$57/360,""))),5)</f>
        <v>0</v>
      </c>
    </row>
    <row r="265" spans="1:5">
      <c r="A265" s="123">
        <f t="shared" si="8"/>
        <v>263</v>
      </c>
      <c r="B265" s="122">
        <f>IF(DAY(A265)=DAY('F-Ahorro Futuro Reservas'!$H$10),'F-Ahorro Futuro Reservas'!$H$9,0)</f>
        <v>0</v>
      </c>
      <c r="C265" s="122">
        <f t="shared" si="9"/>
        <v>0</v>
      </c>
      <c r="D265" s="121">
        <f>ROUND(IF(C265&lt;='FR_Mantenimiento tasas'!$C$55,'Tabla Ahorro Futuro Reservas'!C265*'FR_Mantenimiento tasas'!$D$55/360,IF(C265&lt;='FR_Mantenimiento tasas'!$C$56,'Tabla Ahorro Futuro Reservas'!C265*'FR_Mantenimiento tasas'!$D$56/360,IF(C265&lt;='FR_Mantenimiento tasas'!$C$57,'Tabla Ahorro Futuro Reservas'!C265*'FR_Mantenimiento tasas'!$D$57/360,""))),5)</f>
        <v>0</v>
      </c>
      <c r="E265" s="121">
        <f>ROUND(IF(C265&lt;='FR_Mantenimiento tasas'!$C$55,'Tabla Ahorro Futuro Reservas'!C265*'FR_Mantenimiento tasas'!$E$55/360,IF(C265&lt;='FR_Mantenimiento tasas'!$C$56,'Tabla Ahorro Futuro Reservas'!C265*'FR_Mantenimiento tasas'!$E$56/360,IF(C265&lt;='FR_Mantenimiento tasas'!$C$57,'Tabla Ahorro Futuro Reservas'!C265*'FR_Mantenimiento tasas'!$E$57/360,""))),5)</f>
        <v>0</v>
      </c>
    </row>
    <row r="266" spans="1:5">
      <c r="A266" s="123">
        <f t="shared" si="8"/>
        <v>264</v>
      </c>
      <c r="B266" s="122">
        <f>IF(DAY(A266)=DAY('F-Ahorro Futuro Reservas'!$H$10),'F-Ahorro Futuro Reservas'!$H$9,0)</f>
        <v>0</v>
      </c>
      <c r="C266" s="122">
        <f t="shared" si="9"/>
        <v>0</v>
      </c>
      <c r="D266" s="121">
        <f>ROUND(IF(C266&lt;='FR_Mantenimiento tasas'!$C$55,'Tabla Ahorro Futuro Reservas'!C266*'FR_Mantenimiento tasas'!$D$55/360,IF(C266&lt;='FR_Mantenimiento tasas'!$C$56,'Tabla Ahorro Futuro Reservas'!C266*'FR_Mantenimiento tasas'!$D$56/360,IF(C266&lt;='FR_Mantenimiento tasas'!$C$57,'Tabla Ahorro Futuro Reservas'!C266*'FR_Mantenimiento tasas'!$D$57/360,""))),5)</f>
        <v>0</v>
      </c>
      <c r="E266" s="121">
        <f>ROUND(IF(C266&lt;='FR_Mantenimiento tasas'!$C$55,'Tabla Ahorro Futuro Reservas'!C266*'FR_Mantenimiento tasas'!$E$55/360,IF(C266&lt;='FR_Mantenimiento tasas'!$C$56,'Tabla Ahorro Futuro Reservas'!C266*'FR_Mantenimiento tasas'!$E$56/360,IF(C266&lt;='FR_Mantenimiento tasas'!$C$57,'Tabla Ahorro Futuro Reservas'!C266*'FR_Mantenimiento tasas'!$E$57/360,""))),5)</f>
        <v>0</v>
      </c>
    </row>
    <row r="267" spans="1:5">
      <c r="A267" s="123">
        <f t="shared" si="8"/>
        <v>265</v>
      </c>
      <c r="B267" s="122">
        <f>IF(DAY(A267)=DAY('F-Ahorro Futuro Reservas'!$H$10),'F-Ahorro Futuro Reservas'!$H$9,0)</f>
        <v>0</v>
      </c>
      <c r="C267" s="122">
        <f t="shared" si="9"/>
        <v>0</v>
      </c>
      <c r="D267" s="121">
        <f>ROUND(IF(C267&lt;='FR_Mantenimiento tasas'!$C$55,'Tabla Ahorro Futuro Reservas'!C267*'FR_Mantenimiento tasas'!$D$55/360,IF(C267&lt;='FR_Mantenimiento tasas'!$C$56,'Tabla Ahorro Futuro Reservas'!C267*'FR_Mantenimiento tasas'!$D$56/360,IF(C267&lt;='FR_Mantenimiento tasas'!$C$57,'Tabla Ahorro Futuro Reservas'!C267*'FR_Mantenimiento tasas'!$D$57/360,""))),5)</f>
        <v>0</v>
      </c>
      <c r="E267" s="121">
        <f>ROUND(IF(C267&lt;='FR_Mantenimiento tasas'!$C$55,'Tabla Ahorro Futuro Reservas'!C267*'FR_Mantenimiento tasas'!$E$55/360,IF(C267&lt;='FR_Mantenimiento tasas'!$C$56,'Tabla Ahorro Futuro Reservas'!C267*'FR_Mantenimiento tasas'!$E$56/360,IF(C267&lt;='FR_Mantenimiento tasas'!$C$57,'Tabla Ahorro Futuro Reservas'!C267*'FR_Mantenimiento tasas'!$E$57/360,""))),5)</f>
        <v>0</v>
      </c>
    </row>
    <row r="268" spans="1:5">
      <c r="A268" s="123">
        <f t="shared" si="8"/>
        <v>266</v>
      </c>
      <c r="B268" s="122">
        <f>IF(DAY(A268)=DAY('F-Ahorro Futuro Reservas'!$H$10),'F-Ahorro Futuro Reservas'!$H$9,0)</f>
        <v>0</v>
      </c>
      <c r="C268" s="122">
        <f t="shared" si="9"/>
        <v>0</v>
      </c>
      <c r="D268" s="121">
        <f>ROUND(IF(C268&lt;='FR_Mantenimiento tasas'!$C$55,'Tabla Ahorro Futuro Reservas'!C268*'FR_Mantenimiento tasas'!$D$55/360,IF(C268&lt;='FR_Mantenimiento tasas'!$C$56,'Tabla Ahorro Futuro Reservas'!C268*'FR_Mantenimiento tasas'!$D$56/360,IF(C268&lt;='FR_Mantenimiento tasas'!$C$57,'Tabla Ahorro Futuro Reservas'!C268*'FR_Mantenimiento tasas'!$D$57/360,""))),5)</f>
        <v>0</v>
      </c>
      <c r="E268" s="121">
        <f>ROUND(IF(C268&lt;='FR_Mantenimiento tasas'!$C$55,'Tabla Ahorro Futuro Reservas'!C268*'FR_Mantenimiento tasas'!$E$55/360,IF(C268&lt;='FR_Mantenimiento tasas'!$C$56,'Tabla Ahorro Futuro Reservas'!C268*'FR_Mantenimiento tasas'!$E$56/360,IF(C268&lt;='FR_Mantenimiento tasas'!$C$57,'Tabla Ahorro Futuro Reservas'!C268*'FR_Mantenimiento tasas'!$E$57/360,""))),5)</f>
        <v>0</v>
      </c>
    </row>
    <row r="269" spans="1:5">
      <c r="A269" s="123">
        <f t="shared" si="8"/>
        <v>267</v>
      </c>
      <c r="B269" s="122">
        <f>IF(DAY(A269)=DAY('F-Ahorro Futuro Reservas'!$H$10),'F-Ahorro Futuro Reservas'!$H$9,0)</f>
        <v>0</v>
      </c>
      <c r="C269" s="122">
        <f t="shared" si="9"/>
        <v>0</v>
      </c>
      <c r="D269" s="121">
        <f>ROUND(IF(C269&lt;='FR_Mantenimiento tasas'!$C$55,'Tabla Ahorro Futuro Reservas'!C269*'FR_Mantenimiento tasas'!$D$55/360,IF(C269&lt;='FR_Mantenimiento tasas'!$C$56,'Tabla Ahorro Futuro Reservas'!C269*'FR_Mantenimiento tasas'!$D$56/360,IF(C269&lt;='FR_Mantenimiento tasas'!$C$57,'Tabla Ahorro Futuro Reservas'!C269*'FR_Mantenimiento tasas'!$D$57/360,""))),5)</f>
        <v>0</v>
      </c>
      <c r="E269" s="121">
        <f>ROUND(IF(C269&lt;='FR_Mantenimiento tasas'!$C$55,'Tabla Ahorro Futuro Reservas'!C269*'FR_Mantenimiento tasas'!$E$55/360,IF(C269&lt;='FR_Mantenimiento tasas'!$C$56,'Tabla Ahorro Futuro Reservas'!C269*'FR_Mantenimiento tasas'!$E$56/360,IF(C269&lt;='FR_Mantenimiento tasas'!$C$57,'Tabla Ahorro Futuro Reservas'!C269*'FR_Mantenimiento tasas'!$E$57/360,""))),5)</f>
        <v>0</v>
      </c>
    </row>
    <row r="270" spans="1:5">
      <c r="A270" s="123">
        <f t="shared" si="8"/>
        <v>268</v>
      </c>
      <c r="B270" s="122">
        <f>IF(DAY(A270)=DAY('F-Ahorro Futuro Reservas'!$H$10),'F-Ahorro Futuro Reservas'!$H$9,0)</f>
        <v>0</v>
      </c>
      <c r="C270" s="122">
        <f t="shared" si="9"/>
        <v>0</v>
      </c>
      <c r="D270" s="121">
        <f>ROUND(IF(C270&lt;='FR_Mantenimiento tasas'!$C$55,'Tabla Ahorro Futuro Reservas'!C270*'FR_Mantenimiento tasas'!$D$55/360,IF(C270&lt;='FR_Mantenimiento tasas'!$C$56,'Tabla Ahorro Futuro Reservas'!C270*'FR_Mantenimiento tasas'!$D$56/360,IF(C270&lt;='FR_Mantenimiento tasas'!$C$57,'Tabla Ahorro Futuro Reservas'!C270*'FR_Mantenimiento tasas'!$D$57/360,""))),5)</f>
        <v>0</v>
      </c>
      <c r="E270" s="121">
        <f>ROUND(IF(C270&lt;='FR_Mantenimiento tasas'!$C$55,'Tabla Ahorro Futuro Reservas'!C270*'FR_Mantenimiento tasas'!$E$55/360,IF(C270&lt;='FR_Mantenimiento tasas'!$C$56,'Tabla Ahorro Futuro Reservas'!C270*'FR_Mantenimiento tasas'!$E$56/360,IF(C270&lt;='FR_Mantenimiento tasas'!$C$57,'Tabla Ahorro Futuro Reservas'!C270*'FR_Mantenimiento tasas'!$E$57/360,""))),5)</f>
        <v>0</v>
      </c>
    </row>
    <row r="271" spans="1:5">
      <c r="A271" s="123">
        <f t="shared" si="8"/>
        <v>269</v>
      </c>
      <c r="B271" s="122">
        <f>IF(DAY(A271)=DAY('F-Ahorro Futuro Reservas'!$H$10),'F-Ahorro Futuro Reservas'!$H$9,0)</f>
        <v>0</v>
      </c>
      <c r="C271" s="122">
        <f t="shared" si="9"/>
        <v>0</v>
      </c>
      <c r="D271" s="121">
        <f>ROUND(IF(C271&lt;='FR_Mantenimiento tasas'!$C$55,'Tabla Ahorro Futuro Reservas'!C271*'FR_Mantenimiento tasas'!$D$55/360,IF(C271&lt;='FR_Mantenimiento tasas'!$C$56,'Tabla Ahorro Futuro Reservas'!C271*'FR_Mantenimiento tasas'!$D$56/360,IF(C271&lt;='FR_Mantenimiento tasas'!$C$57,'Tabla Ahorro Futuro Reservas'!C271*'FR_Mantenimiento tasas'!$D$57/360,""))),5)</f>
        <v>0</v>
      </c>
      <c r="E271" s="121">
        <f>ROUND(IF(C271&lt;='FR_Mantenimiento tasas'!$C$55,'Tabla Ahorro Futuro Reservas'!C271*'FR_Mantenimiento tasas'!$E$55/360,IF(C271&lt;='FR_Mantenimiento tasas'!$C$56,'Tabla Ahorro Futuro Reservas'!C271*'FR_Mantenimiento tasas'!$E$56/360,IF(C271&lt;='FR_Mantenimiento tasas'!$C$57,'Tabla Ahorro Futuro Reservas'!C271*'FR_Mantenimiento tasas'!$E$57/360,""))),5)</f>
        <v>0</v>
      </c>
    </row>
    <row r="272" spans="1:5">
      <c r="A272" s="123">
        <f t="shared" si="8"/>
        <v>270</v>
      </c>
      <c r="B272" s="122">
        <f>IF(DAY(A272)=DAY('F-Ahorro Futuro Reservas'!$H$10),'F-Ahorro Futuro Reservas'!$H$9,0)</f>
        <v>0</v>
      </c>
      <c r="C272" s="122">
        <f t="shared" si="9"/>
        <v>0</v>
      </c>
      <c r="D272" s="121">
        <f>ROUND(IF(C272&lt;='FR_Mantenimiento tasas'!$C$55,'Tabla Ahorro Futuro Reservas'!C272*'FR_Mantenimiento tasas'!$D$55/360,IF(C272&lt;='FR_Mantenimiento tasas'!$C$56,'Tabla Ahorro Futuro Reservas'!C272*'FR_Mantenimiento tasas'!$D$56/360,IF(C272&lt;='FR_Mantenimiento tasas'!$C$57,'Tabla Ahorro Futuro Reservas'!C272*'FR_Mantenimiento tasas'!$D$57/360,""))),5)</f>
        <v>0</v>
      </c>
      <c r="E272" s="121">
        <f>ROUND(IF(C272&lt;='FR_Mantenimiento tasas'!$C$55,'Tabla Ahorro Futuro Reservas'!C272*'FR_Mantenimiento tasas'!$E$55/360,IF(C272&lt;='FR_Mantenimiento tasas'!$C$56,'Tabla Ahorro Futuro Reservas'!C272*'FR_Mantenimiento tasas'!$E$56/360,IF(C272&lt;='FR_Mantenimiento tasas'!$C$57,'Tabla Ahorro Futuro Reservas'!C272*'FR_Mantenimiento tasas'!$E$57/360,""))),5)</f>
        <v>0</v>
      </c>
    </row>
    <row r="273" spans="1:5">
      <c r="A273" s="123">
        <f t="shared" si="8"/>
        <v>271</v>
      </c>
      <c r="B273" s="122">
        <f>IF(DAY(A273)=DAY('F-Ahorro Futuro Reservas'!$H$10),'F-Ahorro Futuro Reservas'!$H$9,0)</f>
        <v>0</v>
      </c>
      <c r="C273" s="122">
        <f t="shared" si="9"/>
        <v>0</v>
      </c>
      <c r="D273" s="121">
        <f>ROUND(IF(C273&lt;='FR_Mantenimiento tasas'!$C$55,'Tabla Ahorro Futuro Reservas'!C273*'FR_Mantenimiento tasas'!$D$55/360,IF(C273&lt;='FR_Mantenimiento tasas'!$C$56,'Tabla Ahorro Futuro Reservas'!C273*'FR_Mantenimiento tasas'!$D$56/360,IF(C273&lt;='FR_Mantenimiento tasas'!$C$57,'Tabla Ahorro Futuro Reservas'!C273*'FR_Mantenimiento tasas'!$D$57/360,""))),5)</f>
        <v>0</v>
      </c>
      <c r="E273" s="121">
        <f>ROUND(IF(C273&lt;='FR_Mantenimiento tasas'!$C$55,'Tabla Ahorro Futuro Reservas'!C273*'FR_Mantenimiento tasas'!$E$55/360,IF(C273&lt;='FR_Mantenimiento tasas'!$C$56,'Tabla Ahorro Futuro Reservas'!C273*'FR_Mantenimiento tasas'!$E$56/360,IF(C273&lt;='FR_Mantenimiento tasas'!$C$57,'Tabla Ahorro Futuro Reservas'!C273*'FR_Mantenimiento tasas'!$E$57/360,""))),5)</f>
        <v>0</v>
      </c>
    </row>
    <row r="274" spans="1:5">
      <c r="A274" s="123">
        <f t="shared" si="8"/>
        <v>272</v>
      </c>
      <c r="B274" s="122">
        <f>IF(DAY(A274)=DAY('F-Ahorro Futuro Reservas'!$H$10),'F-Ahorro Futuro Reservas'!$H$9,0)</f>
        <v>0</v>
      </c>
      <c r="C274" s="122">
        <f t="shared" si="9"/>
        <v>0</v>
      </c>
      <c r="D274" s="121">
        <f>ROUND(IF(C274&lt;='FR_Mantenimiento tasas'!$C$55,'Tabla Ahorro Futuro Reservas'!C274*'FR_Mantenimiento tasas'!$D$55/360,IF(C274&lt;='FR_Mantenimiento tasas'!$C$56,'Tabla Ahorro Futuro Reservas'!C274*'FR_Mantenimiento tasas'!$D$56/360,IF(C274&lt;='FR_Mantenimiento tasas'!$C$57,'Tabla Ahorro Futuro Reservas'!C274*'FR_Mantenimiento tasas'!$D$57/360,""))),5)</f>
        <v>0</v>
      </c>
      <c r="E274" s="121">
        <f>ROUND(IF(C274&lt;='FR_Mantenimiento tasas'!$C$55,'Tabla Ahorro Futuro Reservas'!C274*'FR_Mantenimiento tasas'!$E$55/360,IF(C274&lt;='FR_Mantenimiento tasas'!$C$56,'Tabla Ahorro Futuro Reservas'!C274*'FR_Mantenimiento tasas'!$E$56/360,IF(C274&lt;='FR_Mantenimiento tasas'!$C$57,'Tabla Ahorro Futuro Reservas'!C274*'FR_Mantenimiento tasas'!$E$57/360,""))),5)</f>
        <v>0</v>
      </c>
    </row>
    <row r="275" spans="1:5">
      <c r="A275" s="123">
        <f t="shared" si="8"/>
        <v>273</v>
      </c>
      <c r="B275" s="122">
        <f>IF(DAY(A275)=DAY('F-Ahorro Futuro Reservas'!$H$10),'F-Ahorro Futuro Reservas'!$H$9,0)</f>
        <v>0</v>
      </c>
      <c r="C275" s="122">
        <f t="shared" si="9"/>
        <v>0</v>
      </c>
      <c r="D275" s="121">
        <f>ROUND(IF(C275&lt;='FR_Mantenimiento tasas'!$C$55,'Tabla Ahorro Futuro Reservas'!C275*'FR_Mantenimiento tasas'!$D$55/360,IF(C275&lt;='FR_Mantenimiento tasas'!$C$56,'Tabla Ahorro Futuro Reservas'!C275*'FR_Mantenimiento tasas'!$D$56/360,IF(C275&lt;='FR_Mantenimiento tasas'!$C$57,'Tabla Ahorro Futuro Reservas'!C275*'FR_Mantenimiento tasas'!$D$57/360,""))),5)</f>
        <v>0</v>
      </c>
      <c r="E275" s="121">
        <f>ROUND(IF(C275&lt;='FR_Mantenimiento tasas'!$C$55,'Tabla Ahorro Futuro Reservas'!C275*'FR_Mantenimiento tasas'!$E$55/360,IF(C275&lt;='FR_Mantenimiento tasas'!$C$56,'Tabla Ahorro Futuro Reservas'!C275*'FR_Mantenimiento tasas'!$E$56/360,IF(C275&lt;='FR_Mantenimiento tasas'!$C$57,'Tabla Ahorro Futuro Reservas'!C275*'FR_Mantenimiento tasas'!$E$57/360,""))),5)</f>
        <v>0</v>
      </c>
    </row>
    <row r="276" spans="1:5">
      <c r="A276" s="123">
        <f t="shared" si="8"/>
        <v>274</v>
      </c>
      <c r="B276" s="122">
        <f>IF(DAY(A276)=DAY('F-Ahorro Futuro Reservas'!$H$10),'F-Ahorro Futuro Reservas'!$H$9,0)</f>
        <v>0</v>
      </c>
      <c r="C276" s="122">
        <f t="shared" si="9"/>
        <v>0</v>
      </c>
      <c r="D276" s="121">
        <f>ROUND(IF(C276&lt;='FR_Mantenimiento tasas'!$C$55,'Tabla Ahorro Futuro Reservas'!C276*'FR_Mantenimiento tasas'!$D$55/360,IF(C276&lt;='FR_Mantenimiento tasas'!$C$56,'Tabla Ahorro Futuro Reservas'!C276*'FR_Mantenimiento tasas'!$D$56/360,IF(C276&lt;='FR_Mantenimiento tasas'!$C$57,'Tabla Ahorro Futuro Reservas'!C276*'FR_Mantenimiento tasas'!$D$57/360,""))),5)</f>
        <v>0</v>
      </c>
      <c r="E276" s="121">
        <f>ROUND(IF(C276&lt;='FR_Mantenimiento tasas'!$C$55,'Tabla Ahorro Futuro Reservas'!C276*'FR_Mantenimiento tasas'!$E$55/360,IF(C276&lt;='FR_Mantenimiento tasas'!$C$56,'Tabla Ahorro Futuro Reservas'!C276*'FR_Mantenimiento tasas'!$E$56/360,IF(C276&lt;='FR_Mantenimiento tasas'!$C$57,'Tabla Ahorro Futuro Reservas'!C276*'FR_Mantenimiento tasas'!$E$57/360,""))),5)</f>
        <v>0</v>
      </c>
    </row>
    <row r="277" spans="1:5">
      <c r="A277" s="123">
        <f t="shared" si="8"/>
        <v>275</v>
      </c>
      <c r="B277" s="122">
        <f>IF(DAY(A277)=DAY('F-Ahorro Futuro Reservas'!$H$10),'F-Ahorro Futuro Reservas'!$H$9,0)</f>
        <v>0</v>
      </c>
      <c r="C277" s="122">
        <f t="shared" si="9"/>
        <v>0</v>
      </c>
      <c r="D277" s="121">
        <f>ROUND(IF(C277&lt;='FR_Mantenimiento tasas'!$C$55,'Tabla Ahorro Futuro Reservas'!C277*'FR_Mantenimiento tasas'!$D$55/360,IF(C277&lt;='FR_Mantenimiento tasas'!$C$56,'Tabla Ahorro Futuro Reservas'!C277*'FR_Mantenimiento tasas'!$D$56/360,IF(C277&lt;='FR_Mantenimiento tasas'!$C$57,'Tabla Ahorro Futuro Reservas'!C277*'FR_Mantenimiento tasas'!$D$57/360,""))),5)</f>
        <v>0</v>
      </c>
      <c r="E277" s="121">
        <f>ROUND(IF(C277&lt;='FR_Mantenimiento tasas'!$C$55,'Tabla Ahorro Futuro Reservas'!C277*'FR_Mantenimiento tasas'!$E$55/360,IF(C277&lt;='FR_Mantenimiento tasas'!$C$56,'Tabla Ahorro Futuro Reservas'!C277*'FR_Mantenimiento tasas'!$E$56/360,IF(C277&lt;='FR_Mantenimiento tasas'!$C$57,'Tabla Ahorro Futuro Reservas'!C277*'FR_Mantenimiento tasas'!$E$57/360,""))),5)</f>
        <v>0</v>
      </c>
    </row>
    <row r="278" spans="1:5">
      <c r="A278" s="123">
        <f t="shared" si="8"/>
        <v>276</v>
      </c>
      <c r="B278" s="122">
        <f>IF(DAY(A278)=DAY('F-Ahorro Futuro Reservas'!$H$10),'F-Ahorro Futuro Reservas'!$H$9,0)</f>
        <v>0</v>
      </c>
      <c r="C278" s="122">
        <f t="shared" si="9"/>
        <v>0</v>
      </c>
      <c r="D278" s="121">
        <f>ROUND(IF(C278&lt;='FR_Mantenimiento tasas'!$C$55,'Tabla Ahorro Futuro Reservas'!C278*'FR_Mantenimiento tasas'!$D$55/360,IF(C278&lt;='FR_Mantenimiento tasas'!$C$56,'Tabla Ahorro Futuro Reservas'!C278*'FR_Mantenimiento tasas'!$D$56/360,IF(C278&lt;='FR_Mantenimiento tasas'!$C$57,'Tabla Ahorro Futuro Reservas'!C278*'FR_Mantenimiento tasas'!$D$57/360,""))),5)</f>
        <v>0</v>
      </c>
      <c r="E278" s="121">
        <f>ROUND(IF(C278&lt;='FR_Mantenimiento tasas'!$C$55,'Tabla Ahorro Futuro Reservas'!C278*'FR_Mantenimiento tasas'!$E$55/360,IF(C278&lt;='FR_Mantenimiento tasas'!$C$56,'Tabla Ahorro Futuro Reservas'!C278*'FR_Mantenimiento tasas'!$E$56/360,IF(C278&lt;='FR_Mantenimiento tasas'!$C$57,'Tabla Ahorro Futuro Reservas'!C278*'FR_Mantenimiento tasas'!$E$57/360,""))),5)</f>
        <v>0</v>
      </c>
    </row>
    <row r="279" spans="1:5">
      <c r="A279" s="123">
        <f t="shared" si="8"/>
        <v>277</v>
      </c>
      <c r="B279" s="122">
        <f>IF(DAY(A279)=DAY('F-Ahorro Futuro Reservas'!$H$10),'F-Ahorro Futuro Reservas'!$H$9,0)</f>
        <v>0</v>
      </c>
      <c r="C279" s="122">
        <f t="shared" si="9"/>
        <v>0</v>
      </c>
      <c r="D279" s="121">
        <f>ROUND(IF(C279&lt;='FR_Mantenimiento tasas'!$C$55,'Tabla Ahorro Futuro Reservas'!C279*'FR_Mantenimiento tasas'!$D$55/360,IF(C279&lt;='FR_Mantenimiento tasas'!$C$56,'Tabla Ahorro Futuro Reservas'!C279*'FR_Mantenimiento tasas'!$D$56/360,IF(C279&lt;='FR_Mantenimiento tasas'!$C$57,'Tabla Ahorro Futuro Reservas'!C279*'FR_Mantenimiento tasas'!$D$57/360,""))),5)</f>
        <v>0</v>
      </c>
      <c r="E279" s="121">
        <f>ROUND(IF(C279&lt;='FR_Mantenimiento tasas'!$C$55,'Tabla Ahorro Futuro Reservas'!C279*'FR_Mantenimiento tasas'!$E$55/360,IF(C279&lt;='FR_Mantenimiento tasas'!$C$56,'Tabla Ahorro Futuro Reservas'!C279*'FR_Mantenimiento tasas'!$E$56/360,IF(C279&lt;='FR_Mantenimiento tasas'!$C$57,'Tabla Ahorro Futuro Reservas'!C279*'FR_Mantenimiento tasas'!$E$57/360,""))),5)</f>
        <v>0</v>
      </c>
    </row>
    <row r="280" spans="1:5">
      <c r="A280" s="123">
        <f t="shared" si="8"/>
        <v>278</v>
      </c>
      <c r="B280" s="122">
        <f>IF(DAY(A280)=DAY('F-Ahorro Futuro Reservas'!$H$10),'F-Ahorro Futuro Reservas'!$H$9,0)</f>
        <v>0</v>
      </c>
      <c r="C280" s="122">
        <f t="shared" si="9"/>
        <v>0</v>
      </c>
      <c r="D280" s="121">
        <f>ROUND(IF(C280&lt;='FR_Mantenimiento tasas'!$C$55,'Tabla Ahorro Futuro Reservas'!C280*'FR_Mantenimiento tasas'!$D$55/360,IF(C280&lt;='FR_Mantenimiento tasas'!$C$56,'Tabla Ahorro Futuro Reservas'!C280*'FR_Mantenimiento tasas'!$D$56/360,IF(C280&lt;='FR_Mantenimiento tasas'!$C$57,'Tabla Ahorro Futuro Reservas'!C280*'FR_Mantenimiento tasas'!$D$57/360,""))),5)</f>
        <v>0</v>
      </c>
      <c r="E280" s="121">
        <f>ROUND(IF(C280&lt;='FR_Mantenimiento tasas'!$C$55,'Tabla Ahorro Futuro Reservas'!C280*'FR_Mantenimiento tasas'!$E$55/360,IF(C280&lt;='FR_Mantenimiento tasas'!$C$56,'Tabla Ahorro Futuro Reservas'!C280*'FR_Mantenimiento tasas'!$E$56/360,IF(C280&lt;='FR_Mantenimiento tasas'!$C$57,'Tabla Ahorro Futuro Reservas'!C280*'FR_Mantenimiento tasas'!$E$57/360,""))),5)</f>
        <v>0</v>
      </c>
    </row>
    <row r="281" spans="1:5">
      <c r="A281" s="123">
        <f t="shared" si="8"/>
        <v>279</v>
      </c>
      <c r="B281" s="122">
        <f>IF(DAY(A281)=DAY('F-Ahorro Futuro Reservas'!$H$10),'F-Ahorro Futuro Reservas'!$H$9,0)</f>
        <v>0</v>
      </c>
      <c r="C281" s="122">
        <f t="shared" si="9"/>
        <v>0</v>
      </c>
      <c r="D281" s="121">
        <f>ROUND(IF(C281&lt;='FR_Mantenimiento tasas'!$C$55,'Tabla Ahorro Futuro Reservas'!C281*'FR_Mantenimiento tasas'!$D$55/360,IF(C281&lt;='FR_Mantenimiento tasas'!$C$56,'Tabla Ahorro Futuro Reservas'!C281*'FR_Mantenimiento tasas'!$D$56/360,IF(C281&lt;='FR_Mantenimiento tasas'!$C$57,'Tabla Ahorro Futuro Reservas'!C281*'FR_Mantenimiento tasas'!$D$57/360,""))),5)</f>
        <v>0</v>
      </c>
      <c r="E281" s="121">
        <f>ROUND(IF(C281&lt;='FR_Mantenimiento tasas'!$C$55,'Tabla Ahorro Futuro Reservas'!C281*'FR_Mantenimiento tasas'!$E$55/360,IF(C281&lt;='FR_Mantenimiento tasas'!$C$56,'Tabla Ahorro Futuro Reservas'!C281*'FR_Mantenimiento tasas'!$E$56/360,IF(C281&lt;='FR_Mantenimiento tasas'!$C$57,'Tabla Ahorro Futuro Reservas'!C281*'FR_Mantenimiento tasas'!$E$57/360,""))),5)</f>
        <v>0</v>
      </c>
    </row>
    <row r="282" spans="1:5">
      <c r="A282" s="123">
        <f t="shared" si="8"/>
        <v>280</v>
      </c>
      <c r="B282" s="122">
        <f>IF(DAY(A282)=DAY('F-Ahorro Futuro Reservas'!$H$10),'F-Ahorro Futuro Reservas'!$H$9,0)</f>
        <v>0</v>
      </c>
      <c r="C282" s="122">
        <f t="shared" si="9"/>
        <v>0</v>
      </c>
      <c r="D282" s="121">
        <f>ROUND(IF(C282&lt;='FR_Mantenimiento tasas'!$C$55,'Tabla Ahorro Futuro Reservas'!C282*'FR_Mantenimiento tasas'!$D$55/360,IF(C282&lt;='FR_Mantenimiento tasas'!$C$56,'Tabla Ahorro Futuro Reservas'!C282*'FR_Mantenimiento tasas'!$D$56/360,IF(C282&lt;='FR_Mantenimiento tasas'!$C$57,'Tabla Ahorro Futuro Reservas'!C282*'FR_Mantenimiento tasas'!$D$57/360,""))),5)</f>
        <v>0</v>
      </c>
      <c r="E282" s="121">
        <f>ROUND(IF(C282&lt;='FR_Mantenimiento tasas'!$C$55,'Tabla Ahorro Futuro Reservas'!C282*'FR_Mantenimiento tasas'!$E$55/360,IF(C282&lt;='FR_Mantenimiento tasas'!$C$56,'Tabla Ahorro Futuro Reservas'!C282*'FR_Mantenimiento tasas'!$E$56/360,IF(C282&lt;='FR_Mantenimiento tasas'!$C$57,'Tabla Ahorro Futuro Reservas'!C282*'FR_Mantenimiento tasas'!$E$57/360,""))),5)</f>
        <v>0</v>
      </c>
    </row>
    <row r="283" spans="1:5">
      <c r="A283" s="123">
        <f t="shared" si="8"/>
        <v>281</v>
      </c>
      <c r="B283" s="122">
        <f>IF(DAY(A283)=DAY('F-Ahorro Futuro Reservas'!$H$10),'F-Ahorro Futuro Reservas'!$H$9,0)</f>
        <v>0</v>
      </c>
      <c r="C283" s="122">
        <f t="shared" si="9"/>
        <v>0</v>
      </c>
      <c r="D283" s="121">
        <f>ROUND(IF(C283&lt;='FR_Mantenimiento tasas'!$C$55,'Tabla Ahorro Futuro Reservas'!C283*'FR_Mantenimiento tasas'!$D$55/360,IF(C283&lt;='FR_Mantenimiento tasas'!$C$56,'Tabla Ahorro Futuro Reservas'!C283*'FR_Mantenimiento tasas'!$D$56/360,IF(C283&lt;='FR_Mantenimiento tasas'!$C$57,'Tabla Ahorro Futuro Reservas'!C283*'FR_Mantenimiento tasas'!$D$57/360,""))),5)</f>
        <v>0</v>
      </c>
      <c r="E283" s="121">
        <f>ROUND(IF(C283&lt;='FR_Mantenimiento tasas'!$C$55,'Tabla Ahorro Futuro Reservas'!C283*'FR_Mantenimiento tasas'!$E$55/360,IF(C283&lt;='FR_Mantenimiento tasas'!$C$56,'Tabla Ahorro Futuro Reservas'!C283*'FR_Mantenimiento tasas'!$E$56/360,IF(C283&lt;='FR_Mantenimiento tasas'!$C$57,'Tabla Ahorro Futuro Reservas'!C283*'FR_Mantenimiento tasas'!$E$57/360,""))),5)</f>
        <v>0</v>
      </c>
    </row>
    <row r="284" spans="1:5">
      <c r="A284" s="123">
        <f t="shared" si="8"/>
        <v>282</v>
      </c>
      <c r="B284" s="122">
        <f>IF(DAY(A284)=DAY('F-Ahorro Futuro Reservas'!$H$10),'F-Ahorro Futuro Reservas'!$H$9,0)</f>
        <v>0</v>
      </c>
      <c r="C284" s="122">
        <f t="shared" si="9"/>
        <v>0</v>
      </c>
      <c r="D284" s="121">
        <f>ROUND(IF(C284&lt;='FR_Mantenimiento tasas'!$C$55,'Tabla Ahorro Futuro Reservas'!C284*'FR_Mantenimiento tasas'!$D$55/360,IF(C284&lt;='FR_Mantenimiento tasas'!$C$56,'Tabla Ahorro Futuro Reservas'!C284*'FR_Mantenimiento tasas'!$D$56/360,IF(C284&lt;='FR_Mantenimiento tasas'!$C$57,'Tabla Ahorro Futuro Reservas'!C284*'FR_Mantenimiento tasas'!$D$57/360,""))),5)</f>
        <v>0</v>
      </c>
      <c r="E284" s="121">
        <f>ROUND(IF(C284&lt;='FR_Mantenimiento tasas'!$C$55,'Tabla Ahorro Futuro Reservas'!C284*'FR_Mantenimiento tasas'!$E$55/360,IF(C284&lt;='FR_Mantenimiento tasas'!$C$56,'Tabla Ahorro Futuro Reservas'!C284*'FR_Mantenimiento tasas'!$E$56/360,IF(C284&lt;='FR_Mantenimiento tasas'!$C$57,'Tabla Ahorro Futuro Reservas'!C284*'FR_Mantenimiento tasas'!$E$57/360,""))),5)</f>
        <v>0</v>
      </c>
    </row>
    <row r="285" spans="1:5">
      <c r="A285" s="123">
        <f t="shared" si="8"/>
        <v>283</v>
      </c>
      <c r="B285" s="122">
        <f>IF(DAY(A285)=DAY('F-Ahorro Futuro Reservas'!$H$10),'F-Ahorro Futuro Reservas'!$H$9,0)</f>
        <v>0</v>
      </c>
      <c r="C285" s="122">
        <f t="shared" si="9"/>
        <v>0</v>
      </c>
      <c r="D285" s="121">
        <f>ROUND(IF(C285&lt;='FR_Mantenimiento tasas'!$C$55,'Tabla Ahorro Futuro Reservas'!C285*'FR_Mantenimiento tasas'!$D$55/360,IF(C285&lt;='FR_Mantenimiento tasas'!$C$56,'Tabla Ahorro Futuro Reservas'!C285*'FR_Mantenimiento tasas'!$D$56/360,IF(C285&lt;='FR_Mantenimiento tasas'!$C$57,'Tabla Ahorro Futuro Reservas'!C285*'FR_Mantenimiento tasas'!$D$57/360,""))),5)</f>
        <v>0</v>
      </c>
      <c r="E285" s="121">
        <f>ROUND(IF(C285&lt;='FR_Mantenimiento tasas'!$C$55,'Tabla Ahorro Futuro Reservas'!C285*'FR_Mantenimiento tasas'!$E$55/360,IF(C285&lt;='FR_Mantenimiento tasas'!$C$56,'Tabla Ahorro Futuro Reservas'!C285*'FR_Mantenimiento tasas'!$E$56/360,IF(C285&lt;='FR_Mantenimiento tasas'!$C$57,'Tabla Ahorro Futuro Reservas'!C285*'FR_Mantenimiento tasas'!$E$57/360,""))),5)</f>
        <v>0</v>
      </c>
    </row>
    <row r="286" spans="1:5">
      <c r="A286" s="123">
        <f t="shared" si="8"/>
        <v>284</v>
      </c>
      <c r="B286" s="122">
        <f>IF(DAY(A286)=DAY('F-Ahorro Futuro Reservas'!$H$10),'F-Ahorro Futuro Reservas'!$H$9,0)</f>
        <v>0</v>
      </c>
      <c r="C286" s="122">
        <f t="shared" si="9"/>
        <v>0</v>
      </c>
      <c r="D286" s="121">
        <f>ROUND(IF(C286&lt;='FR_Mantenimiento tasas'!$C$55,'Tabla Ahorro Futuro Reservas'!C286*'FR_Mantenimiento tasas'!$D$55/360,IF(C286&lt;='FR_Mantenimiento tasas'!$C$56,'Tabla Ahorro Futuro Reservas'!C286*'FR_Mantenimiento tasas'!$D$56/360,IF(C286&lt;='FR_Mantenimiento tasas'!$C$57,'Tabla Ahorro Futuro Reservas'!C286*'FR_Mantenimiento tasas'!$D$57/360,""))),5)</f>
        <v>0</v>
      </c>
      <c r="E286" s="121">
        <f>ROUND(IF(C286&lt;='FR_Mantenimiento tasas'!$C$55,'Tabla Ahorro Futuro Reservas'!C286*'FR_Mantenimiento tasas'!$E$55/360,IF(C286&lt;='FR_Mantenimiento tasas'!$C$56,'Tabla Ahorro Futuro Reservas'!C286*'FR_Mantenimiento tasas'!$E$56/360,IF(C286&lt;='FR_Mantenimiento tasas'!$C$57,'Tabla Ahorro Futuro Reservas'!C286*'FR_Mantenimiento tasas'!$E$57/360,""))),5)</f>
        <v>0</v>
      </c>
    </row>
    <row r="287" spans="1:5">
      <c r="A287" s="123">
        <f t="shared" si="8"/>
        <v>285</v>
      </c>
      <c r="B287" s="122">
        <f>IF(DAY(A287)=DAY('F-Ahorro Futuro Reservas'!$H$10),'F-Ahorro Futuro Reservas'!$H$9,0)</f>
        <v>0</v>
      </c>
      <c r="C287" s="122">
        <f t="shared" si="9"/>
        <v>0</v>
      </c>
      <c r="D287" s="121">
        <f>ROUND(IF(C287&lt;='FR_Mantenimiento tasas'!$C$55,'Tabla Ahorro Futuro Reservas'!C287*'FR_Mantenimiento tasas'!$D$55/360,IF(C287&lt;='FR_Mantenimiento tasas'!$C$56,'Tabla Ahorro Futuro Reservas'!C287*'FR_Mantenimiento tasas'!$D$56/360,IF(C287&lt;='FR_Mantenimiento tasas'!$C$57,'Tabla Ahorro Futuro Reservas'!C287*'FR_Mantenimiento tasas'!$D$57/360,""))),5)</f>
        <v>0</v>
      </c>
      <c r="E287" s="121">
        <f>ROUND(IF(C287&lt;='FR_Mantenimiento tasas'!$C$55,'Tabla Ahorro Futuro Reservas'!C287*'FR_Mantenimiento tasas'!$E$55/360,IF(C287&lt;='FR_Mantenimiento tasas'!$C$56,'Tabla Ahorro Futuro Reservas'!C287*'FR_Mantenimiento tasas'!$E$56/360,IF(C287&lt;='FR_Mantenimiento tasas'!$C$57,'Tabla Ahorro Futuro Reservas'!C287*'FR_Mantenimiento tasas'!$E$57/360,""))),5)</f>
        <v>0</v>
      </c>
    </row>
    <row r="288" spans="1:5">
      <c r="A288" s="123">
        <f t="shared" si="8"/>
        <v>286</v>
      </c>
      <c r="B288" s="122">
        <f>IF(DAY(A288)=DAY('F-Ahorro Futuro Reservas'!$H$10),'F-Ahorro Futuro Reservas'!$H$9,0)</f>
        <v>0</v>
      </c>
      <c r="C288" s="122">
        <f t="shared" si="9"/>
        <v>0</v>
      </c>
      <c r="D288" s="121">
        <f>ROUND(IF(C288&lt;='FR_Mantenimiento tasas'!$C$55,'Tabla Ahorro Futuro Reservas'!C288*'FR_Mantenimiento tasas'!$D$55/360,IF(C288&lt;='FR_Mantenimiento tasas'!$C$56,'Tabla Ahorro Futuro Reservas'!C288*'FR_Mantenimiento tasas'!$D$56/360,IF(C288&lt;='FR_Mantenimiento tasas'!$C$57,'Tabla Ahorro Futuro Reservas'!C288*'FR_Mantenimiento tasas'!$D$57/360,""))),5)</f>
        <v>0</v>
      </c>
      <c r="E288" s="121">
        <f>ROUND(IF(C288&lt;='FR_Mantenimiento tasas'!$C$55,'Tabla Ahorro Futuro Reservas'!C288*'FR_Mantenimiento tasas'!$E$55/360,IF(C288&lt;='FR_Mantenimiento tasas'!$C$56,'Tabla Ahorro Futuro Reservas'!C288*'FR_Mantenimiento tasas'!$E$56/360,IF(C288&lt;='FR_Mantenimiento tasas'!$C$57,'Tabla Ahorro Futuro Reservas'!C288*'FR_Mantenimiento tasas'!$E$57/360,""))),5)</f>
        <v>0</v>
      </c>
    </row>
    <row r="289" spans="1:5">
      <c r="A289" s="123">
        <f t="shared" si="8"/>
        <v>287</v>
      </c>
      <c r="B289" s="122">
        <f>IF(DAY(A289)=DAY('F-Ahorro Futuro Reservas'!$H$10),'F-Ahorro Futuro Reservas'!$H$9,0)</f>
        <v>0</v>
      </c>
      <c r="C289" s="122">
        <f t="shared" si="9"/>
        <v>0</v>
      </c>
      <c r="D289" s="121">
        <f>ROUND(IF(C289&lt;='FR_Mantenimiento tasas'!$C$55,'Tabla Ahorro Futuro Reservas'!C289*'FR_Mantenimiento tasas'!$D$55/360,IF(C289&lt;='FR_Mantenimiento tasas'!$C$56,'Tabla Ahorro Futuro Reservas'!C289*'FR_Mantenimiento tasas'!$D$56/360,IF(C289&lt;='FR_Mantenimiento tasas'!$C$57,'Tabla Ahorro Futuro Reservas'!C289*'FR_Mantenimiento tasas'!$D$57/360,""))),5)</f>
        <v>0</v>
      </c>
      <c r="E289" s="121">
        <f>ROUND(IF(C289&lt;='FR_Mantenimiento tasas'!$C$55,'Tabla Ahorro Futuro Reservas'!C289*'FR_Mantenimiento tasas'!$E$55/360,IF(C289&lt;='FR_Mantenimiento tasas'!$C$56,'Tabla Ahorro Futuro Reservas'!C289*'FR_Mantenimiento tasas'!$E$56/360,IF(C289&lt;='FR_Mantenimiento tasas'!$C$57,'Tabla Ahorro Futuro Reservas'!C289*'FR_Mantenimiento tasas'!$E$57/360,""))),5)</f>
        <v>0</v>
      </c>
    </row>
    <row r="290" spans="1:5">
      <c r="A290" s="123">
        <f t="shared" si="8"/>
        <v>288</v>
      </c>
      <c r="B290" s="122">
        <f>IF(DAY(A290)=DAY('F-Ahorro Futuro Reservas'!$H$10),'F-Ahorro Futuro Reservas'!$H$9,0)</f>
        <v>0</v>
      </c>
      <c r="C290" s="122">
        <f t="shared" si="9"/>
        <v>0</v>
      </c>
      <c r="D290" s="121">
        <f>ROUND(IF(C290&lt;='FR_Mantenimiento tasas'!$C$55,'Tabla Ahorro Futuro Reservas'!C290*'FR_Mantenimiento tasas'!$D$55/360,IF(C290&lt;='FR_Mantenimiento tasas'!$C$56,'Tabla Ahorro Futuro Reservas'!C290*'FR_Mantenimiento tasas'!$D$56/360,IF(C290&lt;='FR_Mantenimiento tasas'!$C$57,'Tabla Ahorro Futuro Reservas'!C290*'FR_Mantenimiento tasas'!$D$57/360,""))),5)</f>
        <v>0</v>
      </c>
      <c r="E290" s="121">
        <f>ROUND(IF(C290&lt;='FR_Mantenimiento tasas'!$C$55,'Tabla Ahorro Futuro Reservas'!C290*'FR_Mantenimiento tasas'!$E$55/360,IF(C290&lt;='FR_Mantenimiento tasas'!$C$56,'Tabla Ahorro Futuro Reservas'!C290*'FR_Mantenimiento tasas'!$E$56/360,IF(C290&lt;='FR_Mantenimiento tasas'!$C$57,'Tabla Ahorro Futuro Reservas'!C290*'FR_Mantenimiento tasas'!$E$57/360,""))),5)</f>
        <v>0</v>
      </c>
    </row>
    <row r="291" spans="1:5">
      <c r="A291" s="123">
        <f t="shared" si="8"/>
        <v>289</v>
      </c>
      <c r="B291" s="122">
        <f>IF(DAY(A291)=DAY('F-Ahorro Futuro Reservas'!$H$10),'F-Ahorro Futuro Reservas'!$H$9,0)</f>
        <v>0</v>
      </c>
      <c r="C291" s="122">
        <f t="shared" si="9"/>
        <v>0</v>
      </c>
      <c r="D291" s="121">
        <f>ROUND(IF(C291&lt;='FR_Mantenimiento tasas'!$C$55,'Tabla Ahorro Futuro Reservas'!C291*'FR_Mantenimiento tasas'!$D$55/360,IF(C291&lt;='FR_Mantenimiento tasas'!$C$56,'Tabla Ahorro Futuro Reservas'!C291*'FR_Mantenimiento tasas'!$D$56/360,IF(C291&lt;='FR_Mantenimiento tasas'!$C$57,'Tabla Ahorro Futuro Reservas'!C291*'FR_Mantenimiento tasas'!$D$57/360,""))),5)</f>
        <v>0</v>
      </c>
      <c r="E291" s="121">
        <f>ROUND(IF(C291&lt;='FR_Mantenimiento tasas'!$C$55,'Tabla Ahorro Futuro Reservas'!C291*'FR_Mantenimiento tasas'!$E$55/360,IF(C291&lt;='FR_Mantenimiento tasas'!$C$56,'Tabla Ahorro Futuro Reservas'!C291*'FR_Mantenimiento tasas'!$E$56/360,IF(C291&lt;='FR_Mantenimiento tasas'!$C$57,'Tabla Ahorro Futuro Reservas'!C291*'FR_Mantenimiento tasas'!$E$57/360,""))),5)</f>
        <v>0</v>
      </c>
    </row>
    <row r="292" spans="1:5">
      <c r="A292" s="123">
        <f t="shared" si="8"/>
        <v>290</v>
      </c>
      <c r="B292" s="122">
        <f>IF(DAY(A292)=DAY('F-Ahorro Futuro Reservas'!$H$10),'F-Ahorro Futuro Reservas'!$H$9,0)</f>
        <v>0</v>
      </c>
      <c r="C292" s="122">
        <f t="shared" si="9"/>
        <v>0</v>
      </c>
      <c r="D292" s="121">
        <f>ROUND(IF(C292&lt;='FR_Mantenimiento tasas'!$C$55,'Tabla Ahorro Futuro Reservas'!C292*'FR_Mantenimiento tasas'!$D$55/360,IF(C292&lt;='FR_Mantenimiento tasas'!$C$56,'Tabla Ahorro Futuro Reservas'!C292*'FR_Mantenimiento tasas'!$D$56/360,IF(C292&lt;='FR_Mantenimiento tasas'!$C$57,'Tabla Ahorro Futuro Reservas'!C292*'FR_Mantenimiento tasas'!$D$57/360,""))),5)</f>
        <v>0</v>
      </c>
      <c r="E292" s="121">
        <f>ROUND(IF(C292&lt;='FR_Mantenimiento tasas'!$C$55,'Tabla Ahorro Futuro Reservas'!C292*'FR_Mantenimiento tasas'!$E$55/360,IF(C292&lt;='FR_Mantenimiento tasas'!$C$56,'Tabla Ahorro Futuro Reservas'!C292*'FR_Mantenimiento tasas'!$E$56/360,IF(C292&lt;='FR_Mantenimiento tasas'!$C$57,'Tabla Ahorro Futuro Reservas'!C292*'FR_Mantenimiento tasas'!$E$57/360,""))),5)</f>
        <v>0</v>
      </c>
    </row>
    <row r="293" spans="1:5">
      <c r="A293" s="123">
        <f t="shared" si="8"/>
        <v>291</v>
      </c>
      <c r="B293" s="122">
        <f>IF(DAY(A293)=DAY('F-Ahorro Futuro Reservas'!$H$10),'F-Ahorro Futuro Reservas'!$H$9,0)</f>
        <v>0</v>
      </c>
      <c r="C293" s="122">
        <f t="shared" si="9"/>
        <v>0</v>
      </c>
      <c r="D293" s="121">
        <f>ROUND(IF(C293&lt;='FR_Mantenimiento tasas'!$C$55,'Tabla Ahorro Futuro Reservas'!C293*'FR_Mantenimiento tasas'!$D$55/360,IF(C293&lt;='FR_Mantenimiento tasas'!$C$56,'Tabla Ahorro Futuro Reservas'!C293*'FR_Mantenimiento tasas'!$D$56/360,IF(C293&lt;='FR_Mantenimiento tasas'!$C$57,'Tabla Ahorro Futuro Reservas'!C293*'FR_Mantenimiento tasas'!$D$57/360,""))),5)</f>
        <v>0</v>
      </c>
      <c r="E293" s="121">
        <f>ROUND(IF(C293&lt;='FR_Mantenimiento tasas'!$C$55,'Tabla Ahorro Futuro Reservas'!C293*'FR_Mantenimiento tasas'!$E$55/360,IF(C293&lt;='FR_Mantenimiento tasas'!$C$56,'Tabla Ahorro Futuro Reservas'!C293*'FR_Mantenimiento tasas'!$E$56/360,IF(C293&lt;='FR_Mantenimiento tasas'!$C$57,'Tabla Ahorro Futuro Reservas'!C293*'FR_Mantenimiento tasas'!$E$57/360,""))),5)</f>
        <v>0</v>
      </c>
    </row>
    <row r="294" spans="1:5">
      <c r="A294" s="123">
        <f t="shared" si="8"/>
        <v>292</v>
      </c>
      <c r="B294" s="122">
        <f>IF(DAY(A294)=DAY('F-Ahorro Futuro Reservas'!$H$10),'F-Ahorro Futuro Reservas'!$H$9,0)</f>
        <v>0</v>
      </c>
      <c r="C294" s="122">
        <f t="shared" si="9"/>
        <v>0</v>
      </c>
      <c r="D294" s="121">
        <f>ROUND(IF(C294&lt;='FR_Mantenimiento tasas'!$C$55,'Tabla Ahorro Futuro Reservas'!C294*'FR_Mantenimiento tasas'!$D$55/360,IF(C294&lt;='FR_Mantenimiento tasas'!$C$56,'Tabla Ahorro Futuro Reservas'!C294*'FR_Mantenimiento tasas'!$D$56/360,IF(C294&lt;='FR_Mantenimiento tasas'!$C$57,'Tabla Ahorro Futuro Reservas'!C294*'FR_Mantenimiento tasas'!$D$57/360,""))),5)</f>
        <v>0</v>
      </c>
      <c r="E294" s="121">
        <f>ROUND(IF(C294&lt;='FR_Mantenimiento tasas'!$C$55,'Tabla Ahorro Futuro Reservas'!C294*'FR_Mantenimiento tasas'!$E$55/360,IF(C294&lt;='FR_Mantenimiento tasas'!$C$56,'Tabla Ahorro Futuro Reservas'!C294*'FR_Mantenimiento tasas'!$E$56/360,IF(C294&lt;='FR_Mantenimiento tasas'!$C$57,'Tabla Ahorro Futuro Reservas'!C294*'FR_Mantenimiento tasas'!$E$57/360,""))),5)</f>
        <v>0</v>
      </c>
    </row>
    <row r="295" spans="1:5">
      <c r="A295" s="123">
        <f t="shared" si="8"/>
        <v>293</v>
      </c>
      <c r="B295" s="122">
        <f>IF(DAY(A295)=DAY('F-Ahorro Futuro Reservas'!$H$10),'F-Ahorro Futuro Reservas'!$H$9,0)</f>
        <v>0</v>
      </c>
      <c r="C295" s="122">
        <f t="shared" si="9"/>
        <v>0</v>
      </c>
      <c r="D295" s="121">
        <f>ROUND(IF(C295&lt;='FR_Mantenimiento tasas'!$C$55,'Tabla Ahorro Futuro Reservas'!C295*'FR_Mantenimiento tasas'!$D$55/360,IF(C295&lt;='FR_Mantenimiento tasas'!$C$56,'Tabla Ahorro Futuro Reservas'!C295*'FR_Mantenimiento tasas'!$D$56/360,IF(C295&lt;='FR_Mantenimiento tasas'!$C$57,'Tabla Ahorro Futuro Reservas'!C295*'FR_Mantenimiento tasas'!$D$57/360,""))),5)</f>
        <v>0</v>
      </c>
      <c r="E295" s="121">
        <f>ROUND(IF(C295&lt;='FR_Mantenimiento tasas'!$C$55,'Tabla Ahorro Futuro Reservas'!C295*'FR_Mantenimiento tasas'!$E$55/360,IF(C295&lt;='FR_Mantenimiento tasas'!$C$56,'Tabla Ahorro Futuro Reservas'!C295*'FR_Mantenimiento tasas'!$E$56/360,IF(C295&lt;='FR_Mantenimiento tasas'!$C$57,'Tabla Ahorro Futuro Reservas'!C295*'FR_Mantenimiento tasas'!$E$57/360,""))),5)</f>
        <v>0</v>
      </c>
    </row>
    <row r="296" spans="1:5">
      <c r="A296" s="123">
        <f t="shared" si="8"/>
        <v>294</v>
      </c>
      <c r="B296" s="122">
        <f>IF(DAY(A296)=DAY('F-Ahorro Futuro Reservas'!$H$10),'F-Ahorro Futuro Reservas'!$H$9,0)</f>
        <v>0</v>
      </c>
      <c r="C296" s="122">
        <f t="shared" si="9"/>
        <v>0</v>
      </c>
      <c r="D296" s="121">
        <f>ROUND(IF(C296&lt;='FR_Mantenimiento tasas'!$C$55,'Tabla Ahorro Futuro Reservas'!C296*'FR_Mantenimiento tasas'!$D$55/360,IF(C296&lt;='FR_Mantenimiento tasas'!$C$56,'Tabla Ahorro Futuro Reservas'!C296*'FR_Mantenimiento tasas'!$D$56/360,IF(C296&lt;='FR_Mantenimiento tasas'!$C$57,'Tabla Ahorro Futuro Reservas'!C296*'FR_Mantenimiento tasas'!$D$57/360,""))),5)</f>
        <v>0</v>
      </c>
      <c r="E296" s="121">
        <f>ROUND(IF(C296&lt;='FR_Mantenimiento tasas'!$C$55,'Tabla Ahorro Futuro Reservas'!C296*'FR_Mantenimiento tasas'!$E$55/360,IF(C296&lt;='FR_Mantenimiento tasas'!$C$56,'Tabla Ahorro Futuro Reservas'!C296*'FR_Mantenimiento tasas'!$E$56/360,IF(C296&lt;='FR_Mantenimiento tasas'!$C$57,'Tabla Ahorro Futuro Reservas'!C296*'FR_Mantenimiento tasas'!$E$57/360,""))),5)</f>
        <v>0</v>
      </c>
    </row>
    <row r="297" spans="1:5">
      <c r="A297" s="123">
        <f t="shared" si="8"/>
        <v>295</v>
      </c>
      <c r="B297" s="122">
        <f>IF(DAY(A297)=DAY('F-Ahorro Futuro Reservas'!$H$10),'F-Ahorro Futuro Reservas'!$H$9,0)</f>
        <v>0</v>
      </c>
      <c r="C297" s="122">
        <f t="shared" si="9"/>
        <v>0</v>
      </c>
      <c r="D297" s="121">
        <f>ROUND(IF(C297&lt;='FR_Mantenimiento tasas'!$C$55,'Tabla Ahorro Futuro Reservas'!C297*'FR_Mantenimiento tasas'!$D$55/360,IF(C297&lt;='FR_Mantenimiento tasas'!$C$56,'Tabla Ahorro Futuro Reservas'!C297*'FR_Mantenimiento tasas'!$D$56/360,IF(C297&lt;='FR_Mantenimiento tasas'!$C$57,'Tabla Ahorro Futuro Reservas'!C297*'FR_Mantenimiento tasas'!$D$57/360,""))),5)</f>
        <v>0</v>
      </c>
      <c r="E297" s="121">
        <f>ROUND(IF(C297&lt;='FR_Mantenimiento tasas'!$C$55,'Tabla Ahorro Futuro Reservas'!C297*'FR_Mantenimiento tasas'!$E$55/360,IF(C297&lt;='FR_Mantenimiento tasas'!$C$56,'Tabla Ahorro Futuro Reservas'!C297*'FR_Mantenimiento tasas'!$E$56/360,IF(C297&lt;='FR_Mantenimiento tasas'!$C$57,'Tabla Ahorro Futuro Reservas'!C297*'FR_Mantenimiento tasas'!$E$57/360,""))),5)</f>
        <v>0</v>
      </c>
    </row>
    <row r="298" spans="1:5">
      <c r="A298" s="123">
        <f t="shared" si="8"/>
        <v>296</v>
      </c>
      <c r="B298" s="122">
        <f>IF(DAY(A298)=DAY('F-Ahorro Futuro Reservas'!$H$10),'F-Ahorro Futuro Reservas'!$H$9,0)</f>
        <v>0</v>
      </c>
      <c r="C298" s="122">
        <f t="shared" si="9"/>
        <v>0</v>
      </c>
      <c r="D298" s="121">
        <f>ROUND(IF(C298&lt;='FR_Mantenimiento tasas'!$C$55,'Tabla Ahorro Futuro Reservas'!C298*'FR_Mantenimiento tasas'!$D$55/360,IF(C298&lt;='FR_Mantenimiento tasas'!$C$56,'Tabla Ahorro Futuro Reservas'!C298*'FR_Mantenimiento tasas'!$D$56/360,IF(C298&lt;='FR_Mantenimiento tasas'!$C$57,'Tabla Ahorro Futuro Reservas'!C298*'FR_Mantenimiento tasas'!$D$57/360,""))),5)</f>
        <v>0</v>
      </c>
      <c r="E298" s="121">
        <f>ROUND(IF(C298&lt;='FR_Mantenimiento tasas'!$C$55,'Tabla Ahorro Futuro Reservas'!C298*'FR_Mantenimiento tasas'!$E$55/360,IF(C298&lt;='FR_Mantenimiento tasas'!$C$56,'Tabla Ahorro Futuro Reservas'!C298*'FR_Mantenimiento tasas'!$E$56/360,IF(C298&lt;='FR_Mantenimiento tasas'!$C$57,'Tabla Ahorro Futuro Reservas'!C298*'FR_Mantenimiento tasas'!$E$57/360,""))),5)</f>
        <v>0</v>
      </c>
    </row>
    <row r="299" spans="1:5">
      <c r="A299" s="123">
        <f t="shared" si="8"/>
        <v>297</v>
      </c>
      <c r="B299" s="122">
        <f>IF(DAY(A299)=DAY('F-Ahorro Futuro Reservas'!$H$10),'F-Ahorro Futuro Reservas'!$H$9,0)</f>
        <v>0</v>
      </c>
      <c r="C299" s="122">
        <f t="shared" si="9"/>
        <v>0</v>
      </c>
      <c r="D299" s="121">
        <f>ROUND(IF(C299&lt;='FR_Mantenimiento tasas'!$C$55,'Tabla Ahorro Futuro Reservas'!C299*'FR_Mantenimiento tasas'!$D$55/360,IF(C299&lt;='FR_Mantenimiento tasas'!$C$56,'Tabla Ahorro Futuro Reservas'!C299*'FR_Mantenimiento tasas'!$D$56/360,IF(C299&lt;='FR_Mantenimiento tasas'!$C$57,'Tabla Ahorro Futuro Reservas'!C299*'FR_Mantenimiento tasas'!$D$57/360,""))),5)</f>
        <v>0</v>
      </c>
      <c r="E299" s="121">
        <f>ROUND(IF(C299&lt;='FR_Mantenimiento tasas'!$C$55,'Tabla Ahorro Futuro Reservas'!C299*'FR_Mantenimiento tasas'!$E$55/360,IF(C299&lt;='FR_Mantenimiento tasas'!$C$56,'Tabla Ahorro Futuro Reservas'!C299*'FR_Mantenimiento tasas'!$E$56/360,IF(C299&lt;='FR_Mantenimiento tasas'!$C$57,'Tabla Ahorro Futuro Reservas'!C299*'FR_Mantenimiento tasas'!$E$57/360,""))),5)</f>
        <v>0</v>
      </c>
    </row>
    <row r="300" spans="1:5">
      <c r="A300" s="123">
        <f t="shared" si="8"/>
        <v>298</v>
      </c>
      <c r="B300" s="122">
        <f>IF(DAY(A300)=DAY('F-Ahorro Futuro Reservas'!$H$10),'F-Ahorro Futuro Reservas'!$H$9,0)</f>
        <v>0</v>
      </c>
      <c r="C300" s="122">
        <f t="shared" si="9"/>
        <v>0</v>
      </c>
      <c r="D300" s="121">
        <f>ROUND(IF(C300&lt;='FR_Mantenimiento tasas'!$C$55,'Tabla Ahorro Futuro Reservas'!C300*'FR_Mantenimiento tasas'!$D$55/360,IF(C300&lt;='FR_Mantenimiento tasas'!$C$56,'Tabla Ahorro Futuro Reservas'!C300*'FR_Mantenimiento tasas'!$D$56/360,IF(C300&lt;='FR_Mantenimiento tasas'!$C$57,'Tabla Ahorro Futuro Reservas'!C300*'FR_Mantenimiento tasas'!$D$57/360,""))),5)</f>
        <v>0</v>
      </c>
      <c r="E300" s="121">
        <f>ROUND(IF(C300&lt;='FR_Mantenimiento tasas'!$C$55,'Tabla Ahorro Futuro Reservas'!C300*'FR_Mantenimiento tasas'!$E$55/360,IF(C300&lt;='FR_Mantenimiento tasas'!$C$56,'Tabla Ahorro Futuro Reservas'!C300*'FR_Mantenimiento tasas'!$E$56/360,IF(C300&lt;='FR_Mantenimiento tasas'!$C$57,'Tabla Ahorro Futuro Reservas'!C300*'FR_Mantenimiento tasas'!$E$57/360,""))),5)</f>
        <v>0</v>
      </c>
    </row>
    <row r="301" spans="1:5">
      <c r="A301" s="123">
        <f t="shared" si="8"/>
        <v>299</v>
      </c>
      <c r="B301" s="122">
        <f>IF(DAY(A301)=DAY('F-Ahorro Futuro Reservas'!$H$10),'F-Ahorro Futuro Reservas'!$H$9,0)</f>
        <v>0</v>
      </c>
      <c r="C301" s="122">
        <f t="shared" si="9"/>
        <v>0</v>
      </c>
      <c r="D301" s="121">
        <f>ROUND(IF(C301&lt;='FR_Mantenimiento tasas'!$C$55,'Tabla Ahorro Futuro Reservas'!C301*'FR_Mantenimiento tasas'!$D$55/360,IF(C301&lt;='FR_Mantenimiento tasas'!$C$56,'Tabla Ahorro Futuro Reservas'!C301*'FR_Mantenimiento tasas'!$D$56/360,IF(C301&lt;='FR_Mantenimiento tasas'!$C$57,'Tabla Ahorro Futuro Reservas'!C301*'FR_Mantenimiento tasas'!$D$57/360,""))),5)</f>
        <v>0</v>
      </c>
      <c r="E301" s="121">
        <f>ROUND(IF(C301&lt;='FR_Mantenimiento tasas'!$C$55,'Tabla Ahorro Futuro Reservas'!C301*'FR_Mantenimiento tasas'!$E$55/360,IF(C301&lt;='FR_Mantenimiento tasas'!$C$56,'Tabla Ahorro Futuro Reservas'!C301*'FR_Mantenimiento tasas'!$E$56/360,IF(C301&lt;='FR_Mantenimiento tasas'!$C$57,'Tabla Ahorro Futuro Reservas'!C301*'FR_Mantenimiento tasas'!$E$57/360,""))),5)</f>
        <v>0</v>
      </c>
    </row>
    <row r="302" spans="1:5">
      <c r="A302" s="123">
        <f t="shared" si="8"/>
        <v>300</v>
      </c>
      <c r="B302" s="122">
        <f>IF(DAY(A302)=DAY('F-Ahorro Futuro Reservas'!$H$10),'F-Ahorro Futuro Reservas'!$H$9,0)</f>
        <v>0</v>
      </c>
      <c r="C302" s="122">
        <f t="shared" si="9"/>
        <v>0</v>
      </c>
      <c r="D302" s="121">
        <f>ROUND(IF(C302&lt;='FR_Mantenimiento tasas'!$C$55,'Tabla Ahorro Futuro Reservas'!C302*'FR_Mantenimiento tasas'!$D$55/360,IF(C302&lt;='FR_Mantenimiento tasas'!$C$56,'Tabla Ahorro Futuro Reservas'!C302*'FR_Mantenimiento tasas'!$D$56/360,IF(C302&lt;='FR_Mantenimiento tasas'!$C$57,'Tabla Ahorro Futuro Reservas'!C302*'FR_Mantenimiento tasas'!$D$57/360,""))),5)</f>
        <v>0</v>
      </c>
      <c r="E302" s="121">
        <f>ROUND(IF(C302&lt;='FR_Mantenimiento tasas'!$C$55,'Tabla Ahorro Futuro Reservas'!C302*'FR_Mantenimiento tasas'!$E$55/360,IF(C302&lt;='FR_Mantenimiento tasas'!$C$56,'Tabla Ahorro Futuro Reservas'!C302*'FR_Mantenimiento tasas'!$E$56/360,IF(C302&lt;='FR_Mantenimiento tasas'!$C$57,'Tabla Ahorro Futuro Reservas'!C302*'FR_Mantenimiento tasas'!$E$57/360,""))),5)</f>
        <v>0</v>
      </c>
    </row>
    <row r="303" spans="1:5">
      <c r="A303" s="123">
        <f t="shared" si="8"/>
        <v>301</v>
      </c>
      <c r="B303" s="122">
        <f>IF(DAY(A303)=DAY('F-Ahorro Futuro Reservas'!$H$10),'F-Ahorro Futuro Reservas'!$H$9,0)</f>
        <v>0</v>
      </c>
      <c r="C303" s="122">
        <f t="shared" si="9"/>
        <v>0</v>
      </c>
      <c r="D303" s="121">
        <f>ROUND(IF(C303&lt;='FR_Mantenimiento tasas'!$C$55,'Tabla Ahorro Futuro Reservas'!C303*'FR_Mantenimiento tasas'!$D$55/360,IF(C303&lt;='FR_Mantenimiento tasas'!$C$56,'Tabla Ahorro Futuro Reservas'!C303*'FR_Mantenimiento tasas'!$D$56/360,IF(C303&lt;='FR_Mantenimiento tasas'!$C$57,'Tabla Ahorro Futuro Reservas'!C303*'FR_Mantenimiento tasas'!$D$57/360,""))),5)</f>
        <v>0</v>
      </c>
      <c r="E303" s="121">
        <f>ROUND(IF(C303&lt;='FR_Mantenimiento tasas'!$C$55,'Tabla Ahorro Futuro Reservas'!C303*'FR_Mantenimiento tasas'!$E$55/360,IF(C303&lt;='FR_Mantenimiento tasas'!$C$56,'Tabla Ahorro Futuro Reservas'!C303*'FR_Mantenimiento tasas'!$E$56/360,IF(C303&lt;='FR_Mantenimiento tasas'!$C$57,'Tabla Ahorro Futuro Reservas'!C303*'FR_Mantenimiento tasas'!$E$57/360,""))),5)</f>
        <v>0</v>
      </c>
    </row>
    <row r="304" spans="1:5">
      <c r="A304" s="123">
        <f t="shared" si="8"/>
        <v>302</v>
      </c>
      <c r="B304" s="122">
        <f>IF(DAY(A304)=DAY('F-Ahorro Futuro Reservas'!$H$10),'F-Ahorro Futuro Reservas'!$H$9,0)</f>
        <v>0</v>
      </c>
      <c r="C304" s="122">
        <f t="shared" si="9"/>
        <v>0</v>
      </c>
      <c r="D304" s="121">
        <f>ROUND(IF(C304&lt;='FR_Mantenimiento tasas'!$C$55,'Tabla Ahorro Futuro Reservas'!C304*'FR_Mantenimiento tasas'!$D$55/360,IF(C304&lt;='FR_Mantenimiento tasas'!$C$56,'Tabla Ahorro Futuro Reservas'!C304*'FR_Mantenimiento tasas'!$D$56/360,IF(C304&lt;='FR_Mantenimiento tasas'!$C$57,'Tabla Ahorro Futuro Reservas'!C304*'FR_Mantenimiento tasas'!$D$57/360,""))),5)</f>
        <v>0</v>
      </c>
      <c r="E304" s="121">
        <f>ROUND(IF(C304&lt;='FR_Mantenimiento tasas'!$C$55,'Tabla Ahorro Futuro Reservas'!C304*'FR_Mantenimiento tasas'!$E$55/360,IF(C304&lt;='FR_Mantenimiento tasas'!$C$56,'Tabla Ahorro Futuro Reservas'!C304*'FR_Mantenimiento tasas'!$E$56/360,IF(C304&lt;='FR_Mantenimiento tasas'!$C$57,'Tabla Ahorro Futuro Reservas'!C304*'FR_Mantenimiento tasas'!$E$57/360,""))),5)</f>
        <v>0</v>
      </c>
    </row>
    <row r="305" spans="1:5">
      <c r="A305" s="123">
        <f t="shared" si="8"/>
        <v>303</v>
      </c>
      <c r="B305" s="122">
        <f>IF(DAY(A305)=DAY('F-Ahorro Futuro Reservas'!$H$10),'F-Ahorro Futuro Reservas'!$H$9,0)</f>
        <v>0</v>
      </c>
      <c r="C305" s="122">
        <f t="shared" si="9"/>
        <v>0</v>
      </c>
      <c r="D305" s="121">
        <f>ROUND(IF(C305&lt;='FR_Mantenimiento tasas'!$C$55,'Tabla Ahorro Futuro Reservas'!C305*'FR_Mantenimiento tasas'!$D$55/360,IF(C305&lt;='FR_Mantenimiento tasas'!$C$56,'Tabla Ahorro Futuro Reservas'!C305*'FR_Mantenimiento tasas'!$D$56/360,IF(C305&lt;='FR_Mantenimiento tasas'!$C$57,'Tabla Ahorro Futuro Reservas'!C305*'FR_Mantenimiento tasas'!$D$57/360,""))),5)</f>
        <v>0</v>
      </c>
      <c r="E305" s="121">
        <f>ROUND(IF(C305&lt;='FR_Mantenimiento tasas'!$C$55,'Tabla Ahorro Futuro Reservas'!C305*'FR_Mantenimiento tasas'!$E$55/360,IF(C305&lt;='FR_Mantenimiento tasas'!$C$56,'Tabla Ahorro Futuro Reservas'!C305*'FR_Mantenimiento tasas'!$E$56/360,IF(C305&lt;='FR_Mantenimiento tasas'!$C$57,'Tabla Ahorro Futuro Reservas'!C305*'FR_Mantenimiento tasas'!$E$57/360,""))),5)</f>
        <v>0</v>
      </c>
    </row>
    <row r="306" spans="1:5">
      <c r="A306" s="123">
        <f t="shared" si="8"/>
        <v>304</v>
      </c>
      <c r="B306" s="122">
        <f>IF(DAY(A306)=DAY('F-Ahorro Futuro Reservas'!$H$10),'F-Ahorro Futuro Reservas'!$H$9,0)</f>
        <v>0</v>
      </c>
      <c r="C306" s="122">
        <f t="shared" si="9"/>
        <v>0</v>
      </c>
      <c r="D306" s="121">
        <f>ROUND(IF(C306&lt;='FR_Mantenimiento tasas'!$C$55,'Tabla Ahorro Futuro Reservas'!C306*'FR_Mantenimiento tasas'!$D$55/360,IF(C306&lt;='FR_Mantenimiento tasas'!$C$56,'Tabla Ahorro Futuro Reservas'!C306*'FR_Mantenimiento tasas'!$D$56/360,IF(C306&lt;='FR_Mantenimiento tasas'!$C$57,'Tabla Ahorro Futuro Reservas'!C306*'FR_Mantenimiento tasas'!$D$57/360,""))),5)</f>
        <v>0</v>
      </c>
      <c r="E306" s="121">
        <f>ROUND(IF(C306&lt;='FR_Mantenimiento tasas'!$C$55,'Tabla Ahorro Futuro Reservas'!C306*'FR_Mantenimiento tasas'!$E$55/360,IF(C306&lt;='FR_Mantenimiento tasas'!$C$56,'Tabla Ahorro Futuro Reservas'!C306*'FR_Mantenimiento tasas'!$E$56/360,IF(C306&lt;='FR_Mantenimiento tasas'!$C$57,'Tabla Ahorro Futuro Reservas'!C306*'FR_Mantenimiento tasas'!$E$57/360,""))),5)</f>
        <v>0</v>
      </c>
    </row>
    <row r="307" spans="1:5">
      <c r="A307" s="123">
        <f t="shared" si="8"/>
        <v>305</v>
      </c>
      <c r="B307" s="122">
        <f>IF(DAY(A307)=DAY('F-Ahorro Futuro Reservas'!$H$10),'F-Ahorro Futuro Reservas'!$H$9,0)</f>
        <v>0</v>
      </c>
      <c r="C307" s="122">
        <f t="shared" si="9"/>
        <v>0</v>
      </c>
      <c r="D307" s="121">
        <f>ROUND(IF(C307&lt;='FR_Mantenimiento tasas'!$C$55,'Tabla Ahorro Futuro Reservas'!C307*'FR_Mantenimiento tasas'!$D$55/360,IF(C307&lt;='FR_Mantenimiento tasas'!$C$56,'Tabla Ahorro Futuro Reservas'!C307*'FR_Mantenimiento tasas'!$D$56/360,IF(C307&lt;='FR_Mantenimiento tasas'!$C$57,'Tabla Ahorro Futuro Reservas'!C307*'FR_Mantenimiento tasas'!$D$57/360,""))),5)</f>
        <v>0</v>
      </c>
      <c r="E307" s="121">
        <f>ROUND(IF(C307&lt;='FR_Mantenimiento tasas'!$C$55,'Tabla Ahorro Futuro Reservas'!C307*'FR_Mantenimiento tasas'!$E$55/360,IF(C307&lt;='FR_Mantenimiento tasas'!$C$56,'Tabla Ahorro Futuro Reservas'!C307*'FR_Mantenimiento tasas'!$E$56/360,IF(C307&lt;='FR_Mantenimiento tasas'!$C$57,'Tabla Ahorro Futuro Reservas'!C307*'FR_Mantenimiento tasas'!$E$57/360,""))),5)</f>
        <v>0</v>
      </c>
    </row>
    <row r="308" spans="1:5">
      <c r="A308" s="123">
        <f t="shared" si="8"/>
        <v>306</v>
      </c>
      <c r="B308" s="122">
        <f>IF(DAY(A308)=DAY('F-Ahorro Futuro Reservas'!$H$10),'F-Ahorro Futuro Reservas'!$H$9,0)</f>
        <v>0</v>
      </c>
      <c r="C308" s="122">
        <f t="shared" si="9"/>
        <v>0</v>
      </c>
      <c r="D308" s="121">
        <f>ROUND(IF(C308&lt;='FR_Mantenimiento tasas'!$C$55,'Tabla Ahorro Futuro Reservas'!C308*'FR_Mantenimiento tasas'!$D$55/360,IF(C308&lt;='FR_Mantenimiento tasas'!$C$56,'Tabla Ahorro Futuro Reservas'!C308*'FR_Mantenimiento tasas'!$D$56/360,IF(C308&lt;='FR_Mantenimiento tasas'!$C$57,'Tabla Ahorro Futuro Reservas'!C308*'FR_Mantenimiento tasas'!$D$57/360,""))),5)</f>
        <v>0</v>
      </c>
      <c r="E308" s="121">
        <f>ROUND(IF(C308&lt;='FR_Mantenimiento tasas'!$C$55,'Tabla Ahorro Futuro Reservas'!C308*'FR_Mantenimiento tasas'!$E$55/360,IF(C308&lt;='FR_Mantenimiento tasas'!$C$56,'Tabla Ahorro Futuro Reservas'!C308*'FR_Mantenimiento tasas'!$E$56/360,IF(C308&lt;='FR_Mantenimiento tasas'!$C$57,'Tabla Ahorro Futuro Reservas'!C308*'FR_Mantenimiento tasas'!$E$57/360,""))),5)</f>
        <v>0</v>
      </c>
    </row>
    <row r="309" spans="1:5">
      <c r="A309" s="123">
        <f t="shared" si="8"/>
        <v>307</v>
      </c>
      <c r="B309" s="122">
        <f>IF(DAY(A309)=DAY('F-Ahorro Futuro Reservas'!$H$10),'F-Ahorro Futuro Reservas'!$H$9,0)</f>
        <v>0</v>
      </c>
      <c r="C309" s="122">
        <f t="shared" si="9"/>
        <v>0</v>
      </c>
      <c r="D309" s="121">
        <f>ROUND(IF(C309&lt;='FR_Mantenimiento tasas'!$C$55,'Tabla Ahorro Futuro Reservas'!C309*'FR_Mantenimiento tasas'!$D$55/360,IF(C309&lt;='FR_Mantenimiento tasas'!$C$56,'Tabla Ahorro Futuro Reservas'!C309*'FR_Mantenimiento tasas'!$D$56/360,IF(C309&lt;='FR_Mantenimiento tasas'!$C$57,'Tabla Ahorro Futuro Reservas'!C309*'FR_Mantenimiento tasas'!$D$57/360,""))),5)</f>
        <v>0</v>
      </c>
      <c r="E309" s="121">
        <f>ROUND(IF(C309&lt;='FR_Mantenimiento tasas'!$C$55,'Tabla Ahorro Futuro Reservas'!C309*'FR_Mantenimiento tasas'!$E$55/360,IF(C309&lt;='FR_Mantenimiento tasas'!$C$56,'Tabla Ahorro Futuro Reservas'!C309*'FR_Mantenimiento tasas'!$E$56/360,IF(C309&lt;='FR_Mantenimiento tasas'!$C$57,'Tabla Ahorro Futuro Reservas'!C309*'FR_Mantenimiento tasas'!$E$57/360,""))),5)</f>
        <v>0</v>
      </c>
    </row>
    <row r="310" spans="1:5">
      <c r="A310" s="123">
        <f t="shared" si="8"/>
        <v>308</v>
      </c>
      <c r="B310" s="122">
        <f>IF(DAY(A310)=DAY('F-Ahorro Futuro Reservas'!$H$10),'F-Ahorro Futuro Reservas'!$H$9,0)</f>
        <v>0</v>
      </c>
      <c r="C310" s="122">
        <f t="shared" si="9"/>
        <v>0</v>
      </c>
      <c r="D310" s="121">
        <f>ROUND(IF(C310&lt;='FR_Mantenimiento tasas'!$C$55,'Tabla Ahorro Futuro Reservas'!C310*'FR_Mantenimiento tasas'!$D$55/360,IF(C310&lt;='FR_Mantenimiento tasas'!$C$56,'Tabla Ahorro Futuro Reservas'!C310*'FR_Mantenimiento tasas'!$D$56/360,IF(C310&lt;='FR_Mantenimiento tasas'!$C$57,'Tabla Ahorro Futuro Reservas'!C310*'FR_Mantenimiento tasas'!$D$57/360,""))),5)</f>
        <v>0</v>
      </c>
      <c r="E310" s="121">
        <f>ROUND(IF(C310&lt;='FR_Mantenimiento tasas'!$C$55,'Tabla Ahorro Futuro Reservas'!C310*'FR_Mantenimiento tasas'!$E$55/360,IF(C310&lt;='FR_Mantenimiento tasas'!$C$56,'Tabla Ahorro Futuro Reservas'!C310*'FR_Mantenimiento tasas'!$E$56/360,IF(C310&lt;='FR_Mantenimiento tasas'!$C$57,'Tabla Ahorro Futuro Reservas'!C310*'FR_Mantenimiento tasas'!$E$57/360,""))),5)</f>
        <v>0</v>
      </c>
    </row>
    <row r="311" spans="1:5">
      <c r="A311" s="123">
        <f t="shared" si="8"/>
        <v>309</v>
      </c>
      <c r="B311" s="122">
        <f>IF(DAY(A311)=DAY('F-Ahorro Futuro Reservas'!$H$10),'F-Ahorro Futuro Reservas'!$H$9,0)</f>
        <v>0</v>
      </c>
      <c r="C311" s="122">
        <f t="shared" si="9"/>
        <v>0</v>
      </c>
      <c r="D311" s="121">
        <f>ROUND(IF(C311&lt;='FR_Mantenimiento tasas'!$C$55,'Tabla Ahorro Futuro Reservas'!C311*'FR_Mantenimiento tasas'!$D$55/360,IF(C311&lt;='FR_Mantenimiento tasas'!$C$56,'Tabla Ahorro Futuro Reservas'!C311*'FR_Mantenimiento tasas'!$D$56/360,IF(C311&lt;='FR_Mantenimiento tasas'!$C$57,'Tabla Ahorro Futuro Reservas'!C311*'FR_Mantenimiento tasas'!$D$57/360,""))),5)</f>
        <v>0</v>
      </c>
      <c r="E311" s="121">
        <f>ROUND(IF(C311&lt;='FR_Mantenimiento tasas'!$C$55,'Tabla Ahorro Futuro Reservas'!C311*'FR_Mantenimiento tasas'!$E$55/360,IF(C311&lt;='FR_Mantenimiento tasas'!$C$56,'Tabla Ahorro Futuro Reservas'!C311*'FR_Mantenimiento tasas'!$E$56/360,IF(C311&lt;='FR_Mantenimiento tasas'!$C$57,'Tabla Ahorro Futuro Reservas'!C311*'FR_Mantenimiento tasas'!$E$57/360,""))),5)</f>
        <v>0</v>
      </c>
    </row>
    <row r="312" spans="1:5">
      <c r="A312" s="123">
        <f t="shared" si="8"/>
        <v>310</v>
      </c>
      <c r="B312" s="122">
        <f>IF(DAY(A312)=DAY('F-Ahorro Futuro Reservas'!$H$10),'F-Ahorro Futuro Reservas'!$H$9,0)</f>
        <v>0</v>
      </c>
      <c r="C312" s="122">
        <f t="shared" si="9"/>
        <v>0</v>
      </c>
      <c r="D312" s="121">
        <f>ROUND(IF(C312&lt;='FR_Mantenimiento tasas'!$C$55,'Tabla Ahorro Futuro Reservas'!C312*'FR_Mantenimiento tasas'!$D$55/360,IF(C312&lt;='FR_Mantenimiento tasas'!$C$56,'Tabla Ahorro Futuro Reservas'!C312*'FR_Mantenimiento tasas'!$D$56/360,IF(C312&lt;='FR_Mantenimiento tasas'!$C$57,'Tabla Ahorro Futuro Reservas'!C312*'FR_Mantenimiento tasas'!$D$57/360,""))),5)</f>
        <v>0</v>
      </c>
      <c r="E312" s="121">
        <f>ROUND(IF(C312&lt;='FR_Mantenimiento tasas'!$C$55,'Tabla Ahorro Futuro Reservas'!C312*'FR_Mantenimiento tasas'!$E$55/360,IF(C312&lt;='FR_Mantenimiento tasas'!$C$56,'Tabla Ahorro Futuro Reservas'!C312*'FR_Mantenimiento tasas'!$E$56/360,IF(C312&lt;='FR_Mantenimiento tasas'!$C$57,'Tabla Ahorro Futuro Reservas'!C312*'FR_Mantenimiento tasas'!$E$57/360,""))),5)</f>
        <v>0</v>
      </c>
    </row>
    <row r="313" spans="1:5">
      <c r="A313" s="123">
        <f t="shared" si="8"/>
        <v>311</v>
      </c>
      <c r="B313" s="122">
        <f>IF(DAY(A313)=DAY('F-Ahorro Futuro Reservas'!$H$10),'F-Ahorro Futuro Reservas'!$H$9,0)</f>
        <v>0</v>
      </c>
      <c r="C313" s="122">
        <f t="shared" si="9"/>
        <v>0</v>
      </c>
      <c r="D313" s="121">
        <f>ROUND(IF(C313&lt;='FR_Mantenimiento tasas'!$C$55,'Tabla Ahorro Futuro Reservas'!C313*'FR_Mantenimiento tasas'!$D$55/360,IF(C313&lt;='FR_Mantenimiento tasas'!$C$56,'Tabla Ahorro Futuro Reservas'!C313*'FR_Mantenimiento tasas'!$D$56/360,IF(C313&lt;='FR_Mantenimiento tasas'!$C$57,'Tabla Ahorro Futuro Reservas'!C313*'FR_Mantenimiento tasas'!$D$57/360,""))),5)</f>
        <v>0</v>
      </c>
      <c r="E313" s="121">
        <f>ROUND(IF(C313&lt;='FR_Mantenimiento tasas'!$C$55,'Tabla Ahorro Futuro Reservas'!C313*'FR_Mantenimiento tasas'!$E$55/360,IF(C313&lt;='FR_Mantenimiento tasas'!$C$56,'Tabla Ahorro Futuro Reservas'!C313*'FR_Mantenimiento tasas'!$E$56/360,IF(C313&lt;='FR_Mantenimiento tasas'!$C$57,'Tabla Ahorro Futuro Reservas'!C313*'FR_Mantenimiento tasas'!$E$57/360,""))),5)</f>
        <v>0</v>
      </c>
    </row>
    <row r="314" spans="1:5">
      <c r="A314" s="123">
        <f t="shared" si="8"/>
        <v>312</v>
      </c>
      <c r="B314" s="122">
        <f>IF(DAY(A314)=DAY('F-Ahorro Futuro Reservas'!$H$10),'F-Ahorro Futuro Reservas'!$H$9,0)</f>
        <v>0</v>
      </c>
      <c r="C314" s="122">
        <f t="shared" si="9"/>
        <v>0</v>
      </c>
      <c r="D314" s="121">
        <f>ROUND(IF(C314&lt;='FR_Mantenimiento tasas'!$C$55,'Tabla Ahorro Futuro Reservas'!C314*'FR_Mantenimiento tasas'!$D$55/360,IF(C314&lt;='FR_Mantenimiento tasas'!$C$56,'Tabla Ahorro Futuro Reservas'!C314*'FR_Mantenimiento tasas'!$D$56/360,IF(C314&lt;='FR_Mantenimiento tasas'!$C$57,'Tabla Ahorro Futuro Reservas'!C314*'FR_Mantenimiento tasas'!$D$57/360,""))),5)</f>
        <v>0</v>
      </c>
      <c r="E314" s="121">
        <f>ROUND(IF(C314&lt;='FR_Mantenimiento tasas'!$C$55,'Tabla Ahorro Futuro Reservas'!C314*'FR_Mantenimiento tasas'!$E$55/360,IF(C314&lt;='FR_Mantenimiento tasas'!$C$56,'Tabla Ahorro Futuro Reservas'!C314*'FR_Mantenimiento tasas'!$E$56/360,IF(C314&lt;='FR_Mantenimiento tasas'!$C$57,'Tabla Ahorro Futuro Reservas'!C314*'FR_Mantenimiento tasas'!$E$57/360,""))),5)</f>
        <v>0</v>
      </c>
    </row>
    <row r="315" spans="1:5">
      <c r="A315" s="123">
        <f t="shared" si="8"/>
        <v>313</v>
      </c>
      <c r="B315" s="122">
        <f>IF(DAY(A315)=DAY('F-Ahorro Futuro Reservas'!$H$10),'F-Ahorro Futuro Reservas'!$H$9,0)</f>
        <v>0</v>
      </c>
      <c r="C315" s="122">
        <f t="shared" si="9"/>
        <v>0</v>
      </c>
      <c r="D315" s="121">
        <f>ROUND(IF(C315&lt;='FR_Mantenimiento tasas'!$C$55,'Tabla Ahorro Futuro Reservas'!C315*'FR_Mantenimiento tasas'!$D$55/360,IF(C315&lt;='FR_Mantenimiento tasas'!$C$56,'Tabla Ahorro Futuro Reservas'!C315*'FR_Mantenimiento tasas'!$D$56/360,IF(C315&lt;='FR_Mantenimiento tasas'!$C$57,'Tabla Ahorro Futuro Reservas'!C315*'FR_Mantenimiento tasas'!$D$57/360,""))),5)</f>
        <v>0</v>
      </c>
      <c r="E315" s="121">
        <f>ROUND(IF(C315&lt;='FR_Mantenimiento tasas'!$C$55,'Tabla Ahorro Futuro Reservas'!C315*'FR_Mantenimiento tasas'!$E$55/360,IF(C315&lt;='FR_Mantenimiento tasas'!$C$56,'Tabla Ahorro Futuro Reservas'!C315*'FR_Mantenimiento tasas'!$E$56/360,IF(C315&lt;='FR_Mantenimiento tasas'!$C$57,'Tabla Ahorro Futuro Reservas'!C315*'FR_Mantenimiento tasas'!$E$57/360,""))),5)</f>
        <v>0</v>
      </c>
    </row>
    <row r="316" spans="1:5">
      <c r="A316" s="123">
        <f t="shared" si="8"/>
        <v>314</v>
      </c>
      <c r="B316" s="122">
        <f>IF(DAY(A316)=DAY('F-Ahorro Futuro Reservas'!$H$10),'F-Ahorro Futuro Reservas'!$H$9,0)</f>
        <v>0</v>
      </c>
      <c r="C316" s="122">
        <f t="shared" si="9"/>
        <v>0</v>
      </c>
      <c r="D316" s="121">
        <f>ROUND(IF(C316&lt;='FR_Mantenimiento tasas'!$C$55,'Tabla Ahorro Futuro Reservas'!C316*'FR_Mantenimiento tasas'!$D$55/360,IF(C316&lt;='FR_Mantenimiento tasas'!$C$56,'Tabla Ahorro Futuro Reservas'!C316*'FR_Mantenimiento tasas'!$D$56/360,IF(C316&lt;='FR_Mantenimiento tasas'!$C$57,'Tabla Ahorro Futuro Reservas'!C316*'FR_Mantenimiento tasas'!$D$57/360,""))),5)</f>
        <v>0</v>
      </c>
      <c r="E316" s="121">
        <f>ROUND(IF(C316&lt;='FR_Mantenimiento tasas'!$C$55,'Tabla Ahorro Futuro Reservas'!C316*'FR_Mantenimiento tasas'!$E$55/360,IF(C316&lt;='FR_Mantenimiento tasas'!$C$56,'Tabla Ahorro Futuro Reservas'!C316*'FR_Mantenimiento tasas'!$E$56/360,IF(C316&lt;='FR_Mantenimiento tasas'!$C$57,'Tabla Ahorro Futuro Reservas'!C316*'FR_Mantenimiento tasas'!$E$57/360,""))),5)</f>
        <v>0</v>
      </c>
    </row>
    <row r="317" spans="1:5">
      <c r="A317" s="123">
        <f t="shared" si="8"/>
        <v>315</v>
      </c>
      <c r="B317" s="122">
        <f>IF(DAY(A317)=DAY('F-Ahorro Futuro Reservas'!$H$10),'F-Ahorro Futuro Reservas'!$H$9,0)</f>
        <v>0</v>
      </c>
      <c r="C317" s="122">
        <f t="shared" si="9"/>
        <v>0</v>
      </c>
      <c r="D317" s="121">
        <f>ROUND(IF(C317&lt;='FR_Mantenimiento tasas'!$C$55,'Tabla Ahorro Futuro Reservas'!C317*'FR_Mantenimiento tasas'!$D$55/360,IF(C317&lt;='FR_Mantenimiento tasas'!$C$56,'Tabla Ahorro Futuro Reservas'!C317*'FR_Mantenimiento tasas'!$D$56/360,IF(C317&lt;='FR_Mantenimiento tasas'!$C$57,'Tabla Ahorro Futuro Reservas'!C317*'FR_Mantenimiento tasas'!$D$57/360,""))),5)</f>
        <v>0</v>
      </c>
      <c r="E317" s="121">
        <f>ROUND(IF(C317&lt;='FR_Mantenimiento tasas'!$C$55,'Tabla Ahorro Futuro Reservas'!C317*'FR_Mantenimiento tasas'!$E$55/360,IF(C317&lt;='FR_Mantenimiento tasas'!$C$56,'Tabla Ahorro Futuro Reservas'!C317*'FR_Mantenimiento tasas'!$E$56/360,IF(C317&lt;='FR_Mantenimiento tasas'!$C$57,'Tabla Ahorro Futuro Reservas'!C317*'FR_Mantenimiento tasas'!$E$57/360,""))),5)</f>
        <v>0</v>
      </c>
    </row>
    <row r="318" spans="1:5">
      <c r="A318" s="123">
        <f t="shared" si="8"/>
        <v>316</v>
      </c>
      <c r="B318" s="122">
        <f>IF(DAY(A318)=DAY('F-Ahorro Futuro Reservas'!$H$10),'F-Ahorro Futuro Reservas'!$H$9,0)</f>
        <v>0</v>
      </c>
      <c r="C318" s="122">
        <f t="shared" si="9"/>
        <v>0</v>
      </c>
      <c r="D318" s="121">
        <f>ROUND(IF(C318&lt;='FR_Mantenimiento tasas'!$C$55,'Tabla Ahorro Futuro Reservas'!C318*'FR_Mantenimiento tasas'!$D$55/360,IF(C318&lt;='FR_Mantenimiento tasas'!$C$56,'Tabla Ahorro Futuro Reservas'!C318*'FR_Mantenimiento tasas'!$D$56/360,IF(C318&lt;='FR_Mantenimiento tasas'!$C$57,'Tabla Ahorro Futuro Reservas'!C318*'FR_Mantenimiento tasas'!$D$57/360,""))),5)</f>
        <v>0</v>
      </c>
      <c r="E318" s="121">
        <f>ROUND(IF(C318&lt;='FR_Mantenimiento tasas'!$C$55,'Tabla Ahorro Futuro Reservas'!C318*'FR_Mantenimiento tasas'!$E$55/360,IF(C318&lt;='FR_Mantenimiento tasas'!$C$56,'Tabla Ahorro Futuro Reservas'!C318*'FR_Mantenimiento tasas'!$E$56/360,IF(C318&lt;='FR_Mantenimiento tasas'!$C$57,'Tabla Ahorro Futuro Reservas'!C318*'FR_Mantenimiento tasas'!$E$57/360,""))),5)</f>
        <v>0</v>
      </c>
    </row>
    <row r="319" spans="1:5">
      <c r="A319" s="123">
        <f t="shared" si="8"/>
        <v>317</v>
      </c>
      <c r="B319" s="122">
        <f>IF(DAY(A319)=DAY('F-Ahorro Futuro Reservas'!$H$10),'F-Ahorro Futuro Reservas'!$H$9,0)</f>
        <v>0</v>
      </c>
      <c r="C319" s="122">
        <f t="shared" si="9"/>
        <v>0</v>
      </c>
      <c r="D319" s="121">
        <f>ROUND(IF(C319&lt;='FR_Mantenimiento tasas'!$C$55,'Tabla Ahorro Futuro Reservas'!C319*'FR_Mantenimiento tasas'!$D$55/360,IF(C319&lt;='FR_Mantenimiento tasas'!$C$56,'Tabla Ahorro Futuro Reservas'!C319*'FR_Mantenimiento tasas'!$D$56/360,IF(C319&lt;='FR_Mantenimiento tasas'!$C$57,'Tabla Ahorro Futuro Reservas'!C319*'FR_Mantenimiento tasas'!$D$57/360,""))),5)</f>
        <v>0</v>
      </c>
      <c r="E319" s="121">
        <f>ROUND(IF(C319&lt;='FR_Mantenimiento tasas'!$C$55,'Tabla Ahorro Futuro Reservas'!C319*'FR_Mantenimiento tasas'!$E$55/360,IF(C319&lt;='FR_Mantenimiento tasas'!$C$56,'Tabla Ahorro Futuro Reservas'!C319*'FR_Mantenimiento tasas'!$E$56/360,IF(C319&lt;='FR_Mantenimiento tasas'!$C$57,'Tabla Ahorro Futuro Reservas'!C319*'FR_Mantenimiento tasas'!$E$57/360,""))),5)</f>
        <v>0</v>
      </c>
    </row>
    <row r="320" spans="1:5">
      <c r="A320" s="123">
        <f t="shared" si="8"/>
        <v>318</v>
      </c>
      <c r="B320" s="122">
        <f>IF(DAY(A320)=DAY('F-Ahorro Futuro Reservas'!$H$10),'F-Ahorro Futuro Reservas'!$H$9,0)</f>
        <v>0</v>
      </c>
      <c r="C320" s="122">
        <f t="shared" si="9"/>
        <v>0</v>
      </c>
      <c r="D320" s="121">
        <f>ROUND(IF(C320&lt;='FR_Mantenimiento tasas'!$C$55,'Tabla Ahorro Futuro Reservas'!C320*'FR_Mantenimiento tasas'!$D$55/360,IF(C320&lt;='FR_Mantenimiento tasas'!$C$56,'Tabla Ahorro Futuro Reservas'!C320*'FR_Mantenimiento tasas'!$D$56/360,IF(C320&lt;='FR_Mantenimiento tasas'!$C$57,'Tabla Ahorro Futuro Reservas'!C320*'FR_Mantenimiento tasas'!$D$57/360,""))),5)</f>
        <v>0</v>
      </c>
      <c r="E320" s="121">
        <f>ROUND(IF(C320&lt;='FR_Mantenimiento tasas'!$C$55,'Tabla Ahorro Futuro Reservas'!C320*'FR_Mantenimiento tasas'!$E$55/360,IF(C320&lt;='FR_Mantenimiento tasas'!$C$56,'Tabla Ahorro Futuro Reservas'!C320*'FR_Mantenimiento tasas'!$E$56/360,IF(C320&lt;='FR_Mantenimiento tasas'!$C$57,'Tabla Ahorro Futuro Reservas'!C320*'FR_Mantenimiento tasas'!$E$57/360,""))),5)</f>
        <v>0</v>
      </c>
    </row>
    <row r="321" spans="1:5">
      <c r="A321" s="123">
        <f t="shared" si="8"/>
        <v>319</v>
      </c>
      <c r="B321" s="122">
        <f>IF(DAY(A321)=DAY('F-Ahorro Futuro Reservas'!$H$10),'F-Ahorro Futuro Reservas'!$H$9,0)</f>
        <v>0</v>
      </c>
      <c r="C321" s="122">
        <f t="shared" si="9"/>
        <v>0</v>
      </c>
      <c r="D321" s="121">
        <f>ROUND(IF(C321&lt;='FR_Mantenimiento tasas'!$C$55,'Tabla Ahorro Futuro Reservas'!C321*'FR_Mantenimiento tasas'!$D$55/360,IF(C321&lt;='FR_Mantenimiento tasas'!$C$56,'Tabla Ahorro Futuro Reservas'!C321*'FR_Mantenimiento tasas'!$D$56/360,IF(C321&lt;='FR_Mantenimiento tasas'!$C$57,'Tabla Ahorro Futuro Reservas'!C321*'FR_Mantenimiento tasas'!$D$57/360,""))),5)</f>
        <v>0</v>
      </c>
      <c r="E321" s="121">
        <f>ROUND(IF(C321&lt;='FR_Mantenimiento tasas'!$C$55,'Tabla Ahorro Futuro Reservas'!C321*'FR_Mantenimiento tasas'!$E$55/360,IF(C321&lt;='FR_Mantenimiento tasas'!$C$56,'Tabla Ahorro Futuro Reservas'!C321*'FR_Mantenimiento tasas'!$E$56/360,IF(C321&lt;='FR_Mantenimiento tasas'!$C$57,'Tabla Ahorro Futuro Reservas'!C321*'FR_Mantenimiento tasas'!$E$57/360,""))),5)</f>
        <v>0</v>
      </c>
    </row>
    <row r="322" spans="1:5">
      <c r="A322" s="123">
        <f t="shared" si="8"/>
        <v>320</v>
      </c>
      <c r="B322" s="122">
        <f>IF(DAY(A322)=DAY('F-Ahorro Futuro Reservas'!$H$10),'F-Ahorro Futuro Reservas'!$H$9,0)</f>
        <v>0</v>
      </c>
      <c r="C322" s="122">
        <f t="shared" si="9"/>
        <v>0</v>
      </c>
      <c r="D322" s="121">
        <f>ROUND(IF(C322&lt;='FR_Mantenimiento tasas'!$C$55,'Tabla Ahorro Futuro Reservas'!C322*'FR_Mantenimiento tasas'!$D$55/360,IF(C322&lt;='FR_Mantenimiento tasas'!$C$56,'Tabla Ahorro Futuro Reservas'!C322*'FR_Mantenimiento tasas'!$D$56/360,IF(C322&lt;='FR_Mantenimiento tasas'!$C$57,'Tabla Ahorro Futuro Reservas'!C322*'FR_Mantenimiento tasas'!$D$57/360,""))),5)</f>
        <v>0</v>
      </c>
      <c r="E322" s="121">
        <f>ROUND(IF(C322&lt;='FR_Mantenimiento tasas'!$C$55,'Tabla Ahorro Futuro Reservas'!C322*'FR_Mantenimiento tasas'!$E$55/360,IF(C322&lt;='FR_Mantenimiento tasas'!$C$56,'Tabla Ahorro Futuro Reservas'!C322*'FR_Mantenimiento tasas'!$E$56/360,IF(C322&lt;='FR_Mantenimiento tasas'!$C$57,'Tabla Ahorro Futuro Reservas'!C322*'FR_Mantenimiento tasas'!$E$57/360,""))),5)</f>
        <v>0</v>
      </c>
    </row>
    <row r="323" spans="1:5">
      <c r="A323" s="123">
        <f t="shared" si="8"/>
        <v>321</v>
      </c>
      <c r="B323" s="122">
        <f>IF(DAY(A323)=DAY('F-Ahorro Futuro Reservas'!$H$10),'F-Ahorro Futuro Reservas'!$H$9,0)</f>
        <v>0</v>
      </c>
      <c r="C323" s="122">
        <f t="shared" si="9"/>
        <v>0</v>
      </c>
      <c r="D323" s="121">
        <f>ROUND(IF(C323&lt;='FR_Mantenimiento tasas'!$C$55,'Tabla Ahorro Futuro Reservas'!C323*'FR_Mantenimiento tasas'!$D$55/360,IF(C323&lt;='FR_Mantenimiento tasas'!$C$56,'Tabla Ahorro Futuro Reservas'!C323*'FR_Mantenimiento tasas'!$D$56/360,IF(C323&lt;='FR_Mantenimiento tasas'!$C$57,'Tabla Ahorro Futuro Reservas'!C323*'FR_Mantenimiento tasas'!$D$57/360,""))),5)</f>
        <v>0</v>
      </c>
      <c r="E323" s="121">
        <f>ROUND(IF(C323&lt;='FR_Mantenimiento tasas'!$C$55,'Tabla Ahorro Futuro Reservas'!C323*'FR_Mantenimiento tasas'!$E$55/360,IF(C323&lt;='FR_Mantenimiento tasas'!$C$56,'Tabla Ahorro Futuro Reservas'!C323*'FR_Mantenimiento tasas'!$E$56/360,IF(C323&lt;='FR_Mantenimiento tasas'!$C$57,'Tabla Ahorro Futuro Reservas'!C323*'FR_Mantenimiento tasas'!$E$57/360,""))),5)</f>
        <v>0</v>
      </c>
    </row>
    <row r="324" spans="1:5">
      <c r="A324" s="123">
        <f t="shared" ref="A324:A387" si="10">+A323+1</f>
        <v>322</v>
      </c>
      <c r="B324" s="122">
        <f>IF(DAY(A324)=DAY('F-Ahorro Futuro Reservas'!$H$10),'F-Ahorro Futuro Reservas'!$H$9,0)</f>
        <v>0</v>
      </c>
      <c r="C324" s="122">
        <f t="shared" ref="C324:C387" si="11">+B324+C323+D323</f>
        <v>0</v>
      </c>
      <c r="D324" s="121">
        <f>ROUND(IF(C324&lt;='FR_Mantenimiento tasas'!$C$55,'Tabla Ahorro Futuro Reservas'!C324*'FR_Mantenimiento tasas'!$D$55/360,IF(C324&lt;='FR_Mantenimiento tasas'!$C$56,'Tabla Ahorro Futuro Reservas'!C324*'FR_Mantenimiento tasas'!$D$56/360,IF(C324&lt;='FR_Mantenimiento tasas'!$C$57,'Tabla Ahorro Futuro Reservas'!C324*'FR_Mantenimiento tasas'!$D$57/360,""))),5)</f>
        <v>0</v>
      </c>
      <c r="E324" s="121">
        <f>ROUND(IF(C324&lt;='FR_Mantenimiento tasas'!$C$55,'Tabla Ahorro Futuro Reservas'!C324*'FR_Mantenimiento tasas'!$E$55/360,IF(C324&lt;='FR_Mantenimiento tasas'!$C$56,'Tabla Ahorro Futuro Reservas'!C324*'FR_Mantenimiento tasas'!$E$56/360,IF(C324&lt;='FR_Mantenimiento tasas'!$C$57,'Tabla Ahorro Futuro Reservas'!C324*'FR_Mantenimiento tasas'!$E$57/360,""))),5)</f>
        <v>0</v>
      </c>
    </row>
    <row r="325" spans="1:5">
      <c r="A325" s="123">
        <f t="shared" si="10"/>
        <v>323</v>
      </c>
      <c r="B325" s="122">
        <f>IF(DAY(A325)=DAY('F-Ahorro Futuro Reservas'!$H$10),'F-Ahorro Futuro Reservas'!$H$9,0)</f>
        <v>0</v>
      </c>
      <c r="C325" s="122">
        <f t="shared" si="11"/>
        <v>0</v>
      </c>
      <c r="D325" s="121">
        <f>ROUND(IF(C325&lt;='FR_Mantenimiento tasas'!$C$55,'Tabla Ahorro Futuro Reservas'!C325*'FR_Mantenimiento tasas'!$D$55/360,IF(C325&lt;='FR_Mantenimiento tasas'!$C$56,'Tabla Ahorro Futuro Reservas'!C325*'FR_Mantenimiento tasas'!$D$56/360,IF(C325&lt;='FR_Mantenimiento tasas'!$C$57,'Tabla Ahorro Futuro Reservas'!C325*'FR_Mantenimiento tasas'!$D$57/360,""))),5)</f>
        <v>0</v>
      </c>
      <c r="E325" s="121">
        <f>ROUND(IF(C325&lt;='FR_Mantenimiento tasas'!$C$55,'Tabla Ahorro Futuro Reservas'!C325*'FR_Mantenimiento tasas'!$E$55/360,IF(C325&lt;='FR_Mantenimiento tasas'!$C$56,'Tabla Ahorro Futuro Reservas'!C325*'FR_Mantenimiento tasas'!$E$56/360,IF(C325&lt;='FR_Mantenimiento tasas'!$C$57,'Tabla Ahorro Futuro Reservas'!C325*'FR_Mantenimiento tasas'!$E$57/360,""))),5)</f>
        <v>0</v>
      </c>
    </row>
    <row r="326" spans="1:5">
      <c r="A326" s="123">
        <f t="shared" si="10"/>
        <v>324</v>
      </c>
      <c r="B326" s="122">
        <f>IF(DAY(A326)=DAY('F-Ahorro Futuro Reservas'!$H$10),'F-Ahorro Futuro Reservas'!$H$9,0)</f>
        <v>0</v>
      </c>
      <c r="C326" s="122">
        <f t="shared" si="11"/>
        <v>0</v>
      </c>
      <c r="D326" s="121">
        <f>ROUND(IF(C326&lt;='FR_Mantenimiento tasas'!$C$55,'Tabla Ahorro Futuro Reservas'!C326*'FR_Mantenimiento tasas'!$D$55/360,IF(C326&lt;='FR_Mantenimiento tasas'!$C$56,'Tabla Ahorro Futuro Reservas'!C326*'FR_Mantenimiento tasas'!$D$56/360,IF(C326&lt;='FR_Mantenimiento tasas'!$C$57,'Tabla Ahorro Futuro Reservas'!C326*'FR_Mantenimiento tasas'!$D$57/360,""))),5)</f>
        <v>0</v>
      </c>
      <c r="E326" s="121">
        <f>ROUND(IF(C326&lt;='FR_Mantenimiento tasas'!$C$55,'Tabla Ahorro Futuro Reservas'!C326*'FR_Mantenimiento tasas'!$E$55/360,IF(C326&lt;='FR_Mantenimiento tasas'!$C$56,'Tabla Ahorro Futuro Reservas'!C326*'FR_Mantenimiento tasas'!$E$56/360,IF(C326&lt;='FR_Mantenimiento tasas'!$C$57,'Tabla Ahorro Futuro Reservas'!C326*'FR_Mantenimiento tasas'!$E$57/360,""))),5)</f>
        <v>0</v>
      </c>
    </row>
    <row r="327" spans="1:5">
      <c r="A327" s="123">
        <f t="shared" si="10"/>
        <v>325</v>
      </c>
      <c r="B327" s="122">
        <f>IF(DAY(A327)=DAY('F-Ahorro Futuro Reservas'!$H$10),'F-Ahorro Futuro Reservas'!$H$9,0)</f>
        <v>0</v>
      </c>
      <c r="C327" s="122">
        <f t="shared" si="11"/>
        <v>0</v>
      </c>
      <c r="D327" s="121">
        <f>ROUND(IF(C327&lt;='FR_Mantenimiento tasas'!$C$55,'Tabla Ahorro Futuro Reservas'!C327*'FR_Mantenimiento tasas'!$D$55/360,IF(C327&lt;='FR_Mantenimiento tasas'!$C$56,'Tabla Ahorro Futuro Reservas'!C327*'FR_Mantenimiento tasas'!$D$56/360,IF(C327&lt;='FR_Mantenimiento tasas'!$C$57,'Tabla Ahorro Futuro Reservas'!C327*'FR_Mantenimiento tasas'!$D$57/360,""))),5)</f>
        <v>0</v>
      </c>
      <c r="E327" s="121">
        <f>ROUND(IF(C327&lt;='FR_Mantenimiento tasas'!$C$55,'Tabla Ahorro Futuro Reservas'!C327*'FR_Mantenimiento tasas'!$E$55/360,IF(C327&lt;='FR_Mantenimiento tasas'!$C$56,'Tabla Ahorro Futuro Reservas'!C327*'FR_Mantenimiento tasas'!$E$56/360,IF(C327&lt;='FR_Mantenimiento tasas'!$C$57,'Tabla Ahorro Futuro Reservas'!C327*'FR_Mantenimiento tasas'!$E$57/360,""))),5)</f>
        <v>0</v>
      </c>
    </row>
    <row r="328" spans="1:5">
      <c r="A328" s="123">
        <f t="shared" si="10"/>
        <v>326</v>
      </c>
      <c r="B328" s="122">
        <f>IF(DAY(A328)=DAY('F-Ahorro Futuro Reservas'!$H$10),'F-Ahorro Futuro Reservas'!$H$9,0)</f>
        <v>0</v>
      </c>
      <c r="C328" s="122">
        <f t="shared" si="11"/>
        <v>0</v>
      </c>
      <c r="D328" s="121">
        <f>ROUND(IF(C328&lt;='FR_Mantenimiento tasas'!$C$55,'Tabla Ahorro Futuro Reservas'!C328*'FR_Mantenimiento tasas'!$D$55/360,IF(C328&lt;='FR_Mantenimiento tasas'!$C$56,'Tabla Ahorro Futuro Reservas'!C328*'FR_Mantenimiento tasas'!$D$56/360,IF(C328&lt;='FR_Mantenimiento tasas'!$C$57,'Tabla Ahorro Futuro Reservas'!C328*'FR_Mantenimiento tasas'!$D$57/360,""))),5)</f>
        <v>0</v>
      </c>
      <c r="E328" s="121">
        <f>ROUND(IF(C328&lt;='FR_Mantenimiento tasas'!$C$55,'Tabla Ahorro Futuro Reservas'!C328*'FR_Mantenimiento tasas'!$E$55/360,IF(C328&lt;='FR_Mantenimiento tasas'!$C$56,'Tabla Ahorro Futuro Reservas'!C328*'FR_Mantenimiento tasas'!$E$56/360,IF(C328&lt;='FR_Mantenimiento tasas'!$C$57,'Tabla Ahorro Futuro Reservas'!C328*'FR_Mantenimiento tasas'!$E$57/360,""))),5)</f>
        <v>0</v>
      </c>
    </row>
    <row r="329" spans="1:5">
      <c r="A329" s="123">
        <f t="shared" si="10"/>
        <v>327</v>
      </c>
      <c r="B329" s="122">
        <f>IF(DAY(A329)=DAY('F-Ahorro Futuro Reservas'!$H$10),'F-Ahorro Futuro Reservas'!$H$9,0)</f>
        <v>0</v>
      </c>
      <c r="C329" s="122">
        <f t="shared" si="11"/>
        <v>0</v>
      </c>
      <c r="D329" s="121">
        <f>ROUND(IF(C329&lt;='FR_Mantenimiento tasas'!$C$55,'Tabla Ahorro Futuro Reservas'!C329*'FR_Mantenimiento tasas'!$D$55/360,IF(C329&lt;='FR_Mantenimiento tasas'!$C$56,'Tabla Ahorro Futuro Reservas'!C329*'FR_Mantenimiento tasas'!$D$56/360,IF(C329&lt;='FR_Mantenimiento tasas'!$C$57,'Tabla Ahorro Futuro Reservas'!C329*'FR_Mantenimiento tasas'!$D$57/360,""))),5)</f>
        <v>0</v>
      </c>
      <c r="E329" s="121">
        <f>ROUND(IF(C329&lt;='FR_Mantenimiento tasas'!$C$55,'Tabla Ahorro Futuro Reservas'!C329*'FR_Mantenimiento tasas'!$E$55/360,IF(C329&lt;='FR_Mantenimiento tasas'!$C$56,'Tabla Ahorro Futuro Reservas'!C329*'FR_Mantenimiento tasas'!$E$56/360,IF(C329&lt;='FR_Mantenimiento tasas'!$C$57,'Tabla Ahorro Futuro Reservas'!C329*'FR_Mantenimiento tasas'!$E$57/360,""))),5)</f>
        <v>0</v>
      </c>
    </row>
    <row r="330" spans="1:5">
      <c r="A330" s="123">
        <f t="shared" si="10"/>
        <v>328</v>
      </c>
      <c r="B330" s="122">
        <f>IF(DAY(A330)=DAY('F-Ahorro Futuro Reservas'!$H$10),'F-Ahorro Futuro Reservas'!$H$9,0)</f>
        <v>0</v>
      </c>
      <c r="C330" s="122">
        <f t="shared" si="11"/>
        <v>0</v>
      </c>
      <c r="D330" s="121">
        <f>ROUND(IF(C330&lt;='FR_Mantenimiento tasas'!$C$55,'Tabla Ahorro Futuro Reservas'!C330*'FR_Mantenimiento tasas'!$D$55/360,IF(C330&lt;='FR_Mantenimiento tasas'!$C$56,'Tabla Ahorro Futuro Reservas'!C330*'FR_Mantenimiento tasas'!$D$56/360,IF(C330&lt;='FR_Mantenimiento tasas'!$C$57,'Tabla Ahorro Futuro Reservas'!C330*'FR_Mantenimiento tasas'!$D$57/360,""))),5)</f>
        <v>0</v>
      </c>
      <c r="E330" s="121">
        <f>ROUND(IF(C330&lt;='FR_Mantenimiento tasas'!$C$55,'Tabla Ahorro Futuro Reservas'!C330*'FR_Mantenimiento tasas'!$E$55/360,IF(C330&lt;='FR_Mantenimiento tasas'!$C$56,'Tabla Ahorro Futuro Reservas'!C330*'FR_Mantenimiento tasas'!$E$56/360,IF(C330&lt;='FR_Mantenimiento tasas'!$C$57,'Tabla Ahorro Futuro Reservas'!C330*'FR_Mantenimiento tasas'!$E$57/360,""))),5)</f>
        <v>0</v>
      </c>
    </row>
    <row r="331" spans="1:5">
      <c r="A331" s="123">
        <f t="shared" si="10"/>
        <v>329</v>
      </c>
      <c r="B331" s="122">
        <f>IF(DAY(A331)=DAY('F-Ahorro Futuro Reservas'!$H$10),'F-Ahorro Futuro Reservas'!$H$9,0)</f>
        <v>0</v>
      </c>
      <c r="C331" s="122">
        <f t="shared" si="11"/>
        <v>0</v>
      </c>
      <c r="D331" s="121">
        <f>ROUND(IF(C331&lt;='FR_Mantenimiento tasas'!$C$55,'Tabla Ahorro Futuro Reservas'!C331*'FR_Mantenimiento tasas'!$D$55/360,IF(C331&lt;='FR_Mantenimiento tasas'!$C$56,'Tabla Ahorro Futuro Reservas'!C331*'FR_Mantenimiento tasas'!$D$56/360,IF(C331&lt;='FR_Mantenimiento tasas'!$C$57,'Tabla Ahorro Futuro Reservas'!C331*'FR_Mantenimiento tasas'!$D$57/360,""))),5)</f>
        <v>0</v>
      </c>
      <c r="E331" s="121">
        <f>ROUND(IF(C331&lt;='FR_Mantenimiento tasas'!$C$55,'Tabla Ahorro Futuro Reservas'!C331*'FR_Mantenimiento tasas'!$E$55/360,IF(C331&lt;='FR_Mantenimiento tasas'!$C$56,'Tabla Ahorro Futuro Reservas'!C331*'FR_Mantenimiento tasas'!$E$56/360,IF(C331&lt;='FR_Mantenimiento tasas'!$C$57,'Tabla Ahorro Futuro Reservas'!C331*'FR_Mantenimiento tasas'!$E$57/360,""))),5)</f>
        <v>0</v>
      </c>
    </row>
    <row r="332" spans="1:5">
      <c r="A332" s="123">
        <f t="shared" si="10"/>
        <v>330</v>
      </c>
      <c r="B332" s="122">
        <f>IF(DAY(A332)=DAY('F-Ahorro Futuro Reservas'!$H$10),'F-Ahorro Futuro Reservas'!$H$9,0)</f>
        <v>0</v>
      </c>
      <c r="C332" s="122">
        <f t="shared" si="11"/>
        <v>0</v>
      </c>
      <c r="D332" s="121">
        <f>ROUND(IF(C332&lt;='FR_Mantenimiento tasas'!$C$55,'Tabla Ahorro Futuro Reservas'!C332*'FR_Mantenimiento tasas'!$D$55/360,IF(C332&lt;='FR_Mantenimiento tasas'!$C$56,'Tabla Ahorro Futuro Reservas'!C332*'FR_Mantenimiento tasas'!$D$56/360,IF(C332&lt;='FR_Mantenimiento tasas'!$C$57,'Tabla Ahorro Futuro Reservas'!C332*'FR_Mantenimiento tasas'!$D$57/360,""))),5)</f>
        <v>0</v>
      </c>
      <c r="E332" s="121">
        <f>ROUND(IF(C332&lt;='FR_Mantenimiento tasas'!$C$55,'Tabla Ahorro Futuro Reservas'!C332*'FR_Mantenimiento tasas'!$E$55/360,IF(C332&lt;='FR_Mantenimiento tasas'!$C$56,'Tabla Ahorro Futuro Reservas'!C332*'FR_Mantenimiento tasas'!$E$56/360,IF(C332&lt;='FR_Mantenimiento tasas'!$C$57,'Tabla Ahorro Futuro Reservas'!C332*'FR_Mantenimiento tasas'!$E$57/360,""))),5)</f>
        <v>0</v>
      </c>
    </row>
    <row r="333" spans="1:5">
      <c r="A333" s="123">
        <f t="shared" si="10"/>
        <v>331</v>
      </c>
      <c r="B333" s="122">
        <f>IF(DAY(A333)=DAY('F-Ahorro Futuro Reservas'!$H$10),'F-Ahorro Futuro Reservas'!$H$9,0)</f>
        <v>0</v>
      </c>
      <c r="C333" s="122">
        <f t="shared" si="11"/>
        <v>0</v>
      </c>
      <c r="D333" s="121">
        <f>ROUND(IF(C333&lt;='FR_Mantenimiento tasas'!$C$55,'Tabla Ahorro Futuro Reservas'!C333*'FR_Mantenimiento tasas'!$D$55/360,IF(C333&lt;='FR_Mantenimiento tasas'!$C$56,'Tabla Ahorro Futuro Reservas'!C333*'FR_Mantenimiento tasas'!$D$56/360,IF(C333&lt;='FR_Mantenimiento tasas'!$C$57,'Tabla Ahorro Futuro Reservas'!C333*'FR_Mantenimiento tasas'!$D$57/360,""))),5)</f>
        <v>0</v>
      </c>
      <c r="E333" s="121">
        <f>ROUND(IF(C333&lt;='FR_Mantenimiento tasas'!$C$55,'Tabla Ahorro Futuro Reservas'!C333*'FR_Mantenimiento tasas'!$E$55/360,IF(C333&lt;='FR_Mantenimiento tasas'!$C$56,'Tabla Ahorro Futuro Reservas'!C333*'FR_Mantenimiento tasas'!$E$56/360,IF(C333&lt;='FR_Mantenimiento tasas'!$C$57,'Tabla Ahorro Futuro Reservas'!C333*'FR_Mantenimiento tasas'!$E$57/360,""))),5)</f>
        <v>0</v>
      </c>
    </row>
    <row r="334" spans="1:5">
      <c r="A334" s="123">
        <f t="shared" si="10"/>
        <v>332</v>
      </c>
      <c r="B334" s="122">
        <f>IF(DAY(A334)=DAY('F-Ahorro Futuro Reservas'!$H$10),'F-Ahorro Futuro Reservas'!$H$9,0)</f>
        <v>0</v>
      </c>
      <c r="C334" s="122">
        <f t="shared" si="11"/>
        <v>0</v>
      </c>
      <c r="D334" s="121">
        <f>ROUND(IF(C334&lt;='FR_Mantenimiento tasas'!$C$55,'Tabla Ahorro Futuro Reservas'!C334*'FR_Mantenimiento tasas'!$D$55/360,IF(C334&lt;='FR_Mantenimiento tasas'!$C$56,'Tabla Ahorro Futuro Reservas'!C334*'FR_Mantenimiento tasas'!$D$56/360,IF(C334&lt;='FR_Mantenimiento tasas'!$C$57,'Tabla Ahorro Futuro Reservas'!C334*'FR_Mantenimiento tasas'!$D$57/360,""))),5)</f>
        <v>0</v>
      </c>
      <c r="E334" s="121">
        <f>ROUND(IF(C334&lt;='FR_Mantenimiento tasas'!$C$55,'Tabla Ahorro Futuro Reservas'!C334*'FR_Mantenimiento tasas'!$E$55/360,IF(C334&lt;='FR_Mantenimiento tasas'!$C$56,'Tabla Ahorro Futuro Reservas'!C334*'FR_Mantenimiento tasas'!$E$56/360,IF(C334&lt;='FR_Mantenimiento tasas'!$C$57,'Tabla Ahorro Futuro Reservas'!C334*'FR_Mantenimiento tasas'!$E$57/360,""))),5)</f>
        <v>0</v>
      </c>
    </row>
    <row r="335" spans="1:5">
      <c r="A335" s="123">
        <f t="shared" si="10"/>
        <v>333</v>
      </c>
      <c r="B335" s="122">
        <f>IF(DAY(A335)=DAY('F-Ahorro Futuro Reservas'!$H$10),'F-Ahorro Futuro Reservas'!$H$9,0)</f>
        <v>0</v>
      </c>
      <c r="C335" s="122">
        <f t="shared" si="11"/>
        <v>0</v>
      </c>
      <c r="D335" s="121">
        <f>ROUND(IF(C335&lt;='FR_Mantenimiento tasas'!$C$55,'Tabla Ahorro Futuro Reservas'!C335*'FR_Mantenimiento tasas'!$D$55/360,IF(C335&lt;='FR_Mantenimiento tasas'!$C$56,'Tabla Ahorro Futuro Reservas'!C335*'FR_Mantenimiento tasas'!$D$56/360,IF(C335&lt;='FR_Mantenimiento tasas'!$C$57,'Tabla Ahorro Futuro Reservas'!C335*'FR_Mantenimiento tasas'!$D$57/360,""))),5)</f>
        <v>0</v>
      </c>
      <c r="E335" s="121">
        <f>ROUND(IF(C335&lt;='FR_Mantenimiento tasas'!$C$55,'Tabla Ahorro Futuro Reservas'!C335*'FR_Mantenimiento tasas'!$E$55/360,IF(C335&lt;='FR_Mantenimiento tasas'!$C$56,'Tabla Ahorro Futuro Reservas'!C335*'FR_Mantenimiento tasas'!$E$56/360,IF(C335&lt;='FR_Mantenimiento tasas'!$C$57,'Tabla Ahorro Futuro Reservas'!C335*'FR_Mantenimiento tasas'!$E$57/360,""))),5)</f>
        <v>0</v>
      </c>
    </row>
    <row r="336" spans="1:5">
      <c r="A336" s="123">
        <f t="shared" si="10"/>
        <v>334</v>
      </c>
      <c r="B336" s="122">
        <f>IF(DAY(A336)=DAY('F-Ahorro Futuro Reservas'!$H$10),'F-Ahorro Futuro Reservas'!$H$9,0)</f>
        <v>0</v>
      </c>
      <c r="C336" s="122">
        <f t="shared" si="11"/>
        <v>0</v>
      </c>
      <c r="D336" s="121">
        <f>ROUND(IF(C336&lt;='FR_Mantenimiento tasas'!$C$55,'Tabla Ahorro Futuro Reservas'!C336*'FR_Mantenimiento tasas'!$D$55/360,IF(C336&lt;='FR_Mantenimiento tasas'!$C$56,'Tabla Ahorro Futuro Reservas'!C336*'FR_Mantenimiento tasas'!$D$56/360,IF(C336&lt;='FR_Mantenimiento tasas'!$C$57,'Tabla Ahorro Futuro Reservas'!C336*'FR_Mantenimiento tasas'!$D$57/360,""))),5)</f>
        <v>0</v>
      </c>
      <c r="E336" s="121">
        <f>ROUND(IF(C336&lt;='FR_Mantenimiento tasas'!$C$55,'Tabla Ahorro Futuro Reservas'!C336*'FR_Mantenimiento tasas'!$E$55/360,IF(C336&lt;='FR_Mantenimiento tasas'!$C$56,'Tabla Ahorro Futuro Reservas'!C336*'FR_Mantenimiento tasas'!$E$56/360,IF(C336&lt;='FR_Mantenimiento tasas'!$C$57,'Tabla Ahorro Futuro Reservas'!C336*'FR_Mantenimiento tasas'!$E$57/360,""))),5)</f>
        <v>0</v>
      </c>
    </row>
    <row r="337" spans="1:5">
      <c r="A337" s="123">
        <f t="shared" si="10"/>
        <v>335</v>
      </c>
      <c r="B337" s="122">
        <f>IF(DAY(A337)=DAY('F-Ahorro Futuro Reservas'!$H$10),'F-Ahorro Futuro Reservas'!$H$9,0)</f>
        <v>0</v>
      </c>
      <c r="C337" s="122">
        <f t="shared" si="11"/>
        <v>0</v>
      </c>
      <c r="D337" s="121">
        <f>ROUND(IF(C337&lt;='FR_Mantenimiento tasas'!$C$55,'Tabla Ahorro Futuro Reservas'!C337*'FR_Mantenimiento tasas'!$D$55/360,IF(C337&lt;='FR_Mantenimiento tasas'!$C$56,'Tabla Ahorro Futuro Reservas'!C337*'FR_Mantenimiento tasas'!$D$56/360,IF(C337&lt;='FR_Mantenimiento tasas'!$C$57,'Tabla Ahorro Futuro Reservas'!C337*'FR_Mantenimiento tasas'!$D$57/360,""))),5)</f>
        <v>0</v>
      </c>
      <c r="E337" s="121">
        <f>ROUND(IF(C337&lt;='FR_Mantenimiento tasas'!$C$55,'Tabla Ahorro Futuro Reservas'!C337*'FR_Mantenimiento tasas'!$E$55/360,IF(C337&lt;='FR_Mantenimiento tasas'!$C$56,'Tabla Ahorro Futuro Reservas'!C337*'FR_Mantenimiento tasas'!$E$56/360,IF(C337&lt;='FR_Mantenimiento tasas'!$C$57,'Tabla Ahorro Futuro Reservas'!C337*'FR_Mantenimiento tasas'!$E$57/360,""))),5)</f>
        <v>0</v>
      </c>
    </row>
    <row r="338" spans="1:5">
      <c r="A338" s="123">
        <f t="shared" si="10"/>
        <v>336</v>
      </c>
      <c r="B338" s="122">
        <f>IF(DAY(A338)=DAY('F-Ahorro Futuro Reservas'!$H$10),'F-Ahorro Futuro Reservas'!$H$9,0)</f>
        <v>0</v>
      </c>
      <c r="C338" s="122">
        <f t="shared" si="11"/>
        <v>0</v>
      </c>
      <c r="D338" s="121">
        <f>ROUND(IF(C338&lt;='FR_Mantenimiento tasas'!$C$55,'Tabla Ahorro Futuro Reservas'!C338*'FR_Mantenimiento tasas'!$D$55/360,IF(C338&lt;='FR_Mantenimiento tasas'!$C$56,'Tabla Ahorro Futuro Reservas'!C338*'FR_Mantenimiento tasas'!$D$56/360,IF(C338&lt;='FR_Mantenimiento tasas'!$C$57,'Tabla Ahorro Futuro Reservas'!C338*'FR_Mantenimiento tasas'!$D$57/360,""))),5)</f>
        <v>0</v>
      </c>
      <c r="E338" s="121">
        <f>ROUND(IF(C338&lt;='FR_Mantenimiento tasas'!$C$55,'Tabla Ahorro Futuro Reservas'!C338*'FR_Mantenimiento tasas'!$E$55/360,IF(C338&lt;='FR_Mantenimiento tasas'!$C$56,'Tabla Ahorro Futuro Reservas'!C338*'FR_Mantenimiento tasas'!$E$56/360,IF(C338&lt;='FR_Mantenimiento tasas'!$C$57,'Tabla Ahorro Futuro Reservas'!C338*'FR_Mantenimiento tasas'!$E$57/360,""))),5)</f>
        <v>0</v>
      </c>
    </row>
    <row r="339" spans="1:5">
      <c r="A339" s="123">
        <f t="shared" si="10"/>
        <v>337</v>
      </c>
      <c r="B339" s="122">
        <f>IF(DAY(A339)=DAY('F-Ahorro Futuro Reservas'!$H$10),'F-Ahorro Futuro Reservas'!$H$9,0)</f>
        <v>0</v>
      </c>
      <c r="C339" s="122">
        <f t="shared" si="11"/>
        <v>0</v>
      </c>
      <c r="D339" s="121">
        <f>ROUND(IF(C339&lt;='FR_Mantenimiento tasas'!$C$55,'Tabla Ahorro Futuro Reservas'!C339*'FR_Mantenimiento tasas'!$D$55/360,IF(C339&lt;='FR_Mantenimiento tasas'!$C$56,'Tabla Ahorro Futuro Reservas'!C339*'FR_Mantenimiento tasas'!$D$56/360,IF(C339&lt;='FR_Mantenimiento tasas'!$C$57,'Tabla Ahorro Futuro Reservas'!C339*'FR_Mantenimiento tasas'!$D$57/360,""))),5)</f>
        <v>0</v>
      </c>
      <c r="E339" s="121">
        <f>ROUND(IF(C339&lt;='FR_Mantenimiento tasas'!$C$55,'Tabla Ahorro Futuro Reservas'!C339*'FR_Mantenimiento tasas'!$E$55/360,IF(C339&lt;='FR_Mantenimiento tasas'!$C$56,'Tabla Ahorro Futuro Reservas'!C339*'FR_Mantenimiento tasas'!$E$56/360,IF(C339&lt;='FR_Mantenimiento tasas'!$C$57,'Tabla Ahorro Futuro Reservas'!C339*'FR_Mantenimiento tasas'!$E$57/360,""))),5)</f>
        <v>0</v>
      </c>
    </row>
    <row r="340" spans="1:5">
      <c r="A340" s="123">
        <f t="shared" si="10"/>
        <v>338</v>
      </c>
      <c r="B340" s="122">
        <f>IF(DAY(A340)=DAY('F-Ahorro Futuro Reservas'!$H$10),'F-Ahorro Futuro Reservas'!$H$9,0)</f>
        <v>0</v>
      </c>
      <c r="C340" s="122">
        <f t="shared" si="11"/>
        <v>0</v>
      </c>
      <c r="D340" s="121">
        <f>ROUND(IF(C340&lt;='FR_Mantenimiento tasas'!$C$55,'Tabla Ahorro Futuro Reservas'!C340*'FR_Mantenimiento tasas'!$D$55/360,IF(C340&lt;='FR_Mantenimiento tasas'!$C$56,'Tabla Ahorro Futuro Reservas'!C340*'FR_Mantenimiento tasas'!$D$56/360,IF(C340&lt;='FR_Mantenimiento tasas'!$C$57,'Tabla Ahorro Futuro Reservas'!C340*'FR_Mantenimiento tasas'!$D$57/360,""))),5)</f>
        <v>0</v>
      </c>
      <c r="E340" s="121">
        <f>ROUND(IF(C340&lt;='FR_Mantenimiento tasas'!$C$55,'Tabla Ahorro Futuro Reservas'!C340*'FR_Mantenimiento tasas'!$E$55/360,IF(C340&lt;='FR_Mantenimiento tasas'!$C$56,'Tabla Ahorro Futuro Reservas'!C340*'FR_Mantenimiento tasas'!$E$56/360,IF(C340&lt;='FR_Mantenimiento tasas'!$C$57,'Tabla Ahorro Futuro Reservas'!C340*'FR_Mantenimiento tasas'!$E$57/360,""))),5)</f>
        <v>0</v>
      </c>
    </row>
    <row r="341" spans="1:5">
      <c r="A341" s="123">
        <f t="shared" si="10"/>
        <v>339</v>
      </c>
      <c r="B341" s="122">
        <f>IF(DAY(A341)=DAY('F-Ahorro Futuro Reservas'!$H$10),'F-Ahorro Futuro Reservas'!$H$9,0)</f>
        <v>0</v>
      </c>
      <c r="C341" s="122">
        <f t="shared" si="11"/>
        <v>0</v>
      </c>
      <c r="D341" s="121">
        <f>ROUND(IF(C341&lt;='FR_Mantenimiento tasas'!$C$55,'Tabla Ahorro Futuro Reservas'!C341*'FR_Mantenimiento tasas'!$D$55/360,IF(C341&lt;='FR_Mantenimiento tasas'!$C$56,'Tabla Ahorro Futuro Reservas'!C341*'FR_Mantenimiento tasas'!$D$56/360,IF(C341&lt;='FR_Mantenimiento tasas'!$C$57,'Tabla Ahorro Futuro Reservas'!C341*'FR_Mantenimiento tasas'!$D$57/360,""))),5)</f>
        <v>0</v>
      </c>
      <c r="E341" s="121">
        <f>ROUND(IF(C341&lt;='FR_Mantenimiento tasas'!$C$55,'Tabla Ahorro Futuro Reservas'!C341*'FR_Mantenimiento tasas'!$E$55/360,IF(C341&lt;='FR_Mantenimiento tasas'!$C$56,'Tabla Ahorro Futuro Reservas'!C341*'FR_Mantenimiento tasas'!$E$56/360,IF(C341&lt;='FR_Mantenimiento tasas'!$C$57,'Tabla Ahorro Futuro Reservas'!C341*'FR_Mantenimiento tasas'!$E$57/360,""))),5)</f>
        <v>0</v>
      </c>
    </row>
    <row r="342" spans="1:5">
      <c r="A342" s="123">
        <f t="shared" si="10"/>
        <v>340</v>
      </c>
      <c r="B342" s="122">
        <f>IF(DAY(A342)=DAY('F-Ahorro Futuro Reservas'!$H$10),'F-Ahorro Futuro Reservas'!$H$9,0)</f>
        <v>0</v>
      </c>
      <c r="C342" s="122">
        <f t="shared" si="11"/>
        <v>0</v>
      </c>
      <c r="D342" s="121">
        <f>ROUND(IF(C342&lt;='FR_Mantenimiento tasas'!$C$55,'Tabla Ahorro Futuro Reservas'!C342*'FR_Mantenimiento tasas'!$D$55/360,IF(C342&lt;='FR_Mantenimiento tasas'!$C$56,'Tabla Ahorro Futuro Reservas'!C342*'FR_Mantenimiento tasas'!$D$56/360,IF(C342&lt;='FR_Mantenimiento tasas'!$C$57,'Tabla Ahorro Futuro Reservas'!C342*'FR_Mantenimiento tasas'!$D$57/360,""))),5)</f>
        <v>0</v>
      </c>
      <c r="E342" s="121">
        <f>ROUND(IF(C342&lt;='FR_Mantenimiento tasas'!$C$55,'Tabla Ahorro Futuro Reservas'!C342*'FR_Mantenimiento tasas'!$E$55/360,IF(C342&lt;='FR_Mantenimiento tasas'!$C$56,'Tabla Ahorro Futuro Reservas'!C342*'FR_Mantenimiento tasas'!$E$56/360,IF(C342&lt;='FR_Mantenimiento tasas'!$C$57,'Tabla Ahorro Futuro Reservas'!C342*'FR_Mantenimiento tasas'!$E$57/360,""))),5)</f>
        <v>0</v>
      </c>
    </row>
    <row r="343" spans="1:5">
      <c r="A343" s="123">
        <f t="shared" si="10"/>
        <v>341</v>
      </c>
      <c r="B343" s="122">
        <f>IF(DAY(A343)=DAY('F-Ahorro Futuro Reservas'!$H$10),'F-Ahorro Futuro Reservas'!$H$9,0)</f>
        <v>0</v>
      </c>
      <c r="C343" s="122">
        <f t="shared" si="11"/>
        <v>0</v>
      </c>
      <c r="D343" s="121">
        <f>ROUND(IF(C343&lt;='FR_Mantenimiento tasas'!$C$55,'Tabla Ahorro Futuro Reservas'!C343*'FR_Mantenimiento tasas'!$D$55/360,IF(C343&lt;='FR_Mantenimiento tasas'!$C$56,'Tabla Ahorro Futuro Reservas'!C343*'FR_Mantenimiento tasas'!$D$56/360,IF(C343&lt;='FR_Mantenimiento tasas'!$C$57,'Tabla Ahorro Futuro Reservas'!C343*'FR_Mantenimiento tasas'!$D$57/360,""))),5)</f>
        <v>0</v>
      </c>
      <c r="E343" s="121">
        <f>ROUND(IF(C343&lt;='FR_Mantenimiento tasas'!$C$55,'Tabla Ahorro Futuro Reservas'!C343*'FR_Mantenimiento tasas'!$E$55/360,IF(C343&lt;='FR_Mantenimiento tasas'!$C$56,'Tabla Ahorro Futuro Reservas'!C343*'FR_Mantenimiento tasas'!$E$56/360,IF(C343&lt;='FR_Mantenimiento tasas'!$C$57,'Tabla Ahorro Futuro Reservas'!C343*'FR_Mantenimiento tasas'!$E$57/360,""))),5)</f>
        <v>0</v>
      </c>
    </row>
    <row r="344" spans="1:5">
      <c r="A344" s="123">
        <f t="shared" si="10"/>
        <v>342</v>
      </c>
      <c r="B344" s="122">
        <f>IF(DAY(A344)=DAY('F-Ahorro Futuro Reservas'!$H$10),'F-Ahorro Futuro Reservas'!$H$9,0)</f>
        <v>0</v>
      </c>
      <c r="C344" s="122">
        <f t="shared" si="11"/>
        <v>0</v>
      </c>
      <c r="D344" s="121">
        <f>ROUND(IF(C344&lt;='FR_Mantenimiento tasas'!$C$55,'Tabla Ahorro Futuro Reservas'!C344*'FR_Mantenimiento tasas'!$D$55/360,IF(C344&lt;='FR_Mantenimiento tasas'!$C$56,'Tabla Ahorro Futuro Reservas'!C344*'FR_Mantenimiento tasas'!$D$56/360,IF(C344&lt;='FR_Mantenimiento tasas'!$C$57,'Tabla Ahorro Futuro Reservas'!C344*'FR_Mantenimiento tasas'!$D$57/360,""))),5)</f>
        <v>0</v>
      </c>
      <c r="E344" s="121">
        <f>ROUND(IF(C344&lt;='FR_Mantenimiento tasas'!$C$55,'Tabla Ahorro Futuro Reservas'!C344*'FR_Mantenimiento tasas'!$E$55/360,IF(C344&lt;='FR_Mantenimiento tasas'!$C$56,'Tabla Ahorro Futuro Reservas'!C344*'FR_Mantenimiento tasas'!$E$56/360,IF(C344&lt;='FR_Mantenimiento tasas'!$C$57,'Tabla Ahorro Futuro Reservas'!C344*'FR_Mantenimiento tasas'!$E$57/360,""))),5)</f>
        <v>0</v>
      </c>
    </row>
    <row r="345" spans="1:5">
      <c r="A345" s="123">
        <f t="shared" si="10"/>
        <v>343</v>
      </c>
      <c r="B345" s="122">
        <f>IF(DAY(A345)=DAY('F-Ahorro Futuro Reservas'!$H$10),'F-Ahorro Futuro Reservas'!$H$9,0)</f>
        <v>0</v>
      </c>
      <c r="C345" s="122">
        <f t="shared" si="11"/>
        <v>0</v>
      </c>
      <c r="D345" s="121">
        <f>ROUND(IF(C345&lt;='FR_Mantenimiento tasas'!$C$55,'Tabla Ahorro Futuro Reservas'!C345*'FR_Mantenimiento tasas'!$D$55/360,IF(C345&lt;='FR_Mantenimiento tasas'!$C$56,'Tabla Ahorro Futuro Reservas'!C345*'FR_Mantenimiento tasas'!$D$56/360,IF(C345&lt;='FR_Mantenimiento tasas'!$C$57,'Tabla Ahorro Futuro Reservas'!C345*'FR_Mantenimiento tasas'!$D$57/360,""))),5)</f>
        <v>0</v>
      </c>
      <c r="E345" s="121">
        <f>ROUND(IF(C345&lt;='FR_Mantenimiento tasas'!$C$55,'Tabla Ahorro Futuro Reservas'!C345*'FR_Mantenimiento tasas'!$E$55/360,IF(C345&lt;='FR_Mantenimiento tasas'!$C$56,'Tabla Ahorro Futuro Reservas'!C345*'FR_Mantenimiento tasas'!$E$56/360,IF(C345&lt;='FR_Mantenimiento tasas'!$C$57,'Tabla Ahorro Futuro Reservas'!C345*'FR_Mantenimiento tasas'!$E$57/360,""))),5)</f>
        <v>0</v>
      </c>
    </row>
    <row r="346" spans="1:5">
      <c r="A346" s="123">
        <f t="shared" si="10"/>
        <v>344</v>
      </c>
      <c r="B346" s="122">
        <f>IF(DAY(A346)=DAY('F-Ahorro Futuro Reservas'!$H$10),'F-Ahorro Futuro Reservas'!$H$9,0)</f>
        <v>0</v>
      </c>
      <c r="C346" s="122">
        <f t="shared" si="11"/>
        <v>0</v>
      </c>
      <c r="D346" s="121">
        <f>ROUND(IF(C346&lt;='FR_Mantenimiento tasas'!$C$55,'Tabla Ahorro Futuro Reservas'!C346*'FR_Mantenimiento tasas'!$D$55/360,IF(C346&lt;='FR_Mantenimiento tasas'!$C$56,'Tabla Ahorro Futuro Reservas'!C346*'FR_Mantenimiento tasas'!$D$56/360,IF(C346&lt;='FR_Mantenimiento tasas'!$C$57,'Tabla Ahorro Futuro Reservas'!C346*'FR_Mantenimiento tasas'!$D$57/360,""))),5)</f>
        <v>0</v>
      </c>
      <c r="E346" s="121">
        <f>ROUND(IF(C346&lt;='FR_Mantenimiento tasas'!$C$55,'Tabla Ahorro Futuro Reservas'!C346*'FR_Mantenimiento tasas'!$E$55/360,IF(C346&lt;='FR_Mantenimiento tasas'!$C$56,'Tabla Ahorro Futuro Reservas'!C346*'FR_Mantenimiento tasas'!$E$56/360,IF(C346&lt;='FR_Mantenimiento tasas'!$C$57,'Tabla Ahorro Futuro Reservas'!C346*'FR_Mantenimiento tasas'!$E$57/360,""))),5)</f>
        <v>0</v>
      </c>
    </row>
    <row r="347" spans="1:5">
      <c r="A347" s="123">
        <f t="shared" si="10"/>
        <v>345</v>
      </c>
      <c r="B347" s="122">
        <f>IF(DAY(A347)=DAY('F-Ahorro Futuro Reservas'!$H$10),'F-Ahorro Futuro Reservas'!$H$9,0)</f>
        <v>0</v>
      </c>
      <c r="C347" s="122">
        <f t="shared" si="11"/>
        <v>0</v>
      </c>
      <c r="D347" s="121">
        <f>ROUND(IF(C347&lt;='FR_Mantenimiento tasas'!$C$55,'Tabla Ahorro Futuro Reservas'!C347*'FR_Mantenimiento tasas'!$D$55/360,IF(C347&lt;='FR_Mantenimiento tasas'!$C$56,'Tabla Ahorro Futuro Reservas'!C347*'FR_Mantenimiento tasas'!$D$56/360,IF(C347&lt;='FR_Mantenimiento tasas'!$C$57,'Tabla Ahorro Futuro Reservas'!C347*'FR_Mantenimiento tasas'!$D$57/360,""))),5)</f>
        <v>0</v>
      </c>
      <c r="E347" s="121">
        <f>ROUND(IF(C347&lt;='FR_Mantenimiento tasas'!$C$55,'Tabla Ahorro Futuro Reservas'!C347*'FR_Mantenimiento tasas'!$E$55/360,IF(C347&lt;='FR_Mantenimiento tasas'!$C$56,'Tabla Ahorro Futuro Reservas'!C347*'FR_Mantenimiento tasas'!$E$56/360,IF(C347&lt;='FR_Mantenimiento tasas'!$C$57,'Tabla Ahorro Futuro Reservas'!C347*'FR_Mantenimiento tasas'!$E$57/360,""))),5)</f>
        <v>0</v>
      </c>
    </row>
    <row r="348" spans="1:5">
      <c r="A348" s="123">
        <f t="shared" si="10"/>
        <v>346</v>
      </c>
      <c r="B348" s="122">
        <f>IF(DAY(A348)=DAY('F-Ahorro Futuro Reservas'!$H$10),'F-Ahorro Futuro Reservas'!$H$9,0)</f>
        <v>0</v>
      </c>
      <c r="C348" s="122">
        <f t="shared" si="11"/>
        <v>0</v>
      </c>
      <c r="D348" s="121">
        <f>ROUND(IF(C348&lt;='FR_Mantenimiento tasas'!$C$55,'Tabla Ahorro Futuro Reservas'!C348*'FR_Mantenimiento tasas'!$D$55/360,IF(C348&lt;='FR_Mantenimiento tasas'!$C$56,'Tabla Ahorro Futuro Reservas'!C348*'FR_Mantenimiento tasas'!$D$56/360,IF(C348&lt;='FR_Mantenimiento tasas'!$C$57,'Tabla Ahorro Futuro Reservas'!C348*'FR_Mantenimiento tasas'!$D$57/360,""))),5)</f>
        <v>0</v>
      </c>
      <c r="E348" s="121">
        <f>ROUND(IF(C348&lt;='FR_Mantenimiento tasas'!$C$55,'Tabla Ahorro Futuro Reservas'!C348*'FR_Mantenimiento tasas'!$E$55/360,IF(C348&lt;='FR_Mantenimiento tasas'!$C$56,'Tabla Ahorro Futuro Reservas'!C348*'FR_Mantenimiento tasas'!$E$56/360,IF(C348&lt;='FR_Mantenimiento tasas'!$C$57,'Tabla Ahorro Futuro Reservas'!C348*'FR_Mantenimiento tasas'!$E$57/360,""))),5)</f>
        <v>0</v>
      </c>
    </row>
    <row r="349" spans="1:5">
      <c r="A349" s="123">
        <f t="shared" si="10"/>
        <v>347</v>
      </c>
      <c r="B349" s="122">
        <f>IF(DAY(A349)=DAY('F-Ahorro Futuro Reservas'!$H$10),'F-Ahorro Futuro Reservas'!$H$9,0)</f>
        <v>0</v>
      </c>
      <c r="C349" s="122">
        <f t="shared" si="11"/>
        <v>0</v>
      </c>
      <c r="D349" s="121">
        <f>ROUND(IF(C349&lt;='FR_Mantenimiento tasas'!$C$55,'Tabla Ahorro Futuro Reservas'!C349*'FR_Mantenimiento tasas'!$D$55/360,IF(C349&lt;='FR_Mantenimiento tasas'!$C$56,'Tabla Ahorro Futuro Reservas'!C349*'FR_Mantenimiento tasas'!$D$56/360,IF(C349&lt;='FR_Mantenimiento tasas'!$C$57,'Tabla Ahorro Futuro Reservas'!C349*'FR_Mantenimiento tasas'!$D$57/360,""))),5)</f>
        <v>0</v>
      </c>
      <c r="E349" s="121">
        <f>ROUND(IF(C349&lt;='FR_Mantenimiento tasas'!$C$55,'Tabla Ahorro Futuro Reservas'!C349*'FR_Mantenimiento tasas'!$E$55/360,IF(C349&lt;='FR_Mantenimiento tasas'!$C$56,'Tabla Ahorro Futuro Reservas'!C349*'FR_Mantenimiento tasas'!$E$56/360,IF(C349&lt;='FR_Mantenimiento tasas'!$C$57,'Tabla Ahorro Futuro Reservas'!C349*'FR_Mantenimiento tasas'!$E$57/360,""))),5)</f>
        <v>0</v>
      </c>
    </row>
    <row r="350" spans="1:5">
      <c r="A350" s="123">
        <f t="shared" si="10"/>
        <v>348</v>
      </c>
      <c r="B350" s="122">
        <f>IF(DAY(A350)=DAY('F-Ahorro Futuro Reservas'!$H$10),'F-Ahorro Futuro Reservas'!$H$9,0)</f>
        <v>0</v>
      </c>
      <c r="C350" s="122">
        <f t="shared" si="11"/>
        <v>0</v>
      </c>
      <c r="D350" s="121">
        <f>ROUND(IF(C350&lt;='FR_Mantenimiento tasas'!$C$55,'Tabla Ahorro Futuro Reservas'!C350*'FR_Mantenimiento tasas'!$D$55/360,IF(C350&lt;='FR_Mantenimiento tasas'!$C$56,'Tabla Ahorro Futuro Reservas'!C350*'FR_Mantenimiento tasas'!$D$56/360,IF(C350&lt;='FR_Mantenimiento tasas'!$C$57,'Tabla Ahorro Futuro Reservas'!C350*'FR_Mantenimiento tasas'!$D$57/360,""))),5)</f>
        <v>0</v>
      </c>
      <c r="E350" s="121">
        <f>ROUND(IF(C350&lt;='FR_Mantenimiento tasas'!$C$55,'Tabla Ahorro Futuro Reservas'!C350*'FR_Mantenimiento tasas'!$E$55/360,IF(C350&lt;='FR_Mantenimiento tasas'!$C$56,'Tabla Ahorro Futuro Reservas'!C350*'FR_Mantenimiento tasas'!$E$56/360,IF(C350&lt;='FR_Mantenimiento tasas'!$C$57,'Tabla Ahorro Futuro Reservas'!C350*'FR_Mantenimiento tasas'!$E$57/360,""))),5)</f>
        <v>0</v>
      </c>
    </row>
    <row r="351" spans="1:5">
      <c r="A351" s="123">
        <f t="shared" si="10"/>
        <v>349</v>
      </c>
      <c r="B351" s="122">
        <f>IF(DAY(A351)=DAY('F-Ahorro Futuro Reservas'!$H$10),'F-Ahorro Futuro Reservas'!$H$9,0)</f>
        <v>0</v>
      </c>
      <c r="C351" s="122">
        <f t="shared" si="11"/>
        <v>0</v>
      </c>
      <c r="D351" s="121">
        <f>ROUND(IF(C351&lt;='FR_Mantenimiento tasas'!$C$55,'Tabla Ahorro Futuro Reservas'!C351*'FR_Mantenimiento tasas'!$D$55/360,IF(C351&lt;='FR_Mantenimiento tasas'!$C$56,'Tabla Ahorro Futuro Reservas'!C351*'FR_Mantenimiento tasas'!$D$56/360,IF(C351&lt;='FR_Mantenimiento tasas'!$C$57,'Tabla Ahorro Futuro Reservas'!C351*'FR_Mantenimiento tasas'!$D$57/360,""))),5)</f>
        <v>0</v>
      </c>
      <c r="E351" s="121">
        <f>ROUND(IF(C351&lt;='FR_Mantenimiento tasas'!$C$55,'Tabla Ahorro Futuro Reservas'!C351*'FR_Mantenimiento tasas'!$E$55/360,IF(C351&lt;='FR_Mantenimiento tasas'!$C$56,'Tabla Ahorro Futuro Reservas'!C351*'FR_Mantenimiento tasas'!$E$56/360,IF(C351&lt;='FR_Mantenimiento tasas'!$C$57,'Tabla Ahorro Futuro Reservas'!C351*'FR_Mantenimiento tasas'!$E$57/360,""))),5)</f>
        <v>0</v>
      </c>
    </row>
    <row r="352" spans="1:5">
      <c r="A352" s="123">
        <f t="shared" si="10"/>
        <v>350</v>
      </c>
      <c r="B352" s="122">
        <f>IF(DAY(A352)=DAY('F-Ahorro Futuro Reservas'!$H$10),'F-Ahorro Futuro Reservas'!$H$9,0)</f>
        <v>0</v>
      </c>
      <c r="C352" s="122">
        <f t="shared" si="11"/>
        <v>0</v>
      </c>
      <c r="D352" s="121">
        <f>ROUND(IF(C352&lt;='FR_Mantenimiento tasas'!$C$55,'Tabla Ahorro Futuro Reservas'!C352*'FR_Mantenimiento tasas'!$D$55/360,IF(C352&lt;='FR_Mantenimiento tasas'!$C$56,'Tabla Ahorro Futuro Reservas'!C352*'FR_Mantenimiento tasas'!$D$56/360,IF(C352&lt;='FR_Mantenimiento tasas'!$C$57,'Tabla Ahorro Futuro Reservas'!C352*'FR_Mantenimiento tasas'!$D$57/360,""))),5)</f>
        <v>0</v>
      </c>
      <c r="E352" s="121">
        <f>ROUND(IF(C352&lt;='FR_Mantenimiento tasas'!$C$55,'Tabla Ahorro Futuro Reservas'!C352*'FR_Mantenimiento tasas'!$E$55/360,IF(C352&lt;='FR_Mantenimiento tasas'!$C$56,'Tabla Ahorro Futuro Reservas'!C352*'FR_Mantenimiento tasas'!$E$56/360,IF(C352&lt;='FR_Mantenimiento tasas'!$C$57,'Tabla Ahorro Futuro Reservas'!C352*'FR_Mantenimiento tasas'!$E$57/360,""))),5)</f>
        <v>0</v>
      </c>
    </row>
    <row r="353" spans="1:5">
      <c r="A353" s="123">
        <f t="shared" si="10"/>
        <v>351</v>
      </c>
      <c r="B353" s="122">
        <f>IF(DAY(A353)=DAY('F-Ahorro Futuro Reservas'!$H$10),'F-Ahorro Futuro Reservas'!$H$9,0)</f>
        <v>0</v>
      </c>
      <c r="C353" s="122">
        <f t="shared" si="11"/>
        <v>0</v>
      </c>
      <c r="D353" s="121">
        <f>ROUND(IF(C353&lt;='FR_Mantenimiento tasas'!$C$55,'Tabla Ahorro Futuro Reservas'!C353*'FR_Mantenimiento tasas'!$D$55/360,IF(C353&lt;='FR_Mantenimiento tasas'!$C$56,'Tabla Ahorro Futuro Reservas'!C353*'FR_Mantenimiento tasas'!$D$56/360,IF(C353&lt;='FR_Mantenimiento tasas'!$C$57,'Tabla Ahorro Futuro Reservas'!C353*'FR_Mantenimiento tasas'!$D$57/360,""))),5)</f>
        <v>0</v>
      </c>
      <c r="E353" s="121">
        <f>ROUND(IF(C353&lt;='FR_Mantenimiento tasas'!$C$55,'Tabla Ahorro Futuro Reservas'!C353*'FR_Mantenimiento tasas'!$E$55/360,IF(C353&lt;='FR_Mantenimiento tasas'!$C$56,'Tabla Ahorro Futuro Reservas'!C353*'FR_Mantenimiento tasas'!$E$56/360,IF(C353&lt;='FR_Mantenimiento tasas'!$C$57,'Tabla Ahorro Futuro Reservas'!C353*'FR_Mantenimiento tasas'!$E$57/360,""))),5)</f>
        <v>0</v>
      </c>
    </row>
    <row r="354" spans="1:5">
      <c r="A354" s="123">
        <f t="shared" si="10"/>
        <v>352</v>
      </c>
      <c r="B354" s="122">
        <f>IF(DAY(A354)=DAY('F-Ahorro Futuro Reservas'!$H$10),'F-Ahorro Futuro Reservas'!$H$9,0)</f>
        <v>0</v>
      </c>
      <c r="C354" s="122">
        <f t="shared" si="11"/>
        <v>0</v>
      </c>
      <c r="D354" s="121">
        <f>ROUND(IF(C354&lt;='FR_Mantenimiento tasas'!$C$55,'Tabla Ahorro Futuro Reservas'!C354*'FR_Mantenimiento tasas'!$D$55/360,IF(C354&lt;='FR_Mantenimiento tasas'!$C$56,'Tabla Ahorro Futuro Reservas'!C354*'FR_Mantenimiento tasas'!$D$56/360,IF(C354&lt;='FR_Mantenimiento tasas'!$C$57,'Tabla Ahorro Futuro Reservas'!C354*'FR_Mantenimiento tasas'!$D$57/360,""))),5)</f>
        <v>0</v>
      </c>
      <c r="E354" s="121">
        <f>ROUND(IF(C354&lt;='FR_Mantenimiento tasas'!$C$55,'Tabla Ahorro Futuro Reservas'!C354*'FR_Mantenimiento tasas'!$E$55/360,IF(C354&lt;='FR_Mantenimiento tasas'!$C$56,'Tabla Ahorro Futuro Reservas'!C354*'FR_Mantenimiento tasas'!$E$56/360,IF(C354&lt;='FR_Mantenimiento tasas'!$C$57,'Tabla Ahorro Futuro Reservas'!C354*'FR_Mantenimiento tasas'!$E$57/360,""))),5)</f>
        <v>0</v>
      </c>
    </row>
    <row r="355" spans="1:5">
      <c r="A355" s="123">
        <f t="shared" si="10"/>
        <v>353</v>
      </c>
      <c r="B355" s="122">
        <f>IF(DAY(A355)=DAY('F-Ahorro Futuro Reservas'!$H$10),'F-Ahorro Futuro Reservas'!$H$9,0)</f>
        <v>0</v>
      </c>
      <c r="C355" s="122">
        <f t="shared" si="11"/>
        <v>0</v>
      </c>
      <c r="D355" s="121">
        <f>ROUND(IF(C355&lt;='FR_Mantenimiento tasas'!$C$55,'Tabla Ahorro Futuro Reservas'!C355*'FR_Mantenimiento tasas'!$D$55/360,IF(C355&lt;='FR_Mantenimiento tasas'!$C$56,'Tabla Ahorro Futuro Reservas'!C355*'FR_Mantenimiento tasas'!$D$56/360,IF(C355&lt;='FR_Mantenimiento tasas'!$C$57,'Tabla Ahorro Futuro Reservas'!C355*'FR_Mantenimiento tasas'!$D$57/360,""))),5)</f>
        <v>0</v>
      </c>
      <c r="E355" s="121">
        <f>ROUND(IF(C355&lt;='FR_Mantenimiento tasas'!$C$55,'Tabla Ahorro Futuro Reservas'!C355*'FR_Mantenimiento tasas'!$E$55/360,IF(C355&lt;='FR_Mantenimiento tasas'!$C$56,'Tabla Ahorro Futuro Reservas'!C355*'FR_Mantenimiento tasas'!$E$56/360,IF(C355&lt;='FR_Mantenimiento tasas'!$C$57,'Tabla Ahorro Futuro Reservas'!C355*'FR_Mantenimiento tasas'!$E$57/360,""))),5)</f>
        <v>0</v>
      </c>
    </row>
    <row r="356" spans="1:5">
      <c r="A356" s="123">
        <f t="shared" si="10"/>
        <v>354</v>
      </c>
      <c r="B356" s="122">
        <f>IF(DAY(A356)=DAY('F-Ahorro Futuro Reservas'!$H$10),'F-Ahorro Futuro Reservas'!$H$9,0)</f>
        <v>0</v>
      </c>
      <c r="C356" s="122">
        <f t="shared" si="11"/>
        <v>0</v>
      </c>
      <c r="D356" s="121">
        <f>ROUND(IF(C356&lt;='FR_Mantenimiento tasas'!$C$55,'Tabla Ahorro Futuro Reservas'!C356*'FR_Mantenimiento tasas'!$D$55/360,IF(C356&lt;='FR_Mantenimiento tasas'!$C$56,'Tabla Ahorro Futuro Reservas'!C356*'FR_Mantenimiento tasas'!$D$56/360,IF(C356&lt;='FR_Mantenimiento tasas'!$C$57,'Tabla Ahorro Futuro Reservas'!C356*'FR_Mantenimiento tasas'!$D$57/360,""))),5)</f>
        <v>0</v>
      </c>
      <c r="E356" s="121">
        <f>ROUND(IF(C356&lt;='FR_Mantenimiento tasas'!$C$55,'Tabla Ahorro Futuro Reservas'!C356*'FR_Mantenimiento tasas'!$E$55/360,IF(C356&lt;='FR_Mantenimiento tasas'!$C$56,'Tabla Ahorro Futuro Reservas'!C356*'FR_Mantenimiento tasas'!$E$56/360,IF(C356&lt;='FR_Mantenimiento tasas'!$C$57,'Tabla Ahorro Futuro Reservas'!C356*'FR_Mantenimiento tasas'!$E$57/360,""))),5)</f>
        <v>0</v>
      </c>
    </row>
    <row r="357" spans="1:5">
      <c r="A357" s="123">
        <f t="shared" si="10"/>
        <v>355</v>
      </c>
      <c r="B357" s="122">
        <f>IF(DAY(A357)=DAY('F-Ahorro Futuro Reservas'!$H$10),'F-Ahorro Futuro Reservas'!$H$9,0)</f>
        <v>0</v>
      </c>
      <c r="C357" s="122">
        <f t="shared" si="11"/>
        <v>0</v>
      </c>
      <c r="D357" s="121">
        <f>ROUND(IF(C357&lt;='FR_Mantenimiento tasas'!$C$55,'Tabla Ahorro Futuro Reservas'!C357*'FR_Mantenimiento tasas'!$D$55/360,IF(C357&lt;='FR_Mantenimiento tasas'!$C$56,'Tabla Ahorro Futuro Reservas'!C357*'FR_Mantenimiento tasas'!$D$56/360,IF(C357&lt;='FR_Mantenimiento tasas'!$C$57,'Tabla Ahorro Futuro Reservas'!C357*'FR_Mantenimiento tasas'!$D$57/360,""))),5)</f>
        <v>0</v>
      </c>
      <c r="E357" s="121">
        <f>ROUND(IF(C357&lt;='FR_Mantenimiento tasas'!$C$55,'Tabla Ahorro Futuro Reservas'!C357*'FR_Mantenimiento tasas'!$E$55/360,IF(C357&lt;='FR_Mantenimiento tasas'!$C$56,'Tabla Ahorro Futuro Reservas'!C357*'FR_Mantenimiento tasas'!$E$56/360,IF(C357&lt;='FR_Mantenimiento tasas'!$C$57,'Tabla Ahorro Futuro Reservas'!C357*'FR_Mantenimiento tasas'!$E$57/360,""))),5)</f>
        <v>0</v>
      </c>
    </row>
    <row r="358" spans="1:5">
      <c r="A358" s="123">
        <f t="shared" si="10"/>
        <v>356</v>
      </c>
      <c r="B358" s="122">
        <f>IF(DAY(A358)=DAY('F-Ahorro Futuro Reservas'!$H$10),'F-Ahorro Futuro Reservas'!$H$9,0)</f>
        <v>0</v>
      </c>
      <c r="C358" s="122">
        <f t="shared" si="11"/>
        <v>0</v>
      </c>
      <c r="D358" s="121">
        <f>ROUND(IF(C358&lt;='FR_Mantenimiento tasas'!$C$55,'Tabla Ahorro Futuro Reservas'!C358*'FR_Mantenimiento tasas'!$D$55/360,IF(C358&lt;='FR_Mantenimiento tasas'!$C$56,'Tabla Ahorro Futuro Reservas'!C358*'FR_Mantenimiento tasas'!$D$56/360,IF(C358&lt;='FR_Mantenimiento tasas'!$C$57,'Tabla Ahorro Futuro Reservas'!C358*'FR_Mantenimiento tasas'!$D$57/360,""))),5)</f>
        <v>0</v>
      </c>
      <c r="E358" s="121">
        <f>ROUND(IF(C358&lt;='FR_Mantenimiento tasas'!$C$55,'Tabla Ahorro Futuro Reservas'!C358*'FR_Mantenimiento tasas'!$E$55/360,IF(C358&lt;='FR_Mantenimiento tasas'!$C$56,'Tabla Ahorro Futuro Reservas'!C358*'FR_Mantenimiento tasas'!$E$56/360,IF(C358&lt;='FR_Mantenimiento tasas'!$C$57,'Tabla Ahorro Futuro Reservas'!C358*'FR_Mantenimiento tasas'!$E$57/360,""))),5)</f>
        <v>0</v>
      </c>
    </row>
    <row r="359" spans="1:5">
      <c r="A359" s="123">
        <f t="shared" si="10"/>
        <v>357</v>
      </c>
      <c r="B359" s="122">
        <f>IF(DAY(A359)=DAY('F-Ahorro Futuro Reservas'!$H$10),'F-Ahorro Futuro Reservas'!$H$9,0)</f>
        <v>0</v>
      </c>
      <c r="C359" s="122">
        <f t="shared" si="11"/>
        <v>0</v>
      </c>
      <c r="D359" s="121">
        <f>ROUND(IF(C359&lt;='FR_Mantenimiento tasas'!$C$55,'Tabla Ahorro Futuro Reservas'!C359*'FR_Mantenimiento tasas'!$D$55/360,IF(C359&lt;='FR_Mantenimiento tasas'!$C$56,'Tabla Ahorro Futuro Reservas'!C359*'FR_Mantenimiento tasas'!$D$56/360,IF(C359&lt;='FR_Mantenimiento tasas'!$C$57,'Tabla Ahorro Futuro Reservas'!C359*'FR_Mantenimiento tasas'!$D$57/360,""))),5)</f>
        <v>0</v>
      </c>
      <c r="E359" s="121">
        <f>ROUND(IF(C359&lt;='FR_Mantenimiento tasas'!$C$55,'Tabla Ahorro Futuro Reservas'!C359*'FR_Mantenimiento tasas'!$E$55/360,IF(C359&lt;='FR_Mantenimiento tasas'!$C$56,'Tabla Ahorro Futuro Reservas'!C359*'FR_Mantenimiento tasas'!$E$56/360,IF(C359&lt;='FR_Mantenimiento tasas'!$C$57,'Tabla Ahorro Futuro Reservas'!C359*'FR_Mantenimiento tasas'!$E$57/360,""))),5)</f>
        <v>0</v>
      </c>
    </row>
    <row r="360" spans="1:5">
      <c r="A360" s="123">
        <f t="shared" si="10"/>
        <v>358</v>
      </c>
      <c r="B360" s="122">
        <f>IF(DAY(A360)=DAY('F-Ahorro Futuro Reservas'!$H$10),'F-Ahorro Futuro Reservas'!$H$9,0)</f>
        <v>0</v>
      </c>
      <c r="C360" s="122">
        <f t="shared" si="11"/>
        <v>0</v>
      </c>
      <c r="D360" s="121">
        <f>ROUND(IF(C360&lt;='FR_Mantenimiento tasas'!$C$55,'Tabla Ahorro Futuro Reservas'!C360*'FR_Mantenimiento tasas'!$D$55/360,IF(C360&lt;='FR_Mantenimiento tasas'!$C$56,'Tabla Ahorro Futuro Reservas'!C360*'FR_Mantenimiento tasas'!$D$56/360,IF(C360&lt;='FR_Mantenimiento tasas'!$C$57,'Tabla Ahorro Futuro Reservas'!C360*'FR_Mantenimiento tasas'!$D$57/360,""))),5)</f>
        <v>0</v>
      </c>
      <c r="E360" s="121">
        <f>ROUND(IF(C360&lt;='FR_Mantenimiento tasas'!$C$55,'Tabla Ahorro Futuro Reservas'!C360*'FR_Mantenimiento tasas'!$E$55/360,IF(C360&lt;='FR_Mantenimiento tasas'!$C$56,'Tabla Ahorro Futuro Reservas'!C360*'FR_Mantenimiento tasas'!$E$56/360,IF(C360&lt;='FR_Mantenimiento tasas'!$C$57,'Tabla Ahorro Futuro Reservas'!C360*'FR_Mantenimiento tasas'!$E$57/360,""))),5)</f>
        <v>0</v>
      </c>
    </row>
    <row r="361" spans="1:5">
      <c r="A361" s="123">
        <f t="shared" si="10"/>
        <v>359</v>
      </c>
      <c r="B361" s="122">
        <f>IF(DAY(A361)=DAY('F-Ahorro Futuro Reservas'!$H$10),'F-Ahorro Futuro Reservas'!$H$9,0)</f>
        <v>0</v>
      </c>
      <c r="C361" s="122">
        <f t="shared" si="11"/>
        <v>0</v>
      </c>
      <c r="D361" s="121">
        <f>ROUND(IF(C361&lt;='FR_Mantenimiento tasas'!$C$55,'Tabla Ahorro Futuro Reservas'!C361*'FR_Mantenimiento tasas'!$D$55/360,IF(C361&lt;='FR_Mantenimiento tasas'!$C$56,'Tabla Ahorro Futuro Reservas'!C361*'FR_Mantenimiento tasas'!$D$56/360,IF(C361&lt;='FR_Mantenimiento tasas'!$C$57,'Tabla Ahorro Futuro Reservas'!C361*'FR_Mantenimiento tasas'!$D$57/360,""))),5)</f>
        <v>0</v>
      </c>
      <c r="E361" s="121">
        <f>ROUND(IF(C361&lt;='FR_Mantenimiento tasas'!$C$55,'Tabla Ahorro Futuro Reservas'!C361*'FR_Mantenimiento tasas'!$E$55/360,IF(C361&lt;='FR_Mantenimiento tasas'!$C$56,'Tabla Ahorro Futuro Reservas'!C361*'FR_Mantenimiento tasas'!$E$56/360,IF(C361&lt;='FR_Mantenimiento tasas'!$C$57,'Tabla Ahorro Futuro Reservas'!C361*'FR_Mantenimiento tasas'!$E$57/360,""))),5)</f>
        <v>0</v>
      </c>
    </row>
    <row r="362" spans="1:5">
      <c r="A362" s="123">
        <f t="shared" si="10"/>
        <v>360</v>
      </c>
      <c r="B362" s="122">
        <f>IF(DAY(A362)=DAY('F-Ahorro Futuro Reservas'!$H$10),'F-Ahorro Futuro Reservas'!$H$9,0)</f>
        <v>0</v>
      </c>
      <c r="C362" s="122">
        <f t="shared" si="11"/>
        <v>0</v>
      </c>
      <c r="D362" s="121">
        <f>ROUND(IF(C362&lt;='FR_Mantenimiento tasas'!$C$55,'Tabla Ahorro Futuro Reservas'!C362*'FR_Mantenimiento tasas'!$D$55/360,IF(C362&lt;='FR_Mantenimiento tasas'!$C$56,'Tabla Ahorro Futuro Reservas'!C362*'FR_Mantenimiento tasas'!$D$56/360,IF(C362&lt;='FR_Mantenimiento tasas'!$C$57,'Tabla Ahorro Futuro Reservas'!C362*'FR_Mantenimiento tasas'!$D$57/360,""))),5)</f>
        <v>0</v>
      </c>
      <c r="E362" s="121">
        <f>ROUND(IF(C362&lt;='FR_Mantenimiento tasas'!$C$55,'Tabla Ahorro Futuro Reservas'!C362*'FR_Mantenimiento tasas'!$E$55/360,IF(C362&lt;='FR_Mantenimiento tasas'!$C$56,'Tabla Ahorro Futuro Reservas'!C362*'FR_Mantenimiento tasas'!$E$56/360,IF(C362&lt;='FR_Mantenimiento tasas'!$C$57,'Tabla Ahorro Futuro Reservas'!C362*'FR_Mantenimiento tasas'!$E$57/360,""))),5)</f>
        <v>0</v>
      </c>
    </row>
    <row r="363" spans="1:5">
      <c r="A363" s="123">
        <f t="shared" si="10"/>
        <v>361</v>
      </c>
      <c r="B363" s="122">
        <f>IF(DAY(A363)=DAY('F-Ahorro Futuro Reservas'!$H$10),'F-Ahorro Futuro Reservas'!$H$9,0)</f>
        <v>0</v>
      </c>
      <c r="C363" s="122">
        <f t="shared" si="11"/>
        <v>0</v>
      </c>
      <c r="D363" s="121">
        <f>ROUND(IF(C363&lt;='FR_Mantenimiento tasas'!$C$55,'Tabla Ahorro Futuro Reservas'!C363*'FR_Mantenimiento tasas'!$D$55/360,IF(C363&lt;='FR_Mantenimiento tasas'!$C$56,'Tabla Ahorro Futuro Reservas'!C363*'FR_Mantenimiento tasas'!$D$56/360,IF(C363&lt;='FR_Mantenimiento tasas'!$C$57,'Tabla Ahorro Futuro Reservas'!C363*'FR_Mantenimiento tasas'!$D$57/360,""))),5)</f>
        <v>0</v>
      </c>
      <c r="E363" s="121">
        <f>ROUND(IF(C363&lt;='FR_Mantenimiento tasas'!$C$55,'Tabla Ahorro Futuro Reservas'!C363*'FR_Mantenimiento tasas'!$E$55/360,IF(C363&lt;='FR_Mantenimiento tasas'!$C$56,'Tabla Ahorro Futuro Reservas'!C363*'FR_Mantenimiento tasas'!$E$56/360,IF(C363&lt;='FR_Mantenimiento tasas'!$C$57,'Tabla Ahorro Futuro Reservas'!C363*'FR_Mantenimiento tasas'!$E$57/360,""))),5)</f>
        <v>0</v>
      </c>
    </row>
    <row r="364" spans="1:5">
      <c r="A364" s="123">
        <f t="shared" si="10"/>
        <v>362</v>
      </c>
      <c r="B364" s="122">
        <f>IF(DAY(A364)=DAY('F-Ahorro Futuro Reservas'!$H$10),'F-Ahorro Futuro Reservas'!$H$9,0)</f>
        <v>0</v>
      </c>
      <c r="C364" s="122">
        <f t="shared" si="11"/>
        <v>0</v>
      </c>
      <c r="D364" s="121">
        <f>ROUND(IF(C364&lt;='FR_Mantenimiento tasas'!$C$55,'Tabla Ahorro Futuro Reservas'!C364*'FR_Mantenimiento tasas'!$D$55/360,IF(C364&lt;='FR_Mantenimiento tasas'!$C$56,'Tabla Ahorro Futuro Reservas'!C364*'FR_Mantenimiento tasas'!$D$56/360,IF(C364&lt;='FR_Mantenimiento tasas'!$C$57,'Tabla Ahorro Futuro Reservas'!C364*'FR_Mantenimiento tasas'!$D$57/360,""))),5)</f>
        <v>0</v>
      </c>
      <c r="E364" s="121">
        <f>ROUND(IF(C364&lt;='FR_Mantenimiento tasas'!$C$55,'Tabla Ahorro Futuro Reservas'!C364*'FR_Mantenimiento tasas'!$E$55/360,IF(C364&lt;='FR_Mantenimiento tasas'!$C$56,'Tabla Ahorro Futuro Reservas'!C364*'FR_Mantenimiento tasas'!$E$56/360,IF(C364&lt;='FR_Mantenimiento tasas'!$C$57,'Tabla Ahorro Futuro Reservas'!C364*'FR_Mantenimiento tasas'!$E$57/360,""))),5)</f>
        <v>0</v>
      </c>
    </row>
    <row r="365" spans="1:5">
      <c r="A365" s="123">
        <f t="shared" si="10"/>
        <v>363</v>
      </c>
      <c r="B365" s="122">
        <f>IF(DAY(A365)=DAY('F-Ahorro Futuro Reservas'!$H$10),'F-Ahorro Futuro Reservas'!$H$9,0)</f>
        <v>0</v>
      </c>
      <c r="C365" s="122">
        <f t="shared" si="11"/>
        <v>0</v>
      </c>
      <c r="D365" s="121">
        <f>ROUND(IF(C365&lt;='FR_Mantenimiento tasas'!$C$55,'Tabla Ahorro Futuro Reservas'!C365*'FR_Mantenimiento tasas'!$D$55/360,IF(C365&lt;='FR_Mantenimiento tasas'!$C$56,'Tabla Ahorro Futuro Reservas'!C365*'FR_Mantenimiento tasas'!$D$56/360,IF(C365&lt;='FR_Mantenimiento tasas'!$C$57,'Tabla Ahorro Futuro Reservas'!C365*'FR_Mantenimiento tasas'!$D$57/360,""))),5)</f>
        <v>0</v>
      </c>
      <c r="E365" s="121">
        <f>ROUND(IF(C365&lt;='FR_Mantenimiento tasas'!$C$55,'Tabla Ahorro Futuro Reservas'!C365*'FR_Mantenimiento tasas'!$E$55/360,IF(C365&lt;='FR_Mantenimiento tasas'!$C$56,'Tabla Ahorro Futuro Reservas'!C365*'FR_Mantenimiento tasas'!$E$56/360,IF(C365&lt;='FR_Mantenimiento tasas'!$C$57,'Tabla Ahorro Futuro Reservas'!C365*'FR_Mantenimiento tasas'!$E$57/360,""))),5)</f>
        <v>0</v>
      </c>
    </row>
    <row r="366" spans="1:5">
      <c r="A366" s="123">
        <f t="shared" si="10"/>
        <v>364</v>
      </c>
      <c r="B366" s="122">
        <f>IF(DAY(A366)=DAY('F-Ahorro Futuro Reservas'!$H$10),'F-Ahorro Futuro Reservas'!$H$9,0)</f>
        <v>0</v>
      </c>
      <c r="C366" s="122">
        <f t="shared" si="11"/>
        <v>0</v>
      </c>
      <c r="D366" s="121">
        <f>ROUND(IF(C366&lt;='FR_Mantenimiento tasas'!$C$55,'Tabla Ahorro Futuro Reservas'!C366*'FR_Mantenimiento tasas'!$D$55/360,IF(C366&lt;='FR_Mantenimiento tasas'!$C$56,'Tabla Ahorro Futuro Reservas'!C366*'FR_Mantenimiento tasas'!$D$56/360,IF(C366&lt;='FR_Mantenimiento tasas'!$C$57,'Tabla Ahorro Futuro Reservas'!C366*'FR_Mantenimiento tasas'!$D$57/360,""))),5)</f>
        <v>0</v>
      </c>
      <c r="E366" s="121">
        <f>ROUND(IF(C366&lt;='FR_Mantenimiento tasas'!$C$55,'Tabla Ahorro Futuro Reservas'!C366*'FR_Mantenimiento tasas'!$E$55/360,IF(C366&lt;='FR_Mantenimiento tasas'!$C$56,'Tabla Ahorro Futuro Reservas'!C366*'FR_Mantenimiento tasas'!$E$56/360,IF(C366&lt;='FR_Mantenimiento tasas'!$C$57,'Tabla Ahorro Futuro Reservas'!C366*'FR_Mantenimiento tasas'!$E$57/360,""))),5)</f>
        <v>0</v>
      </c>
    </row>
    <row r="367" spans="1:5">
      <c r="A367" s="123">
        <f t="shared" si="10"/>
        <v>365</v>
      </c>
      <c r="B367" s="122">
        <f>IF(DAY(A367)=DAY('F-Ahorro Futuro Reservas'!$H$10),'F-Ahorro Futuro Reservas'!$H$9,0)</f>
        <v>0</v>
      </c>
      <c r="C367" s="122">
        <f t="shared" si="11"/>
        <v>0</v>
      </c>
      <c r="D367" s="121">
        <f>ROUND(IF(C367&lt;='FR_Mantenimiento tasas'!$C$55,'Tabla Ahorro Futuro Reservas'!C367*'FR_Mantenimiento tasas'!$D$55/360,IF(C367&lt;='FR_Mantenimiento tasas'!$C$56,'Tabla Ahorro Futuro Reservas'!C367*'FR_Mantenimiento tasas'!$D$56/360,IF(C367&lt;='FR_Mantenimiento tasas'!$C$57,'Tabla Ahorro Futuro Reservas'!C367*'FR_Mantenimiento tasas'!$D$57/360,""))),5)</f>
        <v>0</v>
      </c>
      <c r="E367" s="121">
        <f>ROUND(IF(C367&lt;='FR_Mantenimiento tasas'!$C$55,'Tabla Ahorro Futuro Reservas'!C367*'FR_Mantenimiento tasas'!$E$55/360,IF(C367&lt;='FR_Mantenimiento tasas'!$C$56,'Tabla Ahorro Futuro Reservas'!C367*'FR_Mantenimiento tasas'!$E$56/360,IF(C367&lt;='FR_Mantenimiento tasas'!$C$57,'Tabla Ahorro Futuro Reservas'!C367*'FR_Mantenimiento tasas'!$E$57/360,""))),5)</f>
        <v>0</v>
      </c>
    </row>
    <row r="368" spans="1:5">
      <c r="A368" s="123">
        <f t="shared" si="10"/>
        <v>366</v>
      </c>
      <c r="B368" s="122">
        <f>IF(DAY(A368)=DAY('F-Ahorro Futuro Reservas'!$H$10),'F-Ahorro Futuro Reservas'!$H$9,0)</f>
        <v>0</v>
      </c>
      <c r="C368" s="122">
        <f t="shared" si="11"/>
        <v>0</v>
      </c>
      <c r="D368" s="121">
        <f>ROUND(IF(C368&lt;='FR_Mantenimiento tasas'!$C$55,'Tabla Ahorro Futuro Reservas'!C368*'FR_Mantenimiento tasas'!$D$55/360,IF(C368&lt;='FR_Mantenimiento tasas'!$C$56,'Tabla Ahorro Futuro Reservas'!C368*'FR_Mantenimiento tasas'!$D$56/360,IF(C368&lt;='FR_Mantenimiento tasas'!$C$57,'Tabla Ahorro Futuro Reservas'!C368*'FR_Mantenimiento tasas'!$D$57/360,""))),5)</f>
        <v>0</v>
      </c>
      <c r="E368" s="121">
        <f>ROUND(IF(C368&lt;='FR_Mantenimiento tasas'!$C$55,'Tabla Ahorro Futuro Reservas'!C368*'FR_Mantenimiento tasas'!$E$55/360,IF(C368&lt;='FR_Mantenimiento tasas'!$C$56,'Tabla Ahorro Futuro Reservas'!C368*'FR_Mantenimiento tasas'!$E$56/360,IF(C368&lt;='FR_Mantenimiento tasas'!$C$57,'Tabla Ahorro Futuro Reservas'!C368*'FR_Mantenimiento tasas'!$E$57/360,""))),5)</f>
        <v>0</v>
      </c>
    </row>
    <row r="369" spans="1:5">
      <c r="A369" s="123">
        <f t="shared" si="10"/>
        <v>367</v>
      </c>
      <c r="B369" s="122">
        <f>IF(DAY(A369)=DAY('F-Ahorro Futuro Reservas'!$H$10),'F-Ahorro Futuro Reservas'!$H$9,0)</f>
        <v>0</v>
      </c>
      <c r="C369" s="122">
        <f t="shared" si="11"/>
        <v>0</v>
      </c>
      <c r="D369" s="121">
        <f>ROUND(IF(C369&lt;='FR_Mantenimiento tasas'!$C$55,'Tabla Ahorro Futuro Reservas'!C369*'FR_Mantenimiento tasas'!$D$55/360,IF(C369&lt;='FR_Mantenimiento tasas'!$C$56,'Tabla Ahorro Futuro Reservas'!C369*'FR_Mantenimiento tasas'!$D$56/360,IF(C369&lt;='FR_Mantenimiento tasas'!$C$57,'Tabla Ahorro Futuro Reservas'!C369*'FR_Mantenimiento tasas'!$D$57/360,""))),5)</f>
        <v>0</v>
      </c>
      <c r="E369" s="121">
        <f>ROUND(IF(C369&lt;='FR_Mantenimiento tasas'!$C$55,'Tabla Ahorro Futuro Reservas'!C369*'FR_Mantenimiento tasas'!$E$55/360,IF(C369&lt;='FR_Mantenimiento tasas'!$C$56,'Tabla Ahorro Futuro Reservas'!C369*'FR_Mantenimiento tasas'!$E$56/360,IF(C369&lt;='FR_Mantenimiento tasas'!$C$57,'Tabla Ahorro Futuro Reservas'!C369*'FR_Mantenimiento tasas'!$E$57/360,""))),5)</f>
        <v>0</v>
      </c>
    </row>
    <row r="370" spans="1:5">
      <c r="A370" s="123">
        <f t="shared" si="10"/>
        <v>368</v>
      </c>
      <c r="B370" s="122">
        <f>IF(DAY(A370)=DAY('F-Ahorro Futuro Reservas'!$H$10),'F-Ahorro Futuro Reservas'!$H$9,0)</f>
        <v>0</v>
      </c>
      <c r="C370" s="122">
        <f t="shared" si="11"/>
        <v>0</v>
      </c>
      <c r="D370" s="121">
        <f>ROUND(IF(C370&lt;='FR_Mantenimiento tasas'!$C$55,'Tabla Ahorro Futuro Reservas'!C370*'FR_Mantenimiento tasas'!$D$55/360,IF(C370&lt;='FR_Mantenimiento tasas'!$C$56,'Tabla Ahorro Futuro Reservas'!C370*'FR_Mantenimiento tasas'!$D$56/360,IF(C370&lt;='FR_Mantenimiento tasas'!$C$57,'Tabla Ahorro Futuro Reservas'!C370*'FR_Mantenimiento tasas'!$D$57/360,""))),5)</f>
        <v>0</v>
      </c>
      <c r="E370" s="121">
        <f>ROUND(IF(C370&lt;='FR_Mantenimiento tasas'!$C$55,'Tabla Ahorro Futuro Reservas'!C370*'FR_Mantenimiento tasas'!$E$55/360,IF(C370&lt;='FR_Mantenimiento tasas'!$C$56,'Tabla Ahorro Futuro Reservas'!C370*'FR_Mantenimiento tasas'!$E$56/360,IF(C370&lt;='FR_Mantenimiento tasas'!$C$57,'Tabla Ahorro Futuro Reservas'!C370*'FR_Mantenimiento tasas'!$E$57/360,""))),5)</f>
        <v>0</v>
      </c>
    </row>
    <row r="371" spans="1:5">
      <c r="A371" s="123">
        <f t="shared" si="10"/>
        <v>369</v>
      </c>
      <c r="B371" s="122">
        <f>IF(DAY(A371)=DAY('F-Ahorro Futuro Reservas'!$H$10),'F-Ahorro Futuro Reservas'!$H$9,0)</f>
        <v>0</v>
      </c>
      <c r="C371" s="122">
        <f t="shared" si="11"/>
        <v>0</v>
      </c>
      <c r="D371" s="121">
        <f>ROUND(IF(C371&lt;='FR_Mantenimiento tasas'!$C$55,'Tabla Ahorro Futuro Reservas'!C371*'FR_Mantenimiento tasas'!$D$55/360,IF(C371&lt;='FR_Mantenimiento tasas'!$C$56,'Tabla Ahorro Futuro Reservas'!C371*'FR_Mantenimiento tasas'!$D$56/360,IF(C371&lt;='FR_Mantenimiento tasas'!$C$57,'Tabla Ahorro Futuro Reservas'!C371*'FR_Mantenimiento tasas'!$D$57/360,""))),5)</f>
        <v>0</v>
      </c>
      <c r="E371" s="121">
        <f>ROUND(IF(C371&lt;='FR_Mantenimiento tasas'!$C$55,'Tabla Ahorro Futuro Reservas'!C371*'FR_Mantenimiento tasas'!$E$55/360,IF(C371&lt;='FR_Mantenimiento tasas'!$C$56,'Tabla Ahorro Futuro Reservas'!C371*'FR_Mantenimiento tasas'!$E$56/360,IF(C371&lt;='FR_Mantenimiento tasas'!$C$57,'Tabla Ahorro Futuro Reservas'!C371*'FR_Mantenimiento tasas'!$E$57/360,""))),5)</f>
        <v>0</v>
      </c>
    </row>
    <row r="372" spans="1:5">
      <c r="A372" s="123">
        <f t="shared" si="10"/>
        <v>370</v>
      </c>
      <c r="B372" s="122">
        <f>IF(DAY(A372)=DAY('F-Ahorro Futuro Reservas'!$H$10),'F-Ahorro Futuro Reservas'!$H$9,0)</f>
        <v>0</v>
      </c>
      <c r="C372" s="122">
        <f t="shared" si="11"/>
        <v>0</v>
      </c>
      <c r="D372" s="121">
        <f>ROUND(IF(C372&lt;='FR_Mantenimiento tasas'!$C$55,'Tabla Ahorro Futuro Reservas'!C372*'FR_Mantenimiento tasas'!$D$55/360,IF(C372&lt;='FR_Mantenimiento tasas'!$C$56,'Tabla Ahorro Futuro Reservas'!C372*'FR_Mantenimiento tasas'!$D$56/360,IF(C372&lt;='FR_Mantenimiento tasas'!$C$57,'Tabla Ahorro Futuro Reservas'!C372*'FR_Mantenimiento tasas'!$D$57/360,""))),5)</f>
        <v>0</v>
      </c>
      <c r="E372" s="121">
        <f>ROUND(IF(C372&lt;='FR_Mantenimiento tasas'!$C$55,'Tabla Ahorro Futuro Reservas'!C372*'FR_Mantenimiento tasas'!$E$55/360,IF(C372&lt;='FR_Mantenimiento tasas'!$C$56,'Tabla Ahorro Futuro Reservas'!C372*'FR_Mantenimiento tasas'!$E$56/360,IF(C372&lt;='FR_Mantenimiento tasas'!$C$57,'Tabla Ahorro Futuro Reservas'!C372*'FR_Mantenimiento tasas'!$E$57/360,""))),5)</f>
        <v>0</v>
      </c>
    </row>
    <row r="373" spans="1:5">
      <c r="A373" s="123">
        <f t="shared" si="10"/>
        <v>371</v>
      </c>
      <c r="B373" s="122">
        <f>IF(DAY(A373)=DAY('F-Ahorro Futuro Reservas'!$H$10),'F-Ahorro Futuro Reservas'!$H$9,0)</f>
        <v>0</v>
      </c>
      <c r="C373" s="122">
        <f t="shared" si="11"/>
        <v>0</v>
      </c>
      <c r="D373" s="121">
        <f>ROUND(IF(C373&lt;='FR_Mantenimiento tasas'!$C$55,'Tabla Ahorro Futuro Reservas'!C373*'FR_Mantenimiento tasas'!$D$55/360,IF(C373&lt;='FR_Mantenimiento tasas'!$C$56,'Tabla Ahorro Futuro Reservas'!C373*'FR_Mantenimiento tasas'!$D$56/360,IF(C373&lt;='FR_Mantenimiento tasas'!$C$57,'Tabla Ahorro Futuro Reservas'!C373*'FR_Mantenimiento tasas'!$D$57/360,""))),5)</f>
        <v>0</v>
      </c>
      <c r="E373" s="121">
        <f>ROUND(IF(C373&lt;='FR_Mantenimiento tasas'!$C$55,'Tabla Ahorro Futuro Reservas'!C373*'FR_Mantenimiento tasas'!$E$55/360,IF(C373&lt;='FR_Mantenimiento tasas'!$C$56,'Tabla Ahorro Futuro Reservas'!C373*'FR_Mantenimiento tasas'!$E$56/360,IF(C373&lt;='FR_Mantenimiento tasas'!$C$57,'Tabla Ahorro Futuro Reservas'!C373*'FR_Mantenimiento tasas'!$E$57/360,""))),5)</f>
        <v>0</v>
      </c>
    </row>
    <row r="374" spans="1:5">
      <c r="A374" s="123">
        <f t="shared" si="10"/>
        <v>372</v>
      </c>
      <c r="B374" s="122">
        <f>IF(DAY(A374)=DAY('F-Ahorro Futuro Reservas'!$H$10),'F-Ahorro Futuro Reservas'!$H$9,0)</f>
        <v>0</v>
      </c>
      <c r="C374" s="122">
        <f t="shared" si="11"/>
        <v>0</v>
      </c>
      <c r="D374" s="121">
        <f>ROUND(IF(C374&lt;='FR_Mantenimiento tasas'!$C$55,'Tabla Ahorro Futuro Reservas'!C374*'FR_Mantenimiento tasas'!$D$55/360,IF(C374&lt;='FR_Mantenimiento tasas'!$C$56,'Tabla Ahorro Futuro Reservas'!C374*'FR_Mantenimiento tasas'!$D$56/360,IF(C374&lt;='FR_Mantenimiento tasas'!$C$57,'Tabla Ahorro Futuro Reservas'!C374*'FR_Mantenimiento tasas'!$D$57/360,""))),5)</f>
        <v>0</v>
      </c>
      <c r="E374" s="121">
        <f>ROUND(IF(C374&lt;='FR_Mantenimiento tasas'!$C$55,'Tabla Ahorro Futuro Reservas'!C374*'FR_Mantenimiento tasas'!$E$55/360,IF(C374&lt;='FR_Mantenimiento tasas'!$C$56,'Tabla Ahorro Futuro Reservas'!C374*'FR_Mantenimiento tasas'!$E$56/360,IF(C374&lt;='FR_Mantenimiento tasas'!$C$57,'Tabla Ahorro Futuro Reservas'!C374*'FR_Mantenimiento tasas'!$E$57/360,""))),5)</f>
        <v>0</v>
      </c>
    </row>
    <row r="375" spans="1:5">
      <c r="A375" s="123">
        <f t="shared" si="10"/>
        <v>373</v>
      </c>
      <c r="B375" s="122">
        <f>IF(DAY(A375)=DAY('F-Ahorro Futuro Reservas'!$H$10),'F-Ahorro Futuro Reservas'!$H$9,0)</f>
        <v>0</v>
      </c>
      <c r="C375" s="122">
        <f t="shared" si="11"/>
        <v>0</v>
      </c>
      <c r="D375" s="121">
        <f>ROUND(IF(C375&lt;='FR_Mantenimiento tasas'!$C$55,'Tabla Ahorro Futuro Reservas'!C375*'FR_Mantenimiento tasas'!$D$55/360,IF(C375&lt;='FR_Mantenimiento tasas'!$C$56,'Tabla Ahorro Futuro Reservas'!C375*'FR_Mantenimiento tasas'!$D$56/360,IF(C375&lt;='FR_Mantenimiento tasas'!$C$57,'Tabla Ahorro Futuro Reservas'!C375*'FR_Mantenimiento tasas'!$D$57/360,""))),5)</f>
        <v>0</v>
      </c>
      <c r="E375" s="121">
        <f>ROUND(IF(C375&lt;='FR_Mantenimiento tasas'!$C$55,'Tabla Ahorro Futuro Reservas'!C375*'FR_Mantenimiento tasas'!$E$55/360,IF(C375&lt;='FR_Mantenimiento tasas'!$C$56,'Tabla Ahorro Futuro Reservas'!C375*'FR_Mantenimiento tasas'!$E$56/360,IF(C375&lt;='FR_Mantenimiento tasas'!$C$57,'Tabla Ahorro Futuro Reservas'!C375*'FR_Mantenimiento tasas'!$E$57/360,""))),5)</f>
        <v>0</v>
      </c>
    </row>
    <row r="376" spans="1:5">
      <c r="A376" s="123">
        <f t="shared" si="10"/>
        <v>374</v>
      </c>
      <c r="B376" s="122">
        <f>IF(DAY(A376)=DAY('F-Ahorro Futuro Reservas'!$H$10),'F-Ahorro Futuro Reservas'!$H$9,0)</f>
        <v>0</v>
      </c>
      <c r="C376" s="122">
        <f t="shared" si="11"/>
        <v>0</v>
      </c>
      <c r="D376" s="121">
        <f>ROUND(IF(C376&lt;='FR_Mantenimiento tasas'!$C$55,'Tabla Ahorro Futuro Reservas'!C376*'FR_Mantenimiento tasas'!$D$55/360,IF(C376&lt;='FR_Mantenimiento tasas'!$C$56,'Tabla Ahorro Futuro Reservas'!C376*'FR_Mantenimiento tasas'!$D$56/360,IF(C376&lt;='FR_Mantenimiento tasas'!$C$57,'Tabla Ahorro Futuro Reservas'!C376*'FR_Mantenimiento tasas'!$D$57/360,""))),5)</f>
        <v>0</v>
      </c>
      <c r="E376" s="121">
        <f>ROUND(IF(C376&lt;='FR_Mantenimiento tasas'!$C$55,'Tabla Ahorro Futuro Reservas'!C376*'FR_Mantenimiento tasas'!$E$55/360,IF(C376&lt;='FR_Mantenimiento tasas'!$C$56,'Tabla Ahorro Futuro Reservas'!C376*'FR_Mantenimiento tasas'!$E$56/360,IF(C376&lt;='FR_Mantenimiento tasas'!$C$57,'Tabla Ahorro Futuro Reservas'!C376*'FR_Mantenimiento tasas'!$E$57/360,""))),5)</f>
        <v>0</v>
      </c>
    </row>
    <row r="377" spans="1:5">
      <c r="A377" s="123">
        <f t="shared" si="10"/>
        <v>375</v>
      </c>
      <c r="B377" s="122">
        <f>IF(DAY(A377)=DAY('F-Ahorro Futuro Reservas'!$H$10),'F-Ahorro Futuro Reservas'!$H$9,0)</f>
        <v>0</v>
      </c>
      <c r="C377" s="122">
        <f t="shared" si="11"/>
        <v>0</v>
      </c>
      <c r="D377" s="121">
        <f>ROUND(IF(C377&lt;='FR_Mantenimiento tasas'!$C$55,'Tabla Ahorro Futuro Reservas'!C377*'FR_Mantenimiento tasas'!$D$55/360,IF(C377&lt;='FR_Mantenimiento tasas'!$C$56,'Tabla Ahorro Futuro Reservas'!C377*'FR_Mantenimiento tasas'!$D$56/360,IF(C377&lt;='FR_Mantenimiento tasas'!$C$57,'Tabla Ahorro Futuro Reservas'!C377*'FR_Mantenimiento tasas'!$D$57/360,""))),5)</f>
        <v>0</v>
      </c>
      <c r="E377" s="121">
        <f>ROUND(IF(C377&lt;='FR_Mantenimiento tasas'!$C$55,'Tabla Ahorro Futuro Reservas'!C377*'FR_Mantenimiento tasas'!$E$55/360,IF(C377&lt;='FR_Mantenimiento tasas'!$C$56,'Tabla Ahorro Futuro Reservas'!C377*'FR_Mantenimiento tasas'!$E$56/360,IF(C377&lt;='FR_Mantenimiento tasas'!$C$57,'Tabla Ahorro Futuro Reservas'!C377*'FR_Mantenimiento tasas'!$E$57/360,""))),5)</f>
        <v>0</v>
      </c>
    </row>
    <row r="378" spans="1:5">
      <c r="A378" s="123">
        <f t="shared" si="10"/>
        <v>376</v>
      </c>
      <c r="B378" s="122">
        <f>IF(DAY(A378)=DAY('F-Ahorro Futuro Reservas'!$H$10),'F-Ahorro Futuro Reservas'!$H$9,0)</f>
        <v>0</v>
      </c>
      <c r="C378" s="122">
        <f t="shared" si="11"/>
        <v>0</v>
      </c>
      <c r="D378" s="121">
        <f>ROUND(IF(C378&lt;='FR_Mantenimiento tasas'!$C$55,'Tabla Ahorro Futuro Reservas'!C378*'FR_Mantenimiento tasas'!$D$55/360,IF(C378&lt;='FR_Mantenimiento tasas'!$C$56,'Tabla Ahorro Futuro Reservas'!C378*'FR_Mantenimiento tasas'!$D$56/360,IF(C378&lt;='FR_Mantenimiento tasas'!$C$57,'Tabla Ahorro Futuro Reservas'!C378*'FR_Mantenimiento tasas'!$D$57/360,""))),5)</f>
        <v>0</v>
      </c>
      <c r="E378" s="121">
        <f>ROUND(IF(C378&lt;='FR_Mantenimiento tasas'!$C$55,'Tabla Ahorro Futuro Reservas'!C378*'FR_Mantenimiento tasas'!$E$55/360,IF(C378&lt;='FR_Mantenimiento tasas'!$C$56,'Tabla Ahorro Futuro Reservas'!C378*'FR_Mantenimiento tasas'!$E$56/360,IF(C378&lt;='FR_Mantenimiento tasas'!$C$57,'Tabla Ahorro Futuro Reservas'!C378*'FR_Mantenimiento tasas'!$E$57/360,""))),5)</f>
        <v>0</v>
      </c>
    </row>
    <row r="379" spans="1:5">
      <c r="A379" s="123">
        <f t="shared" si="10"/>
        <v>377</v>
      </c>
      <c r="B379" s="122">
        <f>IF(DAY(A379)=DAY('F-Ahorro Futuro Reservas'!$H$10),'F-Ahorro Futuro Reservas'!$H$9,0)</f>
        <v>0</v>
      </c>
      <c r="C379" s="122">
        <f t="shared" si="11"/>
        <v>0</v>
      </c>
      <c r="D379" s="121">
        <f>ROUND(IF(C379&lt;='FR_Mantenimiento tasas'!$C$55,'Tabla Ahorro Futuro Reservas'!C379*'FR_Mantenimiento tasas'!$D$55/360,IF(C379&lt;='FR_Mantenimiento tasas'!$C$56,'Tabla Ahorro Futuro Reservas'!C379*'FR_Mantenimiento tasas'!$D$56/360,IF(C379&lt;='FR_Mantenimiento tasas'!$C$57,'Tabla Ahorro Futuro Reservas'!C379*'FR_Mantenimiento tasas'!$D$57/360,""))),5)</f>
        <v>0</v>
      </c>
      <c r="E379" s="121">
        <f>ROUND(IF(C379&lt;='FR_Mantenimiento tasas'!$C$55,'Tabla Ahorro Futuro Reservas'!C379*'FR_Mantenimiento tasas'!$E$55/360,IF(C379&lt;='FR_Mantenimiento tasas'!$C$56,'Tabla Ahorro Futuro Reservas'!C379*'FR_Mantenimiento tasas'!$E$56/360,IF(C379&lt;='FR_Mantenimiento tasas'!$C$57,'Tabla Ahorro Futuro Reservas'!C379*'FR_Mantenimiento tasas'!$E$57/360,""))),5)</f>
        <v>0</v>
      </c>
    </row>
    <row r="380" spans="1:5">
      <c r="A380" s="123">
        <f t="shared" si="10"/>
        <v>378</v>
      </c>
      <c r="B380" s="122">
        <f>IF(DAY(A380)=DAY('F-Ahorro Futuro Reservas'!$H$10),'F-Ahorro Futuro Reservas'!$H$9,0)</f>
        <v>0</v>
      </c>
      <c r="C380" s="122">
        <f t="shared" si="11"/>
        <v>0</v>
      </c>
      <c r="D380" s="121">
        <f>ROUND(IF(C380&lt;='FR_Mantenimiento tasas'!$C$55,'Tabla Ahorro Futuro Reservas'!C380*'FR_Mantenimiento tasas'!$D$55/360,IF(C380&lt;='FR_Mantenimiento tasas'!$C$56,'Tabla Ahorro Futuro Reservas'!C380*'FR_Mantenimiento tasas'!$D$56/360,IF(C380&lt;='FR_Mantenimiento tasas'!$C$57,'Tabla Ahorro Futuro Reservas'!C380*'FR_Mantenimiento tasas'!$D$57/360,""))),5)</f>
        <v>0</v>
      </c>
      <c r="E380" s="121">
        <f>ROUND(IF(C380&lt;='FR_Mantenimiento tasas'!$C$55,'Tabla Ahorro Futuro Reservas'!C380*'FR_Mantenimiento tasas'!$E$55/360,IF(C380&lt;='FR_Mantenimiento tasas'!$C$56,'Tabla Ahorro Futuro Reservas'!C380*'FR_Mantenimiento tasas'!$E$56/360,IF(C380&lt;='FR_Mantenimiento tasas'!$C$57,'Tabla Ahorro Futuro Reservas'!C380*'FR_Mantenimiento tasas'!$E$57/360,""))),5)</f>
        <v>0</v>
      </c>
    </row>
    <row r="381" spans="1:5">
      <c r="A381" s="123">
        <f t="shared" si="10"/>
        <v>379</v>
      </c>
      <c r="B381" s="122">
        <f>IF(DAY(A381)=DAY('F-Ahorro Futuro Reservas'!$H$10),'F-Ahorro Futuro Reservas'!$H$9,0)</f>
        <v>0</v>
      </c>
      <c r="C381" s="122">
        <f t="shared" si="11"/>
        <v>0</v>
      </c>
      <c r="D381" s="121">
        <f>ROUND(IF(C381&lt;='FR_Mantenimiento tasas'!$C$55,'Tabla Ahorro Futuro Reservas'!C381*'FR_Mantenimiento tasas'!$D$55/360,IF(C381&lt;='FR_Mantenimiento tasas'!$C$56,'Tabla Ahorro Futuro Reservas'!C381*'FR_Mantenimiento tasas'!$D$56/360,IF(C381&lt;='FR_Mantenimiento tasas'!$C$57,'Tabla Ahorro Futuro Reservas'!C381*'FR_Mantenimiento tasas'!$D$57/360,""))),5)</f>
        <v>0</v>
      </c>
      <c r="E381" s="121">
        <f>ROUND(IF(C381&lt;='FR_Mantenimiento tasas'!$C$55,'Tabla Ahorro Futuro Reservas'!C381*'FR_Mantenimiento tasas'!$E$55/360,IF(C381&lt;='FR_Mantenimiento tasas'!$C$56,'Tabla Ahorro Futuro Reservas'!C381*'FR_Mantenimiento tasas'!$E$56/360,IF(C381&lt;='FR_Mantenimiento tasas'!$C$57,'Tabla Ahorro Futuro Reservas'!C381*'FR_Mantenimiento tasas'!$E$57/360,""))),5)</f>
        <v>0</v>
      </c>
    </row>
    <row r="382" spans="1:5">
      <c r="A382" s="123">
        <f t="shared" si="10"/>
        <v>380</v>
      </c>
      <c r="B382" s="122">
        <f>IF(DAY(A382)=DAY('F-Ahorro Futuro Reservas'!$H$10),'F-Ahorro Futuro Reservas'!$H$9,0)</f>
        <v>0</v>
      </c>
      <c r="C382" s="122">
        <f t="shared" si="11"/>
        <v>0</v>
      </c>
      <c r="D382" s="121">
        <f>ROUND(IF(C382&lt;='FR_Mantenimiento tasas'!$C$55,'Tabla Ahorro Futuro Reservas'!C382*'FR_Mantenimiento tasas'!$D$55/360,IF(C382&lt;='FR_Mantenimiento tasas'!$C$56,'Tabla Ahorro Futuro Reservas'!C382*'FR_Mantenimiento tasas'!$D$56/360,IF(C382&lt;='FR_Mantenimiento tasas'!$C$57,'Tabla Ahorro Futuro Reservas'!C382*'FR_Mantenimiento tasas'!$D$57/360,""))),5)</f>
        <v>0</v>
      </c>
      <c r="E382" s="121">
        <f>ROUND(IF(C382&lt;='FR_Mantenimiento tasas'!$C$55,'Tabla Ahorro Futuro Reservas'!C382*'FR_Mantenimiento tasas'!$E$55/360,IF(C382&lt;='FR_Mantenimiento tasas'!$C$56,'Tabla Ahorro Futuro Reservas'!C382*'FR_Mantenimiento tasas'!$E$56/360,IF(C382&lt;='FR_Mantenimiento tasas'!$C$57,'Tabla Ahorro Futuro Reservas'!C382*'FR_Mantenimiento tasas'!$E$57/360,""))),5)</f>
        <v>0</v>
      </c>
    </row>
    <row r="383" spans="1:5">
      <c r="A383" s="123">
        <f t="shared" si="10"/>
        <v>381</v>
      </c>
      <c r="B383" s="122">
        <f>IF(DAY(A383)=DAY('F-Ahorro Futuro Reservas'!$H$10),'F-Ahorro Futuro Reservas'!$H$9,0)</f>
        <v>0</v>
      </c>
      <c r="C383" s="122">
        <f t="shared" si="11"/>
        <v>0</v>
      </c>
      <c r="D383" s="121">
        <f>ROUND(IF(C383&lt;='FR_Mantenimiento tasas'!$C$55,'Tabla Ahorro Futuro Reservas'!C383*'FR_Mantenimiento tasas'!$D$55/360,IF(C383&lt;='FR_Mantenimiento tasas'!$C$56,'Tabla Ahorro Futuro Reservas'!C383*'FR_Mantenimiento tasas'!$D$56/360,IF(C383&lt;='FR_Mantenimiento tasas'!$C$57,'Tabla Ahorro Futuro Reservas'!C383*'FR_Mantenimiento tasas'!$D$57/360,""))),5)</f>
        <v>0</v>
      </c>
      <c r="E383" s="121">
        <f>ROUND(IF(C383&lt;='FR_Mantenimiento tasas'!$C$55,'Tabla Ahorro Futuro Reservas'!C383*'FR_Mantenimiento tasas'!$E$55/360,IF(C383&lt;='FR_Mantenimiento tasas'!$C$56,'Tabla Ahorro Futuro Reservas'!C383*'FR_Mantenimiento tasas'!$E$56/360,IF(C383&lt;='FR_Mantenimiento tasas'!$C$57,'Tabla Ahorro Futuro Reservas'!C383*'FR_Mantenimiento tasas'!$E$57/360,""))),5)</f>
        <v>0</v>
      </c>
    </row>
    <row r="384" spans="1:5">
      <c r="A384" s="123">
        <f t="shared" si="10"/>
        <v>382</v>
      </c>
      <c r="B384" s="122">
        <f>IF(DAY(A384)=DAY('F-Ahorro Futuro Reservas'!$H$10),'F-Ahorro Futuro Reservas'!$H$9,0)</f>
        <v>0</v>
      </c>
      <c r="C384" s="122">
        <f t="shared" si="11"/>
        <v>0</v>
      </c>
      <c r="D384" s="121">
        <f>ROUND(IF(C384&lt;='FR_Mantenimiento tasas'!$C$55,'Tabla Ahorro Futuro Reservas'!C384*'FR_Mantenimiento tasas'!$D$55/360,IF(C384&lt;='FR_Mantenimiento tasas'!$C$56,'Tabla Ahorro Futuro Reservas'!C384*'FR_Mantenimiento tasas'!$D$56/360,IF(C384&lt;='FR_Mantenimiento tasas'!$C$57,'Tabla Ahorro Futuro Reservas'!C384*'FR_Mantenimiento tasas'!$D$57/360,""))),5)</f>
        <v>0</v>
      </c>
      <c r="E384" s="121">
        <f>ROUND(IF(C384&lt;='FR_Mantenimiento tasas'!$C$55,'Tabla Ahorro Futuro Reservas'!C384*'FR_Mantenimiento tasas'!$E$55/360,IF(C384&lt;='FR_Mantenimiento tasas'!$C$56,'Tabla Ahorro Futuro Reservas'!C384*'FR_Mantenimiento tasas'!$E$56/360,IF(C384&lt;='FR_Mantenimiento tasas'!$C$57,'Tabla Ahorro Futuro Reservas'!C384*'FR_Mantenimiento tasas'!$E$57/360,""))),5)</f>
        <v>0</v>
      </c>
    </row>
    <row r="385" spans="1:5">
      <c r="A385" s="123">
        <f t="shared" si="10"/>
        <v>383</v>
      </c>
      <c r="B385" s="122">
        <f>IF(DAY(A385)=DAY('F-Ahorro Futuro Reservas'!$H$10),'F-Ahorro Futuro Reservas'!$H$9,0)</f>
        <v>0</v>
      </c>
      <c r="C385" s="122">
        <f t="shared" si="11"/>
        <v>0</v>
      </c>
      <c r="D385" s="121">
        <f>ROUND(IF(C385&lt;='FR_Mantenimiento tasas'!$C$55,'Tabla Ahorro Futuro Reservas'!C385*'FR_Mantenimiento tasas'!$D$55/360,IF(C385&lt;='FR_Mantenimiento tasas'!$C$56,'Tabla Ahorro Futuro Reservas'!C385*'FR_Mantenimiento tasas'!$D$56/360,IF(C385&lt;='FR_Mantenimiento tasas'!$C$57,'Tabla Ahorro Futuro Reservas'!C385*'FR_Mantenimiento tasas'!$D$57/360,""))),5)</f>
        <v>0</v>
      </c>
      <c r="E385" s="121">
        <f>ROUND(IF(C385&lt;='FR_Mantenimiento tasas'!$C$55,'Tabla Ahorro Futuro Reservas'!C385*'FR_Mantenimiento tasas'!$E$55/360,IF(C385&lt;='FR_Mantenimiento tasas'!$C$56,'Tabla Ahorro Futuro Reservas'!C385*'FR_Mantenimiento tasas'!$E$56/360,IF(C385&lt;='FR_Mantenimiento tasas'!$C$57,'Tabla Ahorro Futuro Reservas'!C385*'FR_Mantenimiento tasas'!$E$57/360,""))),5)</f>
        <v>0</v>
      </c>
    </row>
    <row r="386" spans="1:5">
      <c r="A386" s="123">
        <f t="shared" si="10"/>
        <v>384</v>
      </c>
      <c r="B386" s="122">
        <f>IF(DAY(A386)=DAY('F-Ahorro Futuro Reservas'!$H$10),'F-Ahorro Futuro Reservas'!$H$9,0)</f>
        <v>0</v>
      </c>
      <c r="C386" s="122">
        <f t="shared" si="11"/>
        <v>0</v>
      </c>
      <c r="D386" s="121">
        <f>ROUND(IF(C386&lt;='FR_Mantenimiento tasas'!$C$55,'Tabla Ahorro Futuro Reservas'!C386*'FR_Mantenimiento tasas'!$D$55/360,IF(C386&lt;='FR_Mantenimiento tasas'!$C$56,'Tabla Ahorro Futuro Reservas'!C386*'FR_Mantenimiento tasas'!$D$56/360,IF(C386&lt;='FR_Mantenimiento tasas'!$C$57,'Tabla Ahorro Futuro Reservas'!C386*'FR_Mantenimiento tasas'!$D$57/360,""))),5)</f>
        <v>0</v>
      </c>
      <c r="E386" s="121">
        <f>ROUND(IF(C386&lt;='FR_Mantenimiento tasas'!$C$55,'Tabla Ahorro Futuro Reservas'!C386*'FR_Mantenimiento tasas'!$E$55/360,IF(C386&lt;='FR_Mantenimiento tasas'!$C$56,'Tabla Ahorro Futuro Reservas'!C386*'FR_Mantenimiento tasas'!$E$56/360,IF(C386&lt;='FR_Mantenimiento tasas'!$C$57,'Tabla Ahorro Futuro Reservas'!C386*'FR_Mantenimiento tasas'!$E$57/360,""))),5)</f>
        <v>0</v>
      </c>
    </row>
    <row r="387" spans="1:5">
      <c r="A387" s="123">
        <f t="shared" si="10"/>
        <v>385</v>
      </c>
      <c r="B387" s="122">
        <f>IF(DAY(A387)=DAY('F-Ahorro Futuro Reservas'!$H$10),'F-Ahorro Futuro Reservas'!$H$9,0)</f>
        <v>0</v>
      </c>
      <c r="C387" s="122">
        <f t="shared" si="11"/>
        <v>0</v>
      </c>
      <c r="D387" s="121">
        <f>ROUND(IF(C387&lt;='FR_Mantenimiento tasas'!$C$55,'Tabla Ahorro Futuro Reservas'!C387*'FR_Mantenimiento tasas'!$D$55/360,IF(C387&lt;='FR_Mantenimiento tasas'!$C$56,'Tabla Ahorro Futuro Reservas'!C387*'FR_Mantenimiento tasas'!$D$56/360,IF(C387&lt;='FR_Mantenimiento tasas'!$C$57,'Tabla Ahorro Futuro Reservas'!C387*'FR_Mantenimiento tasas'!$D$57/360,""))),5)</f>
        <v>0</v>
      </c>
      <c r="E387" s="121">
        <f>ROUND(IF(C387&lt;='FR_Mantenimiento tasas'!$C$55,'Tabla Ahorro Futuro Reservas'!C387*'FR_Mantenimiento tasas'!$E$55/360,IF(C387&lt;='FR_Mantenimiento tasas'!$C$56,'Tabla Ahorro Futuro Reservas'!C387*'FR_Mantenimiento tasas'!$E$56/360,IF(C387&lt;='FR_Mantenimiento tasas'!$C$57,'Tabla Ahorro Futuro Reservas'!C387*'FR_Mantenimiento tasas'!$E$57/360,""))),5)</f>
        <v>0</v>
      </c>
    </row>
    <row r="388" spans="1:5">
      <c r="A388" s="123">
        <f t="shared" ref="A388:A451" si="12">+A387+1</f>
        <v>386</v>
      </c>
      <c r="B388" s="122">
        <f>IF(DAY(A388)=DAY('F-Ahorro Futuro Reservas'!$H$10),'F-Ahorro Futuro Reservas'!$H$9,0)</f>
        <v>0</v>
      </c>
      <c r="C388" s="122">
        <f t="shared" ref="C388:C451" si="13">+B388+C387+D387</f>
        <v>0</v>
      </c>
      <c r="D388" s="121">
        <f>ROUND(IF(C388&lt;='FR_Mantenimiento tasas'!$C$55,'Tabla Ahorro Futuro Reservas'!C388*'FR_Mantenimiento tasas'!$D$55/360,IF(C388&lt;='FR_Mantenimiento tasas'!$C$56,'Tabla Ahorro Futuro Reservas'!C388*'FR_Mantenimiento tasas'!$D$56/360,IF(C388&lt;='FR_Mantenimiento tasas'!$C$57,'Tabla Ahorro Futuro Reservas'!C388*'FR_Mantenimiento tasas'!$D$57/360,""))),5)</f>
        <v>0</v>
      </c>
      <c r="E388" s="121">
        <f>ROUND(IF(C388&lt;='FR_Mantenimiento tasas'!$C$55,'Tabla Ahorro Futuro Reservas'!C388*'FR_Mantenimiento tasas'!$E$55/360,IF(C388&lt;='FR_Mantenimiento tasas'!$C$56,'Tabla Ahorro Futuro Reservas'!C388*'FR_Mantenimiento tasas'!$E$56/360,IF(C388&lt;='FR_Mantenimiento tasas'!$C$57,'Tabla Ahorro Futuro Reservas'!C388*'FR_Mantenimiento tasas'!$E$57/360,""))),5)</f>
        <v>0</v>
      </c>
    </row>
    <row r="389" spans="1:5">
      <c r="A389" s="123">
        <f t="shared" si="12"/>
        <v>387</v>
      </c>
      <c r="B389" s="122">
        <f>IF(DAY(A389)=DAY('F-Ahorro Futuro Reservas'!$H$10),'F-Ahorro Futuro Reservas'!$H$9,0)</f>
        <v>0</v>
      </c>
      <c r="C389" s="122">
        <f t="shared" si="13"/>
        <v>0</v>
      </c>
      <c r="D389" s="121">
        <f>ROUND(IF(C389&lt;='FR_Mantenimiento tasas'!$C$55,'Tabla Ahorro Futuro Reservas'!C389*'FR_Mantenimiento tasas'!$D$55/360,IF(C389&lt;='FR_Mantenimiento tasas'!$C$56,'Tabla Ahorro Futuro Reservas'!C389*'FR_Mantenimiento tasas'!$D$56/360,IF(C389&lt;='FR_Mantenimiento tasas'!$C$57,'Tabla Ahorro Futuro Reservas'!C389*'FR_Mantenimiento tasas'!$D$57/360,""))),5)</f>
        <v>0</v>
      </c>
      <c r="E389" s="121">
        <f>ROUND(IF(C389&lt;='FR_Mantenimiento tasas'!$C$55,'Tabla Ahorro Futuro Reservas'!C389*'FR_Mantenimiento tasas'!$E$55/360,IF(C389&lt;='FR_Mantenimiento tasas'!$C$56,'Tabla Ahorro Futuro Reservas'!C389*'FR_Mantenimiento tasas'!$E$56/360,IF(C389&lt;='FR_Mantenimiento tasas'!$C$57,'Tabla Ahorro Futuro Reservas'!C389*'FR_Mantenimiento tasas'!$E$57/360,""))),5)</f>
        <v>0</v>
      </c>
    </row>
    <row r="390" spans="1:5">
      <c r="A390" s="123">
        <f t="shared" si="12"/>
        <v>388</v>
      </c>
      <c r="B390" s="122">
        <f>IF(DAY(A390)=DAY('F-Ahorro Futuro Reservas'!$H$10),'F-Ahorro Futuro Reservas'!$H$9,0)</f>
        <v>0</v>
      </c>
      <c r="C390" s="122">
        <f t="shared" si="13"/>
        <v>0</v>
      </c>
      <c r="D390" s="121">
        <f>ROUND(IF(C390&lt;='FR_Mantenimiento tasas'!$C$55,'Tabla Ahorro Futuro Reservas'!C390*'FR_Mantenimiento tasas'!$D$55/360,IF(C390&lt;='FR_Mantenimiento tasas'!$C$56,'Tabla Ahorro Futuro Reservas'!C390*'FR_Mantenimiento tasas'!$D$56/360,IF(C390&lt;='FR_Mantenimiento tasas'!$C$57,'Tabla Ahorro Futuro Reservas'!C390*'FR_Mantenimiento tasas'!$D$57/360,""))),5)</f>
        <v>0</v>
      </c>
      <c r="E390" s="121">
        <f>ROUND(IF(C390&lt;='FR_Mantenimiento tasas'!$C$55,'Tabla Ahorro Futuro Reservas'!C390*'FR_Mantenimiento tasas'!$E$55/360,IF(C390&lt;='FR_Mantenimiento tasas'!$C$56,'Tabla Ahorro Futuro Reservas'!C390*'FR_Mantenimiento tasas'!$E$56/360,IF(C390&lt;='FR_Mantenimiento tasas'!$C$57,'Tabla Ahorro Futuro Reservas'!C390*'FR_Mantenimiento tasas'!$E$57/360,""))),5)</f>
        <v>0</v>
      </c>
    </row>
    <row r="391" spans="1:5">
      <c r="A391" s="123">
        <f t="shared" si="12"/>
        <v>389</v>
      </c>
      <c r="B391" s="122">
        <f>IF(DAY(A391)=DAY('F-Ahorro Futuro Reservas'!$H$10),'F-Ahorro Futuro Reservas'!$H$9,0)</f>
        <v>0</v>
      </c>
      <c r="C391" s="122">
        <f t="shared" si="13"/>
        <v>0</v>
      </c>
      <c r="D391" s="121">
        <f>ROUND(IF(C391&lt;='FR_Mantenimiento tasas'!$C$55,'Tabla Ahorro Futuro Reservas'!C391*'FR_Mantenimiento tasas'!$D$55/360,IF(C391&lt;='FR_Mantenimiento tasas'!$C$56,'Tabla Ahorro Futuro Reservas'!C391*'FR_Mantenimiento tasas'!$D$56/360,IF(C391&lt;='FR_Mantenimiento tasas'!$C$57,'Tabla Ahorro Futuro Reservas'!C391*'FR_Mantenimiento tasas'!$D$57/360,""))),5)</f>
        <v>0</v>
      </c>
      <c r="E391" s="121">
        <f>ROUND(IF(C391&lt;='FR_Mantenimiento tasas'!$C$55,'Tabla Ahorro Futuro Reservas'!C391*'FR_Mantenimiento tasas'!$E$55/360,IF(C391&lt;='FR_Mantenimiento tasas'!$C$56,'Tabla Ahorro Futuro Reservas'!C391*'FR_Mantenimiento tasas'!$E$56/360,IF(C391&lt;='FR_Mantenimiento tasas'!$C$57,'Tabla Ahorro Futuro Reservas'!C391*'FR_Mantenimiento tasas'!$E$57/360,""))),5)</f>
        <v>0</v>
      </c>
    </row>
    <row r="392" spans="1:5">
      <c r="A392" s="123">
        <f t="shared" si="12"/>
        <v>390</v>
      </c>
      <c r="B392" s="122">
        <f>IF(DAY(A392)=DAY('F-Ahorro Futuro Reservas'!$H$10),'F-Ahorro Futuro Reservas'!$H$9,0)</f>
        <v>0</v>
      </c>
      <c r="C392" s="122">
        <f t="shared" si="13"/>
        <v>0</v>
      </c>
      <c r="D392" s="121">
        <f>ROUND(IF(C392&lt;='FR_Mantenimiento tasas'!$C$55,'Tabla Ahorro Futuro Reservas'!C392*'FR_Mantenimiento tasas'!$D$55/360,IF(C392&lt;='FR_Mantenimiento tasas'!$C$56,'Tabla Ahorro Futuro Reservas'!C392*'FR_Mantenimiento tasas'!$D$56/360,IF(C392&lt;='FR_Mantenimiento tasas'!$C$57,'Tabla Ahorro Futuro Reservas'!C392*'FR_Mantenimiento tasas'!$D$57/360,""))),5)</f>
        <v>0</v>
      </c>
      <c r="E392" s="121">
        <f>ROUND(IF(C392&lt;='FR_Mantenimiento tasas'!$C$55,'Tabla Ahorro Futuro Reservas'!C392*'FR_Mantenimiento tasas'!$E$55/360,IF(C392&lt;='FR_Mantenimiento tasas'!$C$56,'Tabla Ahorro Futuro Reservas'!C392*'FR_Mantenimiento tasas'!$E$56/360,IF(C392&lt;='FR_Mantenimiento tasas'!$C$57,'Tabla Ahorro Futuro Reservas'!C392*'FR_Mantenimiento tasas'!$E$57/360,""))),5)</f>
        <v>0</v>
      </c>
    </row>
    <row r="393" spans="1:5">
      <c r="A393" s="123">
        <f t="shared" si="12"/>
        <v>391</v>
      </c>
      <c r="B393" s="122">
        <f>IF(DAY(A393)=DAY('F-Ahorro Futuro Reservas'!$H$10),'F-Ahorro Futuro Reservas'!$H$9,0)</f>
        <v>0</v>
      </c>
      <c r="C393" s="122">
        <f t="shared" si="13"/>
        <v>0</v>
      </c>
      <c r="D393" s="121">
        <f>ROUND(IF(C393&lt;='FR_Mantenimiento tasas'!$C$55,'Tabla Ahorro Futuro Reservas'!C393*'FR_Mantenimiento tasas'!$D$55/360,IF(C393&lt;='FR_Mantenimiento tasas'!$C$56,'Tabla Ahorro Futuro Reservas'!C393*'FR_Mantenimiento tasas'!$D$56/360,IF(C393&lt;='FR_Mantenimiento tasas'!$C$57,'Tabla Ahorro Futuro Reservas'!C393*'FR_Mantenimiento tasas'!$D$57/360,""))),5)</f>
        <v>0</v>
      </c>
      <c r="E393" s="121">
        <f>ROUND(IF(C393&lt;='FR_Mantenimiento tasas'!$C$55,'Tabla Ahorro Futuro Reservas'!C393*'FR_Mantenimiento tasas'!$E$55/360,IF(C393&lt;='FR_Mantenimiento tasas'!$C$56,'Tabla Ahorro Futuro Reservas'!C393*'FR_Mantenimiento tasas'!$E$56/360,IF(C393&lt;='FR_Mantenimiento tasas'!$C$57,'Tabla Ahorro Futuro Reservas'!C393*'FR_Mantenimiento tasas'!$E$57/360,""))),5)</f>
        <v>0</v>
      </c>
    </row>
    <row r="394" spans="1:5">
      <c r="A394" s="123">
        <f t="shared" si="12"/>
        <v>392</v>
      </c>
      <c r="B394" s="122">
        <f>IF(DAY(A394)=DAY('F-Ahorro Futuro Reservas'!$H$10),'F-Ahorro Futuro Reservas'!$H$9,0)</f>
        <v>0</v>
      </c>
      <c r="C394" s="122">
        <f t="shared" si="13"/>
        <v>0</v>
      </c>
      <c r="D394" s="121">
        <f>ROUND(IF(C394&lt;='FR_Mantenimiento tasas'!$C$55,'Tabla Ahorro Futuro Reservas'!C394*'FR_Mantenimiento tasas'!$D$55/360,IF(C394&lt;='FR_Mantenimiento tasas'!$C$56,'Tabla Ahorro Futuro Reservas'!C394*'FR_Mantenimiento tasas'!$D$56/360,IF(C394&lt;='FR_Mantenimiento tasas'!$C$57,'Tabla Ahorro Futuro Reservas'!C394*'FR_Mantenimiento tasas'!$D$57/360,""))),5)</f>
        <v>0</v>
      </c>
      <c r="E394" s="121">
        <f>ROUND(IF(C394&lt;='FR_Mantenimiento tasas'!$C$55,'Tabla Ahorro Futuro Reservas'!C394*'FR_Mantenimiento tasas'!$E$55/360,IF(C394&lt;='FR_Mantenimiento tasas'!$C$56,'Tabla Ahorro Futuro Reservas'!C394*'FR_Mantenimiento tasas'!$E$56/360,IF(C394&lt;='FR_Mantenimiento tasas'!$C$57,'Tabla Ahorro Futuro Reservas'!C394*'FR_Mantenimiento tasas'!$E$57/360,""))),5)</f>
        <v>0</v>
      </c>
    </row>
    <row r="395" spans="1:5">
      <c r="A395" s="123">
        <f t="shared" si="12"/>
        <v>393</v>
      </c>
      <c r="B395" s="122">
        <f>IF(DAY(A395)=DAY('F-Ahorro Futuro Reservas'!$H$10),'F-Ahorro Futuro Reservas'!$H$9,0)</f>
        <v>0</v>
      </c>
      <c r="C395" s="122">
        <f t="shared" si="13"/>
        <v>0</v>
      </c>
      <c r="D395" s="121">
        <f>ROUND(IF(C395&lt;='FR_Mantenimiento tasas'!$C$55,'Tabla Ahorro Futuro Reservas'!C395*'FR_Mantenimiento tasas'!$D$55/360,IF(C395&lt;='FR_Mantenimiento tasas'!$C$56,'Tabla Ahorro Futuro Reservas'!C395*'FR_Mantenimiento tasas'!$D$56/360,IF(C395&lt;='FR_Mantenimiento tasas'!$C$57,'Tabla Ahorro Futuro Reservas'!C395*'FR_Mantenimiento tasas'!$D$57/360,""))),5)</f>
        <v>0</v>
      </c>
      <c r="E395" s="121">
        <f>ROUND(IF(C395&lt;='FR_Mantenimiento tasas'!$C$55,'Tabla Ahorro Futuro Reservas'!C395*'FR_Mantenimiento tasas'!$E$55/360,IF(C395&lt;='FR_Mantenimiento tasas'!$C$56,'Tabla Ahorro Futuro Reservas'!C395*'FR_Mantenimiento tasas'!$E$56/360,IF(C395&lt;='FR_Mantenimiento tasas'!$C$57,'Tabla Ahorro Futuro Reservas'!C395*'FR_Mantenimiento tasas'!$E$57/360,""))),5)</f>
        <v>0</v>
      </c>
    </row>
    <row r="396" spans="1:5">
      <c r="A396" s="123">
        <f t="shared" si="12"/>
        <v>394</v>
      </c>
      <c r="B396" s="122">
        <f>IF(DAY(A396)=DAY('F-Ahorro Futuro Reservas'!$H$10),'F-Ahorro Futuro Reservas'!$H$9,0)</f>
        <v>0</v>
      </c>
      <c r="C396" s="122">
        <f t="shared" si="13"/>
        <v>0</v>
      </c>
      <c r="D396" s="121">
        <f>ROUND(IF(C396&lt;='FR_Mantenimiento tasas'!$C$55,'Tabla Ahorro Futuro Reservas'!C396*'FR_Mantenimiento tasas'!$D$55/360,IF(C396&lt;='FR_Mantenimiento tasas'!$C$56,'Tabla Ahorro Futuro Reservas'!C396*'FR_Mantenimiento tasas'!$D$56/360,IF(C396&lt;='FR_Mantenimiento tasas'!$C$57,'Tabla Ahorro Futuro Reservas'!C396*'FR_Mantenimiento tasas'!$D$57/360,""))),5)</f>
        <v>0</v>
      </c>
      <c r="E396" s="121">
        <f>ROUND(IF(C396&lt;='FR_Mantenimiento tasas'!$C$55,'Tabla Ahorro Futuro Reservas'!C396*'FR_Mantenimiento tasas'!$E$55/360,IF(C396&lt;='FR_Mantenimiento tasas'!$C$56,'Tabla Ahorro Futuro Reservas'!C396*'FR_Mantenimiento tasas'!$E$56/360,IF(C396&lt;='FR_Mantenimiento tasas'!$C$57,'Tabla Ahorro Futuro Reservas'!C396*'FR_Mantenimiento tasas'!$E$57/360,""))),5)</f>
        <v>0</v>
      </c>
    </row>
    <row r="397" spans="1:5">
      <c r="A397" s="123">
        <f t="shared" si="12"/>
        <v>395</v>
      </c>
      <c r="B397" s="122">
        <f>IF(DAY(A397)=DAY('F-Ahorro Futuro Reservas'!$H$10),'F-Ahorro Futuro Reservas'!$H$9,0)</f>
        <v>0</v>
      </c>
      <c r="C397" s="122">
        <f t="shared" si="13"/>
        <v>0</v>
      </c>
      <c r="D397" s="121">
        <f>ROUND(IF(C397&lt;='FR_Mantenimiento tasas'!$C$55,'Tabla Ahorro Futuro Reservas'!C397*'FR_Mantenimiento tasas'!$D$55/360,IF(C397&lt;='FR_Mantenimiento tasas'!$C$56,'Tabla Ahorro Futuro Reservas'!C397*'FR_Mantenimiento tasas'!$D$56/360,IF(C397&lt;='FR_Mantenimiento tasas'!$C$57,'Tabla Ahorro Futuro Reservas'!C397*'FR_Mantenimiento tasas'!$D$57/360,""))),5)</f>
        <v>0</v>
      </c>
      <c r="E397" s="121">
        <f>ROUND(IF(C397&lt;='FR_Mantenimiento tasas'!$C$55,'Tabla Ahorro Futuro Reservas'!C397*'FR_Mantenimiento tasas'!$E$55/360,IF(C397&lt;='FR_Mantenimiento tasas'!$C$56,'Tabla Ahorro Futuro Reservas'!C397*'FR_Mantenimiento tasas'!$E$56/360,IF(C397&lt;='FR_Mantenimiento tasas'!$C$57,'Tabla Ahorro Futuro Reservas'!C397*'FR_Mantenimiento tasas'!$E$57/360,""))),5)</f>
        <v>0</v>
      </c>
    </row>
    <row r="398" spans="1:5">
      <c r="A398" s="123">
        <f t="shared" si="12"/>
        <v>396</v>
      </c>
      <c r="B398" s="122">
        <f>IF(DAY(A398)=DAY('F-Ahorro Futuro Reservas'!$H$10),'F-Ahorro Futuro Reservas'!$H$9,0)</f>
        <v>0</v>
      </c>
      <c r="C398" s="122">
        <f t="shared" si="13"/>
        <v>0</v>
      </c>
      <c r="D398" s="121">
        <f>ROUND(IF(C398&lt;='FR_Mantenimiento tasas'!$C$55,'Tabla Ahorro Futuro Reservas'!C398*'FR_Mantenimiento tasas'!$D$55/360,IF(C398&lt;='FR_Mantenimiento tasas'!$C$56,'Tabla Ahorro Futuro Reservas'!C398*'FR_Mantenimiento tasas'!$D$56/360,IF(C398&lt;='FR_Mantenimiento tasas'!$C$57,'Tabla Ahorro Futuro Reservas'!C398*'FR_Mantenimiento tasas'!$D$57/360,""))),5)</f>
        <v>0</v>
      </c>
      <c r="E398" s="121">
        <f>ROUND(IF(C398&lt;='FR_Mantenimiento tasas'!$C$55,'Tabla Ahorro Futuro Reservas'!C398*'FR_Mantenimiento tasas'!$E$55/360,IF(C398&lt;='FR_Mantenimiento tasas'!$C$56,'Tabla Ahorro Futuro Reservas'!C398*'FR_Mantenimiento tasas'!$E$56/360,IF(C398&lt;='FR_Mantenimiento tasas'!$C$57,'Tabla Ahorro Futuro Reservas'!C398*'FR_Mantenimiento tasas'!$E$57/360,""))),5)</f>
        <v>0</v>
      </c>
    </row>
    <row r="399" spans="1:5">
      <c r="A399" s="123">
        <f t="shared" si="12"/>
        <v>397</v>
      </c>
      <c r="B399" s="122">
        <f>IF(DAY(A399)=DAY('F-Ahorro Futuro Reservas'!$H$10),'F-Ahorro Futuro Reservas'!$H$9,0)</f>
        <v>0</v>
      </c>
      <c r="C399" s="122">
        <f t="shared" si="13"/>
        <v>0</v>
      </c>
      <c r="D399" s="121">
        <f>ROUND(IF(C399&lt;='FR_Mantenimiento tasas'!$C$55,'Tabla Ahorro Futuro Reservas'!C399*'FR_Mantenimiento tasas'!$D$55/360,IF(C399&lt;='FR_Mantenimiento tasas'!$C$56,'Tabla Ahorro Futuro Reservas'!C399*'FR_Mantenimiento tasas'!$D$56/360,IF(C399&lt;='FR_Mantenimiento tasas'!$C$57,'Tabla Ahorro Futuro Reservas'!C399*'FR_Mantenimiento tasas'!$D$57/360,""))),5)</f>
        <v>0</v>
      </c>
      <c r="E399" s="121">
        <f>ROUND(IF(C399&lt;='FR_Mantenimiento tasas'!$C$55,'Tabla Ahorro Futuro Reservas'!C399*'FR_Mantenimiento tasas'!$E$55/360,IF(C399&lt;='FR_Mantenimiento tasas'!$C$56,'Tabla Ahorro Futuro Reservas'!C399*'FR_Mantenimiento tasas'!$E$56/360,IF(C399&lt;='FR_Mantenimiento tasas'!$C$57,'Tabla Ahorro Futuro Reservas'!C399*'FR_Mantenimiento tasas'!$E$57/360,""))),5)</f>
        <v>0</v>
      </c>
    </row>
    <row r="400" spans="1:5">
      <c r="A400" s="123">
        <f t="shared" si="12"/>
        <v>398</v>
      </c>
      <c r="B400" s="122">
        <f>IF(DAY(A400)=DAY('F-Ahorro Futuro Reservas'!$H$10),'F-Ahorro Futuro Reservas'!$H$9,0)</f>
        <v>0</v>
      </c>
      <c r="C400" s="122">
        <f t="shared" si="13"/>
        <v>0</v>
      </c>
      <c r="D400" s="121">
        <f>ROUND(IF(C400&lt;='FR_Mantenimiento tasas'!$C$55,'Tabla Ahorro Futuro Reservas'!C400*'FR_Mantenimiento tasas'!$D$55/360,IF(C400&lt;='FR_Mantenimiento tasas'!$C$56,'Tabla Ahorro Futuro Reservas'!C400*'FR_Mantenimiento tasas'!$D$56/360,IF(C400&lt;='FR_Mantenimiento tasas'!$C$57,'Tabla Ahorro Futuro Reservas'!C400*'FR_Mantenimiento tasas'!$D$57/360,""))),5)</f>
        <v>0</v>
      </c>
      <c r="E400" s="121">
        <f>ROUND(IF(C400&lt;='FR_Mantenimiento tasas'!$C$55,'Tabla Ahorro Futuro Reservas'!C400*'FR_Mantenimiento tasas'!$E$55/360,IF(C400&lt;='FR_Mantenimiento tasas'!$C$56,'Tabla Ahorro Futuro Reservas'!C400*'FR_Mantenimiento tasas'!$E$56/360,IF(C400&lt;='FR_Mantenimiento tasas'!$C$57,'Tabla Ahorro Futuro Reservas'!C400*'FR_Mantenimiento tasas'!$E$57/360,""))),5)</f>
        <v>0</v>
      </c>
    </row>
    <row r="401" spans="1:5">
      <c r="A401" s="123">
        <f t="shared" si="12"/>
        <v>399</v>
      </c>
      <c r="B401" s="122">
        <f>IF(DAY(A401)=DAY('F-Ahorro Futuro Reservas'!$H$10),'F-Ahorro Futuro Reservas'!$H$9,0)</f>
        <v>0</v>
      </c>
      <c r="C401" s="122">
        <f t="shared" si="13"/>
        <v>0</v>
      </c>
      <c r="D401" s="121">
        <f>ROUND(IF(C401&lt;='FR_Mantenimiento tasas'!$C$55,'Tabla Ahorro Futuro Reservas'!C401*'FR_Mantenimiento tasas'!$D$55/360,IF(C401&lt;='FR_Mantenimiento tasas'!$C$56,'Tabla Ahorro Futuro Reservas'!C401*'FR_Mantenimiento tasas'!$D$56/360,IF(C401&lt;='FR_Mantenimiento tasas'!$C$57,'Tabla Ahorro Futuro Reservas'!C401*'FR_Mantenimiento tasas'!$D$57/360,""))),5)</f>
        <v>0</v>
      </c>
      <c r="E401" s="121">
        <f>ROUND(IF(C401&lt;='FR_Mantenimiento tasas'!$C$55,'Tabla Ahorro Futuro Reservas'!C401*'FR_Mantenimiento tasas'!$E$55/360,IF(C401&lt;='FR_Mantenimiento tasas'!$C$56,'Tabla Ahorro Futuro Reservas'!C401*'FR_Mantenimiento tasas'!$E$56/360,IF(C401&lt;='FR_Mantenimiento tasas'!$C$57,'Tabla Ahorro Futuro Reservas'!C401*'FR_Mantenimiento tasas'!$E$57/360,""))),5)</f>
        <v>0</v>
      </c>
    </row>
    <row r="402" spans="1:5">
      <c r="A402" s="123">
        <f t="shared" si="12"/>
        <v>400</v>
      </c>
      <c r="B402" s="122">
        <f>IF(DAY(A402)=DAY('F-Ahorro Futuro Reservas'!$H$10),'F-Ahorro Futuro Reservas'!$H$9,0)</f>
        <v>0</v>
      </c>
      <c r="C402" s="122">
        <f t="shared" si="13"/>
        <v>0</v>
      </c>
      <c r="D402" s="121">
        <f>ROUND(IF(C402&lt;='FR_Mantenimiento tasas'!$C$55,'Tabla Ahorro Futuro Reservas'!C402*'FR_Mantenimiento tasas'!$D$55/360,IF(C402&lt;='FR_Mantenimiento tasas'!$C$56,'Tabla Ahorro Futuro Reservas'!C402*'FR_Mantenimiento tasas'!$D$56/360,IF(C402&lt;='FR_Mantenimiento tasas'!$C$57,'Tabla Ahorro Futuro Reservas'!C402*'FR_Mantenimiento tasas'!$D$57/360,""))),5)</f>
        <v>0</v>
      </c>
      <c r="E402" s="121">
        <f>ROUND(IF(C402&lt;='FR_Mantenimiento tasas'!$C$55,'Tabla Ahorro Futuro Reservas'!C402*'FR_Mantenimiento tasas'!$E$55/360,IF(C402&lt;='FR_Mantenimiento tasas'!$C$56,'Tabla Ahorro Futuro Reservas'!C402*'FR_Mantenimiento tasas'!$E$56/360,IF(C402&lt;='FR_Mantenimiento tasas'!$C$57,'Tabla Ahorro Futuro Reservas'!C402*'FR_Mantenimiento tasas'!$E$57/360,""))),5)</f>
        <v>0</v>
      </c>
    </row>
    <row r="403" spans="1:5">
      <c r="A403" s="123">
        <f t="shared" si="12"/>
        <v>401</v>
      </c>
      <c r="B403" s="122">
        <f>IF(DAY(A403)=DAY('F-Ahorro Futuro Reservas'!$H$10),'F-Ahorro Futuro Reservas'!$H$9,0)</f>
        <v>0</v>
      </c>
      <c r="C403" s="122">
        <f t="shared" si="13"/>
        <v>0</v>
      </c>
      <c r="D403" s="121">
        <f>ROUND(IF(C403&lt;='FR_Mantenimiento tasas'!$C$55,'Tabla Ahorro Futuro Reservas'!C403*'FR_Mantenimiento tasas'!$D$55/360,IF(C403&lt;='FR_Mantenimiento tasas'!$C$56,'Tabla Ahorro Futuro Reservas'!C403*'FR_Mantenimiento tasas'!$D$56/360,IF(C403&lt;='FR_Mantenimiento tasas'!$C$57,'Tabla Ahorro Futuro Reservas'!C403*'FR_Mantenimiento tasas'!$D$57/360,""))),5)</f>
        <v>0</v>
      </c>
      <c r="E403" s="121">
        <f>ROUND(IF(C403&lt;='FR_Mantenimiento tasas'!$C$55,'Tabla Ahorro Futuro Reservas'!C403*'FR_Mantenimiento tasas'!$E$55/360,IF(C403&lt;='FR_Mantenimiento tasas'!$C$56,'Tabla Ahorro Futuro Reservas'!C403*'FR_Mantenimiento tasas'!$E$56/360,IF(C403&lt;='FR_Mantenimiento tasas'!$C$57,'Tabla Ahorro Futuro Reservas'!C403*'FR_Mantenimiento tasas'!$E$57/360,""))),5)</f>
        <v>0</v>
      </c>
    </row>
    <row r="404" spans="1:5">
      <c r="A404" s="123">
        <f t="shared" si="12"/>
        <v>402</v>
      </c>
      <c r="B404" s="122">
        <f>IF(DAY(A404)=DAY('F-Ahorro Futuro Reservas'!$H$10),'F-Ahorro Futuro Reservas'!$H$9,0)</f>
        <v>0</v>
      </c>
      <c r="C404" s="122">
        <f t="shared" si="13"/>
        <v>0</v>
      </c>
      <c r="D404" s="121">
        <f>ROUND(IF(C404&lt;='FR_Mantenimiento tasas'!$C$55,'Tabla Ahorro Futuro Reservas'!C404*'FR_Mantenimiento tasas'!$D$55/360,IF(C404&lt;='FR_Mantenimiento tasas'!$C$56,'Tabla Ahorro Futuro Reservas'!C404*'FR_Mantenimiento tasas'!$D$56/360,IF(C404&lt;='FR_Mantenimiento tasas'!$C$57,'Tabla Ahorro Futuro Reservas'!C404*'FR_Mantenimiento tasas'!$D$57/360,""))),5)</f>
        <v>0</v>
      </c>
      <c r="E404" s="121">
        <f>ROUND(IF(C404&lt;='FR_Mantenimiento tasas'!$C$55,'Tabla Ahorro Futuro Reservas'!C404*'FR_Mantenimiento tasas'!$E$55/360,IF(C404&lt;='FR_Mantenimiento tasas'!$C$56,'Tabla Ahorro Futuro Reservas'!C404*'FR_Mantenimiento tasas'!$E$56/360,IF(C404&lt;='FR_Mantenimiento tasas'!$C$57,'Tabla Ahorro Futuro Reservas'!C404*'FR_Mantenimiento tasas'!$E$57/360,""))),5)</f>
        <v>0</v>
      </c>
    </row>
    <row r="405" spans="1:5">
      <c r="A405" s="123">
        <f t="shared" si="12"/>
        <v>403</v>
      </c>
      <c r="B405" s="122">
        <f>IF(DAY(A405)=DAY('F-Ahorro Futuro Reservas'!$H$10),'F-Ahorro Futuro Reservas'!$H$9,0)</f>
        <v>0</v>
      </c>
      <c r="C405" s="122">
        <f t="shared" si="13"/>
        <v>0</v>
      </c>
      <c r="D405" s="121">
        <f>ROUND(IF(C405&lt;='FR_Mantenimiento tasas'!$C$55,'Tabla Ahorro Futuro Reservas'!C405*'FR_Mantenimiento tasas'!$D$55/360,IF(C405&lt;='FR_Mantenimiento tasas'!$C$56,'Tabla Ahorro Futuro Reservas'!C405*'FR_Mantenimiento tasas'!$D$56/360,IF(C405&lt;='FR_Mantenimiento tasas'!$C$57,'Tabla Ahorro Futuro Reservas'!C405*'FR_Mantenimiento tasas'!$D$57/360,""))),5)</f>
        <v>0</v>
      </c>
      <c r="E405" s="121">
        <f>ROUND(IF(C405&lt;='FR_Mantenimiento tasas'!$C$55,'Tabla Ahorro Futuro Reservas'!C405*'FR_Mantenimiento tasas'!$E$55/360,IF(C405&lt;='FR_Mantenimiento tasas'!$C$56,'Tabla Ahorro Futuro Reservas'!C405*'FR_Mantenimiento tasas'!$E$56/360,IF(C405&lt;='FR_Mantenimiento tasas'!$C$57,'Tabla Ahorro Futuro Reservas'!C405*'FR_Mantenimiento tasas'!$E$57/360,""))),5)</f>
        <v>0</v>
      </c>
    </row>
    <row r="406" spans="1:5">
      <c r="A406" s="123">
        <f t="shared" si="12"/>
        <v>404</v>
      </c>
      <c r="B406" s="122">
        <f>IF(DAY(A406)=DAY('F-Ahorro Futuro Reservas'!$H$10),'F-Ahorro Futuro Reservas'!$H$9,0)</f>
        <v>0</v>
      </c>
      <c r="C406" s="122">
        <f t="shared" si="13"/>
        <v>0</v>
      </c>
      <c r="D406" s="121">
        <f>ROUND(IF(C406&lt;='FR_Mantenimiento tasas'!$C$55,'Tabla Ahorro Futuro Reservas'!C406*'FR_Mantenimiento tasas'!$D$55/360,IF(C406&lt;='FR_Mantenimiento tasas'!$C$56,'Tabla Ahorro Futuro Reservas'!C406*'FR_Mantenimiento tasas'!$D$56/360,IF(C406&lt;='FR_Mantenimiento tasas'!$C$57,'Tabla Ahorro Futuro Reservas'!C406*'FR_Mantenimiento tasas'!$D$57/360,""))),5)</f>
        <v>0</v>
      </c>
      <c r="E406" s="121">
        <f>ROUND(IF(C406&lt;='FR_Mantenimiento tasas'!$C$55,'Tabla Ahorro Futuro Reservas'!C406*'FR_Mantenimiento tasas'!$E$55/360,IF(C406&lt;='FR_Mantenimiento tasas'!$C$56,'Tabla Ahorro Futuro Reservas'!C406*'FR_Mantenimiento tasas'!$E$56/360,IF(C406&lt;='FR_Mantenimiento tasas'!$C$57,'Tabla Ahorro Futuro Reservas'!C406*'FR_Mantenimiento tasas'!$E$57/360,""))),5)</f>
        <v>0</v>
      </c>
    </row>
    <row r="407" spans="1:5">
      <c r="A407" s="123">
        <f t="shared" si="12"/>
        <v>405</v>
      </c>
      <c r="B407" s="122">
        <f>IF(DAY(A407)=DAY('F-Ahorro Futuro Reservas'!$H$10),'F-Ahorro Futuro Reservas'!$H$9,0)</f>
        <v>0</v>
      </c>
      <c r="C407" s="122">
        <f t="shared" si="13"/>
        <v>0</v>
      </c>
      <c r="D407" s="121">
        <f>ROUND(IF(C407&lt;='FR_Mantenimiento tasas'!$C$55,'Tabla Ahorro Futuro Reservas'!C407*'FR_Mantenimiento tasas'!$D$55/360,IF(C407&lt;='FR_Mantenimiento tasas'!$C$56,'Tabla Ahorro Futuro Reservas'!C407*'FR_Mantenimiento tasas'!$D$56/360,IF(C407&lt;='FR_Mantenimiento tasas'!$C$57,'Tabla Ahorro Futuro Reservas'!C407*'FR_Mantenimiento tasas'!$D$57/360,""))),5)</f>
        <v>0</v>
      </c>
      <c r="E407" s="121">
        <f>ROUND(IF(C407&lt;='FR_Mantenimiento tasas'!$C$55,'Tabla Ahorro Futuro Reservas'!C407*'FR_Mantenimiento tasas'!$E$55/360,IF(C407&lt;='FR_Mantenimiento tasas'!$C$56,'Tabla Ahorro Futuro Reservas'!C407*'FR_Mantenimiento tasas'!$E$56/360,IF(C407&lt;='FR_Mantenimiento tasas'!$C$57,'Tabla Ahorro Futuro Reservas'!C407*'FR_Mantenimiento tasas'!$E$57/360,""))),5)</f>
        <v>0</v>
      </c>
    </row>
    <row r="408" spans="1:5">
      <c r="A408" s="123">
        <f t="shared" si="12"/>
        <v>406</v>
      </c>
      <c r="B408" s="122">
        <f>IF(DAY(A408)=DAY('F-Ahorro Futuro Reservas'!$H$10),'F-Ahorro Futuro Reservas'!$H$9,0)</f>
        <v>0</v>
      </c>
      <c r="C408" s="122">
        <f t="shared" si="13"/>
        <v>0</v>
      </c>
      <c r="D408" s="121">
        <f>ROUND(IF(C408&lt;='FR_Mantenimiento tasas'!$C$55,'Tabla Ahorro Futuro Reservas'!C408*'FR_Mantenimiento tasas'!$D$55/360,IF(C408&lt;='FR_Mantenimiento tasas'!$C$56,'Tabla Ahorro Futuro Reservas'!C408*'FR_Mantenimiento tasas'!$D$56/360,IF(C408&lt;='FR_Mantenimiento tasas'!$C$57,'Tabla Ahorro Futuro Reservas'!C408*'FR_Mantenimiento tasas'!$D$57/360,""))),5)</f>
        <v>0</v>
      </c>
      <c r="E408" s="121">
        <f>ROUND(IF(C408&lt;='FR_Mantenimiento tasas'!$C$55,'Tabla Ahorro Futuro Reservas'!C408*'FR_Mantenimiento tasas'!$E$55/360,IF(C408&lt;='FR_Mantenimiento tasas'!$C$56,'Tabla Ahorro Futuro Reservas'!C408*'FR_Mantenimiento tasas'!$E$56/360,IF(C408&lt;='FR_Mantenimiento tasas'!$C$57,'Tabla Ahorro Futuro Reservas'!C408*'FR_Mantenimiento tasas'!$E$57/360,""))),5)</f>
        <v>0</v>
      </c>
    </row>
    <row r="409" spans="1:5">
      <c r="A409" s="123">
        <f t="shared" si="12"/>
        <v>407</v>
      </c>
      <c r="B409" s="122">
        <f>IF(DAY(A409)=DAY('F-Ahorro Futuro Reservas'!$H$10),'F-Ahorro Futuro Reservas'!$H$9,0)</f>
        <v>0</v>
      </c>
      <c r="C409" s="122">
        <f t="shared" si="13"/>
        <v>0</v>
      </c>
      <c r="D409" s="121">
        <f>ROUND(IF(C409&lt;='FR_Mantenimiento tasas'!$C$55,'Tabla Ahorro Futuro Reservas'!C409*'FR_Mantenimiento tasas'!$D$55/360,IF(C409&lt;='FR_Mantenimiento tasas'!$C$56,'Tabla Ahorro Futuro Reservas'!C409*'FR_Mantenimiento tasas'!$D$56/360,IF(C409&lt;='FR_Mantenimiento tasas'!$C$57,'Tabla Ahorro Futuro Reservas'!C409*'FR_Mantenimiento tasas'!$D$57/360,""))),5)</f>
        <v>0</v>
      </c>
      <c r="E409" s="121">
        <f>ROUND(IF(C409&lt;='FR_Mantenimiento tasas'!$C$55,'Tabla Ahorro Futuro Reservas'!C409*'FR_Mantenimiento tasas'!$E$55/360,IF(C409&lt;='FR_Mantenimiento tasas'!$C$56,'Tabla Ahorro Futuro Reservas'!C409*'FR_Mantenimiento tasas'!$E$56/360,IF(C409&lt;='FR_Mantenimiento tasas'!$C$57,'Tabla Ahorro Futuro Reservas'!C409*'FR_Mantenimiento tasas'!$E$57/360,""))),5)</f>
        <v>0</v>
      </c>
    </row>
    <row r="410" spans="1:5">
      <c r="A410" s="123">
        <f t="shared" si="12"/>
        <v>408</v>
      </c>
      <c r="B410" s="122">
        <f>IF(DAY(A410)=DAY('F-Ahorro Futuro Reservas'!$H$10),'F-Ahorro Futuro Reservas'!$H$9,0)</f>
        <v>0</v>
      </c>
      <c r="C410" s="122">
        <f t="shared" si="13"/>
        <v>0</v>
      </c>
      <c r="D410" s="121">
        <f>ROUND(IF(C410&lt;='FR_Mantenimiento tasas'!$C$55,'Tabla Ahorro Futuro Reservas'!C410*'FR_Mantenimiento tasas'!$D$55/360,IF(C410&lt;='FR_Mantenimiento tasas'!$C$56,'Tabla Ahorro Futuro Reservas'!C410*'FR_Mantenimiento tasas'!$D$56/360,IF(C410&lt;='FR_Mantenimiento tasas'!$C$57,'Tabla Ahorro Futuro Reservas'!C410*'FR_Mantenimiento tasas'!$D$57/360,""))),5)</f>
        <v>0</v>
      </c>
      <c r="E410" s="121">
        <f>ROUND(IF(C410&lt;='FR_Mantenimiento tasas'!$C$55,'Tabla Ahorro Futuro Reservas'!C410*'FR_Mantenimiento tasas'!$E$55/360,IF(C410&lt;='FR_Mantenimiento tasas'!$C$56,'Tabla Ahorro Futuro Reservas'!C410*'FR_Mantenimiento tasas'!$E$56/360,IF(C410&lt;='FR_Mantenimiento tasas'!$C$57,'Tabla Ahorro Futuro Reservas'!C410*'FR_Mantenimiento tasas'!$E$57/360,""))),5)</f>
        <v>0</v>
      </c>
    </row>
    <row r="411" spans="1:5">
      <c r="A411" s="123">
        <f t="shared" si="12"/>
        <v>409</v>
      </c>
      <c r="B411" s="122">
        <f>IF(DAY(A411)=DAY('F-Ahorro Futuro Reservas'!$H$10),'F-Ahorro Futuro Reservas'!$H$9,0)</f>
        <v>0</v>
      </c>
      <c r="C411" s="122">
        <f t="shared" si="13"/>
        <v>0</v>
      </c>
      <c r="D411" s="121">
        <f>ROUND(IF(C411&lt;='FR_Mantenimiento tasas'!$C$55,'Tabla Ahorro Futuro Reservas'!C411*'FR_Mantenimiento tasas'!$D$55/360,IF(C411&lt;='FR_Mantenimiento tasas'!$C$56,'Tabla Ahorro Futuro Reservas'!C411*'FR_Mantenimiento tasas'!$D$56/360,IF(C411&lt;='FR_Mantenimiento tasas'!$C$57,'Tabla Ahorro Futuro Reservas'!C411*'FR_Mantenimiento tasas'!$D$57/360,""))),5)</f>
        <v>0</v>
      </c>
      <c r="E411" s="121">
        <f>ROUND(IF(C411&lt;='FR_Mantenimiento tasas'!$C$55,'Tabla Ahorro Futuro Reservas'!C411*'FR_Mantenimiento tasas'!$E$55/360,IF(C411&lt;='FR_Mantenimiento tasas'!$C$56,'Tabla Ahorro Futuro Reservas'!C411*'FR_Mantenimiento tasas'!$E$56/360,IF(C411&lt;='FR_Mantenimiento tasas'!$C$57,'Tabla Ahorro Futuro Reservas'!C411*'FR_Mantenimiento tasas'!$E$57/360,""))),5)</f>
        <v>0</v>
      </c>
    </row>
    <row r="412" spans="1:5">
      <c r="A412" s="123">
        <f t="shared" si="12"/>
        <v>410</v>
      </c>
      <c r="B412" s="122">
        <f>IF(DAY(A412)=DAY('F-Ahorro Futuro Reservas'!$H$10),'F-Ahorro Futuro Reservas'!$H$9,0)</f>
        <v>0</v>
      </c>
      <c r="C412" s="122">
        <f t="shared" si="13"/>
        <v>0</v>
      </c>
      <c r="D412" s="121">
        <f>ROUND(IF(C412&lt;='FR_Mantenimiento tasas'!$C$55,'Tabla Ahorro Futuro Reservas'!C412*'FR_Mantenimiento tasas'!$D$55/360,IF(C412&lt;='FR_Mantenimiento tasas'!$C$56,'Tabla Ahorro Futuro Reservas'!C412*'FR_Mantenimiento tasas'!$D$56/360,IF(C412&lt;='FR_Mantenimiento tasas'!$C$57,'Tabla Ahorro Futuro Reservas'!C412*'FR_Mantenimiento tasas'!$D$57/360,""))),5)</f>
        <v>0</v>
      </c>
      <c r="E412" s="121">
        <f>ROUND(IF(C412&lt;='FR_Mantenimiento tasas'!$C$55,'Tabla Ahorro Futuro Reservas'!C412*'FR_Mantenimiento tasas'!$E$55/360,IF(C412&lt;='FR_Mantenimiento tasas'!$C$56,'Tabla Ahorro Futuro Reservas'!C412*'FR_Mantenimiento tasas'!$E$56/360,IF(C412&lt;='FR_Mantenimiento tasas'!$C$57,'Tabla Ahorro Futuro Reservas'!C412*'FR_Mantenimiento tasas'!$E$57/360,""))),5)</f>
        <v>0</v>
      </c>
    </row>
    <row r="413" spans="1:5">
      <c r="A413" s="123">
        <f t="shared" si="12"/>
        <v>411</v>
      </c>
      <c r="B413" s="122">
        <f>IF(DAY(A413)=DAY('F-Ahorro Futuro Reservas'!$H$10),'F-Ahorro Futuro Reservas'!$H$9,0)</f>
        <v>0</v>
      </c>
      <c r="C413" s="122">
        <f t="shared" si="13"/>
        <v>0</v>
      </c>
      <c r="D413" s="121">
        <f>ROUND(IF(C413&lt;='FR_Mantenimiento tasas'!$C$55,'Tabla Ahorro Futuro Reservas'!C413*'FR_Mantenimiento tasas'!$D$55/360,IF(C413&lt;='FR_Mantenimiento tasas'!$C$56,'Tabla Ahorro Futuro Reservas'!C413*'FR_Mantenimiento tasas'!$D$56/360,IF(C413&lt;='FR_Mantenimiento tasas'!$C$57,'Tabla Ahorro Futuro Reservas'!C413*'FR_Mantenimiento tasas'!$D$57/360,""))),5)</f>
        <v>0</v>
      </c>
      <c r="E413" s="121">
        <f>ROUND(IF(C413&lt;='FR_Mantenimiento tasas'!$C$55,'Tabla Ahorro Futuro Reservas'!C413*'FR_Mantenimiento tasas'!$E$55/360,IF(C413&lt;='FR_Mantenimiento tasas'!$C$56,'Tabla Ahorro Futuro Reservas'!C413*'FR_Mantenimiento tasas'!$E$56/360,IF(C413&lt;='FR_Mantenimiento tasas'!$C$57,'Tabla Ahorro Futuro Reservas'!C413*'FR_Mantenimiento tasas'!$E$57/360,""))),5)</f>
        <v>0</v>
      </c>
    </row>
    <row r="414" spans="1:5">
      <c r="A414" s="123">
        <f t="shared" si="12"/>
        <v>412</v>
      </c>
      <c r="B414" s="122">
        <f>IF(DAY(A414)=DAY('F-Ahorro Futuro Reservas'!$H$10),'F-Ahorro Futuro Reservas'!$H$9,0)</f>
        <v>0</v>
      </c>
      <c r="C414" s="122">
        <f t="shared" si="13"/>
        <v>0</v>
      </c>
      <c r="D414" s="121">
        <f>ROUND(IF(C414&lt;='FR_Mantenimiento tasas'!$C$55,'Tabla Ahorro Futuro Reservas'!C414*'FR_Mantenimiento tasas'!$D$55/360,IF(C414&lt;='FR_Mantenimiento tasas'!$C$56,'Tabla Ahorro Futuro Reservas'!C414*'FR_Mantenimiento tasas'!$D$56/360,IF(C414&lt;='FR_Mantenimiento tasas'!$C$57,'Tabla Ahorro Futuro Reservas'!C414*'FR_Mantenimiento tasas'!$D$57/360,""))),5)</f>
        <v>0</v>
      </c>
      <c r="E414" s="121">
        <f>ROUND(IF(C414&lt;='FR_Mantenimiento tasas'!$C$55,'Tabla Ahorro Futuro Reservas'!C414*'FR_Mantenimiento tasas'!$E$55/360,IF(C414&lt;='FR_Mantenimiento tasas'!$C$56,'Tabla Ahorro Futuro Reservas'!C414*'FR_Mantenimiento tasas'!$E$56/360,IF(C414&lt;='FR_Mantenimiento tasas'!$C$57,'Tabla Ahorro Futuro Reservas'!C414*'FR_Mantenimiento tasas'!$E$57/360,""))),5)</f>
        <v>0</v>
      </c>
    </row>
    <row r="415" spans="1:5">
      <c r="A415" s="123">
        <f t="shared" si="12"/>
        <v>413</v>
      </c>
      <c r="B415" s="122">
        <f>IF(DAY(A415)=DAY('F-Ahorro Futuro Reservas'!$H$10),'F-Ahorro Futuro Reservas'!$H$9,0)</f>
        <v>0</v>
      </c>
      <c r="C415" s="122">
        <f t="shared" si="13"/>
        <v>0</v>
      </c>
      <c r="D415" s="121">
        <f>ROUND(IF(C415&lt;='FR_Mantenimiento tasas'!$C$55,'Tabla Ahorro Futuro Reservas'!C415*'FR_Mantenimiento tasas'!$D$55/360,IF(C415&lt;='FR_Mantenimiento tasas'!$C$56,'Tabla Ahorro Futuro Reservas'!C415*'FR_Mantenimiento tasas'!$D$56/360,IF(C415&lt;='FR_Mantenimiento tasas'!$C$57,'Tabla Ahorro Futuro Reservas'!C415*'FR_Mantenimiento tasas'!$D$57/360,""))),5)</f>
        <v>0</v>
      </c>
      <c r="E415" s="121">
        <f>ROUND(IF(C415&lt;='FR_Mantenimiento tasas'!$C$55,'Tabla Ahorro Futuro Reservas'!C415*'FR_Mantenimiento tasas'!$E$55/360,IF(C415&lt;='FR_Mantenimiento tasas'!$C$56,'Tabla Ahorro Futuro Reservas'!C415*'FR_Mantenimiento tasas'!$E$56/360,IF(C415&lt;='FR_Mantenimiento tasas'!$C$57,'Tabla Ahorro Futuro Reservas'!C415*'FR_Mantenimiento tasas'!$E$57/360,""))),5)</f>
        <v>0</v>
      </c>
    </row>
    <row r="416" spans="1:5">
      <c r="A416" s="123">
        <f t="shared" si="12"/>
        <v>414</v>
      </c>
      <c r="B416" s="122">
        <f>IF(DAY(A416)=DAY('F-Ahorro Futuro Reservas'!$H$10),'F-Ahorro Futuro Reservas'!$H$9,0)</f>
        <v>0</v>
      </c>
      <c r="C416" s="122">
        <f t="shared" si="13"/>
        <v>0</v>
      </c>
      <c r="D416" s="121">
        <f>ROUND(IF(C416&lt;='FR_Mantenimiento tasas'!$C$55,'Tabla Ahorro Futuro Reservas'!C416*'FR_Mantenimiento tasas'!$D$55/360,IF(C416&lt;='FR_Mantenimiento tasas'!$C$56,'Tabla Ahorro Futuro Reservas'!C416*'FR_Mantenimiento tasas'!$D$56/360,IF(C416&lt;='FR_Mantenimiento tasas'!$C$57,'Tabla Ahorro Futuro Reservas'!C416*'FR_Mantenimiento tasas'!$D$57/360,""))),5)</f>
        <v>0</v>
      </c>
      <c r="E416" s="121">
        <f>ROUND(IF(C416&lt;='FR_Mantenimiento tasas'!$C$55,'Tabla Ahorro Futuro Reservas'!C416*'FR_Mantenimiento tasas'!$E$55/360,IF(C416&lt;='FR_Mantenimiento tasas'!$C$56,'Tabla Ahorro Futuro Reservas'!C416*'FR_Mantenimiento tasas'!$E$56/360,IF(C416&lt;='FR_Mantenimiento tasas'!$C$57,'Tabla Ahorro Futuro Reservas'!C416*'FR_Mantenimiento tasas'!$E$57/360,""))),5)</f>
        <v>0</v>
      </c>
    </row>
    <row r="417" spans="1:5">
      <c r="A417" s="123">
        <f t="shared" si="12"/>
        <v>415</v>
      </c>
      <c r="B417" s="122">
        <f>IF(DAY(A417)=DAY('F-Ahorro Futuro Reservas'!$H$10),'F-Ahorro Futuro Reservas'!$H$9,0)</f>
        <v>0</v>
      </c>
      <c r="C417" s="122">
        <f t="shared" si="13"/>
        <v>0</v>
      </c>
      <c r="D417" s="121">
        <f>ROUND(IF(C417&lt;='FR_Mantenimiento tasas'!$C$55,'Tabla Ahorro Futuro Reservas'!C417*'FR_Mantenimiento tasas'!$D$55/360,IF(C417&lt;='FR_Mantenimiento tasas'!$C$56,'Tabla Ahorro Futuro Reservas'!C417*'FR_Mantenimiento tasas'!$D$56/360,IF(C417&lt;='FR_Mantenimiento tasas'!$C$57,'Tabla Ahorro Futuro Reservas'!C417*'FR_Mantenimiento tasas'!$D$57/360,""))),5)</f>
        <v>0</v>
      </c>
      <c r="E417" s="121">
        <f>ROUND(IF(C417&lt;='FR_Mantenimiento tasas'!$C$55,'Tabla Ahorro Futuro Reservas'!C417*'FR_Mantenimiento tasas'!$E$55/360,IF(C417&lt;='FR_Mantenimiento tasas'!$C$56,'Tabla Ahorro Futuro Reservas'!C417*'FR_Mantenimiento tasas'!$E$56/360,IF(C417&lt;='FR_Mantenimiento tasas'!$C$57,'Tabla Ahorro Futuro Reservas'!C417*'FR_Mantenimiento tasas'!$E$57/360,""))),5)</f>
        <v>0</v>
      </c>
    </row>
    <row r="418" spans="1:5">
      <c r="A418" s="123">
        <f t="shared" si="12"/>
        <v>416</v>
      </c>
      <c r="B418" s="122">
        <f>IF(DAY(A418)=DAY('F-Ahorro Futuro Reservas'!$H$10),'F-Ahorro Futuro Reservas'!$H$9,0)</f>
        <v>0</v>
      </c>
      <c r="C418" s="122">
        <f t="shared" si="13"/>
        <v>0</v>
      </c>
      <c r="D418" s="121">
        <f>ROUND(IF(C418&lt;='FR_Mantenimiento tasas'!$C$55,'Tabla Ahorro Futuro Reservas'!C418*'FR_Mantenimiento tasas'!$D$55/360,IF(C418&lt;='FR_Mantenimiento tasas'!$C$56,'Tabla Ahorro Futuro Reservas'!C418*'FR_Mantenimiento tasas'!$D$56/360,IF(C418&lt;='FR_Mantenimiento tasas'!$C$57,'Tabla Ahorro Futuro Reservas'!C418*'FR_Mantenimiento tasas'!$D$57/360,""))),5)</f>
        <v>0</v>
      </c>
      <c r="E418" s="121">
        <f>ROUND(IF(C418&lt;='FR_Mantenimiento tasas'!$C$55,'Tabla Ahorro Futuro Reservas'!C418*'FR_Mantenimiento tasas'!$E$55/360,IF(C418&lt;='FR_Mantenimiento tasas'!$C$56,'Tabla Ahorro Futuro Reservas'!C418*'FR_Mantenimiento tasas'!$E$56/360,IF(C418&lt;='FR_Mantenimiento tasas'!$C$57,'Tabla Ahorro Futuro Reservas'!C418*'FR_Mantenimiento tasas'!$E$57/360,""))),5)</f>
        <v>0</v>
      </c>
    </row>
    <row r="419" spans="1:5">
      <c r="A419" s="123">
        <f t="shared" si="12"/>
        <v>417</v>
      </c>
      <c r="B419" s="122">
        <f>IF(DAY(A419)=DAY('F-Ahorro Futuro Reservas'!$H$10),'F-Ahorro Futuro Reservas'!$H$9,0)</f>
        <v>0</v>
      </c>
      <c r="C419" s="122">
        <f t="shared" si="13"/>
        <v>0</v>
      </c>
      <c r="D419" s="121">
        <f>ROUND(IF(C419&lt;='FR_Mantenimiento tasas'!$C$55,'Tabla Ahorro Futuro Reservas'!C419*'FR_Mantenimiento tasas'!$D$55/360,IF(C419&lt;='FR_Mantenimiento tasas'!$C$56,'Tabla Ahorro Futuro Reservas'!C419*'FR_Mantenimiento tasas'!$D$56/360,IF(C419&lt;='FR_Mantenimiento tasas'!$C$57,'Tabla Ahorro Futuro Reservas'!C419*'FR_Mantenimiento tasas'!$D$57/360,""))),5)</f>
        <v>0</v>
      </c>
      <c r="E419" s="121">
        <f>ROUND(IF(C419&lt;='FR_Mantenimiento tasas'!$C$55,'Tabla Ahorro Futuro Reservas'!C419*'FR_Mantenimiento tasas'!$E$55/360,IF(C419&lt;='FR_Mantenimiento tasas'!$C$56,'Tabla Ahorro Futuro Reservas'!C419*'FR_Mantenimiento tasas'!$E$56/360,IF(C419&lt;='FR_Mantenimiento tasas'!$C$57,'Tabla Ahorro Futuro Reservas'!C419*'FR_Mantenimiento tasas'!$E$57/360,""))),5)</f>
        <v>0</v>
      </c>
    </row>
    <row r="420" spans="1:5">
      <c r="A420" s="123">
        <f t="shared" si="12"/>
        <v>418</v>
      </c>
      <c r="B420" s="122">
        <f>IF(DAY(A420)=DAY('F-Ahorro Futuro Reservas'!$H$10),'F-Ahorro Futuro Reservas'!$H$9,0)</f>
        <v>0</v>
      </c>
      <c r="C420" s="122">
        <f t="shared" si="13"/>
        <v>0</v>
      </c>
      <c r="D420" s="121">
        <f>ROUND(IF(C420&lt;='FR_Mantenimiento tasas'!$C$55,'Tabla Ahorro Futuro Reservas'!C420*'FR_Mantenimiento tasas'!$D$55/360,IF(C420&lt;='FR_Mantenimiento tasas'!$C$56,'Tabla Ahorro Futuro Reservas'!C420*'FR_Mantenimiento tasas'!$D$56/360,IF(C420&lt;='FR_Mantenimiento tasas'!$C$57,'Tabla Ahorro Futuro Reservas'!C420*'FR_Mantenimiento tasas'!$D$57/360,""))),5)</f>
        <v>0</v>
      </c>
      <c r="E420" s="121">
        <f>ROUND(IF(C420&lt;='FR_Mantenimiento tasas'!$C$55,'Tabla Ahorro Futuro Reservas'!C420*'FR_Mantenimiento tasas'!$E$55/360,IF(C420&lt;='FR_Mantenimiento tasas'!$C$56,'Tabla Ahorro Futuro Reservas'!C420*'FR_Mantenimiento tasas'!$E$56/360,IF(C420&lt;='FR_Mantenimiento tasas'!$C$57,'Tabla Ahorro Futuro Reservas'!C420*'FR_Mantenimiento tasas'!$E$57/360,""))),5)</f>
        <v>0</v>
      </c>
    </row>
    <row r="421" spans="1:5">
      <c r="A421" s="123">
        <f t="shared" si="12"/>
        <v>419</v>
      </c>
      <c r="B421" s="122">
        <f>IF(DAY(A421)=DAY('F-Ahorro Futuro Reservas'!$H$10),'F-Ahorro Futuro Reservas'!$H$9,0)</f>
        <v>0</v>
      </c>
      <c r="C421" s="122">
        <f t="shared" si="13"/>
        <v>0</v>
      </c>
      <c r="D421" s="121">
        <f>ROUND(IF(C421&lt;='FR_Mantenimiento tasas'!$C$55,'Tabla Ahorro Futuro Reservas'!C421*'FR_Mantenimiento tasas'!$D$55/360,IF(C421&lt;='FR_Mantenimiento tasas'!$C$56,'Tabla Ahorro Futuro Reservas'!C421*'FR_Mantenimiento tasas'!$D$56/360,IF(C421&lt;='FR_Mantenimiento tasas'!$C$57,'Tabla Ahorro Futuro Reservas'!C421*'FR_Mantenimiento tasas'!$D$57/360,""))),5)</f>
        <v>0</v>
      </c>
      <c r="E421" s="121">
        <f>ROUND(IF(C421&lt;='FR_Mantenimiento tasas'!$C$55,'Tabla Ahorro Futuro Reservas'!C421*'FR_Mantenimiento tasas'!$E$55/360,IF(C421&lt;='FR_Mantenimiento tasas'!$C$56,'Tabla Ahorro Futuro Reservas'!C421*'FR_Mantenimiento tasas'!$E$56/360,IF(C421&lt;='FR_Mantenimiento tasas'!$C$57,'Tabla Ahorro Futuro Reservas'!C421*'FR_Mantenimiento tasas'!$E$57/360,""))),5)</f>
        <v>0</v>
      </c>
    </row>
    <row r="422" spans="1:5">
      <c r="A422" s="123">
        <f t="shared" si="12"/>
        <v>420</v>
      </c>
      <c r="B422" s="122">
        <f>IF(DAY(A422)=DAY('F-Ahorro Futuro Reservas'!$H$10),'F-Ahorro Futuro Reservas'!$H$9,0)</f>
        <v>0</v>
      </c>
      <c r="C422" s="122">
        <f t="shared" si="13"/>
        <v>0</v>
      </c>
      <c r="D422" s="121">
        <f>ROUND(IF(C422&lt;='FR_Mantenimiento tasas'!$C$55,'Tabla Ahorro Futuro Reservas'!C422*'FR_Mantenimiento tasas'!$D$55/360,IF(C422&lt;='FR_Mantenimiento tasas'!$C$56,'Tabla Ahorro Futuro Reservas'!C422*'FR_Mantenimiento tasas'!$D$56/360,IF(C422&lt;='FR_Mantenimiento tasas'!$C$57,'Tabla Ahorro Futuro Reservas'!C422*'FR_Mantenimiento tasas'!$D$57/360,""))),5)</f>
        <v>0</v>
      </c>
      <c r="E422" s="121">
        <f>ROUND(IF(C422&lt;='FR_Mantenimiento tasas'!$C$55,'Tabla Ahorro Futuro Reservas'!C422*'FR_Mantenimiento tasas'!$E$55/360,IF(C422&lt;='FR_Mantenimiento tasas'!$C$56,'Tabla Ahorro Futuro Reservas'!C422*'FR_Mantenimiento tasas'!$E$56/360,IF(C422&lt;='FR_Mantenimiento tasas'!$C$57,'Tabla Ahorro Futuro Reservas'!C422*'FR_Mantenimiento tasas'!$E$57/360,""))),5)</f>
        <v>0</v>
      </c>
    </row>
    <row r="423" spans="1:5">
      <c r="A423" s="123">
        <f t="shared" si="12"/>
        <v>421</v>
      </c>
      <c r="B423" s="122">
        <f>IF(DAY(A423)=DAY('F-Ahorro Futuro Reservas'!$H$10),'F-Ahorro Futuro Reservas'!$H$9,0)</f>
        <v>0</v>
      </c>
      <c r="C423" s="122">
        <f t="shared" si="13"/>
        <v>0</v>
      </c>
      <c r="D423" s="121">
        <f>ROUND(IF(C423&lt;='FR_Mantenimiento tasas'!$C$55,'Tabla Ahorro Futuro Reservas'!C423*'FR_Mantenimiento tasas'!$D$55/360,IF(C423&lt;='FR_Mantenimiento tasas'!$C$56,'Tabla Ahorro Futuro Reservas'!C423*'FR_Mantenimiento tasas'!$D$56/360,IF(C423&lt;='FR_Mantenimiento tasas'!$C$57,'Tabla Ahorro Futuro Reservas'!C423*'FR_Mantenimiento tasas'!$D$57/360,""))),5)</f>
        <v>0</v>
      </c>
      <c r="E423" s="121">
        <f>ROUND(IF(C423&lt;='FR_Mantenimiento tasas'!$C$55,'Tabla Ahorro Futuro Reservas'!C423*'FR_Mantenimiento tasas'!$E$55/360,IF(C423&lt;='FR_Mantenimiento tasas'!$C$56,'Tabla Ahorro Futuro Reservas'!C423*'FR_Mantenimiento tasas'!$E$56/360,IF(C423&lt;='FR_Mantenimiento tasas'!$C$57,'Tabla Ahorro Futuro Reservas'!C423*'FR_Mantenimiento tasas'!$E$57/360,""))),5)</f>
        <v>0</v>
      </c>
    </row>
    <row r="424" spans="1:5">
      <c r="A424" s="123">
        <f t="shared" si="12"/>
        <v>422</v>
      </c>
      <c r="B424" s="122">
        <f>IF(DAY(A424)=DAY('F-Ahorro Futuro Reservas'!$H$10),'F-Ahorro Futuro Reservas'!$H$9,0)</f>
        <v>0</v>
      </c>
      <c r="C424" s="122">
        <f t="shared" si="13"/>
        <v>0</v>
      </c>
      <c r="D424" s="121">
        <f>ROUND(IF(C424&lt;='FR_Mantenimiento tasas'!$C$55,'Tabla Ahorro Futuro Reservas'!C424*'FR_Mantenimiento tasas'!$D$55/360,IF(C424&lt;='FR_Mantenimiento tasas'!$C$56,'Tabla Ahorro Futuro Reservas'!C424*'FR_Mantenimiento tasas'!$D$56/360,IF(C424&lt;='FR_Mantenimiento tasas'!$C$57,'Tabla Ahorro Futuro Reservas'!C424*'FR_Mantenimiento tasas'!$D$57/360,""))),5)</f>
        <v>0</v>
      </c>
      <c r="E424" s="121">
        <f>ROUND(IF(C424&lt;='FR_Mantenimiento tasas'!$C$55,'Tabla Ahorro Futuro Reservas'!C424*'FR_Mantenimiento tasas'!$E$55/360,IF(C424&lt;='FR_Mantenimiento tasas'!$C$56,'Tabla Ahorro Futuro Reservas'!C424*'FR_Mantenimiento tasas'!$E$56/360,IF(C424&lt;='FR_Mantenimiento tasas'!$C$57,'Tabla Ahorro Futuro Reservas'!C424*'FR_Mantenimiento tasas'!$E$57/360,""))),5)</f>
        <v>0</v>
      </c>
    </row>
    <row r="425" spans="1:5">
      <c r="A425" s="123">
        <f t="shared" si="12"/>
        <v>423</v>
      </c>
      <c r="B425" s="122">
        <f>IF(DAY(A425)=DAY('F-Ahorro Futuro Reservas'!$H$10),'F-Ahorro Futuro Reservas'!$H$9,0)</f>
        <v>0</v>
      </c>
      <c r="C425" s="122">
        <f t="shared" si="13"/>
        <v>0</v>
      </c>
      <c r="D425" s="121">
        <f>ROUND(IF(C425&lt;='FR_Mantenimiento tasas'!$C$55,'Tabla Ahorro Futuro Reservas'!C425*'FR_Mantenimiento tasas'!$D$55/360,IF(C425&lt;='FR_Mantenimiento tasas'!$C$56,'Tabla Ahorro Futuro Reservas'!C425*'FR_Mantenimiento tasas'!$D$56/360,IF(C425&lt;='FR_Mantenimiento tasas'!$C$57,'Tabla Ahorro Futuro Reservas'!C425*'FR_Mantenimiento tasas'!$D$57/360,""))),5)</f>
        <v>0</v>
      </c>
      <c r="E425" s="121">
        <f>ROUND(IF(C425&lt;='FR_Mantenimiento tasas'!$C$55,'Tabla Ahorro Futuro Reservas'!C425*'FR_Mantenimiento tasas'!$E$55/360,IF(C425&lt;='FR_Mantenimiento tasas'!$C$56,'Tabla Ahorro Futuro Reservas'!C425*'FR_Mantenimiento tasas'!$E$56/360,IF(C425&lt;='FR_Mantenimiento tasas'!$C$57,'Tabla Ahorro Futuro Reservas'!C425*'FR_Mantenimiento tasas'!$E$57/360,""))),5)</f>
        <v>0</v>
      </c>
    </row>
    <row r="426" spans="1:5">
      <c r="A426" s="123">
        <f t="shared" si="12"/>
        <v>424</v>
      </c>
      <c r="B426" s="122">
        <f>IF(DAY(A426)=DAY('F-Ahorro Futuro Reservas'!$H$10),'F-Ahorro Futuro Reservas'!$H$9,0)</f>
        <v>0</v>
      </c>
      <c r="C426" s="122">
        <f t="shared" si="13"/>
        <v>0</v>
      </c>
      <c r="D426" s="121">
        <f>ROUND(IF(C426&lt;='FR_Mantenimiento tasas'!$C$55,'Tabla Ahorro Futuro Reservas'!C426*'FR_Mantenimiento tasas'!$D$55/360,IF(C426&lt;='FR_Mantenimiento tasas'!$C$56,'Tabla Ahorro Futuro Reservas'!C426*'FR_Mantenimiento tasas'!$D$56/360,IF(C426&lt;='FR_Mantenimiento tasas'!$C$57,'Tabla Ahorro Futuro Reservas'!C426*'FR_Mantenimiento tasas'!$D$57/360,""))),5)</f>
        <v>0</v>
      </c>
      <c r="E426" s="121">
        <f>ROUND(IF(C426&lt;='FR_Mantenimiento tasas'!$C$55,'Tabla Ahorro Futuro Reservas'!C426*'FR_Mantenimiento tasas'!$E$55/360,IF(C426&lt;='FR_Mantenimiento tasas'!$C$56,'Tabla Ahorro Futuro Reservas'!C426*'FR_Mantenimiento tasas'!$E$56/360,IF(C426&lt;='FR_Mantenimiento tasas'!$C$57,'Tabla Ahorro Futuro Reservas'!C426*'FR_Mantenimiento tasas'!$E$57/360,""))),5)</f>
        <v>0</v>
      </c>
    </row>
    <row r="427" spans="1:5">
      <c r="A427" s="123">
        <f t="shared" si="12"/>
        <v>425</v>
      </c>
      <c r="B427" s="122">
        <f>IF(DAY(A427)=DAY('F-Ahorro Futuro Reservas'!$H$10),'F-Ahorro Futuro Reservas'!$H$9,0)</f>
        <v>0</v>
      </c>
      <c r="C427" s="122">
        <f t="shared" si="13"/>
        <v>0</v>
      </c>
      <c r="D427" s="121">
        <f>ROUND(IF(C427&lt;='FR_Mantenimiento tasas'!$C$55,'Tabla Ahorro Futuro Reservas'!C427*'FR_Mantenimiento tasas'!$D$55/360,IF(C427&lt;='FR_Mantenimiento tasas'!$C$56,'Tabla Ahorro Futuro Reservas'!C427*'FR_Mantenimiento tasas'!$D$56/360,IF(C427&lt;='FR_Mantenimiento tasas'!$C$57,'Tabla Ahorro Futuro Reservas'!C427*'FR_Mantenimiento tasas'!$D$57/360,""))),5)</f>
        <v>0</v>
      </c>
      <c r="E427" s="121">
        <f>ROUND(IF(C427&lt;='FR_Mantenimiento tasas'!$C$55,'Tabla Ahorro Futuro Reservas'!C427*'FR_Mantenimiento tasas'!$E$55/360,IF(C427&lt;='FR_Mantenimiento tasas'!$C$56,'Tabla Ahorro Futuro Reservas'!C427*'FR_Mantenimiento tasas'!$E$56/360,IF(C427&lt;='FR_Mantenimiento tasas'!$C$57,'Tabla Ahorro Futuro Reservas'!C427*'FR_Mantenimiento tasas'!$E$57/360,""))),5)</f>
        <v>0</v>
      </c>
    </row>
    <row r="428" spans="1:5">
      <c r="A428" s="123">
        <f t="shared" si="12"/>
        <v>426</v>
      </c>
      <c r="B428" s="122">
        <f>IF(DAY(A428)=DAY('F-Ahorro Futuro Reservas'!$H$10),'F-Ahorro Futuro Reservas'!$H$9,0)</f>
        <v>0</v>
      </c>
      <c r="C428" s="122">
        <f t="shared" si="13"/>
        <v>0</v>
      </c>
      <c r="D428" s="121">
        <f>ROUND(IF(C428&lt;='FR_Mantenimiento tasas'!$C$55,'Tabla Ahorro Futuro Reservas'!C428*'FR_Mantenimiento tasas'!$D$55/360,IF(C428&lt;='FR_Mantenimiento tasas'!$C$56,'Tabla Ahorro Futuro Reservas'!C428*'FR_Mantenimiento tasas'!$D$56/360,IF(C428&lt;='FR_Mantenimiento tasas'!$C$57,'Tabla Ahorro Futuro Reservas'!C428*'FR_Mantenimiento tasas'!$D$57/360,""))),5)</f>
        <v>0</v>
      </c>
      <c r="E428" s="121">
        <f>ROUND(IF(C428&lt;='FR_Mantenimiento tasas'!$C$55,'Tabla Ahorro Futuro Reservas'!C428*'FR_Mantenimiento tasas'!$E$55/360,IF(C428&lt;='FR_Mantenimiento tasas'!$C$56,'Tabla Ahorro Futuro Reservas'!C428*'FR_Mantenimiento tasas'!$E$56/360,IF(C428&lt;='FR_Mantenimiento tasas'!$C$57,'Tabla Ahorro Futuro Reservas'!C428*'FR_Mantenimiento tasas'!$E$57/360,""))),5)</f>
        <v>0</v>
      </c>
    </row>
    <row r="429" spans="1:5">
      <c r="A429" s="123">
        <f t="shared" si="12"/>
        <v>427</v>
      </c>
      <c r="B429" s="122">
        <f>IF(DAY(A429)=DAY('F-Ahorro Futuro Reservas'!$H$10),'F-Ahorro Futuro Reservas'!$H$9,0)</f>
        <v>0</v>
      </c>
      <c r="C429" s="122">
        <f t="shared" si="13"/>
        <v>0</v>
      </c>
      <c r="D429" s="121">
        <f>ROUND(IF(C429&lt;='FR_Mantenimiento tasas'!$C$55,'Tabla Ahorro Futuro Reservas'!C429*'FR_Mantenimiento tasas'!$D$55/360,IF(C429&lt;='FR_Mantenimiento tasas'!$C$56,'Tabla Ahorro Futuro Reservas'!C429*'FR_Mantenimiento tasas'!$D$56/360,IF(C429&lt;='FR_Mantenimiento tasas'!$C$57,'Tabla Ahorro Futuro Reservas'!C429*'FR_Mantenimiento tasas'!$D$57/360,""))),5)</f>
        <v>0</v>
      </c>
      <c r="E429" s="121">
        <f>ROUND(IF(C429&lt;='FR_Mantenimiento tasas'!$C$55,'Tabla Ahorro Futuro Reservas'!C429*'FR_Mantenimiento tasas'!$E$55/360,IF(C429&lt;='FR_Mantenimiento tasas'!$C$56,'Tabla Ahorro Futuro Reservas'!C429*'FR_Mantenimiento tasas'!$E$56/360,IF(C429&lt;='FR_Mantenimiento tasas'!$C$57,'Tabla Ahorro Futuro Reservas'!C429*'FR_Mantenimiento tasas'!$E$57/360,""))),5)</f>
        <v>0</v>
      </c>
    </row>
    <row r="430" spans="1:5">
      <c r="A430" s="123">
        <f t="shared" si="12"/>
        <v>428</v>
      </c>
      <c r="B430" s="122">
        <f>IF(DAY(A430)=DAY('F-Ahorro Futuro Reservas'!$H$10),'F-Ahorro Futuro Reservas'!$H$9,0)</f>
        <v>0</v>
      </c>
      <c r="C430" s="122">
        <f t="shared" si="13"/>
        <v>0</v>
      </c>
      <c r="D430" s="121">
        <f>ROUND(IF(C430&lt;='FR_Mantenimiento tasas'!$C$55,'Tabla Ahorro Futuro Reservas'!C430*'FR_Mantenimiento tasas'!$D$55/360,IF(C430&lt;='FR_Mantenimiento tasas'!$C$56,'Tabla Ahorro Futuro Reservas'!C430*'FR_Mantenimiento tasas'!$D$56/360,IF(C430&lt;='FR_Mantenimiento tasas'!$C$57,'Tabla Ahorro Futuro Reservas'!C430*'FR_Mantenimiento tasas'!$D$57/360,""))),5)</f>
        <v>0</v>
      </c>
      <c r="E430" s="121">
        <f>ROUND(IF(C430&lt;='FR_Mantenimiento tasas'!$C$55,'Tabla Ahorro Futuro Reservas'!C430*'FR_Mantenimiento tasas'!$E$55/360,IF(C430&lt;='FR_Mantenimiento tasas'!$C$56,'Tabla Ahorro Futuro Reservas'!C430*'FR_Mantenimiento tasas'!$E$56/360,IF(C430&lt;='FR_Mantenimiento tasas'!$C$57,'Tabla Ahorro Futuro Reservas'!C430*'FR_Mantenimiento tasas'!$E$57/360,""))),5)</f>
        <v>0</v>
      </c>
    </row>
    <row r="431" spans="1:5">
      <c r="A431" s="123">
        <f t="shared" si="12"/>
        <v>429</v>
      </c>
      <c r="B431" s="122">
        <f>IF(DAY(A431)=DAY('F-Ahorro Futuro Reservas'!$H$10),'F-Ahorro Futuro Reservas'!$H$9,0)</f>
        <v>0</v>
      </c>
      <c r="C431" s="122">
        <f t="shared" si="13"/>
        <v>0</v>
      </c>
      <c r="D431" s="121">
        <f>ROUND(IF(C431&lt;='FR_Mantenimiento tasas'!$C$55,'Tabla Ahorro Futuro Reservas'!C431*'FR_Mantenimiento tasas'!$D$55/360,IF(C431&lt;='FR_Mantenimiento tasas'!$C$56,'Tabla Ahorro Futuro Reservas'!C431*'FR_Mantenimiento tasas'!$D$56/360,IF(C431&lt;='FR_Mantenimiento tasas'!$C$57,'Tabla Ahorro Futuro Reservas'!C431*'FR_Mantenimiento tasas'!$D$57/360,""))),5)</f>
        <v>0</v>
      </c>
      <c r="E431" s="121">
        <f>ROUND(IF(C431&lt;='FR_Mantenimiento tasas'!$C$55,'Tabla Ahorro Futuro Reservas'!C431*'FR_Mantenimiento tasas'!$E$55/360,IF(C431&lt;='FR_Mantenimiento tasas'!$C$56,'Tabla Ahorro Futuro Reservas'!C431*'FR_Mantenimiento tasas'!$E$56/360,IF(C431&lt;='FR_Mantenimiento tasas'!$C$57,'Tabla Ahorro Futuro Reservas'!C431*'FR_Mantenimiento tasas'!$E$57/360,""))),5)</f>
        <v>0</v>
      </c>
    </row>
    <row r="432" spans="1:5">
      <c r="A432" s="123">
        <f t="shared" si="12"/>
        <v>430</v>
      </c>
      <c r="B432" s="122">
        <f>IF(DAY(A432)=DAY('F-Ahorro Futuro Reservas'!$H$10),'F-Ahorro Futuro Reservas'!$H$9,0)</f>
        <v>0</v>
      </c>
      <c r="C432" s="122">
        <f t="shared" si="13"/>
        <v>0</v>
      </c>
      <c r="D432" s="121">
        <f>ROUND(IF(C432&lt;='FR_Mantenimiento tasas'!$C$55,'Tabla Ahorro Futuro Reservas'!C432*'FR_Mantenimiento tasas'!$D$55/360,IF(C432&lt;='FR_Mantenimiento tasas'!$C$56,'Tabla Ahorro Futuro Reservas'!C432*'FR_Mantenimiento tasas'!$D$56/360,IF(C432&lt;='FR_Mantenimiento tasas'!$C$57,'Tabla Ahorro Futuro Reservas'!C432*'FR_Mantenimiento tasas'!$D$57/360,""))),5)</f>
        <v>0</v>
      </c>
      <c r="E432" s="121">
        <f>ROUND(IF(C432&lt;='FR_Mantenimiento tasas'!$C$55,'Tabla Ahorro Futuro Reservas'!C432*'FR_Mantenimiento tasas'!$E$55/360,IF(C432&lt;='FR_Mantenimiento tasas'!$C$56,'Tabla Ahorro Futuro Reservas'!C432*'FR_Mantenimiento tasas'!$E$56/360,IF(C432&lt;='FR_Mantenimiento tasas'!$C$57,'Tabla Ahorro Futuro Reservas'!C432*'FR_Mantenimiento tasas'!$E$57/360,""))),5)</f>
        <v>0</v>
      </c>
    </row>
    <row r="433" spans="1:5">
      <c r="A433" s="123">
        <f t="shared" si="12"/>
        <v>431</v>
      </c>
      <c r="B433" s="122">
        <f>IF(DAY(A433)=DAY('F-Ahorro Futuro Reservas'!$H$10),'F-Ahorro Futuro Reservas'!$H$9,0)</f>
        <v>0</v>
      </c>
      <c r="C433" s="122">
        <f t="shared" si="13"/>
        <v>0</v>
      </c>
      <c r="D433" s="121">
        <f>ROUND(IF(C433&lt;='FR_Mantenimiento tasas'!$C$55,'Tabla Ahorro Futuro Reservas'!C433*'FR_Mantenimiento tasas'!$D$55/360,IF(C433&lt;='FR_Mantenimiento tasas'!$C$56,'Tabla Ahorro Futuro Reservas'!C433*'FR_Mantenimiento tasas'!$D$56/360,IF(C433&lt;='FR_Mantenimiento tasas'!$C$57,'Tabla Ahorro Futuro Reservas'!C433*'FR_Mantenimiento tasas'!$D$57/360,""))),5)</f>
        <v>0</v>
      </c>
      <c r="E433" s="121">
        <f>ROUND(IF(C433&lt;='FR_Mantenimiento tasas'!$C$55,'Tabla Ahorro Futuro Reservas'!C433*'FR_Mantenimiento tasas'!$E$55/360,IF(C433&lt;='FR_Mantenimiento tasas'!$C$56,'Tabla Ahorro Futuro Reservas'!C433*'FR_Mantenimiento tasas'!$E$56/360,IF(C433&lt;='FR_Mantenimiento tasas'!$C$57,'Tabla Ahorro Futuro Reservas'!C433*'FR_Mantenimiento tasas'!$E$57/360,""))),5)</f>
        <v>0</v>
      </c>
    </row>
    <row r="434" spans="1:5">
      <c r="A434" s="123">
        <f t="shared" si="12"/>
        <v>432</v>
      </c>
      <c r="B434" s="122">
        <f>IF(DAY(A434)=DAY('F-Ahorro Futuro Reservas'!$H$10),'F-Ahorro Futuro Reservas'!$H$9,0)</f>
        <v>0</v>
      </c>
      <c r="C434" s="122">
        <f t="shared" si="13"/>
        <v>0</v>
      </c>
      <c r="D434" s="121">
        <f>ROUND(IF(C434&lt;='FR_Mantenimiento tasas'!$C$55,'Tabla Ahorro Futuro Reservas'!C434*'FR_Mantenimiento tasas'!$D$55/360,IF(C434&lt;='FR_Mantenimiento tasas'!$C$56,'Tabla Ahorro Futuro Reservas'!C434*'FR_Mantenimiento tasas'!$D$56/360,IF(C434&lt;='FR_Mantenimiento tasas'!$C$57,'Tabla Ahorro Futuro Reservas'!C434*'FR_Mantenimiento tasas'!$D$57/360,""))),5)</f>
        <v>0</v>
      </c>
      <c r="E434" s="121">
        <f>ROUND(IF(C434&lt;='FR_Mantenimiento tasas'!$C$55,'Tabla Ahorro Futuro Reservas'!C434*'FR_Mantenimiento tasas'!$E$55/360,IF(C434&lt;='FR_Mantenimiento tasas'!$C$56,'Tabla Ahorro Futuro Reservas'!C434*'FR_Mantenimiento tasas'!$E$56/360,IF(C434&lt;='FR_Mantenimiento tasas'!$C$57,'Tabla Ahorro Futuro Reservas'!C434*'FR_Mantenimiento tasas'!$E$57/360,""))),5)</f>
        <v>0</v>
      </c>
    </row>
    <row r="435" spans="1:5">
      <c r="A435" s="123">
        <f t="shared" si="12"/>
        <v>433</v>
      </c>
      <c r="B435" s="122">
        <f>IF(DAY(A435)=DAY('F-Ahorro Futuro Reservas'!$H$10),'F-Ahorro Futuro Reservas'!$H$9,0)</f>
        <v>0</v>
      </c>
      <c r="C435" s="122">
        <f t="shared" si="13"/>
        <v>0</v>
      </c>
      <c r="D435" s="121">
        <f>ROUND(IF(C435&lt;='FR_Mantenimiento tasas'!$C$55,'Tabla Ahorro Futuro Reservas'!C435*'FR_Mantenimiento tasas'!$D$55/360,IF(C435&lt;='FR_Mantenimiento tasas'!$C$56,'Tabla Ahorro Futuro Reservas'!C435*'FR_Mantenimiento tasas'!$D$56/360,IF(C435&lt;='FR_Mantenimiento tasas'!$C$57,'Tabla Ahorro Futuro Reservas'!C435*'FR_Mantenimiento tasas'!$D$57/360,""))),5)</f>
        <v>0</v>
      </c>
      <c r="E435" s="121">
        <f>ROUND(IF(C435&lt;='FR_Mantenimiento tasas'!$C$55,'Tabla Ahorro Futuro Reservas'!C435*'FR_Mantenimiento tasas'!$E$55/360,IF(C435&lt;='FR_Mantenimiento tasas'!$C$56,'Tabla Ahorro Futuro Reservas'!C435*'FR_Mantenimiento tasas'!$E$56/360,IF(C435&lt;='FR_Mantenimiento tasas'!$C$57,'Tabla Ahorro Futuro Reservas'!C435*'FR_Mantenimiento tasas'!$E$57/360,""))),5)</f>
        <v>0</v>
      </c>
    </row>
    <row r="436" spans="1:5">
      <c r="A436" s="123">
        <f t="shared" si="12"/>
        <v>434</v>
      </c>
      <c r="B436" s="122">
        <f>IF(DAY(A436)=DAY('F-Ahorro Futuro Reservas'!$H$10),'F-Ahorro Futuro Reservas'!$H$9,0)</f>
        <v>0</v>
      </c>
      <c r="C436" s="122">
        <f t="shared" si="13"/>
        <v>0</v>
      </c>
      <c r="D436" s="121">
        <f>ROUND(IF(C436&lt;='FR_Mantenimiento tasas'!$C$55,'Tabla Ahorro Futuro Reservas'!C436*'FR_Mantenimiento tasas'!$D$55/360,IF(C436&lt;='FR_Mantenimiento tasas'!$C$56,'Tabla Ahorro Futuro Reservas'!C436*'FR_Mantenimiento tasas'!$D$56/360,IF(C436&lt;='FR_Mantenimiento tasas'!$C$57,'Tabla Ahorro Futuro Reservas'!C436*'FR_Mantenimiento tasas'!$D$57/360,""))),5)</f>
        <v>0</v>
      </c>
      <c r="E436" s="121">
        <f>ROUND(IF(C436&lt;='FR_Mantenimiento tasas'!$C$55,'Tabla Ahorro Futuro Reservas'!C436*'FR_Mantenimiento tasas'!$E$55/360,IF(C436&lt;='FR_Mantenimiento tasas'!$C$56,'Tabla Ahorro Futuro Reservas'!C436*'FR_Mantenimiento tasas'!$E$56/360,IF(C436&lt;='FR_Mantenimiento tasas'!$C$57,'Tabla Ahorro Futuro Reservas'!C436*'FR_Mantenimiento tasas'!$E$57/360,""))),5)</f>
        <v>0</v>
      </c>
    </row>
    <row r="437" spans="1:5">
      <c r="A437" s="123">
        <f t="shared" si="12"/>
        <v>435</v>
      </c>
      <c r="B437" s="122">
        <f>IF(DAY(A437)=DAY('F-Ahorro Futuro Reservas'!$H$10),'F-Ahorro Futuro Reservas'!$H$9,0)</f>
        <v>0</v>
      </c>
      <c r="C437" s="122">
        <f t="shared" si="13"/>
        <v>0</v>
      </c>
      <c r="D437" s="121">
        <f>ROUND(IF(C437&lt;='FR_Mantenimiento tasas'!$C$55,'Tabla Ahorro Futuro Reservas'!C437*'FR_Mantenimiento tasas'!$D$55/360,IF(C437&lt;='FR_Mantenimiento tasas'!$C$56,'Tabla Ahorro Futuro Reservas'!C437*'FR_Mantenimiento tasas'!$D$56/360,IF(C437&lt;='FR_Mantenimiento tasas'!$C$57,'Tabla Ahorro Futuro Reservas'!C437*'FR_Mantenimiento tasas'!$D$57/360,""))),5)</f>
        <v>0</v>
      </c>
      <c r="E437" s="121">
        <f>ROUND(IF(C437&lt;='FR_Mantenimiento tasas'!$C$55,'Tabla Ahorro Futuro Reservas'!C437*'FR_Mantenimiento tasas'!$E$55/360,IF(C437&lt;='FR_Mantenimiento tasas'!$C$56,'Tabla Ahorro Futuro Reservas'!C437*'FR_Mantenimiento tasas'!$E$56/360,IF(C437&lt;='FR_Mantenimiento tasas'!$C$57,'Tabla Ahorro Futuro Reservas'!C437*'FR_Mantenimiento tasas'!$E$57/360,""))),5)</f>
        <v>0</v>
      </c>
    </row>
    <row r="438" spans="1:5">
      <c r="A438" s="123">
        <f t="shared" si="12"/>
        <v>436</v>
      </c>
      <c r="B438" s="122">
        <f>IF(DAY(A438)=DAY('F-Ahorro Futuro Reservas'!$H$10),'F-Ahorro Futuro Reservas'!$H$9,0)</f>
        <v>0</v>
      </c>
      <c r="C438" s="122">
        <f t="shared" si="13"/>
        <v>0</v>
      </c>
      <c r="D438" s="121">
        <f>ROUND(IF(C438&lt;='FR_Mantenimiento tasas'!$C$55,'Tabla Ahorro Futuro Reservas'!C438*'FR_Mantenimiento tasas'!$D$55/360,IF(C438&lt;='FR_Mantenimiento tasas'!$C$56,'Tabla Ahorro Futuro Reservas'!C438*'FR_Mantenimiento tasas'!$D$56/360,IF(C438&lt;='FR_Mantenimiento tasas'!$C$57,'Tabla Ahorro Futuro Reservas'!C438*'FR_Mantenimiento tasas'!$D$57/360,""))),5)</f>
        <v>0</v>
      </c>
      <c r="E438" s="121">
        <f>ROUND(IF(C438&lt;='FR_Mantenimiento tasas'!$C$55,'Tabla Ahorro Futuro Reservas'!C438*'FR_Mantenimiento tasas'!$E$55/360,IF(C438&lt;='FR_Mantenimiento tasas'!$C$56,'Tabla Ahorro Futuro Reservas'!C438*'FR_Mantenimiento tasas'!$E$56/360,IF(C438&lt;='FR_Mantenimiento tasas'!$C$57,'Tabla Ahorro Futuro Reservas'!C438*'FR_Mantenimiento tasas'!$E$57/360,""))),5)</f>
        <v>0</v>
      </c>
    </row>
    <row r="439" spans="1:5">
      <c r="A439" s="123">
        <f t="shared" si="12"/>
        <v>437</v>
      </c>
      <c r="B439" s="122">
        <f>IF(DAY(A439)=DAY('F-Ahorro Futuro Reservas'!$H$10),'F-Ahorro Futuro Reservas'!$H$9,0)</f>
        <v>0</v>
      </c>
      <c r="C439" s="122">
        <f t="shared" si="13"/>
        <v>0</v>
      </c>
      <c r="D439" s="121">
        <f>ROUND(IF(C439&lt;='FR_Mantenimiento tasas'!$C$55,'Tabla Ahorro Futuro Reservas'!C439*'FR_Mantenimiento tasas'!$D$55/360,IF(C439&lt;='FR_Mantenimiento tasas'!$C$56,'Tabla Ahorro Futuro Reservas'!C439*'FR_Mantenimiento tasas'!$D$56/360,IF(C439&lt;='FR_Mantenimiento tasas'!$C$57,'Tabla Ahorro Futuro Reservas'!C439*'FR_Mantenimiento tasas'!$D$57/360,""))),5)</f>
        <v>0</v>
      </c>
      <c r="E439" s="121">
        <f>ROUND(IF(C439&lt;='FR_Mantenimiento tasas'!$C$55,'Tabla Ahorro Futuro Reservas'!C439*'FR_Mantenimiento tasas'!$E$55/360,IF(C439&lt;='FR_Mantenimiento tasas'!$C$56,'Tabla Ahorro Futuro Reservas'!C439*'FR_Mantenimiento tasas'!$E$56/360,IF(C439&lt;='FR_Mantenimiento tasas'!$C$57,'Tabla Ahorro Futuro Reservas'!C439*'FR_Mantenimiento tasas'!$E$57/360,""))),5)</f>
        <v>0</v>
      </c>
    </row>
    <row r="440" spans="1:5">
      <c r="A440" s="123">
        <f t="shared" si="12"/>
        <v>438</v>
      </c>
      <c r="B440" s="122">
        <f>IF(DAY(A440)=DAY('F-Ahorro Futuro Reservas'!$H$10),'F-Ahorro Futuro Reservas'!$H$9,0)</f>
        <v>0</v>
      </c>
      <c r="C440" s="122">
        <f t="shared" si="13"/>
        <v>0</v>
      </c>
      <c r="D440" s="121">
        <f>ROUND(IF(C440&lt;='FR_Mantenimiento tasas'!$C$55,'Tabla Ahorro Futuro Reservas'!C440*'FR_Mantenimiento tasas'!$D$55/360,IF(C440&lt;='FR_Mantenimiento tasas'!$C$56,'Tabla Ahorro Futuro Reservas'!C440*'FR_Mantenimiento tasas'!$D$56/360,IF(C440&lt;='FR_Mantenimiento tasas'!$C$57,'Tabla Ahorro Futuro Reservas'!C440*'FR_Mantenimiento tasas'!$D$57/360,""))),5)</f>
        <v>0</v>
      </c>
      <c r="E440" s="121">
        <f>ROUND(IF(C440&lt;='FR_Mantenimiento tasas'!$C$55,'Tabla Ahorro Futuro Reservas'!C440*'FR_Mantenimiento tasas'!$E$55/360,IF(C440&lt;='FR_Mantenimiento tasas'!$C$56,'Tabla Ahorro Futuro Reservas'!C440*'FR_Mantenimiento tasas'!$E$56/360,IF(C440&lt;='FR_Mantenimiento tasas'!$C$57,'Tabla Ahorro Futuro Reservas'!C440*'FR_Mantenimiento tasas'!$E$57/360,""))),5)</f>
        <v>0</v>
      </c>
    </row>
    <row r="441" spans="1:5">
      <c r="A441" s="123">
        <f t="shared" si="12"/>
        <v>439</v>
      </c>
      <c r="B441" s="122">
        <f>IF(DAY(A441)=DAY('F-Ahorro Futuro Reservas'!$H$10),'F-Ahorro Futuro Reservas'!$H$9,0)</f>
        <v>0</v>
      </c>
      <c r="C441" s="122">
        <f t="shared" si="13"/>
        <v>0</v>
      </c>
      <c r="D441" s="121">
        <f>ROUND(IF(C441&lt;='FR_Mantenimiento tasas'!$C$55,'Tabla Ahorro Futuro Reservas'!C441*'FR_Mantenimiento tasas'!$D$55/360,IF(C441&lt;='FR_Mantenimiento tasas'!$C$56,'Tabla Ahorro Futuro Reservas'!C441*'FR_Mantenimiento tasas'!$D$56/360,IF(C441&lt;='FR_Mantenimiento tasas'!$C$57,'Tabla Ahorro Futuro Reservas'!C441*'FR_Mantenimiento tasas'!$D$57/360,""))),5)</f>
        <v>0</v>
      </c>
      <c r="E441" s="121">
        <f>ROUND(IF(C441&lt;='FR_Mantenimiento tasas'!$C$55,'Tabla Ahorro Futuro Reservas'!C441*'FR_Mantenimiento tasas'!$E$55/360,IF(C441&lt;='FR_Mantenimiento tasas'!$C$56,'Tabla Ahorro Futuro Reservas'!C441*'FR_Mantenimiento tasas'!$E$56/360,IF(C441&lt;='FR_Mantenimiento tasas'!$C$57,'Tabla Ahorro Futuro Reservas'!C441*'FR_Mantenimiento tasas'!$E$57/360,""))),5)</f>
        <v>0</v>
      </c>
    </row>
    <row r="442" spans="1:5">
      <c r="A442" s="123">
        <f t="shared" si="12"/>
        <v>440</v>
      </c>
      <c r="B442" s="122">
        <f>IF(DAY(A442)=DAY('F-Ahorro Futuro Reservas'!$H$10),'F-Ahorro Futuro Reservas'!$H$9,0)</f>
        <v>0</v>
      </c>
      <c r="C442" s="122">
        <f t="shared" si="13"/>
        <v>0</v>
      </c>
      <c r="D442" s="121">
        <f>ROUND(IF(C442&lt;='FR_Mantenimiento tasas'!$C$55,'Tabla Ahorro Futuro Reservas'!C442*'FR_Mantenimiento tasas'!$D$55/360,IF(C442&lt;='FR_Mantenimiento tasas'!$C$56,'Tabla Ahorro Futuro Reservas'!C442*'FR_Mantenimiento tasas'!$D$56/360,IF(C442&lt;='FR_Mantenimiento tasas'!$C$57,'Tabla Ahorro Futuro Reservas'!C442*'FR_Mantenimiento tasas'!$D$57/360,""))),5)</f>
        <v>0</v>
      </c>
      <c r="E442" s="121">
        <f>ROUND(IF(C442&lt;='FR_Mantenimiento tasas'!$C$55,'Tabla Ahorro Futuro Reservas'!C442*'FR_Mantenimiento tasas'!$E$55/360,IF(C442&lt;='FR_Mantenimiento tasas'!$C$56,'Tabla Ahorro Futuro Reservas'!C442*'FR_Mantenimiento tasas'!$E$56/360,IF(C442&lt;='FR_Mantenimiento tasas'!$C$57,'Tabla Ahorro Futuro Reservas'!C442*'FR_Mantenimiento tasas'!$E$57/360,""))),5)</f>
        <v>0</v>
      </c>
    </row>
    <row r="443" spans="1:5">
      <c r="A443" s="123">
        <f t="shared" si="12"/>
        <v>441</v>
      </c>
      <c r="B443" s="122">
        <f>IF(DAY(A443)=DAY('F-Ahorro Futuro Reservas'!$H$10),'F-Ahorro Futuro Reservas'!$H$9,0)</f>
        <v>0</v>
      </c>
      <c r="C443" s="122">
        <f t="shared" si="13"/>
        <v>0</v>
      </c>
      <c r="D443" s="121">
        <f>ROUND(IF(C443&lt;='FR_Mantenimiento tasas'!$C$55,'Tabla Ahorro Futuro Reservas'!C443*'FR_Mantenimiento tasas'!$D$55/360,IF(C443&lt;='FR_Mantenimiento tasas'!$C$56,'Tabla Ahorro Futuro Reservas'!C443*'FR_Mantenimiento tasas'!$D$56/360,IF(C443&lt;='FR_Mantenimiento tasas'!$C$57,'Tabla Ahorro Futuro Reservas'!C443*'FR_Mantenimiento tasas'!$D$57/360,""))),5)</f>
        <v>0</v>
      </c>
      <c r="E443" s="121">
        <f>ROUND(IF(C443&lt;='FR_Mantenimiento tasas'!$C$55,'Tabla Ahorro Futuro Reservas'!C443*'FR_Mantenimiento tasas'!$E$55/360,IF(C443&lt;='FR_Mantenimiento tasas'!$C$56,'Tabla Ahorro Futuro Reservas'!C443*'FR_Mantenimiento tasas'!$E$56/360,IF(C443&lt;='FR_Mantenimiento tasas'!$C$57,'Tabla Ahorro Futuro Reservas'!C443*'FR_Mantenimiento tasas'!$E$57/360,""))),5)</f>
        <v>0</v>
      </c>
    </row>
    <row r="444" spans="1:5">
      <c r="A444" s="123">
        <f t="shared" si="12"/>
        <v>442</v>
      </c>
      <c r="B444" s="122">
        <f>IF(DAY(A444)=DAY('F-Ahorro Futuro Reservas'!$H$10),'F-Ahorro Futuro Reservas'!$H$9,0)</f>
        <v>0</v>
      </c>
      <c r="C444" s="122">
        <f t="shared" si="13"/>
        <v>0</v>
      </c>
      <c r="D444" s="121">
        <f>ROUND(IF(C444&lt;='FR_Mantenimiento tasas'!$C$55,'Tabla Ahorro Futuro Reservas'!C444*'FR_Mantenimiento tasas'!$D$55/360,IF(C444&lt;='FR_Mantenimiento tasas'!$C$56,'Tabla Ahorro Futuro Reservas'!C444*'FR_Mantenimiento tasas'!$D$56/360,IF(C444&lt;='FR_Mantenimiento tasas'!$C$57,'Tabla Ahorro Futuro Reservas'!C444*'FR_Mantenimiento tasas'!$D$57/360,""))),5)</f>
        <v>0</v>
      </c>
      <c r="E444" s="121">
        <f>ROUND(IF(C444&lt;='FR_Mantenimiento tasas'!$C$55,'Tabla Ahorro Futuro Reservas'!C444*'FR_Mantenimiento tasas'!$E$55/360,IF(C444&lt;='FR_Mantenimiento tasas'!$C$56,'Tabla Ahorro Futuro Reservas'!C444*'FR_Mantenimiento tasas'!$E$56/360,IF(C444&lt;='FR_Mantenimiento tasas'!$C$57,'Tabla Ahorro Futuro Reservas'!C444*'FR_Mantenimiento tasas'!$E$57/360,""))),5)</f>
        <v>0</v>
      </c>
    </row>
    <row r="445" spans="1:5">
      <c r="A445" s="123">
        <f t="shared" si="12"/>
        <v>443</v>
      </c>
      <c r="B445" s="122">
        <f>IF(DAY(A445)=DAY('F-Ahorro Futuro Reservas'!$H$10),'F-Ahorro Futuro Reservas'!$H$9,0)</f>
        <v>0</v>
      </c>
      <c r="C445" s="122">
        <f t="shared" si="13"/>
        <v>0</v>
      </c>
      <c r="D445" s="121">
        <f>ROUND(IF(C445&lt;='FR_Mantenimiento tasas'!$C$55,'Tabla Ahorro Futuro Reservas'!C445*'FR_Mantenimiento tasas'!$D$55/360,IF(C445&lt;='FR_Mantenimiento tasas'!$C$56,'Tabla Ahorro Futuro Reservas'!C445*'FR_Mantenimiento tasas'!$D$56/360,IF(C445&lt;='FR_Mantenimiento tasas'!$C$57,'Tabla Ahorro Futuro Reservas'!C445*'FR_Mantenimiento tasas'!$D$57/360,""))),5)</f>
        <v>0</v>
      </c>
      <c r="E445" s="121">
        <f>ROUND(IF(C445&lt;='FR_Mantenimiento tasas'!$C$55,'Tabla Ahorro Futuro Reservas'!C445*'FR_Mantenimiento tasas'!$E$55/360,IF(C445&lt;='FR_Mantenimiento tasas'!$C$56,'Tabla Ahorro Futuro Reservas'!C445*'FR_Mantenimiento tasas'!$E$56/360,IF(C445&lt;='FR_Mantenimiento tasas'!$C$57,'Tabla Ahorro Futuro Reservas'!C445*'FR_Mantenimiento tasas'!$E$57/360,""))),5)</f>
        <v>0</v>
      </c>
    </row>
    <row r="446" spans="1:5">
      <c r="A446" s="123">
        <f t="shared" si="12"/>
        <v>444</v>
      </c>
      <c r="B446" s="122">
        <f>IF(DAY(A446)=DAY('F-Ahorro Futuro Reservas'!$H$10),'F-Ahorro Futuro Reservas'!$H$9,0)</f>
        <v>0</v>
      </c>
      <c r="C446" s="122">
        <f t="shared" si="13"/>
        <v>0</v>
      </c>
      <c r="D446" s="121">
        <f>ROUND(IF(C446&lt;='FR_Mantenimiento tasas'!$C$55,'Tabla Ahorro Futuro Reservas'!C446*'FR_Mantenimiento tasas'!$D$55/360,IF(C446&lt;='FR_Mantenimiento tasas'!$C$56,'Tabla Ahorro Futuro Reservas'!C446*'FR_Mantenimiento tasas'!$D$56/360,IF(C446&lt;='FR_Mantenimiento tasas'!$C$57,'Tabla Ahorro Futuro Reservas'!C446*'FR_Mantenimiento tasas'!$D$57/360,""))),5)</f>
        <v>0</v>
      </c>
      <c r="E446" s="121">
        <f>ROUND(IF(C446&lt;='FR_Mantenimiento tasas'!$C$55,'Tabla Ahorro Futuro Reservas'!C446*'FR_Mantenimiento tasas'!$E$55/360,IF(C446&lt;='FR_Mantenimiento tasas'!$C$56,'Tabla Ahorro Futuro Reservas'!C446*'FR_Mantenimiento tasas'!$E$56/360,IF(C446&lt;='FR_Mantenimiento tasas'!$C$57,'Tabla Ahorro Futuro Reservas'!C446*'FR_Mantenimiento tasas'!$E$57/360,""))),5)</f>
        <v>0</v>
      </c>
    </row>
    <row r="447" spans="1:5">
      <c r="A447" s="123">
        <f t="shared" si="12"/>
        <v>445</v>
      </c>
      <c r="B447" s="122">
        <f>IF(DAY(A447)=DAY('F-Ahorro Futuro Reservas'!$H$10),'F-Ahorro Futuro Reservas'!$H$9,0)</f>
        <v>0</v>
      </c>
      <c r="C447" s="122">
        <f t="shared" si="13"/>
        <v>0</v>
      </c>
      <c r="D447" s="121">
        <f>ROUND(IF(C447&lt;='FR_Mantenimiento tasas'!$C$55,'Tabla Ahorro Futuro Reservas'!C447*'FR_Mantenimiento tasas'!$D$55/360,IF(C447&lt;='FR_Mantenimiento tasas'!$C$56,'Tabla Ahorro Futuro Reservas'!C447*'FR_Mantenimiento tasas'!$D$56/360,IF(C447&lt;='FR_Mantenimiento tasas'!$C$57,'Tabla Ahorro Futuro Reservas'!C447*'FR_Mantenimiento tasas'!$D$57/360,""))),5)</f>
        <v>0</v>
      </c>
      <c r="E447" s="121">
        <f>ROUND(IF(C447&lt;='FR_Mantenimiento tasas'!$C$55,'Tabla Ahorro Futuro Reservas'!C447*'FR_Mantenimiento tasas'!$E$55/360,IF(C447&lt;='FR_Mantenimiento tasas'!$C$56,'Tabla Ahorro Futuro Reservas'!C447*'FR_Mantenimiento tasas'!$E$56/360,IF(C447&lt;='FR_Mantenimiento tasas'!$C$57,'Tabla Ahorro Futuro Reservas'!C447*'FR_Mantenimiento tasas'!$E$57/360,""))),5)</f>
        <v>0</v>
      </c>
    </row>
    <row r="448" spans="1:5">
      <c r="A448" s="123">
        <f t="shared" si="12"/>
        <v>446</v>
      </c>
      <c r="B448" s="122">
        <f>IF(DAY(A448)=DAY('F-Ahorro Futuro Reservas'!$H$10),'F-Ahorro Futuro Reservas'!$H$9,0)</f>
        <v>0</v>
      </c>
      <c r="C448" s="122">
        <f t="shared" si="13"/>
        <v>0</v>
      </c>
      <c r="D448" s="121">
        <f>ROUND(IF(C448&lt;='FR_Mantenimiento tasas'!$C$55,'Tabla Ahorro Futuro Reservas'!C448*'FR_Mantenimiento tasas'!$D$55/360,IF(C448&lt;='FR_Mantenimiento tasas'!$C$56,'Tabla Ahorro Futuro Reservas'!C448*'FR_Mantenimiento tasas'!$D$56/360,IF(C448&lt;='FR_Mantenimiento tasas'!$C$57,'Tabla Ahorro Futuro Reservas'!C448*'FR_Mantenimiento tasas'!$D$57/360,""))),5)</f>
        <v>0</v>
      </c>
      <c r="E448" s="121">
        <f>ROUND(IF(C448&lt;='FR_Mantenimiento tasas'!$C$55,'Tabla Ahorro Futuro Reservas'!C448*'FR_Mantenimiento tasas'!$E$55/360,IF(C448&lt;='FR_Mantenimiento tasas'!$C$56,'Tabla Ahorro Futuro Reservas'!C448*'FR_Mantenimiento tasas'!$E$56/360,IF(C448&lt;='FR_Mantenimiento tasas'!$C$57,'Tabla Ahorro Futuro Reservas'!C448*'FR_Mantenimiento tasas'!$E$57/360,""))),5)</f>
        <v>0</v>
      </c>
    </row>
    <row r="449" spans="1:5">
      <c r="A449" s="123">
        <f t="shared" si="12"/>
        <v>447</v>
      </c>
      <c r="B449" s="122">
        <f>IF(DAY(A449)=DAY('F-Ahorro Futuro Reservas'!$H$10),'F-Ahorro Futuro Reservas'!$H$9,0)</f>
        <v>0</v>
      </c>
      <c r="C449" s="122">
        <f t="shared" si="13"/>
        <v>0</v>
      </c>
      <c r="D449" s="121">
        <f>ROUND(IF(C449&lt;='FR_Mantenimiento tasas'!$C$55,'Tabla Ahorro Futuro Reservas'!C449*'FR_Mantenimiento tasas'!$D$55/360,IF(C449&lt;='FR_Mantenimiento tasas'!$C$56,'Tabla Ahorro Futuro Reservas'!C449*'FR_Mantenimiento tasas'!$D$56/360,IF(C449&lt;='FR_Mantenimiento tasas'!$C$57,'Tabla Ahorro Futuro Reservas'!C449*'FR_Mantenimiento tasas'!$D$57/360,""))),5)</f>
        <v>0</v>
      </c>
      <c r="E449" s="121">
        <f>ROUND(IF(C449&lt;='FR_Mantenimiento tasas'!$C$55,'Tabla Ahorro Futuro Reservas'!C449*'FR_Mantenimiento tasas'!$E$55/360,IF(C449&lt;='FR_Mantenimiento tasas'!$C$56,'Tabla Ahorro Futuro Reservas'!C449*'FR_Mantenimiento tasas'!$E$56/360,IF(C449&lt;='FR_Mantenimiento tasas'!$C$57,'Tabla Ahorro Futuro Reservas'!C449*'FR_Mantenimiento tasas'!$E$57/360,""))),5)</f>
        <v>0</v>
      </c>
    </row>
    <row r="450" spans="1:5">
      <c r="A450" s="123">
        <f t="shared" si="12"/>
        <v>448</v>
      </c>
      <c r="B450" s="122">
        <f>IF(DAY(A450)=DAY('F-Ahorro Futuro Reservas'!$H$10),'F-Ahorro Futuro Reservas'!$H$9,0)</f>
        <v>0</v>
      </c>
      <c r="C450" s="122">
        <f t="shared" si="13"/>
        <v>0</v>
      </c>
      <c r="D450" s="121">
        <f>ROUND(IF(C450&lt;='FR_Mantenimiento tasas'!$C$55,'Tabla Ahorro Futuro Reservas'!C450*'FR_Mantenimiento tasas'!$D$55/360,IF(C450&lt;='FR_Mantenimiento tasas'!$C$56,'Tabla Ahorro Futuro Reservas'!C450*'FR_Mantenimiento tasas'!$D$56/360,IF(C450&lt;='FR_Mantenimiento tasas'!$C$57,'Tabla Ahorro Futuro Reservas'!C450*'FR_Mantenimiento tasas'!$D$57/360,""))),5)</f>
        <v>0</v>
      </c>
      <c r="E450" s="121">
        <f>ROUND(IF(C450&lt;='FR_Mantenimiento tasas'!$C$55,'Tabla Ahorro Futuro Reservas'!C450*'FR_Mantenimiento tasas'!$E$55/360,IF(C450&lt;='FR_Mantenimiento tasas'!$C$56,'Tabla Ahorro Futuro Reservas'!C450*'FR_Mantenimiento tasas'!$E$56/360,IF(C450&lt;='FR_Mantenimiento tasas'!$C$57,'Tabla Ahorro Futuro Reservas'!C450*'FR_Mantenimiento tasas'!$E$57/360,""))),5)</f>
        <v>0</v>
      </c>
    </row>
    <row r="451" spans="1:5">
      <c r="A451" s="123">
        <f t="shared" si="12"/>
        <v>449</v>
      </c>
      <c r="B451" s="122">
        <f>IF(DAY(A451)=DAY('F-Ahorro Futuro Reservas'!$H$10),'F-Ahorro Futuro Reservas'!$H$9,0)</f>
        <v>0</v>
      </c>
      <c r="C451" s="122">
        <f t="shared" si="13"/>
        <v>0</v>
      </c>
      <c r="D451" s="121">
        <f>ROUND(IF(C451&lt;='FR_Mantenimiento tasas'!$C$55,'Tabla Ahorro Futuro Reservas'!C451*'FR_Mantenimiento tasas'!$D$55/360,IF(C451&lt;='FR_Mantenimiento tasas'!$C$56,'Tabla Ahorro Futuro Reservas'!C451*'FR_Mantenimiento tasas'!$D$56/360,IF(C451&lt;='FR_Mantenimiento tasas'!$C$57,'Tabla Ahorro Futuro Reservas'!C451*'FR_Mantenimiento tasas'!$D$57/360,""))),5)</f>
        <v>0</v>
      </c>
      <c r="E451" s="121">
        <f>ROUND(IF(C451&lt;='FR_Mantenimiento tasas'!$C$55,'Tabla Ahorro Futuro Reservas'!C451*'FR_Mantenimiento tasas'!$E$55/360,IF(C451&lt;='FR_Mantenimiento tasas'!$C$56,'Tabla Ahorro Futuro Reservas'!C451*'FR_Mantenimiento tasas'!$E$56/360,IF(C451&lt;='FR_Mantenimiento tasas'!$C$57,'Tabla Ahorro Futuro Reservas'!C451*'FR_Mantenimiento tasas'!$E$57/360,""))),5)</f>
        <v>0</v>
      </c>
    </row>
    <row r="452" spans="1:5">
      <c r="A452" s="123">
        <f t="shared" ref="A452:A515" si="14">+A451+1</f>
        <v>450</v>
      </c>
      <c r="B452" s="122">
        <f>IF(DAY(A452)=DAY('F-Ahorro Futuro Reservas'!$H$10),'F-Ahorro Futuro Reservas'!$H$9,0)</f>
        <v>0</v>
      </c>
      <c r="C452" s="122">
        <f t="shared" ref="C452:C515" si="15">+B452+C451+D451</f>
        <v>0</v>
      </c>
      <c r="D452" s="121">
        <f>ROUND(IF(C452&lt;='FR_Mantenimiento tasas'!$C$55,'Tabla Ahorro Futuro Reservas'!C452*'FR_Mantenimiento tasas'!$D$55/360,IF(C452&lt;='FR_Mantenimiento tasas'!$C$56,'Tabla Ahorro Futuro Reservas'!C452*'FR_Mantenimiento tasas'!$D$56/360,IF(C452&lt;='FR_Mantenimiento tasas'!$C$57,'Tabla Ahorro Futuro Reservas'!C452*'FR_Mantenimiento tasas'!$D$57/360,""))),5)</f>
        <v>0</v>
      </c>
      <c r="E452" s="121">
        <f>ROUND(IF(C452&lt;='FR_Mantenimiento tasas'!$C$55,'Tabla Ahorro Futuro Reservas'!C452*'FR_Mantenimiento tasas'!$E$55/360,IF(C452&lt;='FR_Mantenimiento tasas'!$C$56,'Tabla Ahorro Futuro Reservas'!C452*'FR_Mantenimiento tasas'!$E$56/360,IF(C452&lt;='FR_Mantenimiento tasas'!$C$57,'Tabla Ahorro Futuro Reservas'!C452*'FR_Mantenimiento tasas'!$E$57/360,""))),5)</f>
        <v>0</v>
      </c>
    </row>
    <row r="453" spans="1:5">
      <c r="A453" s="123">
        <f t="shared" si="14"/>
        <v>451</v>
      </c>
      <c r="B453" s="122">
        <f>IF(DAY(A453)=DAY('F-Ahorro Futuro Reservas'!$H$10),'F-Ahorro Futuro Reservas'!$H$9,0)</f>
        <v>0</v>
      </c>
      <c r="C453" s="122">
        <f t="shared" si="15"/>
        <v>0</v>
      </c>
      <c r="D453" s="121">
        <f>ROUND(IF(C453&lt;='FR_Mantenimiento tasas'!$C$55,'Tabla Ahorro Futuro Reservas'!C453*'FR_Mantenimiento tasas'!$D$55/360,IF(C453&lt;='FR_Mantenimiento tasas'!$C$56,'Tabla Ahorro Futuro Reservas'!C453*'FR_Mantenimiento tasas'!$D$56/360,IF(C453&lt;='FR_Mantenimiento tasas'!$C$57,'Tabla Ahorro Futuro Reservas'!C453*'FR_Mantenimiento tasas'!$D$57/360,""))),5)</f>
        <v>0</v>
      </c>
      <c r="E453" s="121">
        <f>ROUND(IF(C453&lt;='FR_Mantenimiento tasas'!$C$55,'Tabla Ahorro Futuro Reservas'!C453*'FR_Mantenimiento tasas'!$E$55/360,IF(C453&lt;='FR_Mantenimiento tasas'!$C$56,'Tabla Ahorro Futuro Reservas'!C453*'FR_Mantenimiento tasas'!$E$56/360,IF(C453&lt;='FR_Mantenimiento tasas'!$C$57,'Tabla Ahorro Futuro Reservas'!C453*'FR_Mantenimiento tasas'!$E$57/360,""))),5)</f>
        <v>0</v>
      </c>
    </row>
    <row r="454" spans="1:5">
      <c r="A454" s="123">
        <f t="shared" si="14"/>
        <v>452</v>
      </c>
      <c r="B454" s="122">
        <f>IF(DAY(A454)=DAY('F-Ahorro Futuro Reservas'!$H$10),'F-Ahorro Futuro Reservas'!$H$9,0)</f>
        <v>0</v>
      </c>
      <c r="C454" s="122">
        <f t="shared" si="15"/>
        <v>0</v>
      </c>
      <c r="D454" s="121">
        <f>ROUND(IF(C454&lt;='FR_Mantenimiento tasas'!$C$55,'Tabla Ahorro Futuro Reservas'!C454*'FR_Mantenimiento tasas'!$D$55/360,IF(C454&lt;='FR_Mantenimiento tasas'!$C$56,'Tabla Ahorro Futuro Reservas'!C454*'FR_Mantenimiento tasas'!$D$56/360,IF(C454&lt;='FR_Mantenimiento tasas'!$C$57,'Tabla Ahorro Futuro Reservas'!C454*'FR_Mantenimiento tasas'!$D$57/360,""))),5)</f>
        <v>0</v>
      </c>
      <c r="E454" s="121">
        <f>ROUND(IF(C454&lt;='FR_Mantenimiento tasas'!$C$55,'Tabla Ahorro Futuro Reservas'!C454*'FR_Mantenimiento tasas'!$E$55/360,IF(C454&lt;='FR_Mantenimiento tasas'!$C$56,'Tabla Ahorro Futuro Reservas'!C454*'FR_Mantenimiento tasas'!$E$56/360,IF(C454&lt;='FR_Mantenimiento tasas'!$C$57,'Tabla Ahorro Futuro Reservas'!C454*'FR_Mantenimiento tasas'!$E$57/360,""))),5)</f>
        <v>0</v>
      </c>
    </row>
    <row r="455" spans="1:5">
      <c r="A455" s="123">
        <f t="shared" si="14"/>
        <v>453</v>
      </c>
      <c r="B455" s="122">
        <f>IF(DAY(A455)=DAY('F-Ahorro Futuro Reservas'!$H$10),'F-Ahorro Futuro Reservas'!$H$9,0)</f>
        <v>0</v>
      </c>
      <c r="C455" s="122">
        <f t="shared" si="15"/>
        <v>0</v>
      </c>
      <c r="D455" s="121">
        <f>ROUND(IF(C455&lt;='FR_Mantenimiento tasas'!$C$55,'Tabla Ahorro Futuro Reservas'!C455*'FR_Mantenimiento tasas'!$D$55/360,IF(C455&lt;='FR_Mantenimiento tasas'!$C$56,'Tabla Ahorro Futuro Reservas'!C455*'FR_Mantenimiento tasas'!$D$56/360,IF(C455&lt;='FR_Mantenimiento tasas'!$C$57,'Tabla Ahorro Futuro Reservas'!C455*'FR_Mantenimiento tasas'!$D$57/360,""))),5)</f>
        <v>0</v>
      </c>
      <c r="E455" s="121">
        <f>ROUND(IF(C455&lt;='FR_Mantenimiento tasas'!$C$55,'Tabla Ahorro Futuro Reservas'!C455*'FR_Mantenimiento tasas'!$E$55/360,IF(C455&lt;='FR_Mantenimiento tasas'!$C$56,'Tabla Ahorro Futuro Reservas'!C455*'FR_Mantenimiento tasas'!$E$56/360,IF(C455&lt;='FR_Mantenimiento tasas'!$C$57,'Tabla Ahorro Futuro Reservas'!C455*'FR_Mantenimiento tasas'!$E$57/360,""))),5)</f>
        <v>0</v>
      </c>
    </row>
    <row r="456" spans="1:5">
      <c r="A456" s="123">
        <f t="shared" si="14"/>
        <v>454</v>
      </c>
      <c r="B456" s="122">
        <f>IF(DAY(A456)=DAY('F-Ahorro Futuro Reservas'!$H$10),'F-Ahorro Futuro Reservas'!$H$9,0)</f>
        <v>0</v>
      </c>
      <c r="C456" s="122">
        <f t="shared" si="15"/>
        <v>0</v>
      </c>
      <c r="D456" s="121">
        <f>ROUND(IF(C456&lt;='FR_Mantenimiento tasas'!$C$55,'Tabla Ahorro Futuro Reservas'!C456*'FR_Mantenimiento tasas'!$D$55/360,IF(C456&lt;='FR_Mantenimiento tasas'!$C$56,'Tabla Ahorro Futuro Reservas'!C456*'FR_Mantenimiento tasas'!$D$56/360,IF(C456&lt;='FR_Mantenimiento tasas'!$C$57,'Tabla Ahorro Futuro Reservas'!C456*'FR_Mantenimiento tasas'!$D$57/360,""))),5)</f>
        <v>0</v>
      </c>
      <c r="E456" s="121">
        <f>ROUND(IF(C456&lt;='FR_Mantenimiento tasas'!$C$55,'Tabla Ahorro Futuro Reservas'!C456*'FR_Mantenimiento tasas'!$E$55/360,IF(C456&lt;='FR_Mantenimiento tasas'!$C$56,'Tabla Ahorro Futuro Reservas'!C456*'FR_Mantenimiento tasas'!$E$56/360,IF(C456&lt;='FR_Mantenimiento tasas'!$C$57,'Tabla Ahorro Futuro Reservas'!C456*'FR_Mantenimiento tasas'!$E$57/360,""))),5)</f>
        <v>0</v>
      </c>
    </row>
    <row r="457" spans="1:5">
      <c r="A457" s="123">
        <f t="shared" si="14"/>
        <v>455</v>
      </c>
      <c r="B457" s="122">
        <f>IF(DAY(A457)=DAY('F-Ahorro Futuro Reservas'!$H$10),'F-Ahorro Futuro Reservas'!$H$9,0)</f>
        <v>0</v>
      </c>
      <c r="C457" s="122">
        <f t="shared" si="15"/>
        <v>0</v>
      </c>
      <c r="D457" s="121">
        <f>ROUND(IF(C457&lt;='FR_Mantenimiento tasas'!$C$55,'Tabla Ahorro Futuro Reservas'!C457*'FR_Mantenimiento tasas'!$D$55/360,IF(C457&lt;='FR_Mantenimiento tasas'!$C$56,'Tabla Ahorro Futuro Reservas'!C457*'FR_Mantenimiento tasas'!$D$56/360,IF(C457&lt;='FR_Mantenimiento tasas'!$C$57,'Tabla Ahorro Futuro Reservas'!C457*'FR_Mantenimiento tasas'!$D$57/360,""))),5)</f>
        <v>0</v>
      </c>
      <c r="E457" s="121">
        <f>ROUND(IF(C457&lt;='FR_Mantenimiento tasas'!$C$55,'Tabla Ahorro Futuro Reservas'!C457*'FR_Mantenimiento tasas'!$E$55/360,IF(C457&lt;='FR_Mantenimiento tasas'!$C$56,'Tabla Ahorro Futuro Reservas'!C457*'FR_Mantenimiento tasas'!$E$56/360,IF(C457&lt;='FR_Mantenimiento tasas'!$C$57,'Tabla Ahorro Futuro Reservas'!C457*'FR_Mantenimiento tasas'!$E$57/360,""))),5)</f>
        <v>0</v>
      </c>
    </row>
    <row r="458" spans="1:5">
      <c r="A458" s="123">
        <f t="shared" si="14"/>
        <v>456</v>
      </c>
      <c r="B458" s="122">
        <f>IF(DAY(A458)=DAY('F-Ahorro Futuro Reservas'!$H$10),'F-Ahorro Futuro Reservas'!$H$9,0)</f>
        <v>0</v>
      </c>
      <c r="C458" s="122">
        <f t="shared" si="15"/>
        <v>0</v>
      </c>
      <c r="D458" s="121">
        <f>ROUND(IF(C458&lt;='FR_Mantenimiento tasas'!$C$55,'Tabla Ahorro Futuro Reservas'!C458*'FR_Mantenimiento tasas'!$D$55/360,IF(C458&lt;='FR_Mantenimiento tasas'!$C$56,'Tabla Ahorro Futuro Reservas'!C458*'FR_Mantenimiento tasas'!$D$56/360,IF(C458&lt;='FR_Mantenimiento tasas'!$C$57,'Tabla Ahorro Futuro Reservas'!C458*'FR_Mantenimiento tasas'!$D$57/360,""))),5)</f>
        <v>0</v>
      </c>
      <c r="E458" s="121">
        <f>ROUND(IF(C458&lt;='FR_Mantenimiento tasas'!$C$55,'Tabla Ahorro Futuro Reservas'!C458*'FR_Mantenimiento tasas'!$E$55/360,IF(C458&lt;='FR_Mantenimiento tasas'!$C$56,'Tabla Ahorro Futuro Reservas'!C458*'FR_Mantenimiento tasas'!$E$56/360,IF(C458&lt;='FR_Mantenimiento tasas'!$C$57,'Tabla Ahorro Futuro Reservas'!C458*'FR_Mantenimiento tasas'!$E$57/360,""))),5)</f>
        <v>0</v>
      </c>
    </row>
    <row r="459" spans="1:5">
      <c r="A459" s="123">
        <f t="shared" si="14"/>
        <v>457</v>
      </c>
      <c r="B459" s="122">
        <f>IF(DAY(A459)=DAY('F-Ahorro Futuro Reservas'!$H$10),'F-Ahorro Futuro Reservas'!$H$9,0)</f>
        <v>0</v>
      </c>
      <c r="C459" s="122">
        <f t="shared" si="15"/>
        <v>0</v>
      </c>
      <c r="D459" s="121">
        <f>ROUND(IF(C459&lt;='FR_Mantenimiento tasas'!$C$55,'Tabla Ahorro Futuro Reservas'!C459*'FR_Mantenimiento tasas'!$D$55/360,IF(C459&lt;='FR_Mantenimiento tasas'!$C$56,'Tabla Ahorro Futuro Reservas'!C459*'FR_Mantenimiento tasas'!$D$56/360,IF(C459&lt;='FR_Mantenimiento tasas'!$C$57,'Tabla Ahorro Futuro Reservas'!C459*'FR_Mantenimiento tasas'!$D$57/360,""))),5)</f>
        <v>0</v>
      </c>
      <c r="E459" s="121">
        <f>ROUND(IF(C459&lt;='FR_Mantenimiento tasas'!$C$55,'Tabla Ahorro Futuro Reservas'!C459*'FR_Mantenimiento tasas'!$E$55/360,IF(C459&lt;='FR_Mantenimiento tasas'!$C$56,'Tabla Ahorro Futuro Reservas'!C459*'FR_Mantenimiento tasas'!$E$56/360,IF(C459&lt;='FR_Mantenimiento tasas'!$C$57,'Tabla Ahorro Futuro Reservas'!C459*'FR_Mantenimiento tasas'!$E$57/360,""))),5)</f>
        <v>0</v>
      </c>
    </row>
    <row r="460" spans="1:5">
      <c r="A460" s="123">
        <f t="shared" si="14"/>
        <v>458</v>
      </c>
      <c r="B460" s="122">
        <f>IF(DAY(A460)=DAY('F-Ahorro Futuro Reservas'!$H$10),'F-Ahorro Futuro Reservas'!$H$9,0)</f>
        <v>0</v>
      </c>
      <c r="C460" s="122">
        <f t="shared" si="15"/>
        <v>0</v>
      </c>
      <c r="D460" s="121">
        <f>ROUND(IF(C460&lt;='FR_Mantenimiento tasas'!$C$55,'Tabla Ahorro Futuro Reservas'!C460*'FR_Mantenimiento tasas'!$D$55/360,IF(C460&lt;='FR_Mantenimiento tasas'!$C$56,'Tabla Ahorro Futuro Reservas'!C460*'FR_Mantenimiento tasas'!$D$56/360,IF(C460&lt;='FR_Mantenimiento tasas'!$C$57,'Tabla Ahorro Futuro Reservas'!C460*'FR_Mantenimiento tasas'!$D$57/360,""))),5)</f>
        <v>0</v>
      </c>
      <c r="E460" s="121">
        <f>ROUND(IF(C460&lt;='FR_Mantenimiento tasas'!$C$55,'Tabla Ahorro Futuro Reservas'!C460*'FR_Mantenimiento tasas'!$E$55/360,IF(C460&lt;='FR_Mantenimiento tasas'!$C$56,'Tabla Ahorro Futuro Reservas'!C460*'FR_Mantenimiento tasas'!$E$56/360,IF(C460&lt;='FR_Mantenimiento tasas'!$C$57,'Tabla Ahorro Futuro Reservas'!C460*'FR_Mantenimiento tasas'!$E$57/360,""))),5)</f>
        <v>0</v>
      </c>
    </row>
    <row r="461" spans="1:5">
      <c r="A461" s="123">
        <f t="shared" si="14"/>
        <v>459</v>
      </c>
      <c r="B461" s="122">
        <f>IF(DAY(A461)=DAY('F-Ahorro Futuro Reservas'!$H$10),'F-Ahorro Futuro Reservas'!$H$9,0)</f>
        <v>0</v>
      </c>
      <c r="C461" s="122">
        <f t="shared" si="15"/>
        <v>0</v>
      </c>
      <c r="D461" s="121">
        <f>ROUND(IF(C461&lt;='FR_Mantenimiento tasas'!$C$55,'Tabla Ahorro Futuro Reservas'!C461*'FR_Mantenimiento tasas'!$D$55/360,IF(C461&lt;='FR_Mantenimiento tasas'!$C$56,'Tabla Ahorro Futuro Reservas'!C461*'FR_Mantenimiento tasas'!$D$56/360,IF(C461&lt;='FR_Mantenimiento tasas'!$C$57,'Tabla Ahorro Futuro Reservas'!C461*'FR_Mantenimiento tasas'!$D$57/360,""))),5)</f>
        <v>0</v>
      </c>
      <c r="E461" s="121">
        <f>ROUND(IF(C461&lt;='FR_Mantenimiento tasas'!$C$55,'Tabla Ahorro Futuro Reservas'!C461*'FR_Mantenimiento tasas'!$E$55/360,IF(C461&lt;='FR_Mantenimiento tasas'!$C$56,'Tabla Ahorro Futuro Reservas'!C461*'FR_Mantenimiento tasas'!$E$56/360,IF(C461&lt;='FR_Mantenimiento tasas'!$C$57,'Tabla Ahorro Futuro Reservas'!C461*'FR_Mantenimiento tasas'!$E$57/360,""))),5)</f>
        <v>0</v>
      </c>
    </row>
    <row r="462" spans="1:5">
      <c r="A462" s="123">
        <f t="shared" si="14"/>
        <v>460</v>
      </c>
      <c r="B462" s="122">
        <f>IF(DAY(A462)=DAY('F-Ahorro Futuro Reservas'!$H$10),'F-Ahorro Futuro Reservas'!$H$9,0)</f>
        <v>0</v>
      </c>
      <c r="C462" s="122">
        <f t="shared" si="15"/>
        <v>0</v>
      </c>
      <c r="D462" s="121">
        <f>ROUND(IF(C462&lt;='FR_Mantenimiento tasas'!$C$55,'Tabla Ahorro Futuro Reservas'!C462*'FR_Mantenimiento tasas'!$D$55/360,IF(C462&lt;='FR_Mantenimiento tasas'!$C$56,'Tabla Ahorro Futuro Reservas'!C462*'FR_Mantenimiento tasas'!$D$56/360,IF(C462&lt;='FR_Mantenimiento tasas'!$C$57,'Tabla Ahorro Futuro Reservas'!C462*'FR_Mantenimiento tasas'!$D$57/360,""))),5)</f>
        <v>0</v>
      </c>
      <c r="E462" s="121">
        <f>ROUND(IF(C462&lt;='FR_Mantenimiento tasas'!$C$55,'Tabla Ahorro Futuro Reservas'!C462*'FR_Mantenimiento tasas'!$E$55/360,IF(C462&lt;='FR_Mantenimiento tasas'!$C$56,'Tabla Ahorro Futuro Reservas'!C462*'FR_Mantenimiento tasas'!$E$56/360,IF(C462&lt;='FR_Mantenimiento tasas'!$C$57,'Tabla Ahorro Futuro Reservas'!C462*'FR_Mantenimiento tasas'!$E$57/360,""))),5)</f>
        <v>0</v>
      </c>
    </row>
    <row r="463" spans="1:5">
      <c r="A463" s="123">
        <f t="shared" si="14"/>
        <v>461</v>
      </c>
      <c r="B463" s="122">
        <f>IF(DAY(A463)=DAY('F-Ahorro Futuro Reservas'!$H$10),'F-Ahorro Futuro Reservas'!$H$9,0)</f>
        <v>0</v>
      </c>
      <c r="C463" s="122">
        <f t="shared" si="15"/>
        <v>0</v>
      </c>
      <c r="D463" s="121">
        <f>ROUND(IF(C463&lt;='FR_Mantenimiento tasas'!$C$55,'Tabla Ahorro Futuro Reservas'!C463*'FR_Mantenimiento tasas'!$D$55/360,IF(C463&lt;='FR_Mantenimiento tasas'!$C$56,'Tabla Ahorro Futuro Reservas'!C463*'FR_Mantenimiento tasas'!$D$56/360,IF(C463&lt;='FR_Mantenimiento tasas'!$C$57,'Tabla Ahorro Futuro Reservas'!C463*'FR_Mantenimiento tasas'!$D$57/360,""))),5)</f>
        <v>0</v>
      </c>
      <c r="E463" s="121">
        <f>ROUND(IF(C463&lt;='FR_Mantenimiento tasas'!$C$55,'Tabla Ahorro Futuro Reservas'!C463*'FR_Mantenimiento tasas'!$E$55/360,IF(C463&lt;='FR_Mantenimiento tasas'!$C$56,'Tabla Ahorro Futuro Reservas'!C463*'FR_Mantenimiento tasas'!$E$56/360,IF(C463&lt;='FR_Mantenimiento tasas'!$C$57,'Tabla Ahorro Futuro Reservas'!C463*'FR_Mantenimiento tasas'!$E$57/360,""))),5)</f>
        <v>0</v>
      </c>
    </row>
    <row r="464" spans="1:5">
      <c r="A464" s="123">
        <f t="shared" si="14"/>
        <v>462</v>
      </c>
      <c r="B464" s="122">
        <f>IF(DAY(A464)=DAY('F-Ahorro Futuro Reservas'!$H$10),'F-Ahorro Futuro Reservas'!$H$9,0)</f>
        <v>0</v>
      </c>
      <c r="C464" s="122">
        <f t="shared" si="15"/>
        <v>0</v>
      </c>
      <c r="D464" s="121">
        <f>ROUND(IF(C464&lt;='FR_Mantenimiento tasas'!$C$55,'Tabla Ahorro Futuro Reservas'!C464*'FR_Mantenimiento tasas'!$D$55/360,IF(C464&lt;='FR_Mantenimiento tasas'!$C$56,'Tabla Ahorro Futuro Reservas'!C464*'FR_Mantenimiento tasas'!$D$56/360,IF(C464&lt;='FR_Mantenimiento tasas'!$C$57,'Tabla Ahorro Futuro Reservas'!C464*'FR_Mantenimiento tasas'!$D$57/360,""))),5)</f>
        <v>0</v>
      </c>
      <c r="E464" s="121">
        <f>ROUND(IF(C464&lt;='FR_Mantenimiento tasas'!$C$55,'Tabla Ahorro Futuro Reservas'!C464*'FR_Mantenimiento tasas'!$E$55/360,IF(C464&lt;='FR_Mantenimiento tasas'!$C$56,'Tabla Ahorro Futuro Reservas'!C464*'FR_Mantenimiento tasas'!$E$56/360,IF(C464&lt;='FR_Mantenimiento tasas'!$C$57,'Tabla Ahorro Futuro Reservas'!C464*'FR_Mantenimiento tasas'!$E$57/360,""))),5)</f>
        <v>0</v>
      </c>
    </row>
    <row r="465" spans="1:5">
      <c r="A465" s="123">
        <f t="shared" si="14"/>
        <v>463</v>
      </c>
      <c r="B465" s="122">
        <f>IF(DAY(A465)=DAY('F-Ahorro Futuro Reservas'!$H$10),'F-Ahorro Futuro Reservas'!$H$9,0)</f>
        <v>0</v>
      </c>
      <c r="C465" s="122">
        <f t="shared" si="15"/>
        <v>0</v>
      </c>
      <c r="D465" s="121">
        <f>ROUND(IF(C465&lt;='FR_Mantenimiento tasas'!$C$55,'Tabla Ahorro Futuro Reservas'!C465*'FR_Mantenimiento tasas'!$D$55/360,IF(C465&lt;='FR_Mantenimiento tasas'!$C$56,'Tabla Ahorro Futuro Reservas'!C465*'FR_Mantenimiento tasas'!$D$56/360,IF(C465&lt;='FR_Mantenimiento tasas'!$C$57,'Tabla Ahorro Futuro Reservas'!C465*'FR_Mantenimiento tasas'!$D$57/360,""))),5)</f>
        <v>0</v>
      </c>
      <c r="E465" s="121">
        <f>ROUND(IF(C465&lt;='FR_Mantenimiento tasas'!$C$55,'Tabla Ahorro Futuro Reservas'!C465*'FR_Mantenimiento tasas'!$E$55/360,IF(C465&lt;='FR_Mantenimiento tasas'!$C$56,'Tabla Ahorro Futuro Reservas'!C465*'FR_Mantenimiento tasas'!$E$56/360,IF(C465&lt;='FR_Mantenimiento tasas'!$C$57,'Tabla Ahorro Futuro Reservas'!C465*'FR_Mantenimiento tasas'!$E$57/360,""))),5)</f>
        <v>0</v>
      </c>
    </row>
    <row r="466" spans="1:5">
      <c r="A466" s="123">
        <f t="shared" si="14"/>
        <v>464</v>
      </c>
      <c r="B466" s="122">
        <f>IF(DAY(A466)=DAY('F-Ahorro Futuro Reservas'!$H$10),'F-Ahorro Futuro Reservas'!$H$9,0)</f>
        <v>0</v>
      </c>
      <c r="C466" s="122">
        <f t="shared" si="15"/>
        <v>0</v>
      </c>
      <c r="D466" s="121">
        <f>ROUND(IF(C466&lt;='FR_Mantenimiento tasas'!$C$55,'Tabla Ahorro Futuro Reservas'!C466*'FR_Mantenimiento tasas'!$D$55/360,IF(C466&lt;='FR_Mantenimiento tasas'!$C$56,'Tabla Ahorro Futuro Reservas'!C466*'FR_Mantenimiento tasas'!$D$56/360,IF(C466&lt;='FR_Mantenimiento tasas'!$C$57,'Tabla Ahorro Futuro Reservas'!C466*'FR_Mantenimiento tasas'!$D$57/360,""))),5)</f>
        <v>0</v>
      </c>
      <c r="E466" s="121">
        <f>ROUND(IF(C466&lt;='FR_Mantenimiento tasas'!$C$55,'Tabla Ahorro Futuro Reservas'!C466*'FR_Mantenimiento tasas'!$E$55/360,IF(C466&lt;='FR_Mantenimiento tasas'!$C$56,'Tabla Ahorro Futuro Reservas'!C466*'FR_Mantenimiento tasas'!$E$56/360,IF(C466&lt;='FR_Mantenimiento tasas'!$C$57,'Tabla Ahorro Futuro Reservas'!C466*'FR_Mantenimiento tasas'!$E$57/360,""))),5)</f>
        <v>0</v>
      </c>
    </row>
    <row r="467" spans="1:5">
      <c r="A467" s="123">
        <f t="shared" si="14"/>
        <v>465</v>
      </c>
      <c r="B467" s="122">
        <f>IF(DAY(A467)=DAY('F-Ahorro Futuro Reservas'!$H$10),'F-Ahorro Futuro Reservas'!$H$9,0)</f>
        <v>0</v>
      </c>
      <c r="C467" s="122">
        <f t="shared" si="15"/>
        <v>0</v>
      </c>
      <c r="D467" s="121">
        <f>ROUND(IF(C467&lt;='FR_Mantenimiento tasas'!$C$55,'Tabla Ahorro Futuro Reservas'!C467*'FR_Mantenimiento tasas'!$D$55/360,IF(C467&lt;='FR_Mantenimiento tasas'!$C$56,'Tabla Ahorro Futuro Reservas'!C467*'FR_Mantenimiento tasas'!$D$56/360,IF(C467&lt;='FR_Mantenimiento tasas'!$C$57,'Tabla Ahorro Futuro Reservas'!C467*'FR_Mantenimiento tasas'!$D$57/360,""))),5)</f>
        <v>0</v>
      </c>
      <c r="E467" s="121">
        <f>ROUND(IF(C467&lt;='FR_Mantenimiento tasas'!$C$55,'Tabla Ahorro Futuro Reservas'!C467*'FR_Mantenimiento tasas'!$E$55/360,IF(C467&lt;='FR_Mantenimiento tasas'!$C$56,'Tabla Ahorro Futuro Reservas'!C467*'FR_Mantenimiento tasas'!$E$56/360,IF(C467&lt;='FR_Mantenimiento tasas'!$C$57,'Tabla Ahorro Futuro Reservas'!C467*'FR_Mantenimiento tasas'!$E$57/360,""))),5)</f>
        <v>0</v>
      </c>
    </row>
    <row r="468" spans="1:5">
      <c r="A468" s="123">
        <f t="shared" si="14"/>
        <v>466</v>
      </c>
      <c r="B468" s="122">
        <f>IF(DAY(A468)=DAY('F-Ahorro Futuro Reservas'!$H$10),'F-Ahorro Futuro Reservas'!$H$9,0)</f>
        <v>0</v>
      </c>
      <c r="C468" s="122">
        <f t="shared" si="15"/>
        <v>0</v>
      </c>
      <c r="D468" s="121">
        <f>ROUND(IF(C468&lt;='FR_Mantenimiento tasas'!$C$55,'Tabla Ahorro Futuro Reservas'!C468*'FR_Mantenimiento tasas'!$D$55/360,IF(C468&lt;='FR_Mantenimiento tasas'!$C$56,'Tabla Ahorro Futuro Reservas'!C468*'FR_Mantenimiento tasas'!$D$56/360,IF(C468&lt;='FR_Mantenimiento tasas'!$C$57,'Tabla Ahorro Futuro Reservas'!C468*'FR_Mantenimiento tasas'!$D$57/360,""))),5)</f>
        <v>0</v>
      </c>
      <c r="E468" s="121">
        <f>ROUND(IF(C468&lt;='FR_Mantenimiento tasas'!$C$55,'Tabla Ahorro Futuro Reservas'!C468*'FR_Mantenimiento tasas'!$E$55/360,IF(C468&lt;='FR_Mantenimiento tasas'!$C$56,'Tabla Ahorro Futuro Reservas'!C468*'FR_Mantenimiento tasas'!$E$56/360,IF(C468&lt;='FR_Mantenimiento tasas'!$C$57,'Tabla Ahorro Futuro Reservas'!C468*'FR_Mantenimiento tasas'!$E$57/360,""))),5)</f>
        <v>0</v>
      </c>
    </row>
    <row r="469" spans="1:5">
      <c r="A469" s="123">
        <f t="shared" si="14"/>
        <v>467</v>
      </c>
      <c r="B469" s="122">
        <f>IF(DAY(A469)=DAY('F-Ahorro Futuro Reservas'!$H$10),'F-Ahorro Futuro Reservas'!$H$9,0)</f>
        <v>0</v>
      </c>
      <c r="C469" s="122">
        <f t="shared" si="15"/>
        <v>0</v>
      </c>
      <c r="D469" s="121">
        <f>ROUND(IF(C469&lt;='FR_Mantenimiento tasas'!$C$55,'Tabla Ahorro Futuro Reservas'!C469*'FR_Mantenimiento tasas'!$D$55/360,IF(C469&lt;='FR_Mantenimiento tasas'!$C$56,'Tabla Ahorro Futuro Reservas'!C469*'FR_Mantenimiento tasas'!$D$56/360,IF(C469&lt;='FR_Mantenimiento tasas'!$C$57,'Tabla Ahorro Futuro Reservas'!C469*'FR_Mantenimiento tasas'!$D$57/360,""))),5)</f>
        <v>0</v>
      </c>
      <c r="E469" s="121">
        <f>ROUND(IF(C469&lt;='FR_Mantenimiento tasas'!$C$55,'Tabla Ahorro Futuro Reservas'!C469*'FR_Mantenimiento tasas'!$E$55/360,IF(C469&lt;='FR_Mantenimiento tasas'!$C$56,'Tabla Ahorro Futuro Reservas'!C469*'FR_Mantenimiento tasas'!$E$56/360,IF(C469&lt;='FR_Mantenimiento tasas'!$C$57,'Tabla Ahorro Futuro Reservas'!C469*'FR_Mantenimiento tasas'!$E$57/360,""))),5)</f>
        <v>0</v>
      </c>
    </row>
    <row r="470" spans="1:5">
      <c r="A470" s="123">
        <f t="shared" si="14"/>
        <v>468</v>
      </c>
      <c r="B470" s="122">
        <f>IF(DAY(A470)=DAY('F-Ahorro Futuro Reservas'!$H$10),'F-Ahorro Futuro Reservas'!$H$9,0)</f>
        <v>0</v>
      </c>
      <c r="C470" s="122">
        <f t="shared" si="15"/>
        <v>0</v>
      </c>
      <c r="D470" s="121">
        <f>ROUND(IF(C470&lt;='FR_Mantenimiento tasas'!$C$55,'Tabla Ahorro Futuro Reservas'!C470*'FR_Mantenimiento tasas'!$D$55/360,IF(C470&lt;='FR_Mantenimiento tasas'!$C$56,'Tabla Ahorro Futuro Reservas'!C470*'FR_Mantenimiento tasas'!$D$56/360,IF(C470&lt;='FR_Mantenimiento tasas'!$C$57,'Tabla Ahorro Futuro Reservas'!C470*'FR_Mantenimiento tasas'!$D$57/360,""))),5)</f>
        <v>0</v>
      </c>
      <c r="E470" s="121">
        <f>ROUND(IF(C470&lt;='FR_Mantenimiento tasas'!$C$55,'Tabla Ahorro Futuro Reservas'!C470*'FR_Mantenimiento tasas'!$E$55/360,IF(C470&lt;='FR_Mantenimiento tasas'!$C$56,'Tabla Ahorro Futuro Reservas'!C470*'FR_Mantenimiento tasas'!$E$56/360,IF(C470&lt;='FR_Mantenimiento tasas'!$C$57,'Tabla Ahorro Futuro Reservas'!C470*'FR_Mantenimiento tasas'!$E$57/360,""))),5)</f>
        <v>0</v>
      </c>
    </row>
    <row r="471" spans="1:5">
      <c r="A471" s="123">
        <f t="shared" si="14"/>
        <v>469</v>
      </c>
      <c r="B471" s="122">
        <f>IF(DAY(A471)=DAY('F-Ahorro Futuro Reservas'!$H$10),'F-Ahorro Futuro Reservas'!$H$9,0)</f>
        <v>0</v>
      </c>
      <c r="C471" s="122">
        <f t="shared" si="15"/>
        <v>0</v>
      </c>
      <c r="D471" s="121">
        <f>ROUND(IF(C471&lt;='FR_Mantenimiento tasas'!$C$55,'Tabla Ahorro Futuro Reservas'!C471*'FR_Mantenimiento tasas'!$D$55/360,IF(C471&lt;='FR_Mantenimiento tasas'!$C$56,'Tabla Ahorro Futuro Reservas'!C471*'FR_Mantenimiento tasas'!$D$56/360,IF(C471&lt;='FR_Mantenimiento tasas'!$C$57,'Tabla Ahorro Futuro Reservas'!C471*'FR_Mantenimiento tasas'!$D$57/360,""))),5)</f>
        <v>0</v>
      </c>
      <c r="E471" s="121">
        <f>ROUND(IF(C471&lt;='FR_Mantenimiento tasas'!$C$55,'Tabla Ahorro Futuro Reservas'!C471*'FR_Mantenimiento tasas'!$E$55/360,IF(C471&lt;='FR_Mantenimiento tasas'!$C$56,'Tabla Ahorro Futuro Reservas'!C471*'FR_Mantenimiento tasas'!$E$56/360,IF(C471&lt;='FR_Mantenimiento tasas'!$C$57,'Tabla Ahorro Futuro Reservas'!C471*'FR_Mantenimiento tasas'!$E$57/360,""))),5)</f>
        <v>0</v>
      </c>
    </row>
    <row r="472" spans="1:5">
      <c r="A472" s="123">
        <f t="shared" si="14"/>
        <v>470</v>
      </c>
      <c r="B472" s="122">
        <f>IF(DAY(A472)=DAY('F-Ahorro Futuro Reservas'!$H$10),'F-Ahorro Futuro Reservas'!$H$9,0)</f>
        <v>0</v>
      </c>
      <c r="C472" s="122">
        <f t="shared" si="15"/>
        <v>0</v>
      </c>
      <c r="D472" s="121">
        <f>ROUND(IF(C472&lt;='FR_Mantenimiento tasas'!$C$55,'Tabla Ahorro Futuro Reservas'!C472*'FR_Mantenimiento tasas'!$D$55/360,IF(C472&lt;='FR_Mantenimiento tasas'!$C$56,'Tabla Ahorro Futuro Reservas'!C472*'FR_Mantenimiento tasas'!$D$56/360,IF(C472&lt;='FR_Mantenimiento tasas'!$C$57,'Tabla Ahorro Futuro Reservas'!C472*'FR_Mantenimiento tasas'!$D$57/360,""))),5)</f>
        <v>0</v>
      </c>
      <c r="E472" s="121">
        <f>ROUND(IF(C472&lt;='FR_Mantenimiento tasas'!$C$55,'Tabla Ahorro Futuro Reservas'!C472*'FR_Mantenimiento tasas'!$E$55/360,IF(C472&lt;='FR_Mantenimiento tasas'!$C$56,'Tabla Ahorro Futuro Reservas'!C472*'FR_Mantenimiento tasas'!$E$56/360,IF(C472&lt;='FR_Mantenimiento tasas'!$C$57,'Tabla Ahorro Futuro Reservas'!C472*'FR_Mantenimiento tasas'!$E$57/360,""))),5)</f>
        <v>0</v>
      </c>
    </row>
    <row r="473" spans="1:5">
      <c r="A473" s="123">
        <f t="shared" si="14"/>
        <v>471</v>
      </c>
      <c r="B473" s="122">
        <f>IF(DAY(A473)=DAY('F-Ahorro Futuro Reservas'!$H$10),'F-Ahorro Futuro Reservas'!$H$9,0)</f>
        <v>0</v>
      </c>
      <c r="C473" s="122">
        <f t="shared" si="15"/>
        <v>0</v>
      </c>
      <c r="D473" s="121">
        <f>ROUND(IF(C473&lt;='FR_Mantenimiento tasas'!$C$55,'Tabla Ahorro Futuro Reservas'!C473*'FR_Mantenimiento tasas'!$D$55/360,IF(C473&lt;='FR_Mantenimiento tasas'!$C$56,'Tabla Ahorro Futuro Reservas'!C473*'FR_Mantenimiento tasas'!$D$56/360,IF(C473&lt;='FR_Mantenimiento tasas'!$C$57,'Tabla Ahorro Futuro Reservas'!C473*'FR_Mantenimiento tasas'!$D$57/360,""))),5)</f>
        <v>0</v>
      </c>
      <c r="E473" s="121">
        <f>ROUND(IF(C473&lt;='FR_Mantenimiento tasas'!$C$55,'Tabla Ahorro Futuro Reservas'!C473*'FR_Mantenimiento tasas'!$E$55/360,IF(C473&lt;='FR_Mantenimiento tasas'!$C$56,'Tabla Ahorro Futuro Reservas'!C473*'FR_Mantenimiento tasas'!$E$56/360,IF(C473&lt;='FR_Mantenimiento tasas'!$C$57,'Tabla Ahorro Futuro Reservas'!C473*'FR_Mantenimiento tasas'!$E$57/360,""))),5)</f>
        <v>0</v>
      </c>
    </row>
    <row r="474" spans="1:5">
      <c r="A474" s="123">
        <f t="shared" si="14"/>
        <v>472</v>
      </c>
      <c r="B474" s="122">
        <f>IF(DAY(A474)=DAY('F-Ahorro Futuro Reservas'!$H$10),'F-Ahorro Futuro Reservas'!$H$9,0)</f>
        <v>0</v>
      </c>
      <c r="C474" s="122">
        <f t="shared" si="15"/>
        <v>0</v>
      </c>
      <c r="D474" s="121">
        <f>ROUND(IF(C474&lt;='FR_Mantenimiento tasas'!$C$55,'Tabla Ahorro Futuro Reservas'!C474*'FR_Mantenimiento tasas'!$D$55/360,IF(C474&lt;='FR_Mantenimiento tasas'!$C$56,'Tabla Ahorro Futuro Reservas'!C474*'FR_Mantenimiento tasas'!$D$56/360,IF(C474&lt;='FR_Mantenimiento tasas'!$C$57,'Tabla Ahorro Futuro Reservas'!C474*'FR_Mantenimiento tasas'!$D$57/360,""))),5)</f>
        <v>0</v>
      </c>
      <c r="E474" s="121">
        <f>ROUND(IF(C474&lt;='FR_Mantenimiento tasas'!$C$55,'Tabla Ahorro Futuro Reservas'!C474*'FR_Mantenimiento tasas'!$E$55/360,IF(C474&lt;='FR_Mantenimiento tasas'!$C$56,'Tabla Ahorro Futuro Reservas'!C474*'FR_Mantenimiento tasas'!$E$56/360,IF(C474&lt;='FR_Mantenimiento tasas'!$C$57,'Tabla Ahorro Futuro Reservas'!C474*'FR_Mantenimiento tasas'!$E$57/360,""))),5)</f>
        <v>0</v>
      </c>
    </row>
    <row r="475" spans="1:5">
      <c r="A475" s="123">
        <f t="shared" si="14"/>
        <v>473</v>
      </c>
      <c r="B475" s="122">
        <f>IF(DAY(A475)=DAY('F-Ahorro Futuro Reservas'!$H$10),'F-Ahorro Futuro Reservas'!$H$9,0)</f>
        <v>0</v>
      </c>
      <c r="C475" s="122">
        <f t="shared" si="15"/>
        <v>0</v>
      </c>
      <c r="D475" s="121">
        <f>ROUND(IF(C475&lt;='FR_Mantenimiento tasas'!$C$55,'Tabla Ahorro Futuro Reservas'!C475*'FR_Mantenimiento tasas'!$D$55/360,IF(C475&lt;='FR_Mantenimiento tasas'!$C$56,'Tabla Ahorro Futuro Reservas'!C475*'FR_Mantenimiento tasas'!$D$56/360,IF(C475&lt;='FR_Mantenimiento tasas'!$C$57,'Tabla Ahorro Futuro Reservas'!C475*'FR_Mantenimiento tasas'!$D$57/360,""))),5)</f>
        <v>0</v>
      </c>
      <c r="E475" s="121">
        <f>ROUND(IF(C475&lt;='FR_Mantenimiento tasas'!$C$55,'Tabla Ahorro Futuro Reservas'!C475*'FR_Mantenimiento tasas'!$E$55/360,IF(C475&lt;='FR_Mantenimiento tasas'!$C$56,'Tabla Ahorro Futuro Reservas'!C475*'FR_Mantenimiento tasas'!$E$56/360,IF(C475&lt;='FR_Mantenimiento tasas'!$C$57,'Tabla Ahorro Futuro Reservas'!C475*'FR_Mantenimiento tasas'!$E$57/360,""))),5)</f>
        <v>0</v>
      </c>
    </row>
    <row r="476" spans="1:5">
      <c r="A476" s="123">
        <f t="shared" si="14"/>
        <v>474</v>
      </c>
      <c r="B476" s="122">
        <f>IF(DAY(A476)=DAY('F-Ahorro Futuro Reservas'!$H$10),'F-Ahorro Futuro Reservas'!$H$9,0)</f>
        <v>0</v>
      </c>
      <c r="C476" s="122">
        <f t="shared" si="15"/>
        <v>0</v>
      </c>
      <c r="D476" s="121">
        <f>ROUND(IF(C476&lt;='FR_Mantenimiento tasas'!$C$55,'Tabla Ahorro Futuro Reservas'!C476*'FR_Mantenimiento tasas'!$D$55/360,IF(C476&lt;='FR_Mantenimiento tasas'!$C$56,'Tabla Ahorro Futuro Reservas'!C476*'FR_Mantenimiento tasas'!$D$56/360,IF(C476&lt;='FR_Mantenimiento tasas'!$C$57,'Tabla Ahorro Futuro Reservas'!C476*'FR_Mantenimiento tasas'!$D$57/360,""))),5)</f>
        <v>0</v>
      </c>
      <c r="E476" s="121">
        <f>ROUND(IF(C476&lt;='FR_Mantenimiento tasas'!$C$55,'Tabla Ahorro Futuro Reservas'!C476*'FR_Mantenimiento tasas'!$E$55/360,IF(C476&lt;='FR_Mantenimiento tasas'!$C$56,'Tabla Ahorro Futuro Reservas'!C476*'FR_Mantenimiento tasas'!$E$56/360,IF(C476&lt;='FR_Mantenimiento tasas'!$C$57,'Tabla Ahorro Futuro Reservas'!C476*'FR_Mantenimiento tasas'!$E$57/360,""))),5)</f>
        <v>0</v>
      </c>
    </row>
    <row r="477" spans="1:5">
      <c r="A477" s="123">
        <f t="shared" si="14"/>
        <v>475</v>
      </c>
      <c r="B477" s="122">
        <f>IF(DAY(A477)=DAY('F-Ahorro Futuro Reservas'!$H$10),'F-Ahorro Futuro Reservas'!$H$9,0)</f>
        <v>0</v>
      </c>
      <c r="C477" s="122">
        <f t="shared" si="15"/>
        <v>0</v>
      </c>
      <c r="D477" s="121">
        <f>ROUND(IF(C477&lt;='FR_Mantenimiento tasas'!$C$55,'Tabla Ahorro Futuro Reservas'!C477*'FR_Mantenimiento tasas'!$D$55/360,IF(C477&lt;='FR_Mantenimiento tasas'!$C$56,'Tabla Ahorro Futuro Reservas'!C477*'FR_Mantenimiento tasas'!$D$56/360,IF(C477&lt;='FR_Mantenimiento tasas'!$C$57,'Tabla Ahorro Futuro Reservas'!C477*'FR_Mantenimiento tasas'!$D$57/360,""))),5)</f>
        <v>0</v>
      </c>
      <c r="E477" s="121">
        <f>ROUND(IF(C477&lt;='FR_Mantenimiento tasas'!$C$55,'Tabla Ahorro Futuro Reservas'!C477*'FR_Mantenimiento tasas'!$E$55/360,IF(C477&lt;='FR_Mantenimiento tasas'!$C$56,'Tabla Ahorro Futuro Reservas'!C477*'FR_Mantenimiento tasas'!$E$56/360,IF(C477&lt;='FR_Mantenimiento tasas'!$C$57,'Tabla Ahorro Futuro Reservas'!C477*'FR_Mantenimiento tasas'!$E$57/360,""))),5)</f>
        <v>0</v>
      </c>
    </row>
    <row r="478" spans="1:5">
      <c r="A478" s="123">
        <f t="shared" si="14"/>
        <v>476</v>
      </c>
      <c r="B478" s="122">
        <f>IF(DAY(A478)=DAY('F-Ahorro Futuro Reservas'!$H$10),'F-Ahorro Futuro Reservas'!$H$9,0)</f>
        <v>0</v>
      </c>
      <c r="C478" s="122">
        <f t="shared" si="15"/>
        <v>0</v>
      </c>
      <c r="D478" s="121">
        <f>ROUND(IF(C478&lt;='FR_Mantenimiento tasas'!$C$55,'Tabla Ahorro Futuro Reservas'!C478*'FR_Mantenimiento tasas'!$D$55/360,IF(C478&lt;='FR_Mantenimiento tasas'!$C$56,'Tabla Ahorro Futuro Reservas'!C478*'FR_Mantenimiento tasas'!$D$56/360,IF(C478&lt;='FR_Mantenimiento tasas'!$C$57,'Tabla Ahorro Futuro Reservas'!C478*'FR_Mantenimiento tasas'!$D$57/360,""))),5)</f>
        <v>0</v>
      </c>
      <c r="E478" s="121">
        <f>ROUND(IF(C478&lt;='FR_Mantenimiento tasas'!$C$55,'Tabla Ahorro Futuro Reservas'!C478*'FR_Mantenimiento tasas'!$E$55/360,IF(C478&lt;='FR_Mantenimiento tasas'!$C$56,'Tabla Ahorro Futuro Reservas'!C478*'FR_Mantenimiento tasas'!$E$56/360,IF(C478&lt;='FR_Mantenimiento tasas'!$C$57,'Tabla Ahorro Futuro Reservas'!C478*'FR_Mantenimiento tasas'!$E$57/360,""))),5)</f>
        <v>0</v>
      </c>
    </row>
    <row r="479" spans="1:5">
      <c r="A479" s="123">
        <f t="shared" si="14"/>
        <v>477</v>
      </c>
      <c r="B479" s="122">
        <f>IF(DAY(A479)=DAY('F-Ahorro Futuro Reservas'!$H$10),'F-Ahorro Futuro Reservas'!$H$9,0)</f>
        <v>0</v>
      </c>
      <c r="C479" s="122">
        <f t="shared" si="15"/>
        <v>0</v>
      </c>
      <c r="D479" s="121">
        <f>ROUND(IF(C479&lt;='FR_Mantenimiento tasas'!$C$55,'Tabla Ahorro Futuro Reservas'!C479*'FR_Mantenimiento tasas'!$D$55/360,IF(C479&lt;='FR_Mantenimiento tasas'!$C$56,'Tabla Ahorro Futuro Reservas'!C479*'FR_Mantenimiento tasas'!$D$56/360,IF(C479&lt;='FR_Mantenimiento tasas'!$C$57,'Tabla Ahorro Futuro Reservas'!C479*'FR_Mantenimiento tasas'!$D$57/360,""))),5)</f>
        <v>0</v>
      </c>
      <c r="E479" s="121">
        <f>ROUND(IF(C479&lt;='FR_Mantenimiento tasas'!$C$55,'Tabla Ahorro Futuro Reservas'!C479*'FR_Mantenimiento tasas'!$E$55/360,IF(C479&lt;='FR_Mantenimiento tasas'!$C$56,'Tabla Ahorro Futuro Reservas'!C479*'FR_Mantenimiento tasas'!$E$56/360,IF(C479&lt;='FR_Mantenimiento tasas'!$C$57,'Tabla Ahorro Futuro Reservas'!C479*'FR_Mantenimiento tasas'!$E$57/360,""))),5)</f>
        <v>0</v>
      </c>
    </row>
    <row r="480" spans="1:5">
      <c r="A480" s="123">
        <f t="shared" si="14"/>
        <v>478</v>
      </c>
      <c r="B480" s="122">
        <f>IF(DAY(A480)=DAY('F-Ahorro Futuro Reservas'!$H$10),'F-Ahorro Futuro Reservas'!$H$9,0)</f>
        <v>0</v>
      </c>
      <c r="C480" s="122">
        <f t="shared" si="15"/>
        <v>0</v>
      </c>
      <c r="D480" s="121">
        <f>ROUND(IF(C480&lt;='FR_Mantenimiento tasas'!$C$55,'Tabla Ahorro Futuro Reservas'!C480*'FR_Mantenimiento tasas'!$D$55/360,IF(C480&lt;='FR_Mantenimiento tasas'!$C$56,'Tabla Ahorro Futuro Reservas'!C480*'FR_Mantenimiento tasas'!$D$56/360,IF(C480&lt;='FR_Mantenimiento tasas'!$C$57,'Tabla Ahorro Futuro Reservas'!C480*'FR_Mantenimiento tasas'!$D$57/360,""))),5)</f>
        <v>0</v>
      </c>
      <c r="E480" s="121">
        <f>ROUND(IF(C480&lt;='FR_Mantenimiento tasas'!$C$55,'Tabla Ahorro Futuro Reservas'!C480*'FR_Mantenimiento tasas'!$E$55/360,IF(C480&lt;='FR_Mantenimiento tasas'!$C$56,'Tabla Ahorro Futuro Reservas'!C480*'FR_Mantenimiento tasas'!$E$56/360,IF(C480&lt;='FR_Mantenimiento tasas'!$C$57,'Tabla Ahorro Futuro Reservas'!C480*'FR_Mantenimiento tasas'!$E$57/360,""))),5)</f>
        <v>0</v>
      </c>
    </row>
    <row r="481" spans="1:5">
      <c r="A481" s="123">
        <f t="shared" si="14"/>
        <v>479</v>
      </c>
      <c r="B481" s="122">
        <f>IF(DAY(A481)=DAY('F-Ahorro Futuro Reservas'!$H$10),'F-Ahorro Futuro Reservas'!$H$9,0)</f>
        <v>0</v>
      </c>
      <c r="C481" s="122">
        <f t="shared" si="15"/>
        <v>0</v>
      </c>
      <c r="D481" s="121">
        <f>ROUND(IF(C481&lt;='FR_Mantenimiento tasas'!$C$55,'Tabla Ahorro Futuro Reservas'!C481*'FR_Mantenimiento tasas'!$D$55/360,IF(C481&lt;='FR_Mantenimiento tasas'!$C$56,'Tabla Ahorro Futuro Reservas'!C481*'FR_Mantenimiento tasas'!$D$56/360,IF(C481&lt;='FR_Mantenimiento tasas'!$C$57,'Tabla Ahorro Futuro Reservas'!C481*'FR_Mantenimiento tasas'!$D$57/360,""))),5)</f>
        <v>0</v>
      </c>
      <c r="E481" s="121">
        <f>ROUND(IF(C481&lt;='FR_Mantenimiento tasas'!$C$55,'Tabla Ahorro Futuro Reservas'!C481*'FR_Mantenimiento tasas'!$E$55/360,IF(C481&lt;='FR_Mantenimiento tasas'!$C$56,'Tabla Ahorro Futuro Reservas'!C481*'FR_Mantenimiento tasas'!$E$56/360,IF(C481&lt;='FR_Mantenimiento tasas'!$C$57,'Tabla Ahorro Futuro Reservas'!C481*'FR_Mantenimiento tasas'!$E$57/360,""))),5)</f>
        <v>0</v>
      </c>
    </row>
    <row r="482" spans="1:5">
      <c r="A482" s="123">
        <f t="shared" si="14"/>
        <v>480</v>
      </c>
      <c r="B482" s="122">
        <f>IF(DAY(A482)=DAY('F-Ahorro Futuro Reservas'!$H$10),'F-Ahorro Futuro Reservas'!$H$9,0)</f>
        <v>0</v>
      </c>
      <c r="C482" s="122">
        <f t="shared" si="15"/>
        <v>0</v>
      </c>
      <c r="D482" s="121">
        <f>ROUND(IF(C482&lt;='FR_Mantenimiento tasas'!$C$55,'Tabla Ahorro Futuro Reservas'!C482*'FR_Mantenimiento tasas'!$D$55/360,IF(C482&lt;='FR_Mantenimiento tasas'!$C$56,'Tabla Ahorro Futuro Reservas'!C482*'FR_Mantenimiento tasas'!$D$56/360,IF(C482&lt;='FR_Mantenimiento tasas'!$C$57,'Tabla Ahorro Futuro Reservas'!C482*'FR_Mantenimiento tasas'!$D$57/360,""))),5)</f>
        <v>0</v>
      </c>
      <c r="E482" s="121">
        <f>ROUND(IF(C482&lt;='FR_Mantenimiento tasas'!$C$55,'Tabla Ahorro Futuro Reservas'!C482*'FR_Mantenimiento tasas'!$E$55/360,IF(C482&lt;='FR_Mantenimiento tasas'!$C$56,'Tabla Ahorro Futuro Reservas'!C482*'FR_Mantenimiento tasas'!$E$56/360,IF(C482&lt;='FR_Mantenimiento tasas'!$C$57,'Tabla Ahorro Futuro Reservas'!C482*'FR_Mantenimiento tasas'!$E$57/360,""))),5)</f>
        <v>0</v>
      </c>
    </row>
    <row r="483" spans="1:5">
      <c r="A483" s="123">
        <f t="shared" si="14"/>
        <v>481</v>
      </c>
      <c r="B483" s="122">
        <f>IF(DAY(A483)=DAY('F-Ahorro Futuro Reservas'!$H$10),'F-Ahorro Futuro Reservas'!$H$9,0)</f>
        <v>0</v>
      </c>
      <c r="C483" s="122">
        <f t="shared" si="15"/>
        <v>0</v>
      </c>
      <c r="D483" s="121">
        <f>ROUND(IF(C483&lt;='FR_Mantenimiento tasas'!$C$55,'Tabla Ahorro Futuro Reservas'!C483*'FR_Mantenimiento tasas'!$D$55/360,IF(C483&lt;='FR_Mantenimiento tasas'!$C$56,'Tabla Ahorro Futuro Reservas'!C483*'FR_Mantenimiento tasas'!$D$56/360,IF(C483&lt;='FR_Mantenimiento tasas'!$C$57,'Tabla Ahorro Futuro Reservas'!C483*'FR_Mantenimiento tasas'!$D$57/360,""))),5)</f>
        <v>0</v>
      </c>
      <c r="E483" s="121">
        <f>ROUND(IF(C483&lt;='FR_Mantenimiento tasas'!$C$55,'Tabla Ahorro Futuro Reservas'!C483*'FR_Mantenimiento tasas'!$E$55/360,IF(C483&lt;='FR_Mantenimiento tasas'!$C$56,'Tabla Ahorro Futuro Reservas'!C483*'FR_Mantenimiento tasas'!$E$56/360,IF(C483&lt;='FR_Mantenimiento tasas'!$C$57,'Tabla Ahorro Futuro Reservas'!C483*'FR_Mantenimiento tasas'!$E$57/360,""))),5)</f>
        <v>0</v>
      </c>
    </row>
    <row r="484" spans="1:5">
      <c r="A484" s="123">
        <f t="shared" si="14"/>
        <v>482</v>
      </c>
      <c r="B484" s="122">
        <f>IF(DAY(A484)=DAY('F-Ahorro Futuro Reservas'!$H$10),'F-Ahorro Futuro Reservas'!$H$9,0)</f>
        <v>0</v>
      </c>
      <c r="C484" s="122">
        <f t="shared" si="15"/>
        <v>0</v>
      </c>
      <c r="D484" s="121">
        <f>ROUND(IF(C484&lt;='FR_Mantenimiento tasas'!$C$55,'Tabla Ahorro Futuro Reservas'!C484*'FR_Mantenimiento tasas'!$D$55/360,IF(C484&lt;='FR_Mantenimiento tasas'!$C$56,'Tabla Ahorro Futuro Reservas'!C484*'FR_Mantenimiento tasas'!$D$56/360,IF(C484&lt;='FR_Mantenimiento tasas'!$C$57,'Tabla Ahorro Futuro Reservas'!C484*'FR_Mantenimiento tasas'!$D$57/360,""))),5)</f>
        <v>0</v>
      </c>
      <c r="E484" s="121">
        <f>ROUND(IF(C484&lt;='FR_Mantenimiento tasas'!$C$55,'Tabla Ahorro Futuro Reservas'!C484*'FR_Mantenimiento tasas'!$E$55/360,IF(C484&lt;='FR_Mantenimiento tasas'!$C$56,'Tabla Ahorro Futuro Reservas'!C484*'FR_Mantenimiento tasas'!$E$56/360,IF(C484&lt;='FR_Mantenimiento tasas'!$C$57,'Tabla Ahorro Futuro Reservas'!C484*'FR_Mantenimiento tasas'!$E$57/360,""))),5)</f>
        <v>0</v>
      </c>
    </row>
    <row r="485" spans="1:5">
      <c r="A485" s="123">
        <f t="shared" si="14"/>
        <v>483</v>
      </c>
      <c r="B485" s="122">
        <f>IF(DAY(A485)=DAY('F-Ahorro Futuro Reservas'!$H$10),'F-Ahorro Futuro Reservas'!$H$9,0)</f>
        <v>0</v>
      </c>
      <c r="C485" s="122">
        <f t="shared" si="15"/>
        <v>0</v>
      </c>
      <c r="D485" s="121">
        <f>ROUND(IF(C485&lt;='FR_Mantenimiento tasas'!$C$55,'Tabla Ahorro Futuro Reservas'!C485*'FR_Mantenimiento tasas'!$D$55/360,IF(C485&lt;='FR_Mantenimiento tasas'!$C$56,'Tabla Ahorro Futuro Reservas'!C485*'FR_Mantenimiento tasas'!$D$56/360,IF(C485&lt;='FR_Mantenimiento tasas'!$C$57,'Tabla Ahorro Futuro Reservas'!C485*'FR_Mantenimiento tasas'!$D$57/360,""))),5)</f>
        <v>0</v>
      </c>
      <c r="E485" s="121">
        <f>ROUND(IF(C485&lt;='FR_Mantenimiento tasas'!$C$55,'Tabla Ahorro Futuro Reservas'!C485*'FR_Mantenimiento tasas'!$E$55/360,IF(C485&lt;='FR_Mantenimiento tasas'!$C$56,'Tabla Ahorro Futuro Reservas'!C485*'FR_Mantenimiento tasas'!$E$56/360,IF(C485&lt;='FR_Mantenimiento tasas'!$C$57,'Tabla Ahorro Futuro Reservas'!C485*'FR_Mantenimiento tasas'!$E$57/360,""))),5)</f>
        <v>0</v>
      </c>
    </row>
    <row r="486" spans="1:5">
      <c r="A486" s="123">
        <f t="shared" si="14"/>
        <v>484</v>
      </c>
      <c r="B486" s="122">
        <f>IF(DAY(A486)=DAY('F-Ahorro Futuro Reservas'!$H$10),'F-Ahorro Futuro Reservas'!$H$9,0)</f>
        <v>0</v>
      </c>
      <c r="C486" s="122">
        <f t="shared" si="15"/>
        <v>0</v>
      </c>
      <c r="D486" s="121">
        <f>ROUND(IF(C486&lt;='FR_Mantenimiento tasas'!$C$55,'Tabla Ahorro Futuro Reservas'!C486*'FR_Mantenimiento tasas'!$D$55/360,IF(C486&lt;='FR_Mantenimiento tasas'!$C$56,'Tabla Ahorro Futuro Reservas'!C486*'FR_Mantenimiento tasas'!$D$56/360,IF(C486&lt;='FR_Mantenimiento tasas'!$C$57,'Tabla Ahorro Futuro Reservas'!C486*'FR_Mantenimiento tasas'!$D$57/360,""))),5)</f>
        <v>0</v>
      </c>
      <c r="E486" s="121">
        <f>ROUND(IF(C486&lt;='FR_Mantenimiento tasas'!$C$55,'Tabla Ahorro Futuro Reservas'!C486*'FR_Mantenimiento tasas'!$E$55/360,IF(C486&lt;='FR_Mantenimiento tasas'!$C$56,'Tabla Ahorro Futuro Reservas'!C486*'FR_Mantenimiento tasas'!$E$56/360,IF(C486&lt;='FR_Mantenimiento tasas'!$C$57,'Tabla Ahorro Futuro Reservas'!C486*'FR_Mantenimiento tasas'!$E$57/360,""))),5)</f>
        <v>0</v>
      </c>
    </row>
    <row r="487" spans="1:5">
      <c r="A487" s="123">
        <f t="shared" si="14"/>
        <v>485</v>
      </c>
      <c r="B487" s="122">
        <f>IF(DAY(A487)=DAY('F-Ahorro Futuro Reservas'!$H$10),'F-Ahorro Futuro Reservas'!$H$9,0)</f>
        <v>0</v>
      </c>
      <c r="C487" s="122">
        <f t="shared" si="15"/>
        <v>0</v>
      </c>
      <c r="D487" s="121">
        <f>ROUND(IF(C487&lt;='FR_Mantenimiento tasas'!$C$55,'Tabla Ahorro Futuro Reservas'!C487*'FR_Mantenimiento tasas'!$D$55/360,IF(C487&lt;='FR_Mantenimiento tasas'!$C$56,'Tabla Ahorro Futuro Reservas'!C487*'FR_Mantenimiento tasas'!$D$56/360,IF(C487&lt;='FR_Mantenimiento tasas'!$C$57,'Tabla Ahorro Futuro Reservas'!C487*'FR_Mantenimiento tasas'!$D$57/360,""))),5)</f>
        <v>0</v>
      </c>
      <c r="E487" s="121">
        <f>ROUND(IF(C487&lt;='FR_Mantenimiento tasas'!$C$55,'Tabla Ahorro Futuro Reservas'!C487*'FR_Mantenimiento tasas'!$E$55/360,IF(C487&lt;='FR_Mantenimiento tasas'!$C$56,'Tabla Ahorro Futuro Reservas'!C487*'FR_Mantenimiento tasas'!$E$56/360,IF(C487&lt;='FR_Mantenimiento tasas'!$C$57,'Tabla Ahorro Futuro Reservas'!C487*'FR_Mantenimiento tasas'!$E$57/360,""))),5)</f>
        <v>0</v>
      </c>
    </row>
    <row r="488" spans="1:5">
      <c r="A488" s="123">
        <f t="shared" si="14"/>
        <v>486</v>
      </c>
      <c r="B488" s="122">
        <f>IF(DAY(A488)=DAY('F-Ahorro Futuro Reservas'!$H$10),'F-Ahorro Futuro Reservas'!$H$9,0)</f>
        <v>0</v>
      </c>
      <c r="C488" s="122">
        <f t="shared" si="15"/>
        <v>0</v>
      </c>
      <c r="D488" s="121">
        <f>ROUND(IF(C488&lt;='FR_Mantenimiento tasas'!$C$55,'Tabla Ahorro Futuro Reservas'!C488*'FR_Mantenimiento tasas'!$D$55/360,IF(C488&lt;='FR_Mantenimiento tasas'!$C$56,'Tabla Ahorro Futuro Reservas'!C488*'FR_Mantenimiento tasas'!$D$56/360,IF(C488&lt;='FR_Mantenimiento tasas'!$C$57,'Tabla Ahorro Futuro Reservas'!C488*'FR_Mantenimiento tasas'!$D$57/360,""))),5)</f>
        <v>0</v>
      </c>
      <c r="E488" s="121">
        <f>ROUND(IF(C488&lt;='FR_Mantenimiento tasas'!$C$55,'Tabla Ahorro Futuro Reservas'!C488*'FR_Mantenimiento tasas'!$E$55/360,IF(C488&lt;='FR_Mantenimiento tasas'!$C$56,'Tabla Ahorro Futuro Reservas'!C488*'FR_Mantenimiento tasas'!$E$56/360,IF(C488&lt;='FR_Mantenimiento tasas'!$C$57,'Tabla Ahorro Futuro Reservas'!C488*'FR_Mantenimiento tasas'!$E$57/360,""))),5)</f>
        <v>0</v>
      </c>
    </row>
    <row r="489" spans="1:5">
      <c r="A489" s="123">
        <f t="shared" si="14"/>
        <v>487</v>
      </c>
      <c r="B489" s="122">
        <f>IF(DAY(A489)=DAY('F-Ahorro Futuro Reservas'!$H$10),'F-Ahorro Futuro Reservas'!$H$9,0)</f>
        <v>0</v>
      </c>
      <c r="C489" s="122">
        <f t="shared" si="15"/>
        <v>0</v>
      </c>
      <c r="D489" s="121">
        <f>ROUND(IF(C489&lt;='FR_Mantenimiento tasas'!$C$55,'Tabla Ahorro Futuro Reservas'!C489*'FR_Mantenimiento tasas'!$D$55/360,IF(C489&lt;='FR_Mantenimiento tasas'!$C$56,'Tabla Ahorro Futuro Reservas'!C489*'FR_Mantenimiento tasas'!$D$56/360,IF(C489&lt;='FR_Mantenimiento tasas'!$C$57,'Tabla Ahorro Futuro Reservas'!C489*'FR_Mantenimiento tasas'!$D$57/360,""))),5)</f>
        <v>0</v>
      </c>
      <c r="E489" s="121">
        <f>ROUND(IF(C489&lt;='FR_Mantenimiento tasas'!$C$55,'Tabla Ahorro Futuro Reservas'!C489*'FR_Mantenimiento tasas'!$E$55/360,IF(C489&lt;='FR_Mantenimiento tasas'!$C$56,'Tabla Ahorro Futuro Reservas'!C489*'FR_Mantenimiento tasas'!$E$56/360,IF(C489&lt;='FR_Mantenimiento tasas'!$C$57,'Tabla Ahorro Futuro Reservas'!C489*'FR_Mantenimiento tasas'!$E$57/360,""))),5)</f>
        <v>0</v>
      </c>
    </row>
    <row r="490" spans="1:5">
      <c r="A490" s="123">
        <f t="shared" si="14"/>
        <v>488</v>
      </c>
      <c r="B490" s="122">
        <f>IF(DAY(A490)=DAY('F-Ahorro Futuro Reservas'!$H$10),'F-Ahorro Futuro Reservas'!$H$9,0)</f>
        <v>0</v>
      </c>
      <c r="C490" s="122">
        <f t="shared" si="15"/>
        <v>0</v>
      </c>
      <c r="D490" s="121">
        <f>ROUND(IF(C490&lt;='FR_Mantenimiento tasas'!$C$55,'Tabla Ahorro Futuro Reservas'!C490*'FR_Mantenimiento tasas'!$D$55/360,IF(C490&lt;='FR_Mantenimiento tasas'!$C$56,'Tabla Ahorro Futuro Reservas'!C490*'FR_Mantenimiento tasas'!$D$56/360,IF(C490&lt;='FR_Mantenimiento tasas'!$C$57,'Tabla Ahorro Futuro Reservas'!C490*'FR_Mantenimiento tasas'!$D$57/360,""))),5)</f>
        <v>0</v>
      </c>
      <c r="E490" s="121">
        <f>ROUND(IF(C490&lt;='FR_Mantenimiento tasas'!$C$55,'Tabla Ahorro Futuro Reservas'!C490*'FR_Mantenimiento tasas'!$E$55/360,IF(C490&lt;='FR_Mantenimiento tasas'!$C$56,'Tabla Ahorro Futuro Reservas'!C490*'FR_Mantenimiento tasas'!$E$56/360,IF(C490&lt;='FR_Mantenimiento tasas'!$C$57,'Tabla Ahorro Futuro Reservas'!C490*'FR_Mantenimiento tasas'!$E$57/360,""))),5)</f>
        <v>0</v>
      </c>
    </row>
    <row r="491" spans="1:5">
      <c r="A491" s="123">
        <f t="shared" si="14"/>
        <v>489</v>
      </c>
      <c r="B491" s="122">
        <f>IF(DAY(A491)=DAY('F-Ahorro Futuro Reservas'!$H$10),'F-Ahorro Futuro Reservas'!$H$9,0)</f>
        <v>0</v>
      </c>
      <c r="C491" s="122">
        <f t="shared" si="15"/>
        <v>0</v>
      </c>
      <c r="D491" s="121">
        <f>ROUND(IF(C491&lt;='FR_Mantenimiento tasas'!$C$55,'Tabla Ahorro Futuro Reservas'!C491*'FR_Mantenimiento tasas'!$D$55/360,IF(C491&lt;='FR_Mantenimiento tasas'!$C$56,'Tabla Ahorro Futuro Reservas'!C491*'FR_Mantenimiento tasas'!$D$56/360,IF(C491&lt;='FR_Mantenimiento tasas'!$C$57,'Tabla Ahorro Futuro Reservas'!C491*'FR_Mantenimiento tasas'!$D$57/360,""))),5)</f>
        <v>0</v>
      </c>
      <c r="E491" s="121">
        <f>ROUND(IF(C491&lt;='FR_Mantenimiento tasas'!$C$55,'Tabla Ahorro Futuro Reservas'!C491*'FR_Mantenimiento tasas'!$E$55/360,IF(C491&lt;='FR_Mantenimiento tasas'!$C$56,'Tabla Ahorro Futuro Reservas'!C491*'FR_Mantenimiento tasas'!$E$56/360,IF(C491&lt;='FR_Mantenimiento tasas'!$C$57,'Tabla Ahorro Futuro Reservas'!C491*'FR_Mantenimiento tasas'!$E$57/360,""))),5)</f>
        <v>0</v>
      </c>
    </row>
    <row r="492" spans="1:5">
      <c r="A492" s="123">
        <f t="shared" si="14"/>
        <v>490</v>
      </c>
      <c r="B492" s="122">
        <f>IF(DAY(A492)=DAY('F-Ahorro Futuro Reservas'!$H$10),'F-Ahorro Futuro Reservas'!$H$9,0)</f>
        <v>0</v>
      </c>
      <c r="C492" s="122">
        <f t="shared" si="15"/>
        <v>0</v>
      </c>
      <c r="D492" s="121">
        <f>ROUND(IF(C492&lt;='FR_Mantenimiento tasas'!$C$55,'Tabla Ahorro Futuro Reservas'!C492*'FR_Mantenimiento tasas'!$D$55/360,IF(C492&lt;='FR_Mantenimiento tasas'!$C$56,'Tabla Ahorro Futuro Reservas'!C492*'FR_Mantenimiento tasas'!$D$56/360,IF(C492&lt;='FR_Mantenimiento tasas'!$C$57,'Tabla Ahorro Futuro Reservas'!C492*'FR_Mantenimiento tasas'!$D$57/360,""))),5)</f>
        <v>0</v>
      </c>
      <c r="E492" s="121">
        <f>ROUND(IF(C492&lt;='FR_Mantenimiento tasas'!$C$55,'Tabla Ahorro Futuro Reservas'!C492*'FR_Mantenimiento tasas'!$E$55/360,IF(C492&lt;='FR_Mantenimiento tasas'!$C$56,'Tabla Ahorro Futuro Reservas'!C492*'FR_Mantenimiento tasas'!$E$56/360,IF(C492&lt;='FR_Mantenimiento tasas'!$C$57,'Tabla Ahorro Futuro Reservas'!C492*'FR_Mantenimiento tasas'!$E$57/360,""))),5)</f>
        <v>0</v>
      </c>
    </row>
    <row r="493" spans="1:5">
      <c r="A493" s="123">
        <f t="shared" si="14"/>
        <v>491</v>
      </c>
      <c r="B493" s="122">
        <f>IF(DAY(A493)=DAY('F-Ahorro Futuro Reservas'!$H$10),'F-Ahorro Futuro Reservas'!$H$9,0)</f>
        <v>0</v>
      </c>
      <c r="C493" s="122">
        <f t="shared" si="15"/>
        <v>0</v>
      </c>
      <c r="D493" s="121">
        <f>ROUND(IF(C493&lt;='FR_Mantenimiento tasas'!$C$55,'Tabla Ahorro Futuro Reservas'!C493*'FR_Mantenimiento tasas'!$D$55/360,IF(C493&lt;='FR_Mantenimiento tasas'!$C$56,'Tabla Ahorro Futuro Reservas'!C493*'FR_Mantenimiento tasas'!$D$56/360,IF(C493&lt;='FR_Mantenimiento tasas'!$C$57,'Tabla Ahorro Futuro Reservas'!C493*'FR_Mantenimiento tasas'!$D$57/360,""))),5)</f>
        <v>0</v>
      </c>
      <c r="E493" s="121">
        <f>ROUND(IF(C493&lt;='FR_Mantenimiento tasas'!$C$55,'Tabla Ahorro Futuro Reservas'!C493*'FR_Mantenimiento tasas'!$E$55/360,IF(C493&lt;='FR_Mantenimiento tasas'!$C$56,'Tabla Ahorro Futuro Reservas'!C493*'FR_Mantenimiento tasas'!$E$56/360,IF(C493&lt;='FR_Mantenimiento tasas'!$C$57,'Tabla Ahorro Futuro Reservas'!C493*'FR_Mantenimiento tasas'!$E$57/360,""))),5)</f>
        <v>0</v>
      </c>
    </row>
    <row r="494" spans="1:5">
      <c r="A494" s="123">
        <f t="shared" si="14"/>
        <v>492</v>
      </c>
      <c r="B494" s="122">
        <f>IF(DAY(A494)=DAY('F-Ahorro Futuro Reservas'!$H$10),'F-Ahorro Futuro Reservas'!$H$9,0)</f>
        <v>0</v>
      </c>
      <c r="C494" s="122">
        <f t="shared" si="15"/>
        <v>0</v>
      </c>
      <c r="D494" s="121">
        <f>ROUND(IF(C494&lt;='FR_Mantenimiento tasas'!$C$55,'Tabla Ahorro Futuro Reservas'!C494*'FR_Mantenimiento tasas'!$D$55/360,IF(C494&lt;='FR_Mantenimiento tasas'!$C$56,'Tabla Ahorro Futuro Reservas'!C494*'FR_Mantenimiento tasas'!$D$56/360,IF(C494&lt;='FR_Mantenimiento tasas'!$C$57,'Tabla Ahorro Futuro Reservas'!C494*'FR_Mantenimiento tasas'!$D$57/360,""))),5)</f>
        <v>0</v>
      </c>
      <c r="E494" s="121">
        <f>ROUND(IF(C494&lt;='FR_Mantenimiento tasas'!$C$55,'Tabla Ahorro Futuro Reservas'!C494*'FR_Mantenimiento tasas'!$E$55/360,IF(C494&lt;='FR_Mantenimiento tasas'!$C$56,'Tabla Ahorro Futuro Reservas'!C494*'FR_Mantenimiento tasas'!$E$56/360,IF(C494&lt;='FR_Mantenimiento tasas'!$C$57,'Tabla Ahorro Futuro Reservas'!C494*'FR_Mantenimiento tasas'!$E$57/360,""))),5)</f>
        <v>0</v>
      </c>
    </row>
    <row r="495" spans="1:5">
      <c r="A495" s="123">
        <f t="shared" si="14"/>
        <v>493</v>
      </c>
      <c r="B495" s="122">
        <f>IF(DAY(A495)=DAY('F-Ahorro Futuro Reservas'!$H$10),'F-Ahorro Futuro Reservas'!$H$9,0)</f>
        <v>0</v>
      </c>
      <c r="C495" s="122">
        <f t="shared" si="15"/>
        <v>0</v>
      </c>
      <c r="D495" s="121">
        <f>ROUND(IF(C495&lt;='FR_Mantenimiento tasas'!$C$55,'Tabla Ahorro Futuro Reservas'!C495*'FR_Mantenimiento tasas'!$D$55/360,IF(C495&lt;='FR_Mantenimiento tasas'!$C$56,'Tabla Ahorro Futuro Reservas'!C495*'FR_Mantenimiento tasas'!$D$56/360,IF(C495&lt;='FR_Mantenimiento tasas'!$C$57,'Tabla Ahorro Futuro Reservas'!C495*'FR_Mantenimiento tasas'!$D$57/360,""))),5)</f>
        <v>0</v>
      </c>
      <c r="E495" s="121">
        <f>ROUND(IF(C495&lt;='FR_Mantenimiento tasas'!$C$55,'Tabla Ahorro Futuro Reservas'!C495*'FR_Mantenimiento tasas'!$E$55/360,IF(C495&lt;='FR_Mantenimiento tasas'!$C$56,'Tabla Ahorro Futuro Reservas'!C495*'FR_Mantenimiento tasas'!$E$56/360,IF(C495&lt;='FR_Mantenimiento tasas'!$C$57,'Tabla Ahorro Futuro Reservas'!C495*'FR_Mantenimiento tasas'!$E$57/360,""))),5)</f>
        <v>0</v>
      </c>
    </row>
    <row r="496" spans="1:5">
      <c r="A496" s="123">
        <f t="shared" si="14"/>
        <v>494</v>
      </c>
      <c r="B496" s="122">
        <f>IF(DAY(A496)=DAY('F-Ahorro Futuro Reservas'!$H$10),'F-Ahorro Futuro Reservas'!$H$9,0)</f>
        <v>0</v>
      </c>
      <c r="C496" s="122">
        <f t="shared" si="15"/>
        <v>0</v>
      </c>
      <c r="D496" s="121">
        <f>ROUND(IF(C496&lt;='FR_Mantenimiento tasas'!$C$55,'Tabla Ahorro Futuro Reservas'!C496*'FR_Mantenimiento tasas'!$D$55/360,IF(C496&lt;='FR_Mantenimiento tasas'!$C$56,'Tabla Ahorro Futuro Reservas'!C496*'FR_Mantenimiento tasas'!$D$56/360,IF(C496&lt;='FR_Mantenimiento tasas'!$C$57,'Tabla Ahorro Futuro Reservas'!C496*'FR_Mantenimiento tasas'!$D$57/360,""))),5)</f>
        <v>0</v>
      </c>
      <c r="E496" s="121">
        <f>ROUND(IF(C496&lt;='FR_Mantenimiento tasas'!$C$55,'Tabla Ahorro Futuro Reservas'!C496*'FR_Mantenimiento tasas'!$E$55/360,IF(C496&lt;='FR_Mantenimiento tasas'!$C$56,'Tabla Ahorro Futuro Reservas'!C496*'FR_Mantenimiento tasas'!$E$56/360,IF(C496&lt;='FR_Mantenimiento tasas'!$C$57,'Tabla Ahorro Futuro Reservas'!C496*'FR_Mantenimiento tasas'!$E$57/360,""))),5)</f>
        <v>0</v>
      </c>
    </row>
    <row r="497" spans="1:5">
      <c r="A497" s="123">
        <f t="shared" si="14"/>
        <v>495</v>
      </c>
      <c r="B497" s="122">
        <f>IF(DAY(A497)=DAY('F-Ahorro Futuro Reservas'!$H$10),'F-Ahorro Futuro Reservas'!$H$9,0)</f>
        <v>0</v>
      </c>
      <c r="C497" s="122">
        <f t="shared" si="15"/>
        <v>0</v>
      </c>
      <c r="D497" s="121">
        <f>ROUND(IF(C497&lt;='FR_Mantenimiento tasas'!$C$55,'Tabla Ahorro Futuro Reservas'!C497*'FR_Mantenimiento tasas'!$D$55/360,IF(C497&lt;='FR_Mantenimiento tasas'!$C$56,'Tabla Ahorro Futuro Reservas'!C497*'FR_Mantenimiento tasas'!$D$56/360,IF(C497&lt;='FR_Mantenimiento tasas'!$C$57,'Tabla Ahorro Futuro Reservas'!C497*'FR_Mantenimiento tasas'!$D$57/360,""))),5)</f>
        <v>0</v>
      </c>
      <c r="E497" s="121">
        <f>ROUND(IF(C497&lt;='FR_Mantenimiento tasas'!$C$55,'Tabla Ahorro Futuro Reservas'!C497*'FR_Mantenimiento tasas'!$E$55/360,IF(C497&lt;='FR_Mantenimiento tasas'!$C$56,'Tabla Ahorro Futuro Reservas'!C497*'FR_Mantenimiento tasas'!$E$56/360,IF(C497&lt;='FR_Mantenimiento tasas'!$C$57,'Tabla Ahorro Futuro Reservas'!C497*'FR_Mantenimiento tasas'!$E$57/360,""))),5)</f>
        <v>0</v>
      </c>
    </row>
    <row r="498" spans="1:5">
      <c r="A498" s="123">
        <f t="shared" si="14"/>
        <v>496</v>
      </c>
      <c r="B498" s="122">
        <f>IF(DAY(A498)=DAY('F-Ahorro Futuro Reservas'!$H$10),'F-Ahorro Futuro Reservas'!$H$9,0)</f>
        <v>0</v>
      </c>
      <c r="C498" s="122">
        <f t="shared" si="15"/>
        <v>0</v>
      </c>
      <c r="D498" s="121">
        <f>ROUND(IF(C498&lt;='FR_Mantenimiento tasas'!$C$55,'Tabla Ahorro Futuro Reservas'!C498*'FR_Mantenimiento tasas'!$D$55/360,IF(C498&lt;='FR_Mantenimiento tasas'!$C$56,'Tabla Ahorro Futuro Reservas'!C498*'FR_Mantenimiento tasas'!$D$56/360,IF(C498&lt;='FR_Mantenimiento tasas'!$C$57,'Tabla Ahorro Futuro Reservas'!C498*'FR_Mantenimiento tasas'!$D$57/360,""))),5)</f>
        <v>0</v>
      </c>
      <c r="E498" s="121">
        <f>ROUND(IF(C498&lt;='FR_Mantenimiento tasas'!$C$55,'Tabla Ahorro Futuro Reservas'!C498*'FR_Mantenimiento tasas'!$E$55/360,IF(C498&lt;='FR_Mantenimiento tasas'!$C$56,'Tabla Ahorro Futuro Reservas'!C498*'FR_Mantenimiento tasas'!$E$56/360,IF(C498&lt;='FR_Mantenimiento tasas'!$C$57,'Tabla Ahorro Futuro Reservas'!C498*'FR_Mantenimiento tasas'!$E$57/360,""))),5)</f>
        <v>0</v>
      </c>
    </row>
    <row r="499" spans="1:5">
      <c r="A499" s="123">
        <f t="shared" si="14"/>
        <v>497</v>
      </c>
      <c r="B499" s="122">
        <f>IF(DAY(A499)=DAY('F-Ahorro Futuro Reservas'!$H$10),'F-Ahorro Futuro Reservas'!$H$9,0)</f>
        <v>0</v>
      </c>
      <c r="C499" s="122">
        <f t="shared" si="15"/>
        <v>0</v>
      </c>
      <c r="D499" s="121">
        <f>ROUND(IF(C499&lt;='FR_Mantenimiento tasas'!$C$55,'Tabla Ahorro Futuro Reservas'!C499*'FR_Mantenimiento tasas'!$D$55/360,IF(C499&lt;='FR_Mantenimiento tasas'!$C$56,'Tabla Ahorro Futuro Reservas'!C499*'FR_Mantenimiento tasas'!$D$56/360,IF(C499&lt;='FR_Mantenimiento tasas'!$C$57,'Tabla Ahorro Futuro Reservas'!C499*'FR_Mantenimiento tasas'!$D$57/360,""))),5)</f>
        <v>0</v>
      </c>
      <c r="E499" s="121">
        <f>ROUND(IF(C499&lt;='FR_Mantenimiento tasas'!$C$55,'Tabla Ahorro Futuro Reservas'!C499*'FR_Mantenimiento tasas'!$E$55/360,IF(C499&lt;='FR_Mantenimiento tasas'!$C$56,'Tabla Ahorro Futuro Reservas'!C499*'FR_Mantenimiento tasas'!$E$56/360,IF(C499&lt;='FR_Mantenimiento tasas'!$C$57,'Tabla Ahorro Futuro Reservas'!C499*'FR_Mantenimiento tasas'!$E$57/360,""))),5)</f>
        <v>0</v>
      </c>
    </row>
    <row r="500" spans="1:5">
      <c r="A500" s="123">
        <f t="shared" si="14"/>
        <v>498</v>
      </c>
      <c r="B500" s="122">
        <f>IF(DAY(A500)=DAY('F-Ahorro Futuro Reservas'!$H$10),'F-Ahorro Futuro Reservas'!$H$9,0)</f>
        <v>0</v>
      </c>
      <c r="C500" s="122">
        <f t="shared" si="15"/>
        <v>0</v>
      </c>
      <c r="D500" s="121">
        <f>ROUND(IF(C500&lt;='FR_Mantenimiento tasas'!$C$55,'Tabla Ahorro Futuro Reservas'!C500*'FR_Mantenimiento tasas'!$D$55/360,IF(C500&lt;='FR_Mantenimiento tasas'!$C$56,'Tabla Ahorro Futuro Reservas'!C500*'FR_Mantenimiento tasas'!$D$56/360,IF(C500&lt;='FR_Mantenimiento tasas'!$C$57,'Tabla Ahorro Futuro Reservas'!C500*'FR_Mantenimiento tasas'!$D$57/360,""))),5)</f>
        <v>0</v>
      </c>
      <c r="E500" s="121">
        <f>ROUND(IF(C500&lt;='FR_Mantenimiento tasas'!$C$55,'Tabla Ahorro Futuro Reservas'!C500*'FR_Mantenimiento tasas'!$E$55/360,IF(C500&lt;='FR_Mantenimiento tasas'!$C$56,'Tabla Ahorro Futuro Reservas'!C500*'FR_Mantenimiento tasas'!$E$56/360,IF(C500&lt;='FR_Mantenimiento tasas'!$C$57,'Tabla Ahorro Futuro Reservas'!C500*'FR_Mantenimiento tasas'!$E$57/360,""))),5)</f>
        <v>0</v>
      </c>
    </row>
    <row r="501" spans="1:5">
      <c r="A501" s="123">
        <f t="shared" si="14"/>
        <v>499</v>
      </c>
      <c r="B501" s="122">
        <f>IF(DAY(A501)=DAY('F-Ahorro Futuro Reservas'!$H$10),'F-Ahorro Futuro Reservas'!$H$9,0)</f>
        <v>0</v>
      </c>
      <c r="C501" s="122">
        <f t="shared" si="15"/>
        <v>0</v>
      </c>
      <c r="D501" s="121">
        <f>ROUND(IF(C501&lt;='FR_Mantenimiento tasas'!$C$55,'Tabla Ahorro Futuro Reservas'!C501*'FR_Mantenimiento tasas'!$D$55/360,IF(C501&lt;='FR_Mantenimiento tasas'!$C$56,'Tabla Ahorro Futuro Reservas'!C501*'FR_Mantenimiento tasas'!$D$56/360,IF(C501&lt;='FR_Mantenimiento tasas'!$C$57,'Tabla Ahorro Futuro Reservas'!C501*'FR_Mantenimiento tasas'!$D$57/360,""))),5)</f>
        <v>0</v>
      </c>
      <c r="E501" s="121">
        <f>ROUND(IF(C501&lt;='FR_Mantenimiento tasas'!$C$55,'Tabla Ahorro Futuro Reservas'!C501*'FR_Mantenimiento tasas'!$E$55/360,IF(C501&lt;='FR_Mantenimiento tasas'!$C$56,'Tabla Ahorro Futuro Reservas'!C501*'FR_Mantenimiento tasas'!$E$56/360,IF(C501&lt;='FR_Mantenimiento tasas'!$C$57,'Tabla Ahorro Futuro Reservas'!C501*'FR_Mantenimiento tasas'!$E$57/360,""))),5)</f>
        <v>0</v>
      </c>
    </row>
    <row r="502" spans="1:5">
      <c r="A502" s="123">
        <f t="shared" si="14"/>
        <v>500</v>
      </c>
      <c r="B502" s="122">
        <f>IF(DAY(A502)=DAY('F-Ahorro Futuro Reservas'!$H$10),'F-Ahorro Futuro Reservas'!$H$9,0)</f>
        <v>0</v>
      </c>
      <c r="C502" s="122">
        <f t="shared" si="15"/>
        <v>0</v>
      </c>
      <c r="D502" s="121">
        <f>ROUND(IF(C502&lt;='FR_Mantenimiento tasas'!$C$55,'Tabla Ahorro Futuro Reservas'!C502*'FR_Mantenimiento tasas'!$D$55/360,IF(C502&lt;='FR_Mantenimiento tasas'!$C$56,'Tabla Ahorro Futuro Reservas'!C502*'FR_Mantenimiento tasas'!$D$56/360,IF(C502&lt;='FR_Mantenimiento tasas'!$C$57,'Tabla Ahorro Futuro Reservas'!C502*'FR_Mantenimiento tasas'!$D$57/360,""))),5)</f>
        <v>0</v>
      </c>
      <c r="E502" s="121">
        <f>ROUND(IF(C502&lt;='FR_Mantenimiento tasas'!$C$55,'Tabla Ahorro Futuro Reservas'!C502*'FR_Mantenimiento tasas'!$E$55/360,IF(C502&lt;='FR_Mantenimiento tasas'!$C$56,'Tabla Ahorro Futuro Reservas'!C502*'FR_Mantenimiento tasas'!$E$56/360,IF(C502&lt;='FR_Mantenimiento tasas'!$C$57,'Tabla Ahorro Futuro Reservas'!C502*'FR_Mantenimiento tasas'!$E$57/360,""))),5)</f>
        <v>0</v>
      </c>
    </row>
    <row r="503" spans="1:5">
      <c r="A503" s="123">
        <f t="shared" si="14"/>
        <v>501</v>
      </c>
      <c r="B503" s="122">
        <f>IF(DAY(A503)=DAY('F-Ahorro Futuro Reservas'!$H$10),'F-Ahorro Futuro Reservas'!$H$9,0)</f>
        <v>0</v>
      </c>
      <c r="C503" s="122">
        <f t="shared" si="15"/>
        <v>0</v>
      </c>
      <c r="D503" s="121">
        <f>ROUND(IF(C503&lt;='FR_Mantenimiento tasas'!$C$55,'Tabla Ahorro Futuro Reservas'!C503*'FR_Mantenimiento tasas'!$D$55/360,IF(C503&lt;='FR_Mantenimiento tasas'!$C$56,'Tabla Ahorro Futuro Reservas'!C503*'FR_Mantenimiento tasas'!$D$56/360,IF(C503&lt;='FR_Mantenimiento tasas'!$C$57,'Tabla Ahorro Futuro Reservas'!C503*'FR_Mantenimiento tasas'!$D$57/360,""))),5)</f>
        <v>0</v>
      </c>
      <c r="E503" s="121">
        <f>ROUND(IF(C503&lt;='FR_Mantenimiento tasas'!$C$55,'Tabla Ahorro Futuro Reservas'!C503*'FR_Mantenimiento tasas'!$E$55/360,IF(C503&lt;='FR_Mantenimiento tasas'!$C$56,'Tabla Ahorro Futuro Reservas'!C503*'FR_Mantenimiento tasas'!$E$56/360,IF(C503&lt;='FR_Mantenimiento tasas'!$C$57,'Tabla Ahorro Futuro Reservas'!C503*'FR_Mantenimiento tasas'!$E$57/360,""))),5)</f>
        <v>0</v>
      </c>
    </row>
    <row r="504" spans="1:5">
      <c r="A504" s="123">
        <f t="shared" si="14"/>
        <v>502</v>
      </c>
      <c r="B504" s="122">
        <f>IF(DAY(A504)=DAY('F-Ahorro Futuro Reservas'!$H$10),'F-Ahorro Futuro Reservas'!$H$9,0)</f>
        <v>0</v>
      </c>
      <c r="C504" s="122">
        <f t="shared" si="15"/>
        <v>0</v>
      </c>
      <c r="D504" s="121">
        <f>ROUND(IF(C504&lt;='FR_Mantenimiento tasas'!$C$55,'Tabla Ahorro Futuro Reservas'!C504*'FR_Mantenimiento tasas'!$D$55/360,IF(C504&lt;='FR_Mantenimiento tasas'!$C$56,'Tabla Ahorro Futuro Reservas'!C504*'FR_Mantenimiento tasas'!$D$56/360,IF(C504&lt;='FR_Mantenimiento tasas'!$C$57,'Tabla Ahorro Futuro Reservas'!C504*'FR_Mantenimiento tasas'!$D$57/360,""))),5)</f>
        <v>0</v>
      </c>
      <c r="E504" s="121">
        <f>ROUND(IF(C504&lt;='FR_Mantenimiento tasas'!$C$55,'Tabla Ahorro Futuro Reservas'!C504*'FR_Mantenimiento tasas'!$E$55/360,IF(C504&lt;='FR_Mantenimiento tasas'!$C$56,'Tabla Ahorro Futuro Reservas'!C504*'FR_Mantenimiento tasas'!$E$56/360,IF(C504&lt;='FR_Mantenimiento tasas'!$C$57,'Tabla Ahorro Futuro Reservas'!C504*'FR_Mantenimiento tasas'!$E$57/360,""))),5)</f>
        <v>0</v>
      </c>
    </row>
    <row r="505" spans="1:5">
      <c r="A505" s="123">
        <f t="shared" si="14"/>
        <v>503</v>
      </c>
      <c r="B505" s="122">
        <f>IF(DAY(A505)=DAY('F-Ahorro Futuro Reservas'!$H$10),'F-Ahorro Futuro Reservas'!$H$9,0)</f>
        <v>0</v>
      </c>
      <c r="C505" s="122">
        <f t="shared" si="15"/>
        <v>0</v>
      </c>
      <c r="D505" s="121">
        <f>ROUND(IF(C505&lt;='FR_Mantenimiento tasas'!$C$55,'Tabla Ahorro Futuro Reservas'!C505*'FR_Mantenimiento tasas'!$D$55/360,IF(C505&lt;='FR_Mantenimiento tasas'!$C$56,'Tabla Ahorro Futuro Reservas'!C505*'FR_Mantenimiento tasas'!$D$56/360,IF(C505&lt;='FR_Mantenimiento tasas'!$C$57,'Tabla Ahorro Futuro Reservas'!C505*'FR_Mantenimiento tasas'!$D$57/360,""))),5)</f>
        <v>0</v>
      </c>
      <c r="E505" s="121">
        <f>ROUND(IF(C505&lt;='FR_Mantenimiento tasas'!$C$55,'Tabla Ahorro Futuro Reservas'!C505*'FR_Mantenimiento tasas'!$E$55/360,IF(C505&lt;='FR_Mantenimiento tasas'!$C$56,'Tabla Ahorro Futuro Reservas'!C505*'FR_Mantenimiento tasas'!$E$56/360,IF(C505&lt;='FR_Mantenimiento tasas'!$C$57,'Tabla Ahorro Futuro Reservas'!C505*'FR_Mantenimiento tasas'!$E$57/360,""))),5)</f>
        <v>0</v>
      </c>
    </row>
    <row r="506" spans="1:5">
      <c r="A506" s="123">
        <f t="shared" si="14"/>
        <v>504</v>
      </c>
      <c r="B506" s="122">
        <f>IF(DAY(A506)=DAY('F-Ahorro Futuro Reservas'!$H$10),'F-Ahorro Futuro Reservas'!$H$9,0)</f>
        <v>0</v>
      </c>
      <c r="C506" s="122">
        <f t="shared" si="15"/>
        <v>0</v>
      </c>
      <c r="D506" s="121">
        <f>ROUND(IF(C506&lt;='FR_Mantenimiento tasas'!$C$55,'Tabla Ahorro Futuro Reservas'!C506*'FR_Mantenimiento tasas'!$D$55/360,IF(C506&lt;='FR_Mantenimiento tasas'!$C$56,'Tabla Ahorro Futuro Reservas'!C506*'FR_Mantenimiento tasas'!$D$56/360,IF(C506&lt;='FR_Mantenimiento tasas'!$C$57,'Tabla Ahorro Futuro Reservas'!C506*'FR_Mantenimiento tasas'!$D$57/360,""))),5)</f>
        <v>0</v>
      </c>
      <c r="E506" s="121">
        <f>ROUND(IF(C506&lt;='FR_Mantenimiento tasas'!$C$55,'Tabla Ahorro Futuro Reservas'!C506*'FR_Mantenimiento tasas'!$E$55/360,IF(C506&lt;='FR_Mantenimiento tasas'!$C$56,'Tabla Ahorro Futuro Reservas'!C506*'FR_Mantenimiento tasas'!$E$56/360,IF(C506&lt;='FR_Mantenimiento tasas'!$C$57,'Tabla Ahorro Futuro Reservas'!C506*'FR_Mantenimiento tasas'!$E$57/360,""))),5)</f>
        <v>0</v>
      </c>
    </row>
    <row r="507" spans="1:5">
      <c r="A507" s="123">
        <f t="shared" si="14"/>
        <v>505</v>
      </c>
      <c r="B507" s="122">
        <f>IF(DAY(A507)=DAY('F-Ahorro Futuro Reservas'!$H$10),'F-Ahorro Futuro Reservas'!$H$9,0)</f>
        <v>0</v>
      </c>
      <c r="C507" s="122">
        <f t="shared" si="15"/>
        <v>0</v>
      </c>
      <c r="D507" s="121">
        <f>ROUND(IF(C507&lt;='FR_Mantenimiento tasas'!$C$55,'Tabla Ahorro Futuro Reservas'!C507*'FR_Mantenimiento tasas'!$D$55/360,IF(C507&lt;='FR_Mantenimiento tasas'!$C$56,'Tabla Ahorro Futuro Reservas'!C507*'FR_Mantenimiento tasas'!$D$56/360,IF(C507&lt;='FR_Mantenimiento tasas'!$C$57,'Tabla Ahorro Futuro Reservas'!C507*'FR_Mantenimiento tasas'!$D$57/360,""))),5)</f>
        <v>0</v>
      </c>
      <c r="E507" s="121">
        <f>ROUND(IF(C507&lt;='FR_Mantenimiento tasas'!$C$55,'Tabla Ahorro Futuro Reservas'!C507*'FR_Mantenimiento tasas'!$E$55/360,IF(C507&lt;='FR_Mantenimiento tasas'!$C$56,'Tabla Ahorro Futuro Reservas'!C507*'FR_Mantenimiento tasas'!$E$56/360,IF(C507&lt;='FR_Mantenimiento tasas'!$C$57,'Tabla Ahorro Futuro Reservas'!C507*'FR_Mantenimiento tasas'!$E$57/360,""))),5)</f>
        <v>0</v>
      </c>
    </row>
    <row r="508" spans="1:5">
      <c r="A508" s="123">
        <f t="shared" si="14"/>
        <v>506</v>
      </c>
      <c r="B508" s="122">
        <f>IF(DAY(A508)=DAY('F-Ahorro Futuro Reservas'!$H$10),'F-Ahorro Futuro Reservas'!$H$9,0)</f>
        <v>0</v>
      </c>
      <c r="C508" s="122">
        <f t="shared" si="15"/>
        <v>0</v>
      </c>
      <c r="D508" s="121">
        <f>ROUND(IF(C508&lt;='FR_Mantenimiento tasas'!$C$55,'Tabla Ahorro Futuro Reservas'!C508*'FR_Mantenimiento tasas'!$D$55/360,IF(C508&lt;='FR_Mantenimiento tasas'!$C$56,'Tabla Ahorro Futuro Reservas'!C508*'FR_Mantenimiento tasas'!$D$56/360,IF(C508&lt;='FR_Mantenimiento tasas'!$C$57,'Tabla Ahorro Futuro Reservas'!C508*'FR_Mantenimiento tasas'!$D$57/360,""))),5)</f>
        <v>0</v>
      </c>
      <c r="E508" s="121">
        <f>ROUND(IF(C508&lt;='FR_Mantenimiento tasas'!$C$55,'Tabla Ahorro Futuro Reservas'!C508*'FR_Mantenimiento tasas'!$E$55/360,IF(C508&lt;='FR_Mantenimiento tasas'!$C$56,'Tabla Ahorro Futuro Reservas'!C508*'FR_Mantenimiento tasas'!$E$56/360,IF(C508&lt;='FR_Mantenimiento tasas'!$C$57,'Tabla Ahorro Futuro Reservas'!C508*'FR_Mantenimiento tasas'!$E$57/360,""))),5)</f>
        <v>0</v>
      </c>
    </row>
    <row r="509" spans="1:5">
      <c r="A509" s="123">
        <f t="shared" si="14"/>
        <v>507</v>
      </c>
      <c r="B509" s="122">
        <f>IF(DAY(A509)=DAY('F-Ahorro Futuro Reservas'!$H$10),'F-Ahorro Futuro Reservas'!$H$9,0)</f>
        <v>0</v>
      </c>
      <c r="C509" s="122">
        <f t="shared" si="15"/>
        <v>0</v>
      </c>
      <c r="D509" s="121">
        <f>ROUND(IF(C509&lt;='FR_Mantenimiento tasas'!$C$55,'Tabla Ahorro Futuro Reservas'!C509*'FR_Mantenimiento tasas'!$D$55/360,IF(C509&lt;='FR_Mantenimiento tasas'!$C$56,'Tabla Ahorro Futuro Reservas'!C509*'FR_Mantenimiento tasas'!$D$56/360,IF(C509&lt;='FR_Mantenimiento tasas'!$C$57,'Tabla Ahorro Futuro Reservas'!C509*'FR_Mantenimiento tasas'!$D$57/360,""))),5)</f>
        <v>0</v>
      </c>
      <c r="E509" s="121">
        <f>ROUND(IF(C509&lt;='FR_Mantenimiento tasas'!$C$55,'Tabla Ahorro Futuro Reservas'!C509*'FR_Mantenimiento tasas'!$E$55/360,IF(C509&lt;='FR_Mantenimiento tasas'!$C$56,'Tabla Ahorro Futuro Reservas'!C509*'FR_Mantenimiento tasas'!$E$56/360,IF(C509&lt;='FR_Mantenimiento tasas'!$C$57,'Tabla Ahorro Futuro Reservas'!C509*'FR_Mantenimiento tasas'!$E$57/360,""))),5)</f>
        <v>0</v>
      </c>
    </row>
    <row r="510" spans="1:5">
      <c r="A510" s="123">
        <f t="shared" si="14"/>
        <v>508</v>
      </c>
      <c r="B510" s="122">
        <f>IF(DAY(A510)=DAY('F-Ahorro Futuro Reservas'!$H$10),'F-Ahorro Futuro Reservas'!$H$9,0)</f>
        <v>0</v>
      </c>
      <c r="C510" s="122">
        <f t="shared" si="15"/>
        <v>0</v>
      </c>
      <c r="D510" s="121">
        <f>ROUND(IF(C510&lt;='FR_Mantenimiento tasas'!$C$55,'Tabla Ahorro Futuro Reservas'!C510*'FR_Mantenimiento tasas'!$D$55/360,IF(C510&lt;='FR_Mantenimiento tasas'!$C$56,'Tabla Ahorro Futuro Reservas'!C510*'FR_Mantenimiento tasas'!$D$56/360,IF(C510&lt;='FR_Mantenimiento tasas'!$C$57,'Tabla Ahorro Futuro Reservas'!C510*'FR_Mantenimiento tasas'!$D$57/360,""))),5)</f>
        <v>0</v>
      </c>
      <c r="E510" s="121">
        <f>ROUND(IF(C510&lt;='FR_Mantenimiento tasas'!$C$55,'Tabla Ahorro Futuro Reservas'!C510*'FR_Mantenimiento tasas'!$E$55/360,IF(C510&lt;='FR_Mantenimiento tasas'!$C$56,'Tabla Ahorro Futuro Reservas'!C510*'FR_Mantenimiento tasas'!$E$56/360,IF(C510&lt;='FR_Mantenimiento tasas'!$C$57,'Tabla Ahorro Futuro Reservas'!C510*'FR_Mantenimiento tasas'!$E$57/360,""))),5)</f>
        <v>0</v>
      </c>
    </row>
    <row r="511" spans="1:5">
      <c r="A511" s="123">
        <f t="shared" si="14"/>
        <v>509</v>
      </c>
      <c r="B511" s="122">
        <f>IF(DAY(A511)=DAY('F-Ahorro Futuro Reservas'!$H$10),'F-Ahorro Futuro Reservas'!$H$9,0)</f>
        <v>0</v>
      </c>
      <c r="C511" s="122">
        <f t="shared" si="15"/>
        <v>0</v>
      </c>
      <c r="D511" s="121">
        <f>ROUND(IF(C511&lt;='FR_Mantenimiento tasas'!$C$55,'Tabla Ahorro Futuro Reservas'!C511*'FR_Mantenimiento tasas'!$D$55/360,IF(C511&lt;='FR_Mantenimiento tasas'!$C$56,'Tabla Ahorro Futuro Reservas'!C511*'FR_Mantenimiento tasas'!$D$56/360,IF(C511&lt;='FR_Mantenimiento tasas'!$C$57,'Tabla Ahorro Futuro Reservas'!C511*'FR_Mantenimiento tasas'!$D$57/360,""))),5)</f>
        <v>0</v>
      </c>
      <c r="E511" s="121">
        <f>ROUND(IF(C511&lt;='FR_Mantenimiento tasas'!$C$55,'Tabla Ahorro Futuro Reservas'!C511*'FR_Mantenimiento tasas'!$E$55/360,IF(C511&lt;='FR_Mantenimiento tasas'!$C$56,'Tabla Ahorro Futuro Reservas'!C511*'FR_Mantenimiento tasas'!$E$56/360,IF(C511&lt;='FR_Mantenimiento tasas'!$C$57,'Tabla Ahorro Futuro Reservas'!C511*'FR_Mantenimiento tasas'!$E$57/360,""))),5)</f>
        <v>0</v>
      </c>
    </row>
    <row r="512" spans="1:5">
      <c r="A512" s="123">
        <f t="shared" si="14"/>
        <v>510</v>
      </c>
      <c r="B512" s="122">
        <f>IF(DAY(A512)=DAY('F-Ahorro Futuro Reservas'!$H$10),'F-Ahorro Futuro Reservas'!$H$9,0)</f>
        <v>0</v>
      </c>
      <c r="C512" s="122">
        <f t="shared" si="15"/>
        <v>0</v>
      </c>
      <c r="D512" s="121">
        <f>ROUND(IF(C512&lt;='FR_Mantenimiento tasas'!$C$55,'Tabla Ahorro Futuro Reservas'!C512*'FR_Mantenimiento tasas'!$D$55/360,IF(C512&lt;='FR_Mantenimiento tasas'!$C$56,'Tabla Ahorro Futuro Reservas'!C512*'FR_Mantenimiento tasas'!$D$56/360,IF(C512&lt;='FR_Mantenimiento tasas'!$C$57,'Tabla Ahorro Futuro Reservas'!C512*'FR_Mantenimiento tasas'!$D$57/360,""))),5)</f>
        <v>0</v>
      </c>
      <c r="E512" s="121">
        <f>ROUND(IF(C512&lt;='FR_Mantenimiento tasas'!$C$55,'Tabla Ahorro Futuro Reservas'!C512*'FR_Mantenimiento tasas'!$E$55/360,IF(C512&lt;='FR_Mantenimiento tasas'!$C$56,'Tabla Ahorro Futuro Reservas'!C512*'FR_Mantenimiento tasas'!$E$56/360,IF(C512&lt;='FR_Mantenimiento tasas'!$C$57,'Tabla Ahorro Futuro Reservas'!C512*'FR_Mantenimiento tasas'!$E$57/360,""))),5)</f>
        <v>0</v>
      </c>
    </row>
    <row r="513" spans="1:5">
      <c r="A513" s="123">
        <f t="shared" si="14"/>
        <v>511</v>
      </c>
      <c r="B513" s="122">
        <f>IF(DAY(A513)=DAY('F-Ahorro Futuro Reservas'!$H$10),'F-Ahorro Futuro Reservas'!$H$9,0)</f>
        <v>0</v>
      </c>
      <c r="C513" s="122">
        <f t="shared" si="15"/>
        <v>0</v>
      </c>
      <c r="D513" s="121">
        <f>ROUND(IF(C513&lt;='FR_Mantenimiento tasas'!$C$55,'Tabla Ahorro Futuro Reservas'!C513*'FR_Mantenimiento tasas'!$D$55/360,IF(C513&lt;='FR_Mantenimiento tasas'!$C$56,'Tabla Ahorro Futuro Reservas'!C513*'FR_Mantenimiento tasas'!$D$56/360,IF(C513&lt;='FR_Mantenimiento tasas'!$C$57,'Tabla Ahorro Futuro Reservas'!C513*'FR_Mantenimiento tasas'!$D$57/360,""))),5)</f>
        <v>0</v>
      </c>
      <c r="E513" s="121">
        <f>ROUND(IF(C513&lt;='FR_Mantenimiento tasas'!$C$55,'Tabla Ahorro Futuro Reservas'!C513*'FR_Mantenimiento tasas'!$E$55/360,IF(C513&lt;='FR_Mantenimiento tasas'!$C$56,'Tabla Ahorro Futuro Reservas'!C513*'FR_Mantenimiento tasas'!$E$56/360,IF(C513&lt;='FR_Mantenimiento tasas'!$C$57,'Tabla Ahorro Futuro Reservas'!C513*'FR_Mantenimiento tasas'!$E$57/360,""))),5)</f>
        <v>0</v>
      </c>
    </row>
    <row r="514" spans="1:5">
      <c r="A514" s="123">
        <f t="shared" si="14"/>
        <v>512</v>
      </c>
      <c r="B514" s="122">
        <f>IF(DAY(A514)=DAY('F-Ahorro Futuro Reservas'!$H$10),'F-Ahorro Futuro Reservas'!$H$9,0)</f>
        <v>0</v>
      </c>
      <c r="C514" s="122">
        <f t="shared" si="15"/>
        <v>0</v>
      </c>
      <c r="D514" s="121">
        <f>ROUND(IF(C514&lt;='FR_Mantenimiento tasas'!$C$55,'Tabla Ahorro Futuro Reservas'!C514*'FR_Mantenimiento tasas'!$D$55/360,IF(C514&lt;='FR_Mantenimiento tasas'!$C$56,'Tabla Ahorro Futuro Reservas'!C514*'FR_Mantenimiento tasas'!$D$56/360,IF(C514&lt;='FR_Mantenimiento tasas'!$C$57,'Tabla Ahorro Futuro Reservas'!C514*'FR_Mantenimiento tasas'!$D$57/360,""))),5)</f>
        <v>0</v>
      </c>
      <c r="E514" s="121">
        <f>ROUND(IF(C514&lt;='FR_Mantenimiento tasas'!$C$55,'Tabla Ahorro Futuro Reservas'!C514*'FR_Mantenimiento tasas'!$E$55/360,IF(C514&lt;='FR_Mantenimiento tasas'!$C$56,'Tabla Ahorro Futuro Reservas'!C514*'FR_Mantenimiento tasas'!$E$56/360,IF(C514&lt;='FR_Mantenimiento tasas'!$C$57,'Tabla Ahorro Futuro Reservas'!C514*'FR_Mantenimiento tasas'!$E$57/360,""))),5)</f>
        <v>0</v>
      </c>
    </row>
    <row r="515" spans="1:5">
      <c r="A515" s="123">
        <f t="shared" si="14"/>
        <v>513</v>
      </c>
      <c r="B515" s="122">
        <f>IF(DAY(A515)=DAY('F-Ahorro Futuro Reservas'!$H$10),'F-Ahorro Futuro Reservas'!$H$9,0)</f>
        <v>0</v>
      </c>
      <c r="C515" s="122">
        <f t="shared" si="15"/>
        <v>0</v>
      </c>
      <c r="D515" s="121">
        <f>ROUND(IF(C515&lt;='FR_Mantenimiento tasas'!$C$55,'Tabla Ahorro Futuro Reservas'!C515*'FR_Mantenimiento tasas'!$D$55/360,IF(C515&lt;='FR_Mantenimiento tasas'!$C$56,'Tabla Ahorro Futuro Reservas'!C515*'FR_Mantenimiento tasas'!$D$56/360,IF(C515&lt;='FR_Mantenimiento tasas'!$C$57,'Tabla Ahorro Futuro Reservas'!C515*'FR_Mantenimiento tasas'!$D$57/360,""))),5)</f>
        <v>0</v>
      </c>
      <c r="E515" s="121">
        <f>ROUND(IF(C515&lt;='FR_Mantenimiento tasas'!$C$55,'Tabla Ahorro Futuro Reservas'!C515*'FR_Mantenimiento tasas'!$E$55/360,IF(C515&lt;='FR_Mantenimiento tasas'!$C$56,'Tabla Ahorro Futuro Reservas'!C515*'FR_Mantenimiento tasas'!$E$56/360,IF(C515&lt;='FR_Mantenimiento tasas'!$C$57,'Tabla Ahorro Futuro Reservas'!C515*'FR_Mantenimiento tasas'!$E$57/360,""))),5)</f>
        <v>0</v>
      </c>
    </row>
    <row r="516" spans="1:5">
      <c r="A516" s="123">
        <f t="shared" ref="A516:A579" si="16">+A515+1</f>
        <v>514</v>
      </c>
      <c r="B516" s="122">
        <f>IF(DAY(A516)=DAY('F-Ahorro Futuro Reservas'!$H$10),'F-Ahorro Futuro Reservas'!$H$9,0)</f>
        <v>0</v>
      </c>
      <c r="C516" s="122">
        <f t="shared" ref="C516:C579" si="17">+B516+C515+D515</f>
        <v>0</v>
      </c>
      <c r="D516" s="121">
        <f>ROUND(IF(C516&lt;='FR_Mantenimiento tasas'!$C$55,'Tabla Ahorro Futuro Reservas'!C516*'FR_Mantenimiento tasas'!$D$55/360,IF(C516&lt;='FR_Mantenimiento tasas'!$C$56,'Tabla Ahorro Futuro Reservas'!C516*'FR_Mantenimiento tasas'!$D$56/360,IF(C516&lt;='FR_Mantenimiento tasas'!$C$57,'Tabla Ahorro Futuro Reservas'!C516*'FR_Mantenimiento tasas'!$D$57/360,""))),5)</f>
        <v>0</v>
      </c>
      <c r="E516" s="121">
        <f>ROUND(IF(C516&lt;='FR_Mantenimiento tasas'!$C$55,'Tabla Ahorro Futuro Reservas'!C516*'FR_Mantenimiento tasas'!$E$55/360,IF(C516&lt;='FR_Mantenimiento tasas'!$C$56,'Tabla Ahorro Futuro Reservas'!C516*'FR_Mantenimiento tasas'!$E$56/360,IF(C516&lt;='FR_Mantenimiento tasas'!$C$57,'Tabla Ahorro Futuro Reservas'!C516*'FR_Mantenimiento tasas'!$E$57/360,""))),5)</f>
        <v>0</v>
      </c>
    </row>
    <row r="517" spans="1:5">
      <c r="A517" s="123">
        <f t="shared" si="16"/>
        <v>515</v>
      </c>
      <c r="B517" s="122">
        <f>IF(DAY(A517)=DAY('F-Ahorro Futuro Reservas'!$H$10),'F-Ahorro Futuro Reservas'!$H$9,0)</f>
        <v>0</v>
      </c>
      <c r="C517" s="122">
        <f t="shared" si="17"/>
        <v>0</v>
      </c>
      <c r="D517" s="121">
        <f>ROUND(IF(C517&lt;='FR_Mantenimiento tasas'!$C$55,'Tabla Ahorro Futuro Reservas'!C517*'FR_Mantenimiento tasas'!$D$55/360,IF(C517&lt;='FR_Mantenimiento tasas'!$C$56,'Tabla Ahorro Futuro Reservas'!C517*'FR_Mantenimiento tasas'!$D$56/360,IF(C517&lt;='FR_Mantenimiento tasas'!$C$57,'Tabla Ahorro Futuro Reservas'!C517*'FR_Mantenimiento tasas'!$D$57/360,""))),5)</f>
        <v>0</v>
      </c>
      <c r="E517" s="121">
        <f>ROUND(IF(C517&lt;='FR_Mantenimiento tasas'!$C$55,'Tabla Ahorro Futuro Reservas'!C517*'FR_Mantenimiento tasas'!$E$55/360,IF(C517&lt;='FR_Mantenimiento tasas'!$C$56,'Tabla Ahorro Futuro Reservas'!C517*'FR_Mantenimiento tasas'!$E$56/360,IF(C517&lt;='FR_Mantenimiento tasas'!$C$57,'Tabla Ahorro Futuro Reservas'!C517*'FR_Mantenimiento tasas'!$E$57/360,""))),5)</f>
        <v>0</v>
      </c>
    </row>
    <row r="518" spans="1:5">
      <c r="A518" s="123">
        <f t="shared" si="16"/>
        <v>516</v>
      </c>
      <c r="B518" s="122">
        <f>IF(DAY(A518)=DAY('F-Ahorro Futuro Reservas'!$H$10),'F-Ahorro Futuro Reservas'!$H$9,0)</f>
        <v>0</v>
      </c>
      <c r="C518" s="122">
        <f t="shared" si="17"/>
        <v>0</v>
      </c>
      <c r="D518" s="121">
        <f>ROUND(IF(C518&lt;='FR_Mantenimiento tasas'!$C$55,'Tabla Ahorro Futuro Reservas'!C518*'FR_Mantenimiento tasas'!$D$55/360,IF(C518&lt;='FR_Mantenimiento tasas'!$C$56,'Tabla Ahorro Futuro Reservas'!C518*'FR_Mantenimiento tasas'!$D$56/360,IF(C518&lt;='FR_Mantenimiento tasas'!$C$57,'Tabla Ahorro Futuro Reservas'!C518*'FR_Mantenimiento tasas'!$D$57/360,""))),5)</f>
        <v>0</v>
      </c>
      <c r="E518" s="121">
        <f>ROUND(IF(C518&lt;='FR_Mantenimiento tasas'!$C$55,'Tabla Ahorro Futuro Reservas'!C518*'FR_Mantenimiento tasas'!$E$55/360,IF(C518&lt;='FR_Mantenimiento tasas'!$C$56,'Tabla Ahorro Futuro Reservas'!C518*'FR_Mantenimiento tasas'!$E$56/360,IF(C518&lt;='FR_Mantenimiento tasas'!$C$57,'Tabla Ahorro Futuro Reservas'!C518*'FR_Mantenimiento tasas'!$E$57/360,""))),5)</f>
        <v>0</v>
      </c>
    </row>
    <row r="519" spans="1:5">
      <c r="A519" s="123">
        <f t="shared" si="16"/>
        <v>517</v>
      </c>
      <c r="B519" s="122">
        <f>IF(DAY(A519)=DAY('F-Ahorro Futuro Reservas'!$H$10),'F-Ahorro Futuro Reservas'!$H$9,0)</f>
        <v>0</v>
      </c>
      <c r="C519" s="122">
        <f t="shared" si="17"/>
        <v>0</v>
      </c>
      <c r="D519" s="121">
        <f>ROUND(IF(C519&lt;='FR_Mantenimiento tasas'!$C$55,'Tabla Ahorro Futuro Reservas'!C519*'FR_Mantenimiento tasas'!$D$55/360,IF(C519&lt;='FR_Mantenimiento tasas'!$C$56,'Tabla Ahorro Futuro Reservas'!C519*'FR_Mantenimiento tasas'!$D$56/360,IF(C519&lt;='FR_Mantenimiento tasas'!$C$57,'Tabla Ahorro Futuro Reservas'!C519*'FR_Mantenimiento tasas'!$D$57/360,""))),5)</f>
        <v>0</v>
      </c>
      <c r="E519" s="121">
        <f>ROUND(IF(C519&lt;='FR_Mantenimiento tasas'!$C$55,'Tabla Ahorro Futuro Reservas'!C519*'FR_Mantenimiento tasas'!$E$55/360,IF(C519&lt;='FR_Mantenimiento tasas'!$C$56,'Tabla Ahorro Futuro Reservas'!C519*'FR_Mantenimiento tasas'!$E$56/360,IF(C519&lt;='FR_Mantenimiento tasas'!$C$57,'Tabla Ahorro Futuro Reservas'!C519*'FR_Mantenimiento tasas'!$E$57/360,""))),5)</f>
        <v>0</v>
      </c>
    </row>
    <row r="520" spans="1:5">
      <c r="A520" s="123">
        <f t="shared" si="16"/>
        <v>518</v>
      </c>
      <c r="B520" s="122">
        <f>IF(DAY(A520)=DAY('F-Ahorro Futuro Reservas'!$H$10),'F-Ahorro Futuro Reservas'!$H$9,0)</f>
        <v>0</v>
      </c>
      <c r="C520" s="122">
        <f t="shared" si="17"/>
        <v>0</v>
      </c>
      <c r="D520" s="121">
        <f>ROUND(IF(C520&lt;='FR_Mantenimiento tasas'!$C$55,'Tabla Ahorro Futuro Reservas'!C520*'FR_Mantenimiento tasas'!$D$55/360,IF(C520&lt;='FR_Mantenimiento tasas'!$C$56,'Tabla Ahorro Futuro Reservas'!C520*'FR_Mantenimiento tasas'!$D$56/360,IF(C520&lt;='FR_Mantenimiento tasas'!$C$57,'Tabla Ahorro Futuro Reservas'!C520*'FR_Mantenimiento tasas'!$D$57/360,""))),5)</f>
        <v>0</v>
      </c>
      <c r="E520" s="121">
        <f>ROUND(IF(C520&lt;='FR_Mantenimiento tasas'!$C$55,'Tabla Ahorro Futuro Reservas'!C520*'FR_Mantenimiento tasas'!$E$55/360,IF(C520&lt;='FR_Mantenimiento tasas'!$C$56,'Tabla Ahorro Futuro Reservas'!C520*'FR_Mantenimiento tasas'!$E$56/360,IF(C520&lt;='FR_Mantenimiento tasas'!$C$57,'Tabla Ahorro Futuro Reservas'!C520*'FR_Mantenimiento tasas'!$E$57/360,""))),5)</f>
        <v>0</v>
      </c>
    </row>
    <row r="521" spans="1:5">
      <c r="A521" s="123">
        <f t="shared" si="16"/>
        <v>519</v>
      </c>
      <c r="B521" s="122">
        <f>IF(DAY(A521)=DAY('F-Ahorro Futuro Reservas'!$H$10),'F-Ahorro Futuro Reservas'!$H$9,0)</f>
        <v>0</v>
      </c>
      <c r="C521" s="122">
        <f t="shared" si="17"/>
        <v>0</v>
      </c>
      <c r="D521" s="121">
        <f>ROUND(IF(C521&lt;='FR_Mantenimiento tasas'!$C$55,'Tabla Ahorro Futuro Reservas'!C521*'FR_Mantenimiento tasas'!$D$55/360,IF(C521&lt;='FR_Mantenimiento tasas'!$C$56,'Tabla Ahorro Futuro Reservas'!C521*'FR_Mantenimiento tasas'!$D$56/360,IF(C521&lt;='FR_Mantenimiento tasas'!$C$57,'Tabla Ahorro Futuro Reservas'!C521*'FR_Mantenimiento tasas'!$D$57/360,""))),5)</f>
        <v>0</v>
      </c>
      <c r="E521" s="121">
        <f>ROUND(IF(C521&lt;='FR_Mantenimiento tasas'!$C$55,'Tabla Ahorro Futuro Reservas'!C521*'FR_Mantenimiento tasas'!$E$55/360,IF(C521&lt;='FR_Mantenimiento tasas'!$C$56,'Tabla Ahorro Futuro Reservas'!C521*'FR_Mantenimiento tasas'!$E$56/360,IF(C521&lt;='FR_Mantenimiento tasas'!$C$57,'Tabla Ahorro Futuro Reservas'!C521*'FR_Mantenimiento tasas'!$E$57/360,""))),5)</f>
        <v>0</v>
      </c>
    </row>
    <row r="522" spans="1:5">
      <c r="A522" s="123">
        <f t="shared" si="16"/>
        <v>520</v>
      </c>
      <c r="B522" s="122">
        <f>IF(DAY(A522)=DAY('F-Ahorro Futuro Reservas'!$H$10),'F-Ahorro Futuro Reservas'!$H$9,0)</f>
        <v>0</v>
      </c>
      <c r="C522" s="122">
        <f t="shared" si="17"/>
        <v>0</v>
      </c>
      <c r="D522" s="121">
        <f>ROUND(IF(C522&lt;='FR_Mantenimiento tasas'!$C$55,'Tabla Ahorro Futuro Reservas'!C522*'FR_Mantenimiento tasas'!$D$55/360,IF(C522&lt;='FR_Mantenimiento tasas'!$C$56,'Tabla Ahorro Futuro Reservas'!C522*'FR_Mantenimiento tasas'!$D$56/360,IF(C522&lt;='FR_Mantenimiento tasas'!$C$57,'Tabla Ahorro Futuro Reservas'!C522*'FR_Mantenimiento tasas'!$D$57/360,""))),5)</f>
        <v>0</v>
      </c>
      <c r="E522" s="121">
        <f>ROUND(IF(C522&lt;='FR_Mantenimiento tasas'!$C$55,'Tabla Ahorro Futuro Reservas'!C522*'FR_Mantenimiento tasas'!$E$55/360,IF(C522&lt;='FR_Mantenimiento tasas'!$C$56,'Tabla Ahorro Futuro Reservas'!C522*'FR_Mantenimiento tasas'!$E$56/360,IF(C522&lt;='FR_Mantenimiento tasas'!$C$57,'Tabla Ahorro Futuro Reservas'!C522*'FR_Mantenimiento tasas'!$E$57/360,""))),5)</f>
        <v>0</v>
      </c>
    </row>
    <row r="523" spans="1:5">
      <c r="A523" s="123">
        <f t="shared" si="16"/>
        <v>521</v>
      </c>
      <c r="B523" s="122">
        <f>IF(DAY(A523)=DAY('F-Ahorro Futuro Reservas'!$H$10),'F-Ahorro Futuro Reservas'!$H$9,0)</f>
        <v>0</v>
      </c>
      <c r="C523" s="122">
        <f t="shared" si="17"/>
        <v>0</v>
      </c>
      <c r="D523" s="121">
        <f>ROUND(IF(C523&lt;='FR_Mantenimiento tasas'!$C$55,'Tabla Ahorro Futuro Reservas'!C523*'FR_Mantenimiento tasas'!$D$55/360,IF(C523&lt;='FR_Mantenimiento tasas'!$C$56,'Tabla Ahorro Futuro Reservas'!C523*'FR_Mantenimiento tasas'!$D$56/360,IF(C523&lt;='FR_Mantenimiento tasas'!$C$57,'Tabla Ahorro Futuro Reservas'!C523*'FR_Mantenimiento tasas'!$D$57/360,""))),5)</f>
        <v>0</v>
      </c>
      <c r="E523" s="121">
        <f>ROUND(IF(C523&lt;='FR_Mantenimiento tasas'!$C$55,'Tabla Ahorro Futuro Reservas'!C523*'FR_Mantenimiento tasas'!$E$55/360,IF(C523&lt;='FR_Mantenimiento tasas'!$C$56,'Tabla Ahorro Futuro Reservas'!C523*'FR_Mantenimiento tasas'!$E$56/360,IF(C523&lt;='FR_Mantenimiento tasas'!$C$57,'Tabla Ahorro Futuro Reservas'!C523*'FR_Mantenimiento tasas'!$E$57/360,""))),5)</f>
        <v>0</v>
      </c>
    </row>
    <row r="524" spans="1:5">
      <c r="A524" s="123">
        <f t="shared" si="16"/>
        <v>522</v>
      </c>
      <c r="B524" s="122">
        <f>IF(DAY(A524)=DAY('F-Ahorro Futuro Reservas'!$H$10),'F-Ahorro Futuro Reservas'!$H$9,0)</f>
        <v>0</v>
      </c>
      <c r="C524" s="122">
        <f t="shared" si="17"/>
        <v>0</v>
      </c>
      <c r="D524" s="121">
        <f>ROUND(IF(C524&lt;='FR_Mantenimiento tasas'!$C$55,'Tabla Ahorro Futuro Reservas'!C524*'FR_Mantenimiento tasas'!$D$55/360,IF(C524&lt;='FR_Mantenimiento tasas'!$C$56,'Tabla Ahorro Futuro Reservas'!C524*'FR_Mantenimiento tasas'!$D$56/360,IF(C524&lt;='FR_Mantenimiento tasas'!$C$57,'Tabla Ahorro Futuro Reservas'!C524*'FR_Mantenimiento tasas'!$D$57/360,""))),5)</f>
        <v>0</v>
      </c>
      <c r="E524" s="121">
        <f>ROUND(IF(C524&lt;='FR_Mantenimiento tasas'!$C$55,'Tabla Ahorro Futuro Reservas'!C524*'FR_Mantenimiento tasas'!$E$55/360,IF(C524&lt;='FR_Mantenimiento tasas'!$C$56,'Tabla Ahorro Futuro Reservas'!C524*'FR_Mantenimiento tasas'!$E$56/360,IF(C524&lt;='FR_Mantenimiento tasas'!$C$57,'Tabla Ahorro Futuro Reservas'!C524*'FR_Mantenimiento tasas'!$E$57/360,""))),5)</f>
        <v>0</v>
      </c>
    </row>
    <row r="525" spans="1:5">
      <c r="A525" s="123">
        <f t="shared" si="16"/>
        <v>523</v>
      </c>
      <c r="B525" s="122">
        <f>IF(DAY(A525)=DAY('F-Ahorro Futuro Reservas'!$H$10),'F-Ahorro Futuro Reservas'!$H$9,0)</f>
        <v>0</v>
      </c>
      <c r="C525" s="122">
        <f t="shared" si="17"/>
        <v>0</v>
      </c>
      <c r="D525" s="121">
        <f>ROUND(IF(C525&lt;='FR_Mantenimiento tasas'!$C$55,'Tabla Ahorro Futuro Reservas'!C525*'FR_Mantenimiento tasas'!$D$55/360,IF(C525&lt;='FR_Mantenimiento tasas'!$C$56,'Tabla Ahorro Futuro Reservas'!C525*'FR_Mantenimiento tasas'!$D$56/360,IF(C525&lt;='FR_Mantenimiento tasas'!$C$57,'Tabla Ahorro Futuro Reservas'!C525*'FR_Mantenimiento tasas'!$D$57/360,""))),5)</f>
        <v>0</v>
      </c>
      <c r="E525" s="121">
        <f>ROUND(IF(C525&lt;='FR_Mantenimiento tasas'!$C$55,'Tabla Ahorro Futuro Reservas'!C525*'FR_Mantenimiento tasas'!$E$55/360,IF(C525&lt;='FR_Mantenimiento tasas'!$C$56,'Tabla Ahorro Futuro Reservas'!C525*'FR_Mantenimiento tasas'!$E$56/360,IF(C525&lt;='FR_Mantenimiento tasas'!$C$57,'Tabla Ahorro Futuro Reservas'!C525*'FR_Mantenimiento tasas'!$E$57/360,""))),5)</f>
        <v>0</v>
      </c>
    </row>
    <row r="526" spans="1:5">
      <c r="A526" s="123">
        <f t="shared" si="16"/>
        <v>524</v>
      </c>
      <c r="B526" s="122">
        <f>IF(DAY(A526)=DAY('F-Ahorro Futuro Reservas'!$H$10),'F-Ahorro Futuro Reservas'!$H$9,0)</f>
        <v>0</v>
      </c>
      <c r="C526" s="122">
        <f t="shared" si="17"/>
        <v>0</v>
      </c>
      <c r="D526" s="121">
        <f>ROUND(IF(C526&lt;='FR_Mantenimiento tasas'!$C$55,'Tabla Ahorro Futuro Reservas'!C526*'FR_Mantenimiento tasas'!$D$55/360,IF(C526&lt;='FR_Mantenimiento tasas'!$C$56,'Tabla Ahorro Futuro Reservas'!C526*'FR_Mantenimiento tasas'!$D$56/360,IF(C526&lt;='FR_Mantenimiento tasas'!$C$57,'Tabla Ahorro Futuro Reservas'!C526*'FR_Mantenimiento tasas'!$D$57/360,""))),5)</f>
        <v>0</v>
      </c>
      <c r="E526" s="121">
        <f>ROUND(IF(C526&lt;='FR_Mantenimiento tasas'!$C$55,'Tabla Ahorro Futuro Reservas'!C526*'FR_Mantenimiento tasas'!$E$55/360,IF(C526&lt;='FR_Mantenimiento tasas'!$C$56,'Tabla Ahorro Futuro Reservas'!C526*'FR_Mantenimiento tasas'!$E$56/360,IF(C526&lt;='FR_Mantenimiento tasas'!$C$57,'Tabla Ahorro Futuro Reservas'!C526*'FR_Mantenimiento tasas'!$E$57/360,""))),5)</f>
        <v>0</v>
      </c>
    </row>
    <row r="527" spans="1:5">
      <c r="A527" s="123">
        <f t="shared" si="16"/>
        <v>525</v>
      </c>
      <c r="B527" s="122">
        <f>IF(DAY(A527)=DAY('F-Ahorro Futuro Reservas'!$H$10),'F-Ahorro Futuro Reservas'!$H$9,0)</f>
        <v>0</v>
      </c>
      <c r="C527" s="122">
        <f t="shared" si="17"/>
        <v>0</v>
      </c>
      <c r="D527" s="121">
        <f>ROUND(IF(C527&lt;='FR_Mantenimiento tasas'!$C$55,'Tabla Ahorro Futuro Reservas'!C527*'FR_Mantenimiento tasas'!$D$55/360,IF(C527&lt;='FR_Mantenimiento tasas'!$C$56,'Tabla Ahorro Futuro Reservas'!C527*'FR_Mantenimiento tasas'!$D$56/360,IF(C527&lt;='FR_Mantenimiento tasas'!$C$57,'Tabla Ahorro Futuro Reservas'!C527*'FR_Mantenimiento tasas'!$D$57/360,""))),5)</f>
        <v>0</v>
      </c>
      <c r="E527" s="121">
        <f>ROUND(IF(C527&lt;='FR_Mantenimiento tasas'!$C$55,'Tabla Ahorro Futuro Reservas'!C527*'FR_Mantenimiento tasas'!$E$55/360,IF(C527&lt;='FR_Mantenimiento tasas'!$C$56,'Tabla Ahorro Futuro Reservas'!C527*'FR_Mantenimiento tasas'!$E$56/360,IF(C527&lt;='FR_Mantenimiento tasas'!$C$57,'Tabla Ahorro Futuro Reservas'!C527*'FR_Mantenimiento tasas'!$E$57/360,""))),5)</f>
        <v>0</v>
      </c>
    </row>
    <row r="528" spans="1:5">
      <c r="A528" s="123">
        <f t="shared" si="16"/>
        <v>526</v>
      </c>
      <c r="B528" s="122">
        <f>IF(DAY(A528)=DAY('F-Ahorro Futuro Reservas'!$H$10),'F-Ahorro Futuro Reservas'!$H$9,0)</f>
        <v>0</v>
      </c>
      <c r="C528" s="122">
        <f t="shared" si="17"/>
        <v>0</v>
      </c>
      <c r="D528" s="121">
        <f>ROUND(IF(C528&lt;='FR_Mantenimiento tasas'!$C$55,'Tabla Ahorro Futuro Reservas'!C528*'FR_Mantenimiento tasas'!$D$55/360,IF(C528&lt;='FR_Mantenimiento tasas'!$C$56,'Tabla Ahorro Futuro Reservas'!C528*'FR_Mantenimiento tasas'!$D$56/360,IF(C528&lt;='FR_Mantenimiento tasas'!$C$57,'Tabla Ahorro Futuro Reservas'!C528*'FR_Mantenimiento tasas'!$D$57/360,""))),5)</f>
        <v>0</v>
      </c>
      <c r="E528" s="121">
        <f>ROUND(IF(C528&lt;='FR_Mantenimiento tasas'!$C$55,'Tabla Ahorro Futuro Reservas'!C528*'FR_Mantenimiento tasas'!$E$55/360,IF(C528&lt;='FR_Mantenimiento tasas'!$C$56,'Tabla Ahorro Futuro Reservas'!C528*'FR_Mantenimiento tasas'!$E$56/360,IF(C528&lt;='FR_Mantenimiento tasas'!$C$57,'Tabla Ahorro Futuro Reservas'!C528*'FR_Mantenimiento tasas'!$E$57/360,""))),5)</f>
        <v>0</v>
      </c>
    </row>
    <row r="529" spans="1:5">
      <c r="A529" s="123">
        <f t="shared" si="16"/>
        <v>527</v>
      </c>
      <c r="B529" s="122">
        <f>IF(DAY(A529)=DAY('F-Ahorro Futuro Reservas'!$H$10),'F-Ahorro Futuro Reservas'!$H$9,0)</f>
        <v>0</v>
      </c>
      <c r="C529" s="122">
        <f t="shared" si="17"/>
        <v>0</v>
      </c>
      <c r="D529" s="121">
        <f>ROUND(IF(C529&lt;='FR_Mantenimiento tasas'!$C$55,'Tabla Ahorro Futuro Reservas'!C529*'FR_Mantenimiento tasas'!$D$55/360,IF(C529&lt;='FR_Mantenimiento tasas'!$C$56,'Tabla Ahorro Futuro Reservas'!C529*'FR_Mantenimiento tasas'!$D$56/360,IF(C529&lt;='FR_Mantenimiento tasas'!$C$57,'Tabla Ahorro Futuro Reservas'!C529*'FR_Mantenimiento tasas'!$D$57/360,""))),5)</f>
        <v>0</v>
      </c>
      <c r="E529" s="121">
        <f>ROUND(IF(C529&lt;='FR_Mantenimiento tasas'!$C$55,'Tabla Ahorro Futuro Reservas'!C529*'FR_Mantenimiento tasas'!$E$55/360,IF(C529&lt;='FR_Mantenimiento tasas'!$C$56,'Tabla Ahorro Futuro Reservas'!C529*'FR_Mantenimiento tasas'!$E$56/360,IF(C529&lt;='FR_Mantenimiento tasas'!$C$57,'Tabla Ahorro Futuro Reservas'!C529*'FR_Mantenimiento tasas'!$E$57/360,""))),5)</f>
        <v>0</v>
      </c>
    </row>
    <row r="530" spans="1:5">
      <c r="A530" s="123">
        <f t="shared" si="16"/>
        <v>528</v>
      </c>
      <c r="B530" s="122">
        <f>IF(DAY(A530)=DAY('F-Ahorro Futuro Reservas'!$H$10),'F-Ahorro Futuro Reservas'!$H$9,0)</f>
        <v>0</v>
      </c>
      <c r="C530" s="122">
        <f t="shared" si="17"/>
        <v>0</v>
      </c>
      <c r="D530" s="121">
        <f>ROUND(IF(C530&lt;='FR_Mantenimiento tasas'!$C$55,'Tabla Ahorro Futuro Reservas'!C530*'FR_Mantenimiento tasas'!$D$55/360,IF(C530&lt;='FR_Mantenimiento tasas'!$C$56,'Tabla Ahorro Futuro Reservas'!C530*'FR_Mantenimiento tasas'!$D$56/360,IF(C530&lt;='FR_Mantenimiento tasas'!$C$57,'Tabla Ahorro Futuro Reservas'!C530*'FR_Mantenimiento tasas'!$D$57/360,""))),5)</f>
        <v>0</v>
      </c>
      <c r="E530" s="121">
        <f>ROUND(IF(C530&lt;='FR_Mantenimiento tasas'!$C$55,'Tabla Ahorro Futuro Reservas'!C530*'FR_Mantenimiento tasas'!$E$55/360,IF(C530&lt;='FR_Mantenimiento tasas'!$C$56,'Tabla Ahorro Futuro Reservas'!C530*'FR_Mantenimiento tasas'!$E$56/360,IF(C530&lt;='FR_Mantenimiento tasas'!$C$57,'Tabla Ahorro Futuro Reservas'!C530*'FR_Mantenimiento tasas'!$E$57/360,""))),5)</f>
        <v>0</v>
      </c>
    </row>
    <row r="531" spans="1:5">
      <c r="A531" s="123">
        <f t="shared" si="16"/>
        <v>529</v>
      </c>
      <c r="B531" s="122">
        <f>IF(DAY(A531)=DAY('F-Ahorro Futuro Reservas'!$H$10),'F-Ahorro Futuro Reservas'!$H$9,0)</f>
        <v>0</v>
      </c>
      <c r="C531" s="122">
        <f t="shared" si="17"/>
        <v>0</v>
      </c>
      <c r="D531" s="121">
        <f>ROUND(IF(C531&lt;='FR_Mantenimiento tasas'!$C$55,'Tabla Ahorro Futuro Reservas'!C531*'FR_Mantenimiento tasas'!$D$55/360,IF(C531&lt;='FR_Mantenimiento tasas'!$C$56,'Tabla Ahorro Futuro Reservas'!C531*'FR_Mantenimiento tasas'!$D$56/360,IF(C531&lt;='FR_Mantenimiento tasas'!$C$57,'Tabla Ahorro Futuro Reservas'!C531*'FR_Mantenimiento tasas'!$D$57/360,""))),5)</f>
        <v>0</v>
      </c>
      <c r="E531" s="121">
        <f>ROUND(IF(C531&lt;='FR_Mantenimiento tasas'!$C$55,'Tabla Ahorro Futuro Reservas'!C531*'FR_Mantenimiento tasas'!$E$55/360,IF(C531&lt;='FR_Mantenimiento tasas'!$C$56,'Tabla Ahorro Futuro Reservas'!C531*'FR_Mantenimiento tasas'!$E$56/360,IF(C531&lt;='FR_Mantenimiento tasas'!$C$57,'Tabla Ahorro Futuro Reservas'!C531*'FR_Mantenimiento tasas'!$E$57/360,""))),5)</f>
        <v>0</v>
      </c>
    </row>
    <row r="532" spans="1:5">
      <c r="A532" s="123">
        <f t="shared" si="16"/>
        <v>530</v>
      </c>
      <c r="B532" s="122">
        <f>IF(DAY(A532)=DAY('F-Ahorro Futuro Reservas'!$H$10),'F-Ahorro Futuro Reservas'!$H$9,0)</f>
        <v>0</v>
      </c>
      <c r="C532" s="122">
        <f t="shared" si="17"/>
        <v>0</v>
      </c>
      <c r="D532" s="121">
        <f>ROUND(IF(C532&lt;='FR_Mantenimiento tasas'!$C$55,'Tabla Ahorro Futuro Reservas'!C532*'FR_Mantenimiento tasas'!$D$55/360,IF(C532&lt;='FR_Mantenimiento tasas'!$C$56,'Tabla Ahorro Futuro Reservas'!C532*'FR_Mantenimiento tasas'!$D$56/360,IF(C532&lt;='FR_Mantenimiento tasas'!$C$57,'Tabla Ahorro Futuro Reservas'!C532*'FR_Mantenimiento tasas'!$D$57/360,""))),5)</f>
        <v>0</v>
      </c>
      <c r="E532" s="121">
        <f>ROUND(IF(C532&lt;='FR_Mantenimiento tasas'!$C$55,'Tabla Ahorro Futuro Reservas'!C532*'FR_Mantenimiento tasas'!$E$55/360,IF(C532&lt;='FR_Mantenimiento tasas'!$C$56,'Tabla Ahorro Futuro Reservas'!C532*'FR_Mantenimiento tasas'!$E$56/360,IF(C532&lt;='FR_Mantenimiento tasas'!$C$57,'Tabla Ahorro Futuro Reservas'!C532*'FR_Mantenimiento tasas'!$E$57/360,""))),5)</f>
        <v>0</v>
      </c>
    </row>
    <row r="533" spans="1:5">
      <c r="A533" s="123">
        <f t="shared" si="16"/>
        <v>531</v>
      </c>
      <c r="B533" s="122">
        <f>IF(DAY(A533)=DAY('F-Ahorro Futuro Reservas'!$H$10),'F-Ahorro Futuro Reservas'!$H$9,0)</f>
        <v>0</v>
      </c>
      <c r="C533" s="122">
        <f t="shared" si="17"/>
        <v>0</v>
      </c>
      <c r="D533" s="121">
        <f>ROUND(IF(C533&lt;='FR_Mantenimiento tasas'!$C$55,'Tabla Ahorro Futuro Reservas'!C533*'FR_Mantenimiento tasas'!$D$55/360,IF(C533&lt;='FR_Mantenimiento tasas'!$C$56,'Tabla Ahorro Futuro Reservas'!C533*'FR_Mantenimiento tasas'!$D$56/360,IF(C533&lt;='FR_Mantenimiento tasas'!$C$57,'Tabla Ahorro Futuro Reservas'!C533*'FR_Mantenimiento tasas'!$D$57/360,""))),5)</f>
        <v>0</v>
      </c>
      <c r="E533" s="121">
        <f>ROUND(IF(C533&lt;='FR_Mantenimiento tasas'!$C$55,'Tabla Ahorro Futuro Reservas'!C533*'FR_Mantenimiento tasas'!$E$55/360,IF(C533&lt;='FR_Mantenimiento tasas'!$C$56,'Tabla Ahorro Futuro Reservas'!C533*'FR_Mantenimiento tasas'!$E$56/360,IF(C533&lt;='FR_Mantenimiento tasas'!$C$57,'Tabla Ahorro Futuro Reservas'!C533*'FR_Mantenimiento tasas'!$E$57/360,""))),5)</f>
        <v>0</v>
      </c>
    </row>
    <row r="534" spans="1:5">
      <c r="A534" s="123">
        <f t="shared" si="16"/>
        <v>532</v>
      </c>
      <c r="B534" s="122">
        <f>IF(DAY(A534)=DAY('F-Ahorro Futuro Reservas'!$H$10),'F-Ahorro Futuro Reservas'!$H$9,0)</f>
        <v>0</v>
      </c>
      <c r="C534" s="122">
        <f t="shared" si="17"/>
        <v>0</v>
      </c>
      <c r="D534" s="121">
        <f>ROUND(IF(C534&lt;='FR_Mantenimiento tasas'!$C$55,'Tabla Ahorro Futuro Reservas'!C534*'FR_Mantenimiento tasas'!$D$55/360,IF(C534&lt;='FR_Mantenimiento tasas'!$C$56,'Tabla Ahorro Futuro Reservas'!C534*'FR_Mantenimiento tasas'!$D$56/360,IF(C534&lt;='FR_Mantenimiento tasas'!$C$57,'Tabla Ahorro Futuro Reservas'!C534*'FR_Mantenimiento tasas'!$D$57/360,""))),5)</f>
        <v>0</v>
      </c>
      <c r="E534" s="121">
        <f>ROUND(IF(C534&lt;='FR_Mantenimiento tasas'!$C$55,'Tabla Ahorro Futuro Reservas'!C534*'FR_Mantenimiento tasas'!$E$55/360,IF(C534&lt;='FR_Mantenimiento tasas'!$C$56,'Tabla Ahorro Futuro Reservas'!C534*'FR_Mantenimiento tasas'!$E$56/360,IF(C534&lt;='FR_Mantenimiento tasas'!$C$57,'Tabla Ahorro Futuro Reservas'!C534*'FR_Mantenimiento tasas'!$E$57/360,""))),5)</f>
        <v>0</v>
      </c>
    </row>
    <row r="535" spans="1:5">
      <c r="A535" s="123">
        <f t="shared" si="16"/>
        <v>533</v>
      </c>
      <c r="B535" s="122">
        <f>IF(DAY(A535)=DAY('F-Ahorro Futuro Reservas'!$H$10),'F-Ahorro Futuro Reservas'!$H$9,0)</f>
        <v>0</v>
      </c>
      <c r="C535" s="122">
        <f t="shared" si="17"/>
        <v>0</v>
      </c>
      <c r="D535" s="121">
        <f>ROUND(IF(C535&lt;='FR_Mantenimiento tasas'!$C$55,'Tabla Ahorro Futuro Reservas'!C535*'FR_Mantenimiento tasas'!$D$55/360,IF(C535&lt;='FR_Mantenimiento tasas'!$C$56,'Tabla Ahorro Futuro Reservas'!C535*'FR_Mantenimiento tasas'!$D$56/360,IF(C535&lt;='FR_Mantenimiento tasas'!$C$57,'Tabla Ahorro Futuro Reservas'!C535*'FR_Mantenimiento tasas'!$D$57/360,""))),5)</f>
        <v>0</v>
      </c>
      <c r="E535" s="121">
        <f>ROUND(IF(C535&lt;='FR_Mantenimiento tasas'!$C$55,'Tabla Ahorro Futuro Reservas'!C535*'FR_Mantenimiento tasas'!$E$55/360,IF(C535&lt;='FR_Mantenimiento tasas'!$C$56,'Tabla Ahorro Futuro Reservas'!C535*'FR_Mantenimiento tasas'!$E$56/360,IF(C535&lt;='FR_Mantenimiento tasas'!$C$57,'Tabla Ahorro Futuro Reservas'!C535*'FR_Mantenimiento tasas'!$E$57/360,""))),5)</f>
        <v>0</v>
      </c>
    </row>
    <row r="536" spans="1:5">
      <c r="A536" s="123">
        <f t="shared" si="16"/>
        <v>534</v>
      </c>
      <c r="B536" s="122">
        <f>IF(DAY(A536)=DAY('F-Ahorro Futuro Reservas'!$H$10),'F-Ahorro Futuro Reservas'!$H$9,0)</f>
        <v>0</v>
      </c>
      <c r="C536" s="122">
        <f t="shared" si="17"/>
        <v>0</v>
      </c>
      <c r="D536" s="121">
        <f>ROUND(IF(C536&lt;='FR_Mantenimiento tasas'!$C$55,'Tabla Ahorro Futuro Reservas'!C536*'FR_Mantenimiento tasas'!$D$55/360,IF(C536&lt;='FR_Mantenimiento tasas'!$C$56,'Tabla Ahorro Futuro Reservas'!C536*'FR_Mantenimiento tasas'!$D$56/360,IF(C536&lt;='FR_Mantenimiento tasas'!$C$57,'Tabla Ahorro Futuro Reservas'!C536*'FR_Mantenimiento tasas'!$D$57/360,""))),5)</f>
        <v>0</v>
      </c>
      <c r="E536" s="121">
        <f>ROUND(IF(C536&lt;='FR_Mantenimiento tasas'!$C$55,'Tabla Ahorro Futuro Reservas'!C536*'FR_Mantenimiento tasas'!$E$55/360,IF(C536&lt;='FR_Mantenimiento tasas'!$C$56,'Tabla Ahorro Futuro Reservas'!C536*'FR_Mantenimiento tasas'!$E$56/360,IF(C536&lt;='FR_Mantenimiento tasas'!$C$57,'Tabla Ahorro Futuro Reservas'!C536*'FR_Mantenimiento tasas'!$E$57/360,""))),5)</f>
        <v>0</v>
      </c>
    </row>
    <row r="537" spans="1:5">
      <c r="A537" s="123">
        <f t="shared" si="16"/>
        <v>535</v>
      </c>
      <c r="B537" s="122">
        <f>IF(DAY(A537)=DAY('F-Ahorro Futuro Reservas'!$H$10),'F-Ahorro Futuro Reservas'!$H$9,0)</f>
        <v>0</v>
      </c>
      <c r="C537" s="122">
        <f t="shared" si="17"/>
        <v>0</v>
      </c>
      <c r="D537" s="121">
        <f>ROUND(IF(C537&lt;='FR_Mantenimiento tasas'!$C$55,'Tabla Ahorro Futuro Reservas'!C537*'FR_Mantenimiento tasas'!$D$55/360,IF(C537&lt;='FR_Mantenimiento tasas'!$C$56,'Tabla Ahorro Futuro Reservas'!C537*'FR_Mantenimiento tasas'!$D$56/360,IF(C537&lt;='FR_Mantenimiento tasas'!$C$57,'Tabla Ahorro Futuro Reservas'!C537*'FR_Mantenimiento tasas'!$D$57/360,""))),5)</f>
        <v>0</v>
      </c>
      <c r="E537" s="121">
        <f>ROUND(IF(C537&lt;='FR_Mantenimiento tasas'!$C$55,'Tabla Ahorro Futuro Reservas'!C537*'FR_Mantenimiento tasas'!$E$55/360,IF(C537&lt;='FR_Mantenimiento tasas'!$C$56,'Tabla Ahorro Futuro Reservas'!C537*'FR_Mantenimiento tasas'!$E$56/360,IF(C537&lt;='FR_Mantenimiento tasas'!$C$57,'Tabla Ahorro Futuro Reservas'!C537*'FR_Mantenimiento tasas'!$E$57/360,""))),5)</f>
        <v>0</v>
      </c>
    </row>
    <row r="538" spans="1:5">
      <c r="A538" s="123">
        <f t="shared" si="16"/>
        <v>536</v>
      </c>
      <c r="B538" s="122">
        <f>IF(DAY(A538)=DAY('F-Ahorro Futuro Reservas'!$H$10),'F-Ahorro Futuro Reservas'!$H$9,0)</f>
        <v>0</v>
      </c>
      <c r="C538" s="122">
        <f t="shared" si="17"/>
        <v>0</v>
      </c>
      <c r="D538" s="121">
        <f>ROUND(IF(C538&lt;='FR_Mantenimiento tasas'!$C$55,'Tabla Ahorro Futuro Reservas'!C538*'FR_Mantenimiento tasas'!$D$55/360,IF(C538&lt;='FR_Mantenimiento tasas'!$C$56,'Tabla Ahorro Futuro Reservas'!C538*'FR_Mantenimiento tasas'!$D$56/360,IF(C538&lt;='FR_Mantenimiento tasas'!$C$57,'Tabla Ahorro Futuro Reservas'!C538*'FR_Mantenimiento tasas'!$D$57/360,""))),5)</f>
        <v>0</v>
      </c>
      <c r="E538" s="121">
        <f>ROUND(IF(C538&lt;='FR_Mantenimiento tasas'!$C$55,'Tabla Ahorro Futuro Reservas'!C538*'FR_Mantenimiento tasas'!$E$55/360,IF(C538&lt;='FR_Mantenimiento tasas'!$C$56,'Tabla Ahorro Futuro Reservas'!C538*'FR_Mantenimiento tasas'!$E$56/360,IF(C538&lt;='FR_Mantenimiento tasas'!$C$57,'Tabla Ahorro Futuro Reservas'!C538*'FR_Mantenimiento tasas'!$E$57/360,""))),5)</f>
        <v>0</v>
      </c>
    </row>
    <row r="539" spans="1:5">
      <c r="A539" s="123">
        <f t="shared" si="16"/>
        <v>537</v>
      </c>
      <c r="B539" s="122">
        <f>IF(DAY(A539)=DAY('F-Ahorro Futuro Reservas'!$H$10),'F-Ahorro Futuro Reservas'!$H$9,0)</f>
        <v>0</v>
      </c>
      <c r="C539" s="122">
        <f t="shared" si="17"/>
        <v>0</v>
      </c>
      <c r="D539" s="121">
        <f>ROUND(IF(C539&lt;='FR_Mantenimiento tasas'!$C$55,'Tabla Ahorro Futuro Reservas'!C539*'FR_Mantenimiento tasas'!$D$55/360,IF(C539&lt;='FR_Mantenimiento tasas'!$C$56,'Tabla Ahorro Futuro Reservas'!C539*'FR_Mantenimiento tasas'!$D$56/360,IF(C539&lt;='FR_Mantenimiento tasas'!$C$57,'Tabla Ahorro Futuro Reservas'!C539*'FR_Mantenimiento tasas'!$D$57/360,""))),5)</f>
        <v>0</v>
      </c>
      <c r="E539" s="121">
        <f>ROUND(IF(C539&lt;='FR_Mantenimiento tasas'!$C$55,'Tabla Ahorro Futuro Reservas'!C539*'FR_Mantenimiento tasas'!$E$55/360,IF(C539&lt;='FR_Mantenimiento tasas'!$C$56,'Tabla Ahorro Futuro Reservas'!C539*'FR_Mantenimiento tasas'!$E$56/360,IF(C539&lt;='FR_Mantenimiento tasas'!$C$57,'Tabla Ahorro Futuro Reservas'!C539*'FR_Mantenimiento tasas'!$E$57/360,""))),5)</f>
        <v>0</v>
      </c>
    </row>
    <row r="540" spans="1:5">
      <c r="A540" s="123">
        <f t="shared" si="16"/>
        <v>538</v>
      </c>
      <c r="B540" s="122">
        <f>IF(DAY(A540)=DAY('F-Ahorro Futuro Reservas'!$H$10),'F-Ahorro Futuro Reservas'!$H$9,0)</f>
        <v>0</v>
      </c>
      <c r="C540" s="122">
        <f t="shared" si="17"/>
        <v>0</v>
      </c>
      <c r="D540" s="121">
        <f>ROUND(IF(C540&lt;='FR_Mantenimiento tasas'!$C$55,'Tabla Ahorro Futuro Reservas'!C540*'FR_Mantenimiento tasas'!$D$55/360,IF(C540&lt;='FR_Mantenimiento tasas'!$C$56,'Tabla Ahorro Futuro Reservas'!C540*'FR_Mantenimiento tasas'!$D$56/360,IF(C540&lt;='FR_Mantenimiento tasas'!$C$57,'Tabla Ahorro Futuro Reservas'!C540*'FR_Mantenimiento tasas'!$D$57/360,""))),5)</f>
        <v>0</v>
      </c>
      <c r="E540" s="121">
        <f>ROUND(IF(C540&lt;='FR_Mantenimiento tasas'!$C$55,'Tabla Ahorro Futuro Reservas'!C540*'FR_Mantenimiento tasas'!$E$55/360,IF(C540&lt;='FR_Mantenimiento tasas'!$C$56,'Tabla Ahorro Futuro Reservas'!C540*'FR_Mantenimiento tasas'!$E$56/360,IF(C540&lt;='FR_Mantenimiento tasas'!$C$57,'Tabla Ahorro Futuro Reservas'!C540*'FR_Mantenimiento tasas'!$E$57/360,""))),5)</f>
        <v>0</v>
      </c>
    </row>
    <row r="541" spans="1:5">
      <c r="A541" s="123">
        <f t="shared" si="16"/>
        <v>539</v>
      </c>
      <c r="B541" s="122">
        <f>IF(DAY(A541)=DAY('F-Ahorro Futuro Reservas'!$H$10),'F-Ahorro Futuro Reservas'!$H$9,0)</f>
        <v>0</v>
      </c>
      <c r="C541" s="122">
        <f t="shared" si="17"/>
        <v>0</v>
      </c>
      <c r="D541" s="121">
        <f>ROUND(IF(C541&lt;='FR_Mantenimiento tasas'!$C$55,'Tabla Ahorro Futuro Reservas'!C541*'FR_Mantenimiento tasas'!$D$55/360,IF(C541&lt;='FR_Mantenimiento tasas'!$C$56,'Tabla Ahorro Futuro Reservas'!C541*'FR_Mantenimiento tasas'!$D$56/360,IF(C541&lt;='FR_Mantenimiento tasas'!$C$57,'Tabla Ahorro Futuro Reservas'!C541*'FR_Mantenimiento tasas'!$D$57/360,""))),5)</f>
        <v>0</v>
      </c>
      <c r="E541" s="121">
        <f>ROUND(IF(C541&lt;='FR_Mantenimiento tasas'!$C$55,'Tabla Ahorro Futuro Reservas'!C541*'FR_Mantenimiento tasas'!$E$55/360,IF(C541&lt;='FR_Mantenimiento tasas'!$C$56,'Tabla Ahorro Futuro Reservas'!C541*'FR_Mantenimiento tasas'!$E$56/360,IF(C541&lt;='FR_Mantenimiento tasas'!$C$57,'Tabla Ahorro Futuro Reservas'!C541*'FR_Mantenimiento tasas'!$E$57/360,""))),5)</f>
        <v>0</v>
      </c>
    </row>
    <row r="542" spans="1:5">
      <c r="A542" s="123">
        <f t="shared" si="16"/>
        <v>540</v>
      </c>
      <c r="B542" s="122">
        <f>IF(DAY(A542)=DAY('F-Ahorro Futuro Reservas'!$H$10),'F-Ahorro Futuro Reservas'!$H$9,0)</f>
        <v>0</v>
      </c>
      <c r="C542" s="122">
        <f t="shared" si="17"/>
        <v>0</v>
      </c>
      <c r="D542" s="121">
        <f>ROUND(IF(C542&lt;='FR_Mantenimiento tasas'!$C$55,'Tabla Ahorro Futuro Reservas'!C542*'FR_Mantenimiento tasas'!$D$55/360,IF(C542&lt;='FR_Mantenimiento tasas'!$C$56,'Tabla Ahorro Futuro Reservas'!C542*'FR_Mantenimiento tasas'!$D$56/360,IF(C542&lt;='FR_Mantenimiento tasas'!$C$57,'Tabla Ahorro Futuro Reservas'!C542*'FR_Mantenimiento tasas'!$D$57/360,""))),5)</f>
        <v>0</v>
      </c>
      <c r="E542" s="121">
        <f>ROUND(IF(C542&lt;='FR_Mantenimiento tasas'!$C$55,'Tabla Ahorro Futuro Reservas'!C542*'FR_Mantenimiento tasas'!$E$55/360,IF(C542&lt;='FR_Mantenimiento tasas'!$C$56,'Tabla Ahorro Futuro Reservas'!C542*'FR_Mantenimiento tasas'!$E$56/360,IF(C542&lt;='FR_Mantenimiento tasas'!$C$57,'Tabla Ahorro Futuro Reservas'!C542*'FR_Mantenimiento tasas'!$E$57/360,""))),5)</f>
        <v>0</v>
      </c>
    </row>
    <row r="543" spans="1:5">
      <c r="A543" s="123">
        <f t="shared" si="16"/>
        <v>541</v>
      </c>
      <c r="B543" s="122">
        <f>IF(DAY(A543)=DAY('F-Ahorro Futuro Reservas'!$H$10),'F-Ahorro Futuro Reservas'!$H$9,0)</f>
        <v>0</v>
      </c>
      <c r="C543" s="122">
        <f t="shared" si="17"/>
        <v>0</v>
      </c>
      <c r="D543" s="121">
        <f>ROUND(IF(C543&lt;='FR_Mantenimiento tasas'!$C$55,'Tabla Ahorro Futuro Reservas'!C543*'FR_Mantenimiento tasas'!$D$55/360,IF(C543&lt;='FR_Mantenimiento tasas'!$C$56,'Tabla Ahorro Futuro Reservas'!C543*'FR_Mantenimiento tasas'!$D$56/360,IF(C543&lt;='FR_Mantenimiento tasas'!$C$57,'Tabla Ahorro Futuro Reservas'!C543*'FR_Mantenimiento tasas'!$D$57/360,""))),5)</f>
        <v>0</v>
      </c>
      <c r="E543" s="121">
        <f>ROUND(IF(C543&lt;='FR_Mantenimiento tasas'!$C$55,'Tabla Ahorro Futuro Reservas'!C543*'FR_Mantenimiento tasas'!$E$55/360,IF(C543&lt;='FR_Mantenimiento tasas'!$C$56,'Tabla Ahorro Futuro Reservas'!C543*'FR_Mantenimiento tasas'!$E$56/360,IF(C543&lt;='FR_Mantenimiento tasas'!$C$57,'Tabla Ahorro Futuro Reservas'!C543*'FR_Mantenimiento tasas'!$E$57/360,""))),5)</f>
        <v>0</v>
      </c>
    </row>
    <row r="544" spans="1:5">
      <c r="A544" s="123">
        <f t="shared" si="16"/>
        <v>542</v>
      </c>
      <c r="B544" s="122">
        <f>IF(DAY(A544)=DAY('F-Ahorro Futuro Reservas'!$H$10),'F-Ahorro Futuro Reservas'!$H$9,0)</f>
        <v>0</v>
      </c>
      <c r="C544" s="122">
        <f t="shared" si="17"/>
        <v>0</v>
      </c>
      <c r="D544" s="121">
        <f>ROUND(IF(C544&lt;='FR_Mantenimiento tasas'!$C$55,'Tabla Ahorro Futuro Reservas'!C544*'FR_Mantenimiento tasas'!$D$55/360,IF(C544&lt;='FR_Mantenimiento tasas'!$C$56,'Tabla Ahorro Futuro Reservas'!C544*'FR_Mantenimiento tasas'!$D$56/360,IF(C544&lt;='FR_Mantenimiento tasas'!$C$57,'Tabla Ahorro Futuro Reservas'!C544*'FR_Mantenimiento tasas'!$D$57/360,""))),5)</f>
        <v>0</v>
      </c>
      <c r="E544" s="121">
        <f>ROUND(IF(C544&lt;='FR_Mantenimiento tasas'!$C$55,'Tabla Ahorro Futuro Reservas'!C544*'FR_Mantenimiento tasas'!$E$55/360,IF(C544&lt;='FR_Mantenimiento tasas'!$C$56,'Tabla Ahorro Futuro Reservas'!C544*'FR_Mantenimiento tasas'!$E$56/360,IF(C544&lt;='FR_Mantenimiento tasas'!$C$57,'Tabla Ahorro Futuro Reservas'!C544*'FR_Mantenimiento tasas'!$E$57/360,""))),5)</f>
        <v>0</v>
      </c>
    </row>
    <row r="545" spans="1:5">
      <c r="A545" s="123">
        <f t="shared" si="16"/>
        <v>543</v>
      </c>
      <c r="B545" s="122">
        <f>IF(DAY(A545)=DAY('F-Ahorro Futuro Reservas'!$H$10),'F-Ahorro Futuro Reservas'!$H$9,0)</f>
        <v>0</v>
      </c>
      <c r="C545" s="122">
        <f t="shared" si="17"/>
        <v>0</v>
      </c>
      <c r="D545" s="121">
        <f>ROUND(IF(C545&lt;='FR_Mantenimiento tasas'!$C$55,'Tabla Ahorro Futuro Reservas'!C545*'FR_Mantenimiento tasas'!$D$55/360,IF(C545&lt;='FR_Mantenimiento tasas'!$C$56,'Tabla Ahorro Futuro Reservas'!C545*'FR_Mantenimiento tasas'!$D$56/360,IF(C545&lt;='FR_Mantenimiento tasas'!$C$57,'Tabla Ahorro Futuro Reservas'!C545*'FR_Mantenimiento tasas'!$D$57/360,""))),5)</f>
        <v>0</v>
      </c>
      <c r="E545" s="121">
        <f>ROUND(IF(C545&lt;='FR_Mantenimiento tasas'!$C$55,'Tabla Ahorro Futuro Reservas'!C545*'FR_Mantenimiento tasas'!$E$55/360,IF(C545&lt;='FR_Mantenimiento tasas'!$C$56,'Tabla Ahorro Futuro Reservas'!C545*'FR_Mantenimiento tasas'!$E$56/360,IF(C545&lt;='FR_Mantenimiento tasas'!$C$57,'Tabla Ahorro Futuro Reservas'!C545*'FR_Mantenimiento tasas'!$E$57/360,""))),5)</f>
        <v>0</v>
      </c>
    </row>
    <row r="546" spans="1:5">
      <c r="A546" s="123">
        <f t="shared" si="16"/>
        <v>544</v>
      </c>
      <c r="B546" s="122">
        <f>IF(DAY(A546)=DAY('F-Ahorro Futuro Reservas'!$H$10),'F-Ahorro Futuro Reservas'!$H$9,0)</f>
        <v>0</v>
      </c>
      <c r="C546" s="122">
        <f t="shared" si="17"/>
        <v>0</v>
      </c>
      <c r="D546" s="121">
        <f>ROUND(IF(C546&lt;='FR_Mantenimiento tasas'!$C$55,'Tabla Ahorro Futuro Reservas'!C546*'FR_Mantenimiento tasas'!$D$55/360,IF(C546&lt;='FR_Mantenimiento tasas'!$C$56,'Tabla Ahorro Futuro Reservas'!C546*'FR_Mantenimiento tasas'!$D$56/360,IF(C546&lt;='FR_Mantenimiento tasas'!$C$57,'Tabla Ahorro Futuro Reservas'!C546*'FR_Mantenimiento tasas'!$D$57/360,""))),5)</f>
        <v>0</v>
      </c>
      <c r="E546" s="121">
        <f>ROUND(IF(C546&lt;='FR_Mantenimiento tasas'!$C$55,'Tabla Ahorro Futuro Reservas'!C546*'FR_Mantenimiento tasas'!$E$55/360,IF(C546&lt;='FR_Mantenimiento tasas'!$C$56,'Tabla Ahorro Futuro Reservas'!C546*'FR_Mantenimiento tasas'!$E$56/360,IF(C546&lt;='FR_Mantenimiento tasas'!$C$57,'Tabla Ahorro Futuro Reservas'!C546*'FR_Mantenimiento tasas'!$E$57/360,""))),5)</f>
        <v>0</v>
      </c>
    </row>
    <row r="547" spans="1:5">
      <c r="A547" s="123">
        <f t="shared" si="16"/>
        <v>545</v>
      </c>
      <c r="B547" s="122">
        <f>IF(DAY(A547)=DAY('F-Ahorro Futuro Reservas'!$H$10),'F-Ahorro Futuro Reservas'!$H$9,0)</f>
        <v>0</v>
      </c>
      <c r="C547" s="122">
        <f t="shared" si="17"/>
        <v>0</v>
      </c>
      <c r="D547" s="121">
        <f>ROUND(IF(C547&lt;='FR_Mantenimiento tasas'!$C$55,'Tabla Ahorro Futuro Reservas'!C547*'FR_Mantenimiento tasas'!$D$55/360,IF(C547&lt;='FR_Mantenimiento tasas'!$C$56,'Tabla Ahorro Futuro Reservas'!C547*'FR_Mantenimiento tasas'!$D$56/360,IF(C547&lt;='FR_Mantenimiento tasas'!$C$57,'Tabla Ahorro Futuro Reservas'!C547*'FR_Mantenimiento tasas'!$D$57/360,""))),5)</f>
        <v>0</v>
      </c>
      <c r="E547" s="121">
        <f>ROUND(IF(C547&lt;='FR_Mantenimiento tasas'!$C$55,'Tabla Ahorro Futuro Reservas'!C547*'FR_Mantenimiento tasas'!$E$55/360,IF(C547&lt;='FR_Mantenimiento tasas'!$C$56,'Tabla Ahorro Futuro Reservas'!C547*'FR_Mantenimiento tasas'!$E$56/360,IF(C547&lt;='FR_Mantenimiento tasas'!$C$57,'Tabla Ahorro Futuro Reservas'!C547*'FR_Mantenimiento tasas'!$E$57/360,""))),5)</f>
        <v>0</v>
      </c>
    </row>
    <row r="548" spans="1:5">
      <c r="A548" s="123">
        <f t="shared" si="16"/>
        <v>546</v>
      </c>
      <c r="B548" s="122">
        <f>IF(DAY(A548)=DAY('F-Ahorro Futuro Reservas'!$H$10),'F-Ahorro Futuro Reservas'!$H$9,0)</f>
        <v>0</v>
      </c>
      <c r="C548" s="122">
        <f t="shared" si="17"/>
        <v>0</v>
      </c>
      <c r="D548" s="121">
        <f>ROUND(IF(C548&lt;='FR_Mantenimiento tasas'!$C$55,'Tabla Ahorro Futuro Reservas'!C548*'FR_Mantenimiento tasas'!$D$55/360,IF(C548&lt;='FR_Mantenimiento tasas'!$C$56,'Tabla Ahorro Futuro Reservas'!C548*'FR_Mantenimiento tasas'!$D$56/360,IF(C548&lt;='FR_Mantenimiento tasas'!$C$57,'Tabla Ahorro Futuro Reservas'!C548*'FR_Mantenimiento tasas'!$D$57/360,""))),5)</f>
        <v>0</v>
      </c>
      <c r="E548" s="121">
        <f>ROUND(IF(C548&lt;='FR_Mantenimiento tasas'!$C$55,'Tabla Ahorro Futuro Reservas'!C548*'FR_Mantenimiento tasas'!$E$55/360,IF(C548&lt;='FR_Mantenimiento tasas'!$C$56,'Tabla Ahorro Futuro Reservas'!C548*'FR_Mantenimiento tasas'!$E$56/360,IF(C548&lt;='FR_Mantenimiento tasas'!$C$57,'Tabla Ahorro Futuro Reservas'!C548*'FR_Mantenimiento tasas'!$E$57/360,""))),5)</f>
        <v>0</v>
      </c>
    </row>
    <row r="549" spans="1:5">
      <c r="A549" s="123">
        <f t="shared" si="16"/>
        <v>547</v>
      </c>
      <c r="B549" s="122">
        <f>IF(DAY(A549)=DAY('F-Ahorro Futuro Reservas'!$H$10),'F-Ahorro Futuro Reservas'!$H$9,0)</f>
        <v>0</v>
      </c>
      <c r="C549" s="122">
        <f t="shared" si="17"/>
        <v>0</v>
      </c>
      <c r="D549" s="121">
        <f>ROUND(IF(C549&lt;='FR_Mantenimiento tasas'!$C$55,'Tabla Ahorro Futuro Reservas'!C549*'FR_Mantenimiento tasas'!$D$55/360,IF(C549&lt;='FR_Mantenimiento tasas'!$C$56,'Tabla Ahorro Futuro Reservas'!C549*'FR_Mantenimiento tasas'!$D$56/360,IF(C549&lt;='FR_Mantenimiento tasas'!$C$57,'Tabla Ahorro Futuro Reservas'!C549*'FR_Mantenimiento tasas'!$D$57/360,""))),5)</f>
        <v>0</v>
      </c>
      <c r="E549" s="121">
        <f>ROUND(IF(C549&lt;='FR_Mantenimiento tasas'!$C$55,'Tabla Ahorro Futuro Reservas'!C549*'FR_Mantenimiento tasas'!$E$55/360,IF(C549&lt;='FR_Mantenimiento tasas'!$C$56,'Tabla Ahorro Futuro Reservas'!C549*'FR_Mantenimiento tasas'!$E$56/360,IF(C549&lt;='FR_Mantenimiento tasas'!$C$57,'Tabla Ahorro Futuro Reservas'!C549*'FR_Mantenimiento tasas'!$E$57/360,""))),5)</f>
        <v>0</v>
      </c>
    </row>
    <row r="550" spans="1:5">
      <c r="A550" s="123">
        <f t="shared" si="16"/>
        <v>548</v>
      </c>
      <c r="B550" s="122">
        <f>IF(DAY(A550)=DAY('F-Ahorro Futuro Reservas'!$H$10),'F-Ahorro Futuro Reservas'!$H$9,0)</f>
        <v>0</v>
      </c>
      <c r="C550" s="122">
        <f t="shared" si="17"/>
        <v>0</v>
      </c>
      <c r="D550" s="121">
        <f>ROUND(IF(C550&lt;='FR_Mantenimiento tasas'!$C$55,'Tabla Ahorro Futuro Reservas'!C550*'FR_Mantenimiento tasas'!$D$55/360,IF(C550&lt;='FR_Mantenimiento tasas'!$C$56,'Tabla Ahorro Futuro Reservas'!C550*'FR_Mantenimiento tasas'!$D$56/360,IF(C550&lt;='FR_Mantenimiento tasas'!$C$57,'Tabla Ahorro Futuro Reservas'!C550*'FR_Mantenimiento tasas'!$D$57/360,""))),5)</f>
        <v>0</v>
      </c>
      <c r="E550" s="121">
        <f>ROUND(IF(C550&lt;='FR_Mantenimiento tasas'!$C$55,'Tabla Ahorro Futuro Reservas'!C550*'FR_Mantenimiento tasas'!$E$55/360,IF(C550&lt;='FR_Mantenimiento tasas'!$C$56,'Tabla Ahorro Futuro Reservas'!C550*'FR_Mantenimiento tasas'!$E$56/360,IF(C550&lt;='FR_Mantenimiento tasas'!$C$57,'Tabla Ahorro Futuro Reservas'!C550*'FR_Mantenimiento tasas'!$E$57/360,""))),5)</f>
        <v>0</v>
      </c>
    </row>
    <row r="551" spans="1:5">
      <c r="A551" s="123">
        <f t="shared" si="16"/>
        <v>549</v>
      </c>
      <c r="B551" s="122">
        <f>IF(DAY(A551)=DAY('F-Ahorro Futuro Reservas'!$H$10),'F-Ahorro Futuro Reservas'!$H$9,0)</f>
        <v>0</v>
      </c>
      <c r="C551" s="122">
        <f t="shared" si="17"/>
        <v>0</v>
      </c>
      <c r="D551" s="121">
        <f>ROUND(IF(C551&lt;='FR_Mantenimiento tasas'!$C$55,'Tabla Ahorro Futuro Reservas'!C551*'FR_Mantenimiento tasas'!$D$55/360,IF(C551&lt;='FR_Mantenimiento tasas'!$C$56,'Tabla Ahorro Futuro Reservas'!C551*'FR_Mantenimiento tasas'!$D$56/360,IF(C551&lt;='FR_Mantenimiento tasas'!$C$57,'Tabla Ahorro Futuro Reservas'!C551*'FR_Mantenimiento tasas'!$D$57/360,""))),5)</f>
        <v>0</v>
      </c>
      <c r="E551" s="121">
        <f>ROUND(IF(C551&lt;='FR_Mantenimiento tasas'!$C$55,'Tabla Ahorro Futuro Reservas'!C551*'FR_Mantenimiento tasas'!$E$55/360,IF(C551&lt;='FR_Mantenimiento tasas'!$C$56,'Tabla Ahorro Futuro Reservas'!C551*'FR_Mantenimiento tasas'!$E$56/360,IF(C551&lt;='FR_Mantenimiento tasas'!$C$57,'Tabla Ahorro Futuro Reservas'!C551*'FR_Mantenimiento tasas'!$E$57/360,""))),5)</f>
        <v>0</v>
      </c>
    </row>
    <row r="552" spans="1:5">
      <c r="A552" s="123">
        <f t="shared" si="16"/>
        <v>550</v>
      </c>
      <c r="B552" s="122">
        <f>IF(DAY(A552)=DAY('F-Ahorro Futuro Reservas'!$H$10),'F-Ahorro Futuro Reservas'!$H$9,0)</f>
        <v>0</v>
      </c>
      <c r="C552" s="122">
        <f t="shared" si="17"/>
        <v>0</v>
      </c>
      <c r="D552" s="121">
        <f>ROUND(IF(C552&lt;='FR_Mantenimiento tasas'!$C$55,'Tabla Ahorro Futuro Reservas'!C552*'FR_Mantenimiento tasas'!$D$55/360,IF(C552&lt;='FR_Mantenimiento tasas'!$C$56,'Tabla Ahorro Futuro Reservas'!C552*'FR_Mantenimiento tasas'!$D$56/360,IF(C552&lt;='FR_Mantenimiento tasas'!$C$57,'Tabla Ahorro Futuro Reservas'!C552*'FR_Mantenimiento tasas'!$D$57/360,""))),5)</f>
        <v>0</v>
      </c>
      <c r="E552" s="121">
        <f>ROUND(IF(C552&lt;='FR_Mantenimiento tasas'!$C$55,'Tabla Ahorro Futuro Reservas'!C552*'FR_Mantenimiento tasas'!$E$55/360,IF(C552&lt;='FR_Mantenimiento tasas'!$C$56,'Tabla Ahorro Futuro Reservas'!C552*'FR_Mantenimiento tasas'!$E$56/360,IF(C552&lt;='FR_Mantenimiento tasas'!$C$57,'Tabla Ahorro Futuro Reservas'!C552*'FR_Mantenimiento tasas'!$E$57/360,""))),5)</f>
        <v>0</v>
      </c>
    </row>
    <row r="553" spans="1:5">
      <c r="A553" s="123">
        <f t="shared" si="16"/>
        <v>551</v>
      </c>
      <c r="B553" s="122">
        <f>IF(DAY(A553)=DAY('F-Ahorro Futuro Reservas'!$H$10),'F-Ahorro Futuro Reservas'!$H$9,0)</f>
        <v>0</v>
      </c>
      <c r="C553" s="122">
        <f t="shared" si="17"/>
        <v>0</v>
      </c>
      <c r="D553" s="121">
        <f>ROUND(IF(C553&lt;='FR_Mantenimiento tasas'!$C$55,'Tabla Ahorro Futuro Reservas'!C553*'FR_Mantenimiento tasas'!$D$55/360,IF(C553&lt;='FR_Mantenimiento tasas'!$C$56,'Tabla Ahorro Futuro Reservas'!C553*'FR_Mantenimiento tasas'!$D$56/360,IF(C553&lt;='FR_Mantenimiento tasas'!$C$57,'Tabla Ahorro Futuro Reservas'!C553*'FR_Mantenimiento tasas'!$D$57/360,""))),5)</f>
        <v>0</v>
      </c>
      <c r="E553" s="121">
        <f>ROUND(IF(C553&lt;='FR_Mantenimiento tasas'!$C$55,'Tabla Ahorro Futuro Reservas'!C553*'FR_Mantenimiento tasas'!$E$55/360,IF(C553&lt;='FR_Mantenimiento tasas'!$C$56,'Tabla Ahorro Futuro Reservas'!C553*'FR_Mantenimiento tasas'!$E$56/360,IF(C553&lt;='FR_Mantenimiento tasas'!$C$57,'Tabla Ahorro Futuro Reservas'!C553*'FR_Mantenimiento tasas'!$E$57/360,""))),5)</f>
        <v>0</v>
      </c>
    </row>
    <row r="554" spans="1:5">
      <c r="A554" s="123">
        <f t="shared" si="16"/>
        <v>552</v>
      </c>
      <c r="B554" s="122">
        <f>IF(DAY(A554)=DAY('F-Ahorro Futuro Reservas'!$H$10),'F-Ahorro Futuro Reservas'!$H$9,0)</f>
        <v>0</v>
      </c>
      <c r="C554" s="122">
        <f t="shared" si="17"/>
        <v>0</v>
      </c>
      <c r="D554" s="121">
        <f>ROUND(IF(C554&lt;='FR_Mantenimiento tasas'!$C$55,'Tabla Ahorro Futuro Reservas'!C554*'FR_Mantenimiento tasas'!$D$55/360,IF(C554&lt;='FR_Mantenimiento tasas'!$C$56,'Tabla Ahorro Futuro Reservas'!C554*'FR_Mantenimiento tasas'!$D$56/360,IF(C554&lt;='FR_Mantenimiento tasas'!$C$57,'Tabla Ahorro Futuro Reservas'!C554*'FR_Mantenimiento tasas'!$D$57/360,""))),5)</f>
        <v>0</v>
      </c>
      <c r="E554" s="121">
        <f>ROUND(IF(C554&lt;='FR_Mantenimiento tasas'!$C$55,'Tabla Ahorro Futuro Reservas'!C554*'FR_Mantenimiento tasas'!$E$55/360,IF(C554&lt;='FR_Mantenimiento tasas'!$C$56,'Tabla Ahorro Futuro Reservas'!C554*'FR_Mantenimiento tasas'!$E$56/360,IF(C554&lt;='FR_Mantenimiento tasas'!$C$57,'Tabla Ahorro Futuro Reservas'!C554*'FR_Mantenimiento tasas'!$E$57/360,""))),5)</f>
        <v>0</v>
      </c>
    </row>
    <row r="555" spans="1:5">
      <c r="A555" s="123">
        <f t="shared" si="16"/>
        <v>553</v>
      </c>
      <c r="B555" s="122">
        <f>IF(DAY(A555)=DAY('F-Ahorro Futuro Reservas'!$H$10),'F-Ahorro Futuro Reservas'!$H$9,0)</f>
        <v>0</v>
      </c>
      <c r="C555" s="122">
        <f t="shared" si="17"/>
        <v>0</v>
      </c>
      <c r="D555" s="121">
        <f>ROUND(IF(C555&lt;='FR_Mantenimiento tasas'!$C$55,'Tabla Ahorro Futuro Reservas'!C555*'FR_Mantenimiento tasas'!$D$55/360,IF(C555&lt;='FR_Mantenimiento tasas'!$C$56,'Tabla Ahorro Futuro Reservas'!C555*'FR_Mantenimiento tasas'!$D$56/360,IF(C555&lt;='FR_Mantenimiento tasas'!$C$57,'Tabla Ahorro Futuro Reservas'!C555*'FR_Mantenimiento tasas'!$D$57/360,""))),5)</f>
        <v>0</v>
      </c>
      <c r="E555" s="121">
        <f>ROUND(IF(C555&lt;='FR_Mantenimiento tasas'!$C$55,'Tabla Ahorro Futuro Reservas'!C555*'FR_Mantenimiento tasas'!$E$55/360,IF(C555&lt;='FR_Mantenimiento tasas'!$C$56,'Tabla Ahorro Futuro Reservas'!C555*'FR_Mantenimiento tasas'!$E$56/360,IF(C555&lt;='FR_Mantenimiento tasas'!$C$57,'Tabla Ahorro Futuro Reservas'!C555*'FR_Mantenimiento tasas'!$E$57/360,""))),5)</f>
        <v>0</v>
      </c>
    </row>
    <row r="556" spans="1:5">
      <c r="A556" s="123">
        <f t="shared" si="16"/>
        <v>554</v>
      </c>
      <c r="B556" s="122">
        <f>IF(DAY(A556)=DAY('F-Ahorro Futuro Reservas'!$H$10),'F-Ahorro Futuro Reservas'!$H$9,0)</f>
        <v>0</v>
      </c>
      <c r="C556" s="122">
        <f t="shared" si="17"/>
        <v>0</v>
      </c>
      <c r="D556" s="121">
        <f>ROUND(IF(C556&lt;='FR_Mantenimiento tasas'!$C$55,'Tabla Ahorro Futuro Reservas'!C556*'FR_Mantenimiento tasas'!$D$55/360,IF(C556&lt;='FR_Mantenimiento tasas'!$C$56,'Tabla Ahorro Futuro Reservas'!C556*'FR_Mantenimiento tasas'!$D$56/360,IF(C556&lt;='FR_Mantenimiento tasas'!$C$57,'Tabla Ahorro Futuro Reservas'!C556*'FR_Mantenimiento tasas'!$D$57/360,""))),5)</f>
        <v>0</v>
      </c>
      <c r="E556" s="121">
        <f>ROUND(IF(C556&lt;='FR_Mantenimiento tasas'!$C$55,'Tabla Ahorro Futuro Reservas'!C556*'FR_Mantenimiento tasas'!$E$55/360,IF(C556&lt;='FR_Mantenimiento tasas'!$C$56,'Tabla Ahorro Futuro Reservas'!C556*'FR_Mantenimiento tasas'!$E$56/360,IF(C556&lt;='FR_Mantenimiento tasas'!$C$57,'Tabla Ahorro Futuro Reservas'!C556*'FR_Mantenimiento tasas'!$E$57/360,""))),5)</f>
        <v>0</v>
      </c>
    </row>
    <row r="557" spans="1:5">
      <c r="A557" s="123">
        <f t="shared" si="16"/>
        <v>555</v>
      </c>
      <c r="B557" s="122">
        <f>IF(DAY(A557)=DAY('F-Ahorro Futuro Reservas'!$H$10),'F-Ahorro Futuro Reservas'!$H$9,0)</f>
        <v>0</v>
      </c>
      <c r="C557" s="122">
        <f t="shared" si="17"/>
        <v>0</v>
      </c>
      <c r="D557" s="121">
        <f>ROUND(IF(C557&lt;='FR_Mantenimiento tasas'!$C$55,'Tabla Ahorro Futuro Reservas'!C557*'FR_Mantenimiento tasas'!$D$55/360,IF(C557&lt;='FR_Mantenimiento tasas'!$C$56,'Tabla Ahorro Futuro Reservas'!C557*'FR_Mantenimiento tasas'!$D$56/360,IF(C557&lt;='FR_Mantenimiento tasas'!$C$57,'Tabla Ahorro Futuro Reservas'!C557*'FR_Mantenimiento tasas'!$D$57/360,""))),5)</f>
        <v>0</v>
      </c>
      <c r="E557" s="121">
        <f>ROUND(IF(C557&lt;='FR_Mantenimiento tasas'!$C$55,'Tabla Ahorro Futuro Reservas'!C557*'FR_Mantenimiento tasas'!$E$55/360,IF(C557&lt;='FR_Mantenimiento tasas'!$C$56,'Tabla Ahorro Futuro Reservas'!C557*'FR_Mantenimiento tasas'!$E$56/360,IF(C557&lt;='FR_Mantenimiento tasas'!$C$57,'Tabla Ahorro Futuro Reservas'!C557*'FR_Mantenimiento tasas'!$E$57/360,""))),5)</f>
        <v>0</v>
      </c>
    </row>
    <row r="558" spans="1:5">
      <c r="A558" s="123">
        <f t="shared" si="16"/>
        <v>556</v>
      </c>
      <c r="B558" s="122">
        <f>IF(DAY(A558)=DAY('F-Ahorro Futuro Reservas'!$H$10),'F-Ahorro Futuro Reservas'!$H$9,0)</f>
        <v>0</v>
      </c>
      <c r="C558" s="122">
        <f t="shared" si="17"/>
        <v>0</v>
      </c>
      <c r="D558" s="121">
        <f>ROUND(IF(C558&lt;='FR_Mantenimiento tasas'!$C$55,'Tabla Ahorro Futuro Reservas'!C558*'FR_Mantenimiento tasas'!$D$55/360,IF(C558&lt;='FR_Mantenimiento tasas'!$C$56,'Tabla Ahorro Futuro Reservas'!C558*'FR_Mantenimiento tasas'!$D$56/360,IF(C558&lt;='FR_Mantenimiento tasas'!$C$57,'Tabla Ahorro Futuro Reservas'!C558*'FR_Mantenimiento tasas'!$D$57/360,""))),5)</f>
        <v>0</v>
      </c>
      <c r="E558" s="121">
        <f>ROUND(IF(C558&lt;='FR_Mantenimiento tasas'!$C$55,'Tabla Ahorro Futuro Reservas'!C558*'FR_Mantenimiento tasas'!$E$55/360,IF(C558&lt;='FR_Mantenimiento tasas'!$C$56,'Tabla Ahorro Futuro Reservas'!C558*'FR_Mantenimiento tasas'!$E$56/360,IF(C558&lt;='FR_Mantenimiento tasas'!$C$57,'Tabla Ahorro Futuro Reservas'!C558*'FR_Mantenimiento tasas'!$E$57/360,""))),5)</f>
        <v>0</v>
      </c>
    </row>
    <row r="559" spans="1:5">
      <c r="A559" s="123">
        <f t="shared" si="16"/>
        <v>557</v>
      </c>
      <c r="B559" s="122">
        <f>IF(DAY(A559)=DAY('F-Ahorro Futuro Reservas'!$H$10),'F-Ahorro Futuro Reservas'!$H$9,0)</f>
        <v>0</v>
      </c>
      <c r="C559" s="122">
        <f t="shared" si="17"/>
        <v>0</v>
      </c>
      <c r="D559" s="121">
        <f>ROUND(IF(C559&lt;='FR_Mantenimiento tasas'!$C$55,'Tabla Ahorro Futuro Reservas'!C559*'FR_Mantenimiento tasas'!$D$55/360,IF(C559&lt;='FR_Mantenimiento tasas'!$C$56,'Tabla Ahorro Futuro Reservas'!C559*'FR_Mantenimiento tasas'!$D$56/360,IF(C559&lt;='FR_Mantenimiento tasas'!$C$57,'Tabla Ahorro Futuro Reservas'!C559*'FR_Mantenimiento tasas'!$D$57/360,""))),5)</f>
        <v>0</v>
      </c>
      <c r="E559" s="121">
        <f>ROUND(IF(C559&lt;='FR_Mantenimiento tasas'!$C$55,'Tabla Ahorro Futuro Reservas'!C559*'FR_Mantenimiento tasas'!$E$55/360,IF(C559&lt;='FR_Mantenimiento tasas'!$C$56,'Tabla Ahorro Futuro Reservas'!C559*'FR_Mantenimiento tasas'!$E$56/360,IF(C559&lt;='FR_Mantenimiento tasas'!$C$57,'Tabla Ahorro Futuro Reservas'!C559*'FR_Mantenimiento tasas'!$E$57/360,""))),5)</f>
        <v>0</v>
      </c>
    </row>
    <row r="560" spans="1:5">
      <c r="A560" s="123">
        <f t="shared" si="16"/>
        <v>558</v>
      </c>
      <c r="B560" s="122">
        <f>IF(DAY(A560)=DAY('F-Ahorro Futuro Reservas'!$H$10),'F-Ahorro Futuro Reservas'!$H$9,0)</f>
        <v>0</v>
      </c>
      <c r="C560" s="122">
        <f t="shared" si="17"/>
        <v>0</v>
      </c>
      <c r="D560" s="121">
        <f>ROUND(IF(C560&lt;='FR_Mantenimiento tasas'!$C$55,'Tabla Ahorro Futuro Reservas'!C560*'FR_Mantenimiento tasas'!$D$55/360,IF(C560&lt;='FR_Mantenimiento tasas'!$C$56,'Tabla Ahorro Futuro Reservas'!C560*'FR_Mantenimiento tasas'!$D$56/360,IF(C560&lt;='FR_Mantenimiento tasas'!$C$57,'Tabla Ahorro Futuro Reservas'!C560*'FR_Mantenimiento tasas'!$D$57/360,""))),5)</f>
        <v>0</v>
      </c>
      <c r="E560" s="121">
        <f>ROUND(IF(C560&lt;='FR_Mantenimiento tasas'!$C$55,'Tabla Ahorro Futuro Reservas'!C560*'FR_Mantenimiento tasas'!$E$55/360,IF(C560&lt;='FR_Mantenimiento tasas'!$C$56,'Tabla Ahorro Futuro Reservas'!C560*'FR_Mantenimiento tasas'!$E$56/360,IF(C560&lt;='FR_Mantenimiento tasas'!$C$57,'Tabla Ahorro Futuro Reservas'!C560*'FR_Mantenimiento tasas'!$E$57/360,""))),5)</f>
        <v>0</v>
      </c>
    </row>
    <row r="561" spans="1:5">
      <c r="A561" s="123">
        <f t="shared" si="16"/>
        <v>559</v>
      </c>
      <c r="B561" s="122">
        <f>IF(DAY(A561)=DAY('F-Ahorro Futuro Reservas'!$H$10),'F-Ahorro Futuro Reservas'!$H$9,0)</f>
        <v>0</v>
      </c>
      <c r="C561" s="122">
        <f t="shared" si="17"/>
        <v>0</v>
      </c>
      <c r="D561" s="121">
        <f>ROUND(IF(C561&lt;='FR_Mantenimiento tasas'!$C$55,'Tabla Ahorro Futuro Reservas'!C561*'FR_Mantenimiento tasas'!$D$55/360,IF(C561&lt;='FR_Mantenimiento tasas'!$C$56,'Tabla Ahorro Futuro Reservas'!C561*'FR_Mantenimiento tasas'!$D$56/360,IF(C561&lt;='FR_Mantenimiento tasas'!$C$57,'Tabla Ahorro Futuro Reservas'!C561*'FR_Mantenimiento tasas'!$D$57/360,""))),5)</f>
        <v>0</v>
      </c>
      <c r="E561" s="121">
        <f>ROUND(IF(C561&lt;='FR_Mantenimiento tasas'!$C$55,'Tabla Ahorro Futuro Reservas'!C561*'FR_Mantenimiento tasas'!$E$55/360,IF(C561&lt;='FR_Mantenimiento tasas'!$C$56,'Tabla Ahorro Futuro Reservas'!C561*'FR_Mantenimiento tasas'!$E$56/360,IF(C561&lt;='FR_Mantenimiento tasas'!$C$57,'Tabla Ahorro Futuro Reservas'!C561*'FR_Mantenimiento tasas'!$E$57/360,""))),5)</f>
        <v>0</v>
      </c>
    </row>
    <row r="562" spans="1:5">
      <c r="A562" s="123">
        <f t="shared" si="16"/>
        <v>560</v>
      </c>
      <c r="B562" s="122">
        <f>IF(DAY(A562)=DAY('F-Ahorro Futuro Reservas'!$H$10),'F-Ahorro Futuro Reservas'!$H$9,0)</f>
        <v>0</v>
      </c>
      <c r="C562" s="122">
        <f t="shared" si="17"/>
        <v>0</v>
      </c>
      <c r="D562" s="121">
        <f>ROUND(IF(C562&lt;='FR_Mantenimiento tasas'!$C$55,'Tabla Ahorro Futuro Reservas'!C562*'FR_Mantenimiento tasas'!$D$55/360,IF(C562&lt;='FR_Mantenimiento tasas'!$C$56,'Tabla Ahorro Futuro Reservas'!C562*'FR_Mantenimiento tasas'!$D$56/360,IF(C562&lt;='FR_Mantenimiento tasas'!$C$57,'Tabla Ahorro Futuro Reservas'!C562*'FR_Mantenimiento tasas'!$D$57/360,""))),5)</f>
        <v>0</v>
      </c>
      <c r="E562" s="121">
        <f>ROUND(IF(C562&lt;='FR_Mantenimiento tasas'!$C$55,'Tabla Ahorro Futuro Reservas'!C562*'FR_Mantenimiento tasas'!$E$55/360,IF(C562&lt;='FR_Mantenimiento tasas'!$C$56,'Tabla Ahorro Futuro Reservas'!C562*'FR_Mantenimiento tasas'!$E$56/360,IF(C562&lt;='FR_Mantenimiento tasas'!$C$57,'Tabla Ahorro Futuro Reservas'!C562*'FR_Mantenimiento tasas'!$E$57/360,""))),5)</f>
        <v>0</v>
      </c>
    </row>
    <row r="563" spans="1:5">
      <c r="A563" s="123">
        <f t="shared" si="16"/>
        <v>561</v>
      </c>
      <c r="B563" s="122">
        <f>IF(DAY(A563)=DAY('F-Ahorro Futuro Reservas'!$H$10),'F-Ahorro Futuro Reservas'!$H$9,0)</f>
        <v>0</v>
      </c>
      <c r="C563" s="122">
        <f t="shared" si="17"/>
        <v>0</v>
      </c>
      <c r="D563" s="121">
        <f>ROUND(IF(C563&lt;='FR_Mantenimiento tasas'!$C$55,'Tabla Ahorro Futuro Reservas'!C563*'FR_Mantenimiento tasas'!$D$55/360,IF(C563&lt;='FR_Mantenimiento tasas'!$C$56,'Tabla Ahorro Futuro Reservas'!C563*'FR_Mantenimiento tasas'!$D$56/360,IF(C563&lt;='FR_Mantenimiento tasas'!$C$57,'Tabla Ahorro Futuro Reservas'!C563*'FR_Mantenimiento tasas'!$D$57/360,""))),5)</f>
        <v>0</v>
      </c>
      <c r="E563" s="121">
        <f>ROUND(IF(C563&lt;='FR_Mantenimiento tasas'!$C$55,'Tabla Ahorro Futuro Reservas'!C563*'FR_Mantenimiento tasas'!$E$55/360,IF(C563&lt;='FR_Mantenimiento tasas'!$C$56,'Tabla Ahorro Futuro Reservas'!C563*'FR_Mantenimiento tasas'!$E$56/360,IF(C563&lt;='FR_Mantenimiento tasas'!$C$57,'Tabla Ahorro Futuro Reservas'!C563*'FR_Mantenimiento tasas'!$E$57/360,""))),5)</f>
        <v>0</v>
      </c>
    </row>
    <row r="564" spans="1:5">
      <c r="A564" s="123">
        <f t="shared" si="16"/>
        <v>562</v>
      </c>
      <c r="B564" s="122">
        <f>IF(DAY(A564)=DAY('F-Ahorro Futuro Reservas'!$H$10),'F-Ahorro Futuro Reservas'!$H$9,0)</f>
        <v>0</v>
      </c>
      <c r="C564" s="122">
        <f t="shared" si="17"/>
        <v>0</v>
      </c>
      <c r="D564" s="121">
        <f>ROUND(IF(C564&lt;='FR_Mantenimiento tasas'!$C$55,'Tabla Ahorro Futuro Reservas'!C564*'FR_Mantenimiento tasas'!$D$55/360,IF(C564&lt;='FR_Mantenimiento tasas'!$C$56,'Tabla Ahorro Futuro Reservas'!C564*'FR_Mantenimiento tasas'!$D$56/360,IF(C564&lt;='FR_Mantenimiento tasas'!$C$57,'Tabla Ahorro Futuro Reservas'!C564*'FR_Mantenimiento tasas'!$D$57/360,""))),5)</f>
        <v>0</v>
      </c>
      <c r="E564" s="121">
        <f>ROUND(IF(C564&lt;='FR_Mantenimiento tasas'!$C$55,'Tabla Ahorro Futuro Reservas'!C564*'FR_Mantenimiento tasas'!$E$55/360,IF(C564&lt;='FR_Mantenimiento tasas'!$C$56,'Tabla Ahorro Futuro Reservas'!C564*'FR_Mantenimiento tasas'!$E$56/360,IF(C564&lt;='FR_Mantenimiento tasas'!$C$57,'Tabla Ahorro Futuro Reservas'!C564*'FR_Mantenimiento tasas'!$E$57/360,""))),5)</f>
        <v>0</v>
      </c>
    </row>
    <row r="565" spans="1:5">
      <c r="A565" s="123">
        <f t="shared" si="16"/>
        <v>563</v>
      </c>
      <c r="B565" s="122">
        <f>IF(DAY(A565)=DAY('F-Ahorro Futuro Reservas'!$H$10),'F-Ahorro Futuro Reservas'!$H$9,0)</f>
        <v>0</v>
      </c>
      <c r="C565" s="122">
        <f t="shared" si="17"/>
        <v>0</v>
      </c>
      <c r="D565" s="121">
        <f>ROUND(IF(C565&lt;='FR_Mantenimiento tasas'!$C$55,'Tabla Ahorro Futuro Reservas'!C565*'FR_Mantenimiento tasas'!$D$55/360,IF(C565&lt;='FR_Mantenimiento tasas'!$C$56,'Tabla Ahorro Futuro Reservas'!C565*'FR_Mantenimiento tasas'!$D$56/360,IF(C565&lt;='FR_Mantenimiento tasas'!$C$57,'Tabla Ahorro Futuro Reservas'!C565*'FR_Mantenimiento tasas'!$D$57/360,""))),5)</f>
        <v>0</v>
      </c>
      <c r="E565" s="121">
        <f>ROUND(IF(C565&lt;='FR_Mantenimiento tasas'!$C$55,'Tabla Ahorro Futuro Reservas'!C565*'FR_Mantenimiento tasas'!$E$55/360,IF(C565&lt;='FR_Mantenimiento tasas'!$C$56,'Tabla Ahorro Futuro Reservas'!C565*'FR_Mantenimiento tasas'!$E$56/360,IF(C565&lt;='FR_Mantenimiento tasas'!$C$57,'Tabla Ahorro Futuro Reservas'!C565*'FR_Mantenimiento tasas'!$E$57/360,""))),5)</f>
        <v>0</v>
      </c>
    </row>
    <row r="566" spans="1:5">
      <c r="A566" s="123">
        <f t="shared" si="16"/>
        <v>564</v>
      </c>
      <c r="B566" s="122">
        <f>IF(DAY(A566)=DAY('F-Ahorro Futuro Reservas'!$H$10),'F-Ahorro Futuro Reservas'!$H$9,0)</f>
        <v>0</v>
      </c>
      <c r="C566" s="122">
        <f t="shared" si="17"/>
        <v>0</v>
      </c>
      <c r="D566" s="121">
        <f>ROUND(IF(C566&lt;='FR_Mantenimiento tasas'!$C$55,'Tabla Ahorro Futuro Reservas'!C566*'FR_Mantenimiento tasas'!$D$55/360,IF(C566&lt;='FR_Mantenimiento tasas'!$C$56,'Tabla Ahorro Futuro Reservas'!C566*'FR_Mantenimiento tasas'!$D$56/360,IF(C566&lt;='FR_Mantenimiento tasas'!$C$57,'Tabla Ahorro Futuro Reservas'!C566*'FR_Mantenimiento tasas'!$D$57/360,""))),5)</f>
        <v>0</v>
      </c>
      <c r="E566" s="121">
        <f>ROUND(IF(C566&lt;='FR_Mantenimiento tasas'!$C$55,'Tabla Ahorro Futuro Reservas'!C566*'FR_Mantenimiento tasas'!$E$55/360,IF(C566&lt;='FR_Mantenimiento tasas'!$C$56,'Tabla Ahorro Futuro Reservas'!C566*'FR_Mantenimiento tasas'!$E$56/360,IF(C566&lt;='FR_Mantenimiento tasas'!$C$57,'Tabla Ahorro Futuro Reservas'!C566*'FR_Mantenimiento tasas'!$E$57/360,""))),5)</f>
        <v>0</v>
      </c>
    </row>
    <row r="567" spans="1:5">
      <c r="A567" s="123">
        <f t="shared" si="16"/>
        <v>565</v>
      </c>
      <c r="B567" s="122">
        <f>IF(DAY(A567)=DAY('F-Ahorro Futuro Reservas'!$H$10),'F-Ahorro Futuro Reservas'!$H$9,0)</f>
        <v>0</v>
      </c>
      <c r="C567" s="122">
        <f t="shared" si="17"/>
        <v>0</v>
      </c>
      <c r="D567" s="121">
        <f>ROUND(IF(C567&lt;='FR_Mantenimiento tasas'!$C$55,'Tabla Ahorro Futuro Reservas'!C567*'FR_Mantenimiento tasas'!$D$55/360,IF(C567&lt;='FR_Mantenimiento tasas'!$C$56,'Tabla Ahorro Futuro Reservas'!C567*'FR_Mantenimiento tasas'!$D$56/360,IF(C567&lt;='FR_Mantenimiento tasas'!$C$57,'Tabla Ahorro Futuro Reservas'!C567*'FR_Mantenimiento tasas'!$D$57/360,""))),5)</f>
        <v>0</v>
      </c>
      <c r="E567" s="121">
        <f>ROUND(IF(C567&lt;='FR_Mantenimiento tasas'!$C$55,'Tabla Ahorro Futuro Reservas'!C567*'FR_Mantenimiento tasas'!$E$55/360,IF(C567&lt;='FR_Mantenimiento tasas'!$C$56,'Tabla Ahorro Futuro Reservas'!C567*'FR_Mantenimiento tasas'!$E$56/360,IF(C567&lt;='FR_Mantenimiento tasas'!$C$57,'Tabla Ahorro Futuro Reservas'!C567*'FR_Mantenimiento tasas'!$E$57/360,""))),5)</f>
        <v>0</v>
      </c>
    </row>
    <row r="568" spans="1:5">
      <c r="A568" s="123">
        <f t="shared" si="16"/>
        <v>566</v>
      </c>
      <c r="B568" s="122">
        <f>IF(DAY(A568)=DAY('F-Ahorro Futuro Reservas'!$H$10),'F-Ahorro Futuro Reservas'!$H$9,0)</f>
        <v>0</v>
      </c>
      <c r="C568" s="122">
        <f t="shared" si="17"/>
        <v>0</v>
      </c>
      <c r="D568" s="121">
        <f>ROUND(IF(C568&lt;='FR_Mantenimiento tasas'!$C$55,'Tabla Ahorro Futuro Reservas'!C568*'FR_Mantenimiento tasas'!$D$55/360,IF(C568&lt;='FR_Mantenimiento tasas'!$C$56,'Tabla Ahorro Futuro Reservas'!C568*'FR_Mantenimiento tasas'!$D$56/360,IF(C568&lt;='FR_Mantenimiento tasas'!$C$57,'Tabla Ahorro Futuro Reservas'!C568*'FR_Mantenimiento tasas'!$D$57/360,""))),5)</f>
        <v>0</v>
      </c>
      <c r="E568" s="121">
        <f>ROUND(IF(C568&lt;='FR_Mantenimiento tasas'!$C$55,'Tabla Ahorro Futuro Reservas'!C568*'FR_Mantenimiento tasas'!$E$55/360,IF(C568&lt;='FR_Mantenimiento tasas'!$C$56,'Tabla Ahorro Futuro Reservas'!C568*'FR_Mantenimiento tasas'!$E$56/360,IF(C568&lt;='FR_Mantenimiento tasas'!$C$57,'Tabla Ahorro Futuro Reservas'!C568*'FR_Mantenimiento tasas'!$E$57/360,""))),5)</f>
        <v>0</v>
      </c>
    </row>
    <row r="569" spans="1:5">
      <c r="A569" s="123">
        <f t="shared" si="16"/>
        <v>567</v>
      </c>
      <c r="B569" s="122">
        <f>IF(DAY(A569)=DAY('F-Ahorro Futuro Reservas'!$H$10),'F-Ahorro Futuro Reservas'!$H$9,0)</f>
        <v>0</v>
      </c>
      <c r="C569" s="122">
        <f t="shared" si="17"/>
        <v>0</v>
      </c>
      <c r="D569" s="121">
        <f>ROUND(IF(C569&lt;='FR_Mantenimiento tasas'!$C$55,'Tabla Ahorro Futuro Reservas'!C569*'FR_Mantenimiento tasas'!$D$55/360,IF(C569&lt;='FR_Mantenimiento tasas'!$C$56,'Tabla Ahorro Futuro Reservas'!C569*'FR_Mantenimiento tasas'!$D$56/360,IF(C569&lt;='FR_Mantenimiento tasas'!$C$57,'Tabla Ahorro Futuro Reservas'!C569*'FR_Mantenimiento tasas'!$D$57/360,""))),5)</f>
        <v>0</v>
      </c>
      <c r="E569" s="121">
        <f>ROUND(IF(C569&lt;='FR_Mantenimiento tasas'!$C$55,'Tabla Ahorro Futuro Reservas'!C569*'FR_Mantenimiento tasas'!$E$55/360,IF(C569&lt;='FR_Mantenimiento tasas'!$C$56,'Tabla Ahorro Futuro Reservas'!C569*'FR_Mantenimiento tasas'!$E$56/360,IF(C569&lt;='FR_Mantenimiento tasas'!$C$57,'Tabla Ahorro Futuro Reservas'!C569*'FR_Mantenimiento tasas'!$E$57/360,""))),5)</f>
        <v>0</v>
      </c>
    </row>
    <row r="570" spans="1:5">
      <c r="A570" s="123">
        <f t="shared" si="16"/>
        <v>568</v>
      </c>
      <c r="B570" s="122">
        <f>IF(DAY(A570)=DAY('F-Ahorro Futuro Reservas'!$H$10),'F-Ahorro Futuro Reservas'!$H$9,0)</f>
        <v>0</v>
      </c>
      <c r="C570" s="122">
        <f t="shared" si="17"/>
        <v>0</v>
      </c>
      <c r="D570" s="121">
        <f>ROUND(IF(C570&lt;='FR_Mantenimiento tasas'!$C$55,'Tabla Ahorro Futuro Reservas'!C570*'FR_Mantenimiento tasas'!$D$55/360,IF(C570&lt;='FR_Mantenimiento tasas'!$C$56,'Tabla Ahorro Futuro Reservas'!C570*'FR_Mantenimiento tasas'!$D$56/360,IF(C570&lt;='FR_Mantenimiento tasas'!$C$57,'Tabla Ahorro Futuro Reservas'!C570*'FR_Mantenimiento tasas'!$D$57/360,""))),5)</f>
        <v>0</v>
      </c>
      <c r="E570" s="121">
        <f>ROUND(IF(C570&lt;='FR_Mantenimiento tasas'!$C$55,'Tabla Ahorro Futuro Reservas'!C570*'FR_Mantenimiento tasas'!$E$55/360,IF(C570&lt;='FR_Mantenimiento tasas'!$C$56,'Tabla Ahorro Futuro Reservas'!C570*'FR_Mantenimiento tasas'!$E$56/360,IF(C570&lt;='FR_Mantenimiento tasas'!$C$57,'Tabla Ahorro Futuro Reservas'!C570*'FR_Mantenimiento tasas'!$E$57/360,""))),5)</f>
        <v>0</v>
      </c>
    </row>
    <row r="571" spans="1:5">
      <c r="A571" s="123">
        <f t="shared" si="16"/>
        <v>569</v>
      </c>
      <c r="B571" s="122">
        <f>IF(DAY(A571)=DAY('F-Ahorro Futuro Reservas'!$H$10),'F-Ahorro Futuro Reservas'!$H$9,0)</f>
        <v>0</v>
      </c>
      <c r="C571" s="122">
        <f t="shared" si="17"/>
        <v>0</v>
      </c>
      <c r="D571" s="121">
        <f>ROUND(IF(C571&lt;='FR_Mantenimiento tasas'!$C$55,'Tabla Ahorro Futuro Reservas'!C571*'FR_Mantenimiento tasas'!$D$55/360,IF(C571&lt;='FR_Mantenimiento tasas'!$C$56,'Tabla Ahorro Futuro Reservas'!C571*'FR_Mantenimiento tasas'!$D$56/360,IF(C571&lt;='FR_Mantenimiento tasas'!$C$57,'Tabla Ahorro Futuro Reservas'!C571*'FR_Mantenimiento tasas'!$D$57/360,""))),5)</f>
        <v>0</v>
      </c>
      <c r="E571" s="121">
        <f>ROUND(IF(C571&lt;='FR_Mantenimiento tasas'!$C$55,'Tabla Ahorro Futuro Reservas'!C571*'FR_Mantenimiento tasas'!$E$55/360,IF(C571&lt;='FR_Mantenimiento tasas'!$C$56,'Tabla Ahorro Futuro Reservas'!C571*'FR_Mantenimiento tasas'!$E$56/360,IF(C571&lt;='FR_Mantenimiento tasas'!$C$57,'Tabla Ahorro Futuro Reservas'!C571*'FR_Mantenimiento tasas'!$E$57/360,""))),5)</f>
        <v>0</v>
      </c>
    </row>
    <row r="572" spans="1:5">
      <c r="A572" s="123">
        <f t="shared" si="16"/>
        <v>570</v>
      </c>
      <c r="B572" s="122">
        <f>IF(DAY(A572)=DAY('F-Ahorro Futuro Reservas'!$H$10),'F-Ahorro Futuro Reservas'!$H$9,0)</f>
        <v>0</v>
      </c>
      <c r="C572" s="122">
        <f t="shared" si="17"/>
        <v>0</v>
      </c>
      <c r="D572" s="121">
        <f>ROUND(IF(C572&lt;='FR_Mantenimiento tasas'!$C$55,'Tabla Ahorro Futuro Reservas'!C572*'FR_Mantenimiento tasas'!$D$55/360,IF(C572&lt;='FR_Mantenimiento tasas'!$C$56,'Tabla Ahorro Futuro Reservas'!C572*'FR_Mantenimiento tasas'!$D$56/360,IF(C572&lt;='FR_Mantenimiento tasas'!$C$57,'Tabla Ahorro Futuro Reservas'!C572*'FR_Mantenimiento tasas'!$D$57/360,""))),5)</f>
        <v>0</v>
      </c>
      <c r="E572" s="121">
        <f>ROUND(IF(C572&lt;='FR_Mantenimiento tasas'!$C$55,'Tabla Ahorro Futuro Reservas'!C572*'FR_Mantenimiento tasas'!$E$55/360,IF(C572&lt;='FR_Mantenimiento tasas'!$C$56,'Tabla Ahorro Futuro Reservas'!C572*'FR_Mantenimiento tasas'!$E$56/360,IF(C572&lt;='FR_Mantenimiento tasas'!$C$57,'Tabla Ahorro Futuro Reservas'!C572*'FR_Mantenimiento tasas'!$E$57/360,""))),5)</f>
        <v>0</v>
      </c>
    </row>
    <row r="573" spans="1:5">
      <c r="A573" s="123">
        <f t="shared" si="16"/>
        <v>571</v>
      </c>
      <c r="B573" s="122">
        <f>IF(DAY(A573)=DAY('F-Ahorro Futuro Reservas'!$H$10),'F-Ahorro Futuro Reservas'!$H$9,0)</f>
        <v>0</v>
      </c>
      <c r="C573" s="122">
        <f t="shared" si="17"/>
        <v>0</v>
      </c>
      <c r="D573" s="121">
        <f>ROUND(IF(C573&lt;='FR_Mantenimiento tasas'!$C$55,'Tabla Ahorro Futuro Reservas'!C573*'FR_Mantenimiento tasas'!$D$55/360,IF(C573&lt;='FR_Mantenimiento tasas'!$C$56,'Tabla Ahorro Futuro Reservas'!C573*'FR_Mantenimiento tasas'!$D$56/360,IF(C573&lt;='FR_Mantenimiento tasas'!$C$57,'Tabla Ahorro Futuro Reservas'!C573*'FR_Mantenimiento tasas'!$D$57/360,""))),5)</f>
        <v>0</v>
      </c>
      <c r="E573" s="121">
        <f>ROUND(IF(C573&lt;='FR_Mantenimiento tasas'!$C$55,'Tabla Ahorro Futuro Reservas'!C573*'FR_Mantenimiento tasas'!$E$55/360,IF(C573&lt;='FR_Mantenimiento tasas'!$C$56,'Tabla Ahorro Futuro Reservas'!C573*'FR_Mantenimiento tasas'!$E$56/360,IF(C573&lt;='FR_Mantenimiento tasas'!$C$57,'Tabla Ahorro Futuro Reservas'!C573*'FR_Mantenimiento tasas'!$E$57/360,""))),5)</f>
        <v>0</v>
      </c>
    </row>
    <row r="574" spans="1:5">
      <c r="A574" s="123">
        <f t="shared" si="16"/>
        <v>572</v>
      </c>
      <c r="B574" s="122">
        <f>IF(DAY(A574)=DAY('F-Ahorro Futuro Reservas'!$H$10),'F-Ahorro Futuro Reservas'!$H$9,0)</f>
        <v>0</v>
      </c>
      <c r="C574" s="122">
        <f t="shared" si="17"/>
        <v>0</v>
      </c>
      <c r="D574" s="121">
        <f>ROUND(IF(C574&lt;='FR_Mantenimiento tasas'!$C$55,'Tabla Ahorro Futuro Reservas'!C574*'FR_Mantenimiento tasas'!$D$55/360,IF(C574&lt;='FR_Mantenimiento tasas'!$C$56,'Tabla Ahorro Futuro Reservas'!C574*'FR_Mantenimiento tasas'!$D$56/360,IF(C574&lt;='FR_Mantenimiento tasas'!$C$57,'Tabla Ahorro Futuro Reservas'!C574*'FR_Mantenimiento tasas'!$D$57/360,""))),5)</f>
        <v>0</v>
      </c>
      <c r="E574" s="121">
        <f>ROUND(IF(C574&lt;='FR_Mantenimiento tasas'!$C$55,'Tabla Ahorro Futuro Reservas'!C574*'FR_Mantenimiento tasas'!$E$55/360,IF(C574&lt;='FR_Mantenimiento tasas'!$C$56,'Tabla Ahorro Futuro Reservas'!C574*'FR_Mantenimiento tasas'!$E$56/360,IF(C574&lt;='FR_Mantenimiento tasas'!$C$57,'Tabla Ahorro Futuro Reservas'!C574*'FR_Mantenimiento tasas'!$E$57/360,""))),5)</f>
        <v>0</v>
      </c>
    </row>
    <row r="575" spans="1:5">
      <c r="A575" s="123">
        <f t="shared" si="16"/>
        <v>573</v>
      </c>
      <c r="B575" s="122">
        <f>IF(DAY(A575)=DAY('F-Ahorro Futuro Reservas'!$H$10),'F-Ahorro Futuro Reservas'!$H$9,0)</f>
        <v>0</v>
      </c>
      <c r="C575" s="122">
        <f t="shared" si="17"/>
        <v>0</v>
      </c>
      <c r="D575" s="121">
        <f>ROUND(IF(C575&lt;='FR_Mantenimiento tasas'!$C$55,'Tabla Ahorro Futuro Reservas'!C575*'FR_Mantenimiento tasas'!$D$55/360,IF(C575&lt;='FR_Mantenimiento tasas'!$C$56,'Tabla Ahorro Futuro Reservas'!C575*'FR_Mantenimiento tasas'!$D$56/360,IF(C575&lt;='FR_Mantenimiento tasas'!$C$57,'Tabla Ahorro Futuro Reservas'!C575*'FR_Mantenimiento tasas'!$D$57/360,""))),5)</f>
        <v>0</v>
      </c>
      <c r="E575" s="121">
        <f>ROUND(IF(C575&lt;='FR_Mantenimiento tasas'!$C$55,'Tabla Ahorro Futuro Reservas'!C575*'FR_Mantenimiento tasas'!$E$55/360,IF(C575&lt;='FR_Mantenimiento tasas'!$C$56,'Tabla Ahorro Futuro Reservas'!C575*'FR_Mantenimiento tasas'!$E$56/360,IF(C575&lt;='FR_Mantenimiento tasas'!$C$57,'Tabla Ahorro Futuro Reservas'!C575*'FR_Mantenimiento tasas'!$E$57/360,""))),5)</f>
        <v>0</v>
      </c>
    </row>
    <row r="576" spans="1:5">
      <c r="A576" s="123">
        <f t="shared" si="16"/>
        <v>574</v>
      </c>
      <c r="B576" s="122">
        <f>IF(DAY(A576)=DAY('F-Ahorro Futuro Reservas'!$H$10),'F-Ahorro Futuro Reservas'!$H$9,0)</f>
        <v>0</v>
      </c>
      <c r="C576" s="122">
        <f t="shared" si="17"/>
        <v>0</v>
      </c>
      <c r="D576" s="121">
        <f>ROUND(IF(C576&lt;='FR_Mantenimiento tasas'!$C$55,'Tabla Ahorro Futuro Reservas'!C576*'FR_Mantenimiento tasas'!$D$55/360,IF(C576&lt;='FR_Mantenimiento tasas'!$C$56,'Tabla Ahorro Futuro Reservas'!C576*'FR_Mantenimiento tasas'!$D$56/360,IF(C576&lt;='FR_Mantenimiento tasas'!$C$57,'Tabla Ahorro Futuro Reservas'!C576*'FR_Mantenimiento tasas'!$D$57/360,""))),5)</f>
        <v>0</v>
      </c>
      <c r="E576" s="121">
        <f>ROUND(IF(C576&lt;='FR_Mantenimiento tasas'!$C$55,'Tabla Ahorro Futuro Reservas'!C576*'FR_Mantenimiento tasas'!$E$55/360,IF(C576&lt;='FR_Mantenimiento tasas'!$C$56,'Tabla Ahorro Futuro Reservas'!C576*'FR_Mantenimiento tasas'!$E$56/360,IF(C576&lt;='FR_Mantenimiento tasas'!$C$57,'Tabla Ahorro Futuro Reservas'!C576*'FR_Mantenimiento tasas'!$E$57/360,""))),5)</f>
        <v>0</v>
      </c>
    </row>
    <row r="577" spans="1:5">
      <c r="A577" s="123">
        <f t="shared" si="16"/>
        <v>575</v>
      </c>
      <c r="B577" s="122">
        <f>IF(DAY(A577)=DAY('F-Ahorro Futuro Reservas'!$H$10),'F-Ahorro Futuro Reservas'!$H$9,0)</f>
        <v>0</v>
      </c>
      <c r="C577" s="122">
        <f t="shared" si="17"/>
        <v>0</v>
      </c>
      <c r="D577" s="121">
        <f>ROUND(IF(C577&lt;='FR_Mantenimiento tasas'!$C$55,'Tabla Ahorro Futuro Reservas'!C577*'FR_Mantenimiento tasas'!$D$55/360,IF(C577&lt;='FR_Mantenimiento tasas'!$C$56,'Tabla Ahorro Futuro Reservas'!C577*'FR_Mantenimiento tasas'!$D$56/360,IF(C577&lt;='FR_Mantenimiento tasas'!$C$57,'Tabla Ahorro Futuro Reservas'!C577*'FR_Mantenimiento tasas'!$D$57/360,""))),5)</f>
        <v>0</v>
      </c>
      <c r="E577" s="121">
        <f>ROUND(IF(C577&lt;='FR_Mantenimiento tasas'!$C$55,'Tabla Ahorro Futuro Reservas'!C577*'FR_Mantenimiento tasas'!$E$55/360,IF(C577&lt;='FR_Mantenimiento tasas'!$C$56,'Tabla Ahorro Futuro Reservas'!C577*'FR_Mantenimiento tasas'!$E$56/360,IF(C577&lt;='FR_Mantenimiento tasas'!$C$57,'Tabla Ahorro Futuro Reservas'!C577*'FR_Mantenimiento tasas'!$E$57/360,""))),5)</f>
        <v>0</v>
      </c>
    </row>
    <row r="578" spans="1:5">
      <c r="A578" s="123">
        <f t="shared" si="16"/>
        <v>576</v>
      </c>
      <c r="B578" s="122">
        <f>IF(DAY(A578)=DAY('F-Ahorro Futuro Reservas'!$H$10),'F-Ahorro Futuro Reservas'!$H$9,0)</f>
        <v>0</v>
      </c>
      <c r="C578" s="122">
        <f t="shared" si="17"/>
        <v>0</v>
      </c>
      <c r="D578" s="121">
        <f>ROUND(IF(C578&lt;='FR_Mantenimiento tasas'!$C$55,'Tabla Ahorro Futuro Reservas'!C578*'FR_Mantenimiento tasas'!$D$55/360,IF(C578&lt;='FR_Mantenimiento tasas'!$C$56,'Tabla Ahorro Futuro Reservas'!C578*'FR_Mantenimiento tasas'!$D$56/360,IF(C578&lt;='FR_Mantenimiento tasas'!$C$57,'Tabla Ahorro Futuro Reservas'!C578*'FR_Mantenimiento tasas'!$D$57/360,""))),5)</f>
        <v>0</v>
      </c>
      <c r="E578" s="121">
        <f>ROUND(IF(C578&lt;='FR_Mantenimiento tasas'!$C$55,'Tabla Ahorro Futuro Reservas'!C578*'FR_Mantenimiento tasas'!$E$55/360,IF(C578&lt;='FR_Mantenimiento tasas'!$C$56,'Tabla Ahorro Futuro Reservas'!C578*'FR_Mantenimiento tasas'!$E$56/360,IF(C578&lt;='FR_Mantenimiento tasas'!$C$57,'Tabla Ahorro Futuro Reservas'!C578*'FR_Mantenimiento tasas'!$E$57/360,""))),5)</f>
        <v>0</v>
      </c>
    </row>
    <row r="579" spans="1:5">
      <c r="A579" s="123">
        <f t="shared" si="16"/>
        <v>577</v>
      </c>
      <c r="B579" s="122">
        <f>IF(DAY(A579)=DAY('F-Ahorro Futuro Reservas'!$H$10),'F-Ahorro Futuro Reservas'!$H$9,0)</f>
        <v>0</v>
      </c>
      <c r="C579" s="122">
        <f t="shared" si="17"/>
        <v>0</v>
      </c>
      <c r="D579" s="121">
        <f>ROUND(IF(C579&lt;='FR_Mantenimiento tasas'!$C$55,'Tabla Ahorro Futuro Reservas'!C579*'FR_Mantenimiento tasas'!$D$55/360,IF(C579&lt;='FR_Mantenimiento tasas'!$C$56,'Tabla Ahorro Futuro Reservas'!C579*'FR_Mantenimiento tasas'!$D$56/360,IF(C579&lt;='FR_Mantenimiento tasas'!$C$57,'Tabla Ahorro Futuro Reservas'!C579*'FR_Mantenimiento tasas'!$D$57/360,""))),5)</f>
        <v>0</v>
      </c>
      <c r="E579" s="121">
        <f>ROUND(IF(C579&lt;='FR_Mantenimiento tasas'!$C$55,'Tabla Ahorro Futuro Reservas'!C579*'FR_Mantenimiento tasas'!$E$55/360,IF(C579&lt;='FR_Mantenimiento tasas'!$C$56,'Tabla Ahorro Futuro Reservas'!C579*'FR_Mantenimiento tasas'!$E$56/360,IF(C579&lt;='FR_Mantenimiento tasas'!$C$57,'Tabla Ahorro Futuro Reservas'!C579*'FR_Mantenimiento tasas'!$E$57/360,""))),5)</f>
        <v>0</v>
      </c>
    </row>
    <row r="580" spans="1:5">
      <c r="A580" s="123">
        <f t="shared" ref="A580:A643" si="18">+A579+1</f>
        <v>578</v>
      </c>
      <c r="B580" s="122">
        <f>IF(DAY(A580)=DAY('F-Ahorro Futuro Reservas'!$H$10),'F-Ahorro Futuro Reservas'!$H$9,0)</f>
        <v>0</v>
      </c>
      <c r="C580" s="122">
        <f t="shared" ref="C580:C643" si="19">+B580+C579+D579</f>
        <v>0</v>
      </c>
      <c r="D580" s="121">
        <f>ROUND(IF(C580&lt;='FR_Mantenimiento tasas'!$C$55,'Tabla Ahorro Futuro Reservas'!C580*'FR_Mantenimiento tasas'!$D$55/360,IF(C580&lt;='FR_Mantenimiento tasas'!$C$56,'Tabla Ahorro Futuro Reservas'!C580*'FR_Mantenimiento tasas'!$D$56/360,IF(C580&lt;='FR_Mantenimiento tasas'!$C$57,'Tabla Ahorro Futuro Reservas'!C580*'FR_Mantenimiento tasas'!$D$57/360,""))),5)</f>
        <v>0</v>
      </c>
      <c r="E580" s="121">
        <f>ROUND(IF(C580&lt;='FR_Mantenimiento tasas'!$C$55,'Tabla Ahorro Futuro Reservas'!C580*'FR_Mantenimiento tasas'!$E$55/360,IF(C580&lt;='FR_Mantenimiento tasas'!$C$56,'Tabla Ahorro Futuro Reservas'!C580*'FR_Mantenimiento tasas'!$E$56/360,IF(C580&lt;='FR_Mantenimiento tasas'!$C$57,'Tabla Ahorro Futuro Reservas'!C580*'FR_Mantenimiento tasas'!$E$57/360,""))),5)</f>
        <v>0</v>
      </c>
    </row>
    <row r="581" spans="1:5">
      <c r="A581" s="123">
        <f t="shared" si="18"/>
        <v>579</v>
      </c>
      <c r="B581" s="122">
        <f>IF(DAY(A581)=DAY('F-Ahorro Futuro Reservas'!$H$10),'F-Ahorro Futuro Reservas'!$H$9,0)</f>
        <v>0</v>
      </c>
      <c r="C581" s="122">
        <f t="shared" si="19"/>
        <v>0</v>
      </c>
      <c r="D581" s="121">
        <f>ROUND(IF(C581&lt;='FR_Mantenimiento tasas'!$C$55,'Tabla Ahorro Futuro Reservas'!C581*'FR_Mantenimiento tasas'!$D$55/360,IF(C581&lt;='FR_Mantenimiento tasas'!$C$56,'Tabla Ahorro Futuro Reservas'!C581*'FR_Mantenimiento tasas'!$D$56/360,IF(C581&lt;='FR_Mantenimiento tasas'!$C$57,'Tabla Ahorro Futuro Reservas'!C581*'FR_Mantenimiento tasas'!$D$57/360,""))),5)</f>
        <v>0</v>
      </c>
      <c r="E581" s="121">
        <f>ROUND(IF(C581&lt;='FR_Mantenimiento tasas'!$C$55,'Tabla Ahorro Futuro Reservas'!C581*'FR_Mantenimiento tasas'!$E$55/360,IF(C581&lt;='FR_Mantenimiento tasas'!$C$56,'Tabla Ahorro Futuro Reservas'!C581*'FR_Mantenimiento tasas'!$E$56/360,IF(C581&lt;='FR_Mantenimiento tasas'!$C$57,'Tabla Ahorro Futuro Reservas'!C581*'FR_Mantenimiento tasas'!$E$57/360,""))),5)</f>
        <v>0</v>
      </c>
    </row>
    <row r="582" spans="1:5">
      <c r="A582" s="123">
        <f t="shared" si="18"/>
        <v>580</v>
      </c>
      <c r="B582" s="122">
        <f>IF(DAY(A582)=DAY('F-Ahorro Futuro Reservas'!$H$10),'F-Ahorro Futuro Reservas'!$H$9,0)</f>
        <v>0</v>
      </c>
      <c r="C582" s="122">
        <f t="shared" si="19"/>
        <v>0</v>
      </c>
      <c r="D582" s="121">
        <f>ROUND(IF(C582&lt;='FR_Mantenimiento tasas'!$C$55,'Tabla Ahorro Futuro Reservas'!C582*'FR_Mantenimiento tasas'!$D$55/360,IF(C582&lt;='FR_Mantenimiento tasas'!$C$56,'Tabla Ahorro Futuro Reservas'!C582*'FR_Mantenimiento tasas'!$D$56/360,IF(C582&lt;='FR_Mantenimiento tasas'!$C$57,'Tabla Ahorro Futuro Reservas'!C582*'FR_Mantenimiento tasas'!$D$57/360,""))),5)</f>
        <v>0</v>
      </c>
      <c r="E582" s="121">
        <f>ROUND(IF(C582&lt;='FR_Mantenimiento tasas'!$C$55,'Tabla Ahorro Futuro Reservas'!C582*'FR_Mantenimiento tasas'!$E$55/360,IF(C582&lt;='FR_Mantenimiento tasas'!$C$56,'Tabla Ahorro Futuro Reservas'!C582*'FR_Mantenimiento tasas'!$E$56/360,IF(C582&lt;='FR_Mantenimiento tasas'!$C$57,'Tabla Ahorro Futuro Reservas'!C582*'FR_Mantenimiento tasas'!$E$57/360,""))),5)</f>
        <v>0</v>
      </c>
    </row>
    <row r="583" spans="1:5">
      <c r="A583" s="123">
        <f t="shared" si="18"/>
        <v>581</v>
      </c>
      <c r="B583" s="122">
        <f>IF(DAY(A583)=DAY('F-Ahorro Futuro Reservas'!$H$10),'F-Ahorro Futuro Reservas'!$H$9,0)</f>
        <v>0</v>
      </c>
      <c r="C583" s="122">
        <f t="shared" si="19"/>
        <v>0</v>
      </c>
      <c r="D583" s="121">
        <f>ROUND(IF(C583&lt;='FR_Mantenimiento tasas'!$C$55,'Tabla Ahorro Futuro Reservas'!C583*'FR_Mantenimiento tasas'!$D$55/360,IF(C583&lt;='FR_Mantenimiento tasas'!$C$56,'Tabla Ahorro Futuro Reservas'!C583*'FR_Mantenimiento tasas'!$D$56/360,IF(C583&lt;='FR_Mantenimiento tasas'!$C$57,'Tabla Ahorro Futuro Reservas'!C583*'FR_Mantenimiento tasas'!$D$57/360,""))),5)</f>
        <v>0</v>
      </c>
      <c r="E583" s="121">
        <f>ROUND(IF(C583&lt;='FR_Mantenimiento tasas'!$C$55,'Tabla Ahorro Futuro Reservas'!C583*'FR_Mantenimiento tasas'!$E$55/360,IF(C583&lt;='FR_Mantenimiento tasas'!$C$56,'Tabla Ahorro Futuro Reservas'!C583*'FR_Mantenimiento tasas'!$E$56/360,IF(C583&lt;='FR_Mantenimiento tasas'!$C$57,'Tabla Ahorro Futuro Reservas'!C583*'FR_Mantenimiento tasas'!$E$57/360,""))),5)</f>
        <v>0</v>
      </c>
    </row>
    <row r="584" spans="1:5">
      <c r="A584" s="123">
        <f t="shared" si="18"/>
        <v>582</v>
      </c>
      <c r="B584" s="122">
        <f>IF(DAY(A584)=DAY('F-Ahorro Futuro Reservas'!$H$10),'F-Ahorro Futuro Reservas'!$H$9,0)</f>
        <v>0</v>
      </c>
      <c r="C584" s="122">
        <f t="shared" si="19"/>
        <v>0</v>
      </c>
      <c r="D584" s="121">
        <f>ROUND(IF(C584&lt;='FR_Mantenimiento tasas'!$C$55,'Tabla Ahorro Futuro Reservas'!C584*'FR_Mantenimiento tasas'!$D$55/360,IF(C584&lt;='FR_Mantenimiento tasas'!$C$56,'Tabla Ahorro Futuro Reservas'!C584*'FR_Mantenimiento tasas'!$D$56/360,IF(C584&lt;='FR_Mantenimiento tasas'!$C$57,'Tabla Ahorro Futuro Reservas'!C584*'FR_Mantenimiento tasas'!$D$57/360,""))),5)</f>
        <v>0</v>
      </c>
      <c r="E584" s="121">
        <f>ROUND(IF(C584&lt;='FR_Mantenimiento tasas'!$C$55,'Tabla Ahorro Futuro Reservas'!C584*'FR_Mantenimiento tasas'!$E$55/360,IF(C584&lt;='FR_Mantenimiento tasas'!$C$56,'Tabla Ahorro Futuro Reservas'!C584*'FR_Mantenimiento tasas'!$E$56/360,IF(C584&lt;='FR_Mantenimiento tasas'!$C$57,'Tabla Ahorro Futuro Reservas'!C584*'FR_Mantenimiento tasas'!$E$57/360,""))),5)</f>
        <v>0</v>
      </c>
    </row>
    <row r="585" spans="1:5">
      <c r="A585" s="123">
        <f t="shared" si="18"/>
        <v>583</v>
      </c>
      <c r="B585" s="122">
        <f>IF(DAY(A585)=DAY('F-Ahorro Futuro Reservas'!$H$10),'F-Ahorro Futuro Reservas'!$H$9,0)</f>
        <v>0</v>
      </c>
      <c r="C585" s="122">
        <f t="shared" si="19"/>
        <v>0</v>
      </c>
      <c r="D585" s="121">
        <f>ROUND(IF(C585&lt;='FR_Mantenimiento tasas'!$C$55,'Tabla Ahorro Futuro Reservas'!C585*'FR_Mantenimiento tasas'!$D$55/360,IF(C585&lt;='FR_Mantenimiento tasas'!$C$56,'Tabla Ahorro Futuro Reservas'!C585*'FR_Mantenimiento tasas'!$D$56/360,IF(C585&lt;='FR_Mantenimiento tasas'!$C$57,'Tabla Ahorro Futuro Reservas'!C585*'FR_Mantenimiento tasas'!$D$57/360,""))),5)</f>
        <v>0</v>
      </c>
      <c r="E585" s="121">
        <f>ROUND(IF(C585&lt;='FR_Mantenimiento tasas'!$C$55,'Tabla Ahorro Futuro Reservas'!C585*'FR_Mantenimiento tasas'!$E$55/360,IF(C585&lt;='FR_Mantenimiento tasas'!$C$56,'Tabla Ahorro Futuro Reservas'!C585*'FR_Mantenimiento tasas'!$E$56/360,IF(C585&lt;='FR_Mantenimiento tasas'!$C$57,'Tabla Ahorro Futuro Reservas'!C585*'FR_Mantenimiento tasas'!$E$57/360,""))),5)</f>
        <v>0</v>
      </c>
    </row>
    <row r="586" spans="1:5">
      <c r="A586" s="123">
        <f t="shared" si="18"/>
        <v>584</v>
      </c>
      <c r="B586" s="122">
        <f>IF(DAY(A586)=DAY('F-Ahorro Futuro Reservas'!$H$10),'F-Ahorro Futuro Reservas'!$H$9,0)</f>
        <v>0</v>
      </c>
      <c r="C586" s="122">
        <f t="shared" si="19"/>
        <v>0</v>
      </c>
      <c r="D586" s="121">
        <f>ROUND(IF(C586&lt;='FR_Mantenimiento tasas'!$C$55,'Tabla Ahorro Futuro Reservas'!C586*'FR_Mantenimiento tasas'!$D$55/360,IF(C586&lt;='FR_Mantenimiento tasas'!$C$56,'Tabla Ahorro Futuro Reservas'!C586*'FR_Mantenimiento tasas'!$D$56/360,IF(C586&lt;='FR_Mantenimiento tasas'!$C$57,'Tabla Ahorro Futuro Reservas'!C586*'FR_Mantenimiento tasas'!$D$57/360,""))),5)</f>
        <v>0</v>
      </c>
      <c r="E586" s="121">
        <f>ROUND(IF(C586&lt;='FR_Mantenimiento tasas'!$C$55,'Tabla Ahorro Futuro Reservas'!C586*'FR_Mantenimiento tasas'!$E$55/360,IF(C586&lt;='FR_Mantenimiento tasas'!$C$56,'Tabla Ahorro Futuro Reservas'!C586*'FR_Mantenimiento tasas'!$E$56/360,IF(C586&lt;='FR_Mantenimiento tasas'!$C$57,'Tabla Ahorro Futuro Reservas'!C586*'FR_Mantenimiento tasas'!$E$57/360,""))),5)</f>
        <v>0</v>
      </c>
    </row>
    <row r="587" spans="1:5">
      <c r="A587" s="123">
        <f t="shared" si="18"/>
        <v>585</v>
      </c>
      <c r="B587" s="122">
        <f>IF(DAY(A587)=DAY('F-Ahorro Futuro Reservas'!$H$10),'F-Ahorro Futuro Reservas'!$H$9,0)</f>
        <v>0</v>
      </c>
      <c r="C587" s="122">
        <f t="shared" si="19"/>
        <v>0</v>
      </c>
      <c r="D587" s="121">
        <f>ROUND(IF(C587&lt;='FR_Mantenimiento tasas'!$C$55,'Tabla Ahorro Futuro Reservas'!C587*'FR_Mantenimiento tasas'!$D$55/360,IF(C587&lt;='FR_Mantenimiento tasas'!$C$56,'Tabla Ahorro Futuro Reservas'!C587*'FR_Mantenimiento tasas'!$D$56/360,IF(C587&lt;='FR_Mantenimiento tasas'!$C$57,'Tabla Ahorro Futuro Reservas'!C587*'FR_Mantenimiento tasas'!$D$57/360,""))),5)</f>
        <v>0</v>
      </c>
      <c r="E587" s="121">
        <f>ROUND(IF(C587&lt;='FR_Mantenimiento tasas'!$C$55,'Tabla Ahorro Futuro Reservas'!C587*'FR_Mantenimiento tasas'!$E$55/360,IF(C587&lt;='FR_Mantenimiento tasas'!$C$56,'Tabla Ahorro Futuro Reservas'!C587*'FR_Mantenimiento tasas'!$E$56/360,IF(C587&lt;='FR_Mantenimiento tasas'!$C$57,'Tabla Ahorro Futuro Reservas'!C587*'FR_Mantenimiento tasas'!$E$57/360,""))),5)</f>
        <v>0</v>
      </c>
    </row>
    <row r="588" spans="1:5">
      <c r="A588" s="123">
        <f t="shared" si="18"/>
        <v>586</v>
      </c>
      <c r="B588" s="122">
        <f>IF(DAY(A588)=DAY('F-Ahorro Futuro Reservas'!$H$10),'F-Ahorro Futuro Reservas'!$H$9,0)</f>
        <v>0</v>
      </c>
      <c r="C588" s="122">
        <f t="shared" si="19"/>
        <v>0</v>
      </c>
      <c r="D588" s="121">
        <f>ROUND(IF(C588&lt;='FR_Mantenimiento tasas'!$C$55,'Tabla Ahorro Futuro Reservas'!C588*'FR_Mantenimiento tasas'!$D$55/360,IF(C588&lt;='FR_Mantenimiento tasas'!$C$56,'Tabla Ahorro Futuro Reservas'!C588*'FR_Mantenimiento tasas'!$D$56/360,IF(C588&lt;='FR_Mantenimiento tasas'!$C$57,'Tabla Ahorro Futuro Reservas'!C588*'FR_Mantenimiento tasas'!$D$57/360,""))),5)</f>
        <v>0</v>
      </c>
      <c r="E588" s="121">
        <f>ROUND(IF(C588&lt;='FR_Mantenimiento tasas'!$C$55,'Tabla Ahorro Futuro Reservas'!C588*'FR_Mantenimiento tasas'!$E$55/360,IF(C588&lt;='FR_Mantenimiento tasas'!$C$56,'Tabla Ahorro Futuro Reservas'!C588*'FR_Mantenimiento tasas'!$E$56/360,IF(C588&lt;='FR_Mantenimiento tasas'!$C$57,'Tabla Ahorro Futuro Reservas'!C588*'FR_Mantenimiento tasas'!$E$57/360,""))),5)</f>
        <v>0</v>
      </c>
    </row>
    <row r="589" spans="1:5">
      <c r="A589" s="123">
        <f t="shared" si="18"/>
        <v>587</v>
      </c>
      <c r="B589" s="122">
        <f>IF(DAY(A589)=DAY('F-Ahorro Futuro Reservas'!$H$10),'F-Ahorro Futuro Reservas'!$H$9,0)</f>
        <v>0</v>
      </c>
      <c r="C589" s="122">
        <f t="shared" si="19"/>
        <v>0</v>
      </c>
      <c r="D589" s="121">
        <f>ROUND(IF(C589&lt;='FR_Mantenimiento tasas'!$C$55,'Tabla Ahorro Futuro Reservas'!C589*'FR_Mantenimiento tasas'!$D$55/360,IF(C589&lt;='FR_Mantenimiento tasas'!$C$56,'Tabla Ahorro Futuro Reservas'!C589*'FR_Mantenimiento tasas'!$D$56/360,IF(C589&lt;='FR_Mantenimiento tasas'!$C$57,'Tabla Ahorro Futuro Reservas'!C589*'FR_Mantenimiento tasas'!$D$57/360,""))),5)</f>
        <v>0</v>
      </c>
      <c r="E589" s="121">
        <f>ROUND(IF(C589&lt;='FR_Mantenimiento tasas'!$C$55,'Tabla Ahorro Futuro Reservas'!C589*'FR_Mantenimiento tasas'!$E$55/360,IF(C589&lt;='FR_Mantenimiento tasas'!$C$56,'Tabla Ahorro Futuro Reservas'!C589*'FR_Mantenimiento tasas'!$E$56/360,IF(C589&lt;='FR_Mantenimiento tasas'!$C$57,'Tabla Ahorro Futuro Reservas'!C589*'FR_Mantenimiento tasas'!$E$57/360,""))),5)</f>
        <v>0</v>
      </c>
    </row>
    <row r="590" spans="1:5">
      <c r="A590" s="123">
        <f t="shared" si="18"/>
        <v>588</v>
      </c>
      <c r="B590" s="122">
        <f>IF(DAY(A590)=DAY('F-Ahorro Futuro Reservas'!$H$10),'F-Ahorro Futuro Reservas'!$H$9,0)</f>
        <v>0</v>
      </c>
      <c r="C590" s="122">
        <f t="shared" si="19"/>
        <v>0</v>
      </c>
      <c r="D590" s="121">
        <f>ROUND(IF(C590&lt;='FR_Mantenimiento tasas'!$C$55,'Tabla Ahorro Futuro Reservas'!C590*'FR_Mantenimiento tasas'!$D$55/360,IF(C590&lt;='FR_Mantenimiento tasas'!$C$56,'Tabla Ahorro Futuro Reservas'!C590*'FR_Mantenimiento tasas'!$D$56/360,IF(C590&lt;='FR_Mantenimiento tasas'!$C$57,'Tabla Ahorro Futuro Reservas'!C590*'FR_Mantenimiento tasas'!$D$57/360,""))),5)</f>
        <v>0</v>
      </c>
      <c r="E590" s="121">
        <f>ROUND(IF(C590&lt;='FR_Mantenimiento tasas'!$C$55,'Tabla Ahorro Futuro Reservas'!C590*'FR_Mantenimiento tasas'!$E$55/360,IF(C590&lt;='FR_Mantenimiento tasas'!$C$56,'Tabla Ahorro Futuro Reservas'!C590*'FR_Mantenimiento tasas'!$E$56/360,IF(C590&lt;='FR_Mantenimiento tasas'!$C$57,'Tabla Ahorro Futuro Reservas'!C590*'FR_Mantenimiento tasas'!$E$57/360,""))),5)</f>
        <v>0</v>
      </c>
    </row>
    <row r="591" spans="1:5">
      <c r="A591" s="123">
        <f t="shared" si="18"/>
        <v>589</v>
      </c>
      <c r="B591" s="122">
        <f>IF(DAY(A591)=DAY('F-Ahorro Futuro Reservas'!$H$10),'F-Ahorro Futuro Reservas'!$H$9,0)</f>
        <v>0</v>
      </c>
      <c r="C591" s="122">
        <f t="shared" si="19"/>
        <v>0</v>
      </c>
      <c r="D591" s="121">
        <f>ROUND(IF(C591&lt;='FR_Mantenimiento tasas'!$C$55,'Tabla Ahorro Futuro Reservas'!C591*'FR_Mantenimiento tasas'!$D$55/360,IF(C591&lt;='FR_Mantenimiento tasas'!$C$56,'Tabla Ahorro Futuro Reservas'!C591*'FR_Mantenimiento tasas'!$D$56/360,IF(C591&lt;='FR_Mantenimiento tasas'!$C$57,'Tabla Ahorro Futuro Reservas'!C591*'FR_Mantenimiento tasas'!$D$57/360,""))),5)</f>
        <v>0</v>
      </c>
      <c r="E591" s="121">
        <f>ROUND(IF(C591&lt;='FR_Mantenimiento tasas'!$C$55,'Tabla Ahorro Futuro Reservas'!C591*'FR_Mantenimiento tasas'!$E$55/360,IF(C591&lt;='FR_Mantenimiento tasas'!$C$56,'Tabla Ahorro Futuro Reservas'!C591*'FR_Mantenimiento tasas'!$E$56/360,IF(C591&lt;='FR_Mantenimiento tasas'!$C$57,'Tabla Ahorro Futuro Reservas'!C591*'FR_Mantenimiento tasas'!$E$57/360,""))),5)</f>
        <v>0</v>
      </c>
    </row>
    <row r="592" spans="1:5">
      <c r="A592" s="123">
        <f t="shared" si="18"/>
        <v>590</v>
      </c>
      <c r="B592" s="122">
        <f>IF(DAY(A592)=DAY('F-Ahorro Futuro Reservas'!$H$10),'F-Ahorro Futuro Reservas'!$H$9,0)</f>
        <v>0</v>
      </c>
      <c r="C592" s="122">
        <f t="shared" si="19"/>
        <v>0</v>
      </c>
      <c r="D592" s="121">
        <f>ROUND(IF(C592&lt;='FR_Mantenimiento tasas'!$C$55,'Tabla Ahorro Futuro Reservas'!C592*'FR_Mantenimiento tasas'!$D$55/360,IF(C592&lt;='FR_Mantenimiento tasas'!$C$56,'Tabla Ahorro Futuro Reservas'!C592*'FR_Mantenimiento tasas'!$D$56/360,IF(C592&lt;='FR_Mantenimiento tasas'!$C$57,'Tabla Ahorro Futuro Reservas'!C592*'FR_Mantenimiento tasas'!$D$57/360,""))),5)</f>
        <v>0</v>
      </c>
      <c r="E592" s="121">
        <f>ROUND(IF(C592&lt;='FR_Mantenimiento tasas'!$C$55,'Tabla Ahorro Futuro Reservas'!C592*'FR_Mantenimiento tasas'!$E$55/360,IF(C592&lt;='FR_Mantenimiento tasas'!$C$56,'Tabla Ahorro Futuro Reservas'!C592*'FR_Mantenimiento tasas'!$E$56/360,IF(C592&lt;='FR_Mantenimiento tasas'!$C$57,'Tabla Ahorro Futuro Reservas'!C592*'FR_Mantenimiento tasas'!$E$57/360,""))),5)</f>
        <v>0</v>
      </c>
    </row>
    <row r="593" spans="1:5">
      <c r="A593" s="123">
        <f t="shared" si="18"/>
        <v>591</v>
      </c>
      <c r="B593" s="122">
        <f>IF(DAY(A593)=DAY('F-Ahorro Futuro Reservas'!$H$10),'F-Ahorro Futuro Reservas'!$H$9,0)</f>
        <v>0</v>
      </c>
      <c r="C593" s="122">
        <f t="shared" si="19"/>
        <v>0</v>
      </c>
      <c r="D593" s="121">
        <f>ROUND(IF(C593&lt;='FR_Mantenimiento tasas'!$C$55,'Tabla Ahorro Futuro Reservas'!C593*'FR_Mantenimiento tasas'!$D$55/360,IF(C593&lt;='FR_Mantenimiento tasas'!$C$56,'Tabla Ahorro Futuro Reservas'!C593*'FR_Mantenimiento tasas'!$D$56/360,IF(C593&lt;='FR_Mantenimiento tasas'!$C$57,'Tabla Ahorro Futuro Reservas'!C593*'FR_Mantenimiento tasas'!$D$57/360,""))),5)</f>
        <v>0</v>
      </c>
      <c r="E593" s="121">
        <f>ROUND(IF(C593&lt;='FR_Mantenimiento tasas'!$C$55,'Tabla Ahorro Futuro Reservas'!C593*'FR_Mantenimiento tasas'!$E$55/360,IF(C593&lt;='FR_Mantenimiento tasas'!$C$56,'Tabla Ahorro Futuro Reservas'!C593*'FR_Mantenimiento tasas'!$E$56/360,IF(C593&lt;='FR_Mantenimiento tasas'!$C$57,'Tabla Ahorro Futuro Reservas'!C593*'FR_Mantenimiento tasas'!$E$57/360,""))),5)</f>
        <v>0</v>
      </c>
    </row>
    <row r="594" spans="1:5">
      <c r="A594" s="123">
        <f t="shared" si="18"/>
        <v>592</v>
      </c>
      <c r="B594" s="122">
        <f>IF(DAY(A594)=DAY('F-Ahorro Futuro Reservas'!$H$10),'F-Ahorro Futuro Reservas'!$H$9,0)</f>
        <v>0</v>
      </c>
      <c r="C594" s="122">
        <f t="shared" si="19"/>
        <v>0</v>
      </c>
      <c r="D594" s="121">
        <f>ROUND(IF(C594&lt;='FR_Mantenimiento tasas'!$C$55,'Tabla Ahorro Futuro Reservas'!C594*'FR_Mantenimiento tasas'!$D$55/360,IF(C594&lt;='FR_Mantenimiento tasas'!$C$56,'Tabla Ahorro Futuro Reservas'!C594*'FR_Mantenimiento tasas'!$D$56/360,IF(C594&lt;='FR_Mantenimiento tasas'!$C$57,'Tabla Ahorro Futuro Reservas'!C594*'FR_Mantenimiento tasas'!$D$57/360,""))),5)</f>
        <v>0</v>
      </c>
      <c r="E594" s="121">
        <f>ROUND(IF(C594&lt;='FR_Mantenimiento tasas'!$C$55,'Tabla Ahorro Futuro Reservas'!C594*'FR_Mantenimiento tasas'!$E$55/360,IF(C594&lt;='FR_Mantenimiento tasas'!$C$56,'Tabla Ahorro Futuro Reservas'!C594*'FR_Mantenimiento tasas'!$E$56/360,IF(C594&lt;='FR_Mantenimiento tasas'!$C$57,'Tabla Ahorro Futuro Reservas'!C594*'FR_Mantenimiento tasas'!$E$57/360,""))),5)</f>
        <v>0</v>
      </c>
    </row>
    <row r="595" spans="1:5">
      <c r="A595" s="123">
        <f t="shared" si="18"/>
        <v>593</v>
      </c>
      <c r="B595" s="122">
        <f>IF(DAY(A595)=DAY('F-Ahorro Futuro Reservas'!$H$10),'F-Ahorro Futuro Reservas'!$H$9,0)</f>
        <v>0</v>
      </c>
      <c r="C595" s="122">
        <f t="shared" si="19"/>
        <v>0</v>
      </c>
      <c r="D595" s="121">
        <f>ROUND(IF(C595&lt;='FR_Mantenimiento tasas'!$C$55,'Tabla Ahorro Futuro Reservas'!C595*'FR_Mantenimiento tasas'!$D$55/360,IF(C595&lt;='FR_Mantenimiento tasas'!$C$56,'Tabla Ahorro Futuro Reservas'!C595*'FR_Mantenimiento tasas'!$D$56/360,IF(C595&lt;='FR_Mantenimiento tasas'!$C$57,'Tabla Ahorro Futuro Reservas'!C595*'FR_Mantenimiento tasas'!$D$57/360,""))),5)</f>
        <v>0</v>
      </c>
      <c r="E595" s="121">
        <f>ROUND(IF(C595&lt;='FR_Mantenimiento tasas'!$C$55,'Tabla Ahorro Futuro Reservas'!C595*'FR_Mantenimiento tasas'!$E$55/360,IF(C595&lt;='FR_Mantenimiento tasas'!$C$56,'Tabla Ahorro Futuro Reservas'!C595*'FR_Mantenimiento tasas'!$E$56/360,IF(C595&lt;='FR_Mantenimiento tasas'!$C$57,'Tabla Ahorro Futuro Reservas'!C595*'FR_Mantenimiento tasas'!$E$57/360,""))),5)</f>
        <v>0</v>
      </c>
    </row>
    <row r="596" spans="1:5">
      <c r="A596" s="123">
        <f t="shared" si="18"/>
        <v>594</v>
      </c>
      <c r="B596" s="122">
        <f>IF(DAY(A596)=DAY('F-Ahorro Futuro Reservas'!$H$10),'F-Ahorro Futuro Reservas'!$H$9,0)</f>
        <v>0</v>
      </c>
      <c r="C596" s="122">
        <f t="shared" si="19"/>
        <v>0</v>
      </c>
      <c r="D596" s="121">
        <f>ROUND(IF(C596&lt;='FR_Mantenimiento tasas'!$C$55,'Tabla Ahorro Futuro Reservas'!C596*'FR_Mantenimiento tasas'!$D$55/360,IF(C596&lt;='FR_Mantenimiento tasas'!$C$56,'Tabla Ahorro Futuro Reservas'!C596*'FR_Mantenimiento tasas'!$D$56/360,IF(C596&lt;='FR_Mantenimiento tasas'!$C$57,'Tabla Ahorro Futuro Reservas'!C596*'FR_Mantenimiento tasas'!$D$57/360,""))),5)</f>
        <v>0</v>
      </c>
      <c r="E596" s="121">
        <f>ROUND(IF(C596&lt;='FR_Mantenimiento tasas'!$C$55,'Tabla Ahorro Futuro Reservas'!C596*'FR_Mantenimiento tasas'!$E$55/360,IF(C596&lt;='FR_Mantenimiento tasas'!$C$56,'Tabla Ahorro Futuro Reservas'!C596*'FR_Mantenimiento tasas'!$E$56/360,IF(C596&lt;='FR_Mantenimiento tasas'!$C$57,'Tabla Ahorro Futuro Reservas'!C596*'FR_Mantenimiento tasas'!$E$57/360,""))),5)</f>
        <v>0</v>
      </c>
    </row>
    <row r="597" spans="1:5">
      <c r="A597" s="123">
        <f t="shared" si="18"/>
        <v>595</v>
      </c>
      <c r="B597" s="122">
        <f>IF(DAY(A597)=DAY('F-Ahorro Futuro Reservas'!$H$10),'F-Ahorro Futuro Reservas'!$H$9,0)</f>
        <v>0</v>
      </c>
      <c r="C597" s="122">
        <f t="shared" si="19"/>
        <v>0</v>
      </c>
      <c r="D597" s="121">
        <f>ROUND(IF(C597&lt;='FR_Mantenimiento tasas'!$C$55,'Tabla Ahorro Futuro Reservas'!C597*'FR_Mantenimiento tasas'!$D$55/360,IF(C597&lt;='FR_Mantenimiento tasas'!$C$56,'Tabla Ahorro Futuro Reservas'!C597*'FR_Mantenimiento tasas'!$D$56/360,IF(C597&lt;='FR_Mantenimiento tasas'!$C$57,'Tabla Ahorro Futuro Reservas'!C597*'FR_Mantenimiento tasas'!$D$57/360,""))),5)</f>
        <v>0</v>
      </c>
      <c r="E597" s="121">
        <f>ROUND(IF(C597&lt;='FR_Mantenimiento tasas'!$C$55,'Tabla Ahorro Futuro Reservas'!C597*'FR_Mantenimiento tasas'!$E$55/360,IF(C597&lt;='FR_Mantenimiento tasas'!$C$56,'Tabla Ahorro Futuro Reservas'!C597*'FR_Mantenimiento tasas'!$E$56/360,IF(C597&lt;='FR_Mantenimiento tasas'!$C$57,'Tabla Ahorro Futuro Reservas'!C597*'FR_Mantenimiento tasas'!$E$57/360,""))),5)</f>
        <v>0</v>
      </c>
    </row>
    <row r="598" spans="1:5">
      <c r="A598" s="123">
        <f t="shared" si="18"/>
        <v>596</v>
      </c>
      <c r="B598" s="122">
        <f>IF(DAY(A598)=DAY('F-Ahorro Futuro Reservas'!$H$10),'F-Ahorro Futuro Reservas'!$H$9,0)</f>
        <v>0</v>
      </c>
      <c r="C598" s="122">
        <f t="shared" si="19"/>
        <v>0</v>
      </c>
      <c r="D598" s="121">
        <f>ROUND(IF(C598&lt;='FR_Mantenimiento tasas'!$C$55,'Tabla Ahorro Futuro Reservas'!C598*'FR_Mantenimiento tasas'!$D$55/360,IF(C598&lt;='FR_Mantenimiento tasas'!$C$56,'Tabla Ahorro Futuro Reservas'!C598*'FR_Mantenimiento tasas'!$D$56/360,IF(C598&lt;='FR_Mantenimiento tasas'!$C$57,'Tabla Ahorro Futuro Reservas'!C598*'FR_Mantenimiento tasas'!$D$57/360,""))),5)</f>
        <v>0</v>
      </c>
      <c r="E598" s="121">
        <f>ROUND(IF(C598&lt;='FR_Mantenimiento tasas'!$C$55,'Tabla Ahorro Futuro Reservas'!C598*'FR_Mantenimiento tasas'!$E$55/360,IF(C598&lt;='FR_Mantenimiento tasas'!$C$56,'Tabla Ahorro Futuro Reservas'!C598*'FR_Mantenimiento tasas'!$E$56/360,IF(C598&lt;='FR_Mantenimiento tasas'!$C$57,'Tabla Ahorro Futuro Reservas'!C598*'FR_Mantenimiento tasas'!$E$57/360,""))),5)</f>
        <v>0</v>
      </c>
    </row>
    <row r="599" spans="1:5">
      <c r="A599" s="123">
        <f t="shared" si="18"/>
        <v>597</v>
      </c>
      <c r="B599" s="122">
        <f>IF(DAY(A599)=DAY('F-Ahorro Futuro Reservas'!$H$10),'F-Ahorro Futuro Reservas'!$H$9,0)</f>
        <v>0</v>
      </c>
      <c r="C599" s="122">
        <f t="shared" si="19"/>
        <v>0</v>
      </c>
      <c r="D599" s="121">
        <f>ROUND(IF(C599&lt;='FR_Mantenimiento tasas'!$C$55,'Tabla Ahorro Futuro Reservas'!C599*'FR_Mantenimiento tasas'!$D$55/360,IF(C599&lt;='FR_Mantenimiento tasas'!$C$56,'Tabla Ahorro Futuro Reservas'!C599*'FR_Mantenimiento tasas'!$D$56/360,IF(C599&lt;='FR_Mantenimiento tasas'!$C$57,'Tabla Ahorro Futuro Reservas'!C599*'FR_Mantenimiento tasas'!$D$57/360,""))),5)</f>
        <v>0</v>
      </c>
      <c r="E599" s="121">
        <f>ROUND(IF(C599&lt;='FR_Mantenimiento tasas'!$C$55,'Tabla Ahorro Futuro Reservas'!C599*'FR_Mantenimiento tasas'!$E$55/360,IF(C599&lt;='FR_Mantenimiento tasas'!$C$56,'Tabla Ahorro Futuro Reservas'!C599*'FR_Mantenimiento tasas'!$E$56/360,IF(C599&lt;='FR_Mantenimiento tasas'!$C$57,'Tabla Ahorro Futuro Reservas'!C599*'FR_Mantenimiento tasas'!$E$57/360,""))),5)</f>
        <v>0</v>
      </c>
    </row>
    <row r="600" spans="1:5">
      <c r="A600" s="123">
        <f t="shared" si="18"/>
        <v>598</v>
      </c>
      <c r="B600" s="122">
        <f>IF(DAY(A600)=DAY('F-Ahorro Futuro Reservas'!$H$10),'F-Ahorro Futuro Reservas'!$H$9,0)</f>
        <v>0</v>
      </c>
      <c r="C600" s="122">
        <f t="shared" si="19"/>
        <v>0</v>
      </c>
      <c r="D600" s="121">
        <f>ROUND(IF(C600&lt;='FR_Mantenimiento tasas'!$C$55,'Tabla Ahorro Futuro Reservas'!C600*'FR_Mantenimiento tasas'!$D$55/360,IF(C600&lt;='FR_Mantenimiento tasas'!$C$56,'Tabla Ahorro Futuro Reservas'!C600*'FR_Mantenimiento tasas'!$D$56/360,IF(C600&lt;='FR_Mantenimiento tasas'!$C$57,'Tabla Ahorro Futuro Reservas'!C600*'FR_Mantenimiento tasas'!$D$57/360,""))),5)</f>
        <v>0</v>
      </c>
      <c r="E600" s="121">
        <f>ROUND(IF(C600&lt;='FR_Mantenimiento tasas'!$C$55,'Tabla Ahorro Futuro Reservas'!C600*'FR_Mantenimiento tasas'!$E$55/360,IF(C600&lt;='FR_Mantenimiento tasas'!$C$56,'Tabla Ahorro Futuro Reservas'!C600*'FR_Mantenimiento tasas'!$E$56/360,IF(C600&lt;='FR_Mantenimiento tasas'!$C$57,'Tabla Ahorro Futuro Reservas'!C600*'FR_Mantenimiento tasas'!$E$57/360,""))),5)</f>
        <v>0</v>
      </c>
    </row>
    <row r="601" spans="1:5">
      <c r="A601" s="123">
        <f t="shared" si="18"/>
        <v>599</v>
      </c>
      <c r="B601" s="122">
        <f>IF(DAY(A601)=DAY('F-Ahorro Futuro Reservas'!$H$10),'F-Ahorro Futuro Reservas'!$H$9,0)</f>
        <v>0</v>
      </c>
      <c r="C601" s="122">
        <f t="shared" si="19"/>
        <v>0</v>
      </c>
      <c r="D601" s="121">
        <f>ROUND(IF(C601&lt;='FR_Mantenimiento tasas'!$C$55,'Tabla Ahorro Futuro Reservas'!C601*'FR_Mantenimiento tasas'!$D$55/360,IF(C601&lt;='FR_Mantenimiento tasas'!$C$56,'Tabla Ahorro Futuro Reservas'!C601*'FR_Mantenimiento tasas'!$D$56/360,IF(C601&lt;='FR_Mantenimiento tasas'!$C$57,'Tabla Ahorro Futuro Reservas'!C601*'FR_Mantenimiento tasas'!$D$57/360,""))),5)</f>
        <v>0</v>
      </c>
      <c r="E601" s="121">
        <f>ROUND(IF(C601&lt;='FR_Mantenimiento tasas'!$C$55,'Tabla Ahorro Futuro Reservas'!C601*'FR_Mantenimiento tasas'!$E$55/360,IF(C601&lt;='FR_Mantenimiento tasas'!$C$56,'Tabla Ahorro Futuro Reservas'!C601*'FR_Mantenimiento tasas'!$E$56/360,IF(C601&lt;='FR_Mantenimiento tasas'!$C$57,'Tabla Ahorro Futuro Reservas'!C601*'FR_Mantenimiento tasas'!$E$57/360,""))),5)</f>
        <v>0</v>
      </c>
    </row>
    <row r="602" spans="1:5">
      <c r="A602" s="123">
        <f t="shared" si="18"/>
        <v>600</v>
      </c>
      <c r="B602" s="122">
        <f>IF(DAY(A602)=DAY('F-Ahorro Futuro Reservas'!$H$10),'F-Ahorro Futuro Reservas'!$H$9,0)</f>
        <v>0</v>
      </c>
      <c r="C602" s="122">
        <f t="shared" si="19"/>
        <v>0</v>
      </c>
      <c r="D602" s="121">
        <f>ROUND(IF(C602&lt;='FR_Mantenimiento tasas'!$C$55,'Tabla Ahorro Futuro Reservas'!C602*'FR_Mantenimiento tasas'!$D$55/360,IF(C602&lt;='FR_Mantenimiento tasas'!$C$56,'Tabla Ahorro Futuro Reservas'!C602*'FR_Mantenimiento tasas'!$D$56/360,IF(C602&lt;='FR_Mantenimiento tasas'!$C$57,'Tabla Ahorro Futuro Reservas'!C602*'FR_Mantenimiento tasas'!$D$57/360,""))),5)</f>
        <v>0</v>
      </c>
      <c r="E602" s="121">
        <f>ROUND(IF(C602&lt;='FR_Mantenimiento tasas'!$C$55,'Tabla Ahorro Futuro Reservas'!C602*'FR_Mantenimiento tasas'!$E$55/360,IF(C602&lt;='FR_Mantenimiento tasas'!$C$56,'Tabla Ahorro Futuro Reservas'!C602*'FR_Mantenimiento tasas'!$E$56/360,IF(C602&lt;='FR_Mantenimiento tasas'!$C$57,'Tabla Ahorro Futuro Reservas'!C602*'FR_Mantenimiento tasas'!$E$57/360,""))),5)</f>
        <v>0</v>
      </c>
    </row>
    <row r="603" spans="1:5">
      <c r="A603" s="123">
        <f t="shared" si="18"/>
        <v>601</v>
      </c>
      <c r="B603" s="122">
        <f>IF(DAY(A603)=DAY('F-Ahorro Futuro Reservas'!$H$10),'F-Ahorro Futuro Reservas'!$H$9,0)</f>
        <v>0</v>
      </c>
      <c r="C603" s="122">
        <f t="shared" si="19"/>
        <v>0</v>
      </c>
      <c r="D603" s="121">
        <f>ROUND(IF(C603&lt;='FR_Mantenimiento tasas'!$C$55,'Tabla Ahorro Futuro Reservas'!C603*'FR_Mantenimiento tasas'!$D$55/360,IF(C603&lt;='FR_Mantenimiento tasas'!$C$56,'Tabla Ahorro Futuro Reservas'!C603*'FR_Mantenimiento tasas'!$D$56/360,IF(C603&lt;='FR_Mantenimiento tasas'!$C$57,'Tabla Ahorro Futuro Reservas'!C603*'FR_Mantenimiento tasas'!$D$57/360,""))),5)</f>
        <v>0</v>
      </c>
      <c r="E603" s="121">
        <f>ROUND(IF(C603&lt;='FR_Mantenimiento tasas'!$C$55,'Tabla Ahorro Futuro Reservas'!C603*'FR_Mantenimiento tasas'!$E$55/360,IF(C603&lt;='FR_Mantenimiento tasas'!$C$56,'Tabla Ahorro Futuro Reservas'!C603*'FR_Mantenimiento tasas'!$E$56/360,IF(C603&lt;='FR_Mantenimiento tasas'!$C$57,'Tabla Ahorro Futuro Reservas'!C603*'FR_Mantenimiento tasas'!$E$57/360,""))),5)</f>
        <v>0</v>
      </c>
    </row>
    <row r="604" spans="1:5">
      <c r="A604" s="123">
        <f t="shared" si="18"/>
        <v>602</v>
      </c>
      <c r="B604" s="122">
        <f>IF(DAY(A604)=DAY('F-Ahorro Futuro Reservas'!$H$10),'F-Ahorro Futuro Reservas'!$H$9,0)</f>
        <v>0</v>
      </c>
      <c r="C604" s="122">
        <f t="shared" si="19"/>
        <v>0</v>
      </c>
      <c r="D604" s="121">
        <f>ROUND(IF(C604&lt;='FR_Mantenimiento tasas'!$C$55,'Tabla Ahorro Futuro Reservas'!C604*'FR_Mantenimiento tasas'!$D$55/360,IF(C604&lt;='FR_Mantenimiento tasas'!$C$56,'Tabla Ahorro Futuro Reservas'!C604*'FR_Mantenimiento tasas'!$D$56/360,IF(C604&lt;='FR_Mantenimiento tasas'!$C$57,'Tabla Ahorro Futuro Reservas'!C604*'FR_Mantenimiento tasas'!$D$57/360,""))),5)</f>
        <v>0</v>
      </c>
      <c r="E604" s="121">
        <f>ROUND(IF(C604&lt;='FR_Mantenimiento tasas'!$C$55,'Tabla Ahorro Futuro Reservas'!C604*'FR_Mantenimiento tasas'!$E$55/360,IF(C604&lt;='FR_Mantenimiento tasas'!$C$56,'Tabla Ahorro Futuro Reservas'!C604*'FR_Mantenimiento tasas'!$E$56/360,IF(C604&lt;='FR_Mantenimiento tasas'!$C$57,'Tabla Ahorro Futuro Reservas'!C604*'FR_Mantenimiento tasas'!$E$57/360,""))),5)</f>
        <v>0</v>
      </c>
    </row>
    <row r="605" spans="1:5">
      <c r="A605" s="123">
        <f t="shared" si="18"/>
        <v>603</v>
      </c>
      <c r="B605" s="122">
        <f>IF(DAY(A605)=DAY('F-Ahorro Futuro Reservas'!$H$10),'F-Ahorro Futuro Reservas'!$H$9,0)</f>
        <v>0</v>
      </c>
      <c r="C605" s="122">
        <f t="shared" si="19"/>
        <v>0</v>
      </c>
      <c r="D605" s="121">
        <f>ROUND(IF(C605&lt;='FR_Mantenimiento tasas'!$C$55,'Tabla Ahorro Futuro Reservas'!C605*'FR_Mantenimiento tasas'!$D$55/360,IF(C605&lt;='FR_Mantenimiento tasas'!$C$56,'Tabla Ahorro Futuro Reservas'!C605*'FR_Mantenimiento tasas'!$D$56/360,IF(C605&lt;='FR_Mantenimiento tasas'!$C$57,'Tabla Ahorro Futuro Reservas'!C605*'FR_Mantenimiento tasas'!$D$57/360,""))),5)</f>
        <v>0</v>
      </c>
      <c r="E605" s="121">
        <f>ROUND(IF(C605&lt;='FR_Mantenimiento tasas'!$C$55,'Tabla Ahorro Futuro Reservas'!C605*'FR_Mantenimiento tasas'!$E$55/360,IF(C605&lt;='FR_Mantenimiento tasas'!$C$56,'Tabla Ahorro Futuro Reservas'!C605*'FR_Mantenimiento tasas'!$E$56/360,IF(C605&lt;='FR_Mantenimiento tasas'!$C$57,'Tabla Ahorro Futuro Reservas'!C605*'FR_Mantenimiento tasas'!$E$57/360,""))),5)</f>
        <v>0</v>
      </c>
    </row>
    <row r="606" spans="1:5">
      <c r="A606" s="123">
        <f t="shared" si="18"/>
        <v>604</v>
      </c>
      <c r="B606" s="122">
        <f>IF(DAY(A606)=DAY('F-Ahorro Futuro Reservas'!$H$10),'F-Ahorro Futuro Reservas'!$H$9,0)</f>
        <v>0</v>
      </c>
      <c r="C606" s="122">
        <f t="shared" si="19"/>
        <v>0</v>
      </c>
      <c r="D606" s="121">
        <f>ROUND(IF(C606&lt;='FR_Mantenimiento tasas'!$C$55,'Tabla Ahorro Futuro Reservas'!C606*'FR_Mantenimiento tasas'!$D$55/360,IF(C606&lt;='FR_Mantenimiento tasas'!$C$56,'Tabla Ahorro Futuro Reservas'!C606*'FR_Mantenimiento tasas'!$D$56/360,IF(C606&lt;='FR_Mantenimiento tasas'!$C$57,'Tabla Ahorro Futuro Reservas'!C606*'FR_Mantenimiento tasas'!$D$57/360,""))),5)</f>
        <v>0</v>
      </c>
      <c r="E606" s="121">
        <f>ROUND(IF(C606&lt;='FR_Mantenimiento tasas'!$C$55,'Tabla Ahorro Futuro Reservas'!C606*'FR_Mantenimiento tasas'!$E$55/360,IF(C606&lt;='FR_Mantenimiento tasas'!$C$56,'Tabla Ahorro Futuro Reservas'!C606*'FR_Mantenimiento tasas'!$E$56/360,IF(C606&lt;='FR_Mantenimiento tasas'!$C$57,'Tabla Ahorro Futuro Reservas'!C606*'FR_Mantenimiento tasas'!$E$57/360,""))),5)</f>
        <v>0</v>
      </c>
    </row>
    <row r="607" spans="1:5">
      <c r="A607" s="123">
        <f t="shared" si="18"/>
        <v>605</v>
      </c>
      <c r="B607" s="122">
        <f>IF(DAY(A607)=DAY('F-Ahorro Futuro Reservas'!$H$10),'F-Ahorro Futuro Reservas'!$H$9,0)</f>
        <v>0</v>
      </c>
      <c r="C607" s="122">
        <f t="shared" si="19"/>
        <v>0</v>
      </c>
      <c r="D607" s="121">
        <f>ROUND(IF(C607&lt;='FR_Mantenimiento tasas'!$C$55,'Tabla Ahorro Futuro Reservas'!C607*'FR_Mantenimiento tasas'!$D$55/360,IF(C607&lt;='FR_Mantenimiento tasas'!$C$56,'Tabla Ahorro Futuro Reservas'!C607*'FR_Mantenimiento tasas'!$D$56/360,IF(C607&lt;='FR_Mantenimiento tasas'!$C$57,'Tabla Ahorro Futuro Reservas'!C607*'FR_Mantenimiento tasas'!$D$57/360,""))),5)</f>
        <v>0</v>
      </c>
      <c r="E607" s="121">
        <f>ROUND(IF(C607&lt;='FR_Mantenimiento tasas'!$C$55,'Tabla Ahorro Futuro Reservas'!C607*'FR_Mantenimiento tasas'!$E$55/360,IF(C607&lt;='FR_Mantenimiento tasas'!$C$56,'Tabla Ahorro Futuro Reservas'!C607*'FR_Mantenimiento tasas'!$E$56/360,IF(C607&lt;='FR_Mantenimiento tasas'!$C$57,'Tabla Ahorro Futuro Reservas'!C607*'FR_Mantenimiento tasas'!$E$57/360,""))),5)</f>
        <v>0</v>
      </c>
    </row>
    <row r="608" spans="1:5">
      <c r="A608" s="123">
        <f t="shared" si="18"/>
        <v>606</v>
      </c>
      <c r="B608" s="122">
        <f>IF(DAY(A608)=DAY('F-Ahorro Futuro Reservas'!$H$10),'F-Ahorro Futuro Reservas'!$H$9,0)</f>
        <v>0</v>
      </c>
      <c r="C608" s="122">
        <f t="shared" si="19"/>
        <v>0</v>
      </c>
      <c r="D608" s="121">
        <f>ROUND(IF(C608&lt;='FR_Mantenimiento tasas'!$C$55,'Tabla Ahorro Futuro Reservas'!C608*'FR_Mantenimiento tasas'!$D$55/360,IF(C608&lt;='FR_Mantenimiento tasas'!$C$56,'Tabla Ahorro Futuro Reservas'!C608*'FR_Mantenimiento tasas'!$D$56/360,IF(C608&lt;='FR_Mantenimiento tasas'!$C$57,'Tabla Ahorro Futuro Reservas'!C608*'FR_Mantenimiento tasas'!$D$57/360,""))),5)</f>
        <v>0</v>
      </c>
      <c r="E608" s="121">
        <f>ROUND(IF(C608&lt;='FR_Mantenimiento tasas'!$C$55,'Tabla Ahorro Futuro Reservas'!C608*'FR_Mantenimiento tasas'!$E$55/360,IF(C608&lt;='FR_Mantenimiento tasas'!$C$56,'Tabla Ahorro Futuro Reservas'!C608*'FR_Mantenimiento tasas'!$E$56/360,IF(C608&lt;='FR_Mantenimiento tasas'!$C$57,'Tabla Ahorro Futuro Reservas'!C608*'FR_Mantenimiento tasas'!$E$57/360,""))),5)</f>
        <v>0</v>
      </c>
    </row>
    <row r="609" spans="1:5">
      <c r="A609" s="123">
        <f t="shared" si="18"/>
        <v>607</v>
      </c>
      <c r="B609" s="122">
        <f>IF(DAY(A609)=DAY('F-Ahorro Futuro Reservas'!$H$10),'F-Ahorro Futuro Reservas'!$H$9,0)</f>
        <v>0</v>
      </c>
      <c r="C609" s="122">
        <f t="shared" si="19"/>
        <v>0</v>
      </c>
      <c r="D609" s="121">
        <f>ROUND(IF(C609&lt;='FR_Mantenimiento tasas'!$C$55,'Tabla Ahorro Futuro Reservas'!C609*'FR_Mantenimiento tasas'!$D$55/360,IF(C609&lt;='FR_Mantenimiento tasas'!$C$56,'Tabla Ahorro Futuro Reservas'!C609*'FR_Mantenimiento tasas'!$D$56/360,IF(C609&lt;='FR_Mantenimiento tasas'!$C$57,'Tabla Ahorro Futuro Reservas'!C609*'FR_Mantenimiento tasas'!$D$57/360,""))),5)</f>
        <v>0</v>
      </c>
      <c r="E609" s="121">
        <f>ROUND(IF(C609&lt;='FR_Mantenimiento tasas'!$C$55,'Tabla Ahorro Futuro Reservas'!C609*'FR_Mantenimiento tasas'!$E$55/360,IF(C609&lt;='FR_Mantenimiento tasas'!$C$56,'Tabla Ahorro Futuro Reservas'!C609*'FR_Mantenimiento tasas'!$E$56/360,IF(C609&lt;='FR_Mantenimiento tasas'!$C$57,'Tabla Ahorro Futuro Reservas'!C609*'FR_Mantenimiento tasas'!$E$57/360,""))),5)</f>
        <v>0</v>
      </c>
    </row>
    <row r="610" spans="1:5">
      <c r="A610" s="123">
        <f t="shared" si="18"/>
        <v>608</v>
      </c>
      <c r="B610" s="122">
        <f>IF(DAY(A610)=DAY('F-Ahorro Futuro Reservas'!$H$10),'F-Ahorro Futuro Reservas'!$H$9,0)</f>
        <v>0</v>
      </c>
      <c r="C610" s="122">
        <f t="shared" si="19"/>
        <v>0</v>
      </c>
      <c r="D610" s="121">
        <f>ROUND(IF(C610&lt;='FR_Mantenimiento tasas'!$C$55,'Tabla Ahorro Futuro Reservas'!C610*'FR_Mantenimiento tasas'!$D$55/360,IF(C610&lt;='FR_Mantenimiento tasas'!$C$56,'Tabla Ahorro Futuro Reservas'!C610*'FR_Mantenimiento tasas'!$D$56/360,IF(C610&lt;='FR_Mantenimiento tasas'!$C$57,'Tabla Ahorro Futuro Reservas'!C610*'FR_Mantenimiento tasas'!$D$57/360,""))),5)</f>
        <v>0</v>
      </c>
      <c r="E610" s="121">
        <f>ROUND(IF(C610&lt;='FR_Mantenimiento tasas'!$C$55,'Tabla Ahorro Futuro Reservas'!C610*'FR_Mantenimiento tasas'!$E$55/360,IF(C610&lt;='FR_Mantenimiento tasas'!$C$56,'Tabla Ahorro Futuro Reservas'!C610*'FR_Mantenimiento tasas'!$E$56/360,IF(C610&lt;='FR_Mantenimiento tasas'!$C$57,'Tabla Ahorro Futuro Reservas'!C610*'FR_Mantenimiento tasas'!$E$57/360,""))),5)</f>
        <v>0</v>
      </c>
    </row>
    <row r="611" spans="1:5">
      <c r="A611" s="123">
        <f t="shared" si="18"/>
        <v>609</v>
      </c>
      <c r="B611" s="122">
        <f>IF(DAY(A611)=DAY('F-Ahorro Futuro Reservas'!$H$10),'F-Ahorro Futuro Reservas'!$H$9,0)</f>
        <v>0</v>
      </c>
      <c r="C611" s="122">
        <f t="shared" si="19"/>
        <v>0</v>
      </c>
      <c r="D611" s="121">
        <f>ROUND(IF(C611&lt;='FR_Mantenimiento tasas'!$C$55,'Tabla Ahorro Futuro Reservas'!C611*'FR_Mantenimiento tasas'!$D$55/360,IF(C611&lt;='FR_Mantenimiento tasas'!$C$56,'Tabla Ahorro Futuro Reservas'!C611*'FR_Mantenimiento tasas'!$D$56/360,IF(C611&lt;='FR_Mantenimiento tasas'!$C$57,'Tabla Ahorro Futuro Reservas'!C611*'FR_Mantenimiento tasas'!$D$57/360,""))),5)</f>
        <v>0</v>
      </c>
      <c r="E611" s="121">
        <f>ROUND(IF(C611&lt;='FR_Mantenimiento tasas'!$C$55,'Tabla Ahorro Futuro Reservas'!C611*'FR_Mantenimiento tasas'!$E$55/360,IF(C611&lt;='FR_Mantenimiento tasas'!$C$56,'Tabla Ahorro Futuro Reservas'!C611*'FR_Mantenimiento tasas'!$E$56/360,IF(C611&lt;='FR_Mantenimiento tasas'!$C$57,'Tabla Ahorro Futuro Reservas'!C611*'FR_Mantenimiento tasas'!$E$57/360,""))),5)</f>
        <v>0</v>
      </c>
    </row>
    <row r="612" spans="1:5">
      <c r="A612" s="123">
        <f t="shared" si="18"/>
        <v>610</v>
      </c>
      <c r="B612" s="122">
        <f>IF(DAY(A612)=DAY('F-Ahorro Futuro Reservas'!$H$10),'F-Ahorro Futuro Reservas'!$H$9,0)</f>
        <v>0</v>
      </c>
      <c r="C612" s="122">
        <f t="shared" si="19"/>
        <v>0</v>
      </c>
      <c r="D612" s="121">
        <f>ROUND(IF(C612&lt;='FR_Mantenimiento tasas'!$C$55,'Tabla Ahorro Futuro Reservas'!C612*'FR_Mantenimiento tasas'!$D$55/360,IF(C612&lt;='FR_Mantenimiento tasas'!$C$56,'Tabla Ahorro Futuro Reservas'!C612*'FR_Mantenimiento tasas'!$D$56/360,IF(C612&lt;='FR_Mantenimiento tasas'!$C$57,'Tabla Ahorro Futuro Reservas'!C612*'FR_Mantenimiento tasas'!$D$57/360,""))),5)</f>
        <v>0</v>
      </c>
      <c r="E612" s="121">
        <f>ROUND(IF(C612&lt;='FR_Mantenimiento tasas'!$C$55,'Tabla Ahorro Futuro Reservas'!C612*'FR_Mantenimiento tasas'!$E$55/360,IF(C612&lt;='FR_Mantenimiento tasas'!$C$56,'Tabla Ahorro Futuro Reservas'!C612*'FR_Mantenimiento tasas'!$E$56/360,IF(C612&lt;='FR_Mantenimiento tasas'!$C$57,'Tabla Ahorro Futuro Reservas'!C612*'FR_Mantenimiento tasas'!$E$57/360,""))),5)</f>
        <v>0</v>
      </c>
    </row>
    <row r="613" spans="1:5">
      <c r="A613" s="123">
        <f t="shared" si="18"/>
        <v>611</v>
      </c>
      <c r="B613" s="122">
        <f>IF(DAY(A613)=DAY('F-Ahorro Futuro Reservas'!$H$10),'F-Ahorro Futuro Reservas'!$H$9,0)</f>
        <v>0</v>
      </c>
      <c r="C613" s="122">
        <f t="shared" si="19"/>
        <v>0</v>
      </c>
      <c r="D613" s="121">
        <f>ROUND(IF(C613&lt;='FR_Mantenimiento tasas'!$C$55,'Tabla Ahorro Futuro Reservas'!C613*'FR_Mantenimiento tasas'!$D$55/360,IF(C613&lt;='FR_Mantenimiento tasas'!$C$56,'Tabla Ahorro Futuro Reservas'!C613*'FR_Mantenimiento tasas'!$D$56/360,IF(C613&lt;='FR_Mantenimiento tasas'!$C$57,'Tabla Ahorro Futuro Reservas'!C613*'FR_Mantenimiento tasas'!$D$57/360,""))),5)</f>
        <v>0</v>
      </c>
      <c r="E613" s="121">
        <f>ROUND(IF(C613&lt;='FR_Mantenimiento tasas'!$C$55,'Tabla Ahorro Futuro Reservas'!C613*'FR_Mantenimiento tasas'!$E$55/360,IF(C613&lt;='FR_Mantenimiento tasas'!$C$56,'Tabla Ahorro Futuro Reservas'!C613*'FR_Mantenimiento tasas'!$E$56/360,IF(C613&lt;='FR_Mantenimiento tasas'!$C$57,'Tabla Ahorro Futuro Reservas'!C613*'FR_Mantenimiento tasas'!$E$57/360,""))),5)</f>
        <v>0</v>
      </c>
    </row>
    <row r="614" spans="1:5">
      <c r="A614" s="123">
        <f t="shared" si="18"/>
        <v>612</v>
      </c>
      <c r="B614" s="122">
        <f>IF(DAY(A614)=DAY('F-Ahorro Futuro Reservas'!$H$10),'F-Ahorro Futuro Reservas'!$H$9,0)</f>
        <v>0</v>
      </c>
      <c r="C614" s="122">
        <f t="shared" si="19"/>
        <v>0</v>
      </c>
      <c r="D614" s="121">
        <f>ROUND(IF(C614&lt;='FR_Mantenimiento tasas'!$C$55,'Tabla Ahorro Futuro Reservas'!C614*'FR_Mantenimiento tasas'!$D$55/360,IF(C614&lt;='FR_Mantenimiento tasas'!$C$56,'Tabla Ahorro Futuro Reservas'!C614*'FR_Mantenimiento tasas'!$D$56/360,IF(C614&lt;='FR_Mantenimiento tasas'!$C$57,'Tabla Ahorro Futuro Reservas'!C614*'FR_Mantenimiento tasas'!$D$57/360,""))),5)</f>
        <v>0</v>
      </c>
      <c r="E614" s="121">
        <f>ROUND(IF(C614&lt;='FR_Mantenimiento tasas'!$C$55,'Tabla Ahorro Futuro Reservas'!C614*'FR_Mantenimiento tasas'!$E$55/360,IF(C614&lt;='FR_Mantenimiento tasas'!$C$56,'Tabla Ahorro Futuro Reservas'!C614*'FR_Mantenimiento tasas'!$E$56/360,IF(C614&lt;='FR_Mantenimiento tasas'!$C$57,'Tabla Ahorro Futuro Reservas'!C614*'FR_Mantenimiento tasas'!$E$57/360,""))),5)</f>
        <v>0</v>
      </c>
    </row>
    <row r="615" spans="1:5">
      <c r="A615" s="123">
        <f t="shared" si="18"/>
        <v>613</v>
      </c>
      <c r="B615" s="122">
        <f>IF(DAY(A615)=DAY('F-Ahorro Futuro Reservas'!$H$10),'F-Ahorro Futuro Reservas'!$H$9,0)</f>
        <v>0</v>
      </c>
      <c r="C615" s="122">
        <f t="shared" si="19"/>
        <v>0</v>
      </c>
      <c r="D615" s="121">
        <f>ROUND(IF(C615&lt;='FR_Mantenimiento tasas'!$C$55,'Tabla Ahorro Futuro Reservas'!C615*'FR_Mantenimiento tasas'!$D$55/360,IF(C615&lt;='FR_Mantenimiento tasas'!$C$56,'Tabla Ahorro Futuro Reservas'!C615*'FR_Mantenimiento tasas'!$D$56/360,IF(C615&lt;='FR_Mantenimiento tasas'!$C$57,'Tabla Ahorro Futuro Reservas'!C615*'FR_Mantenimiento tasas'!$D$57/360,""))),5)</f>
        <v>0</v>
      </c>
      <c r="E615" s="121">
        <f>ROUND(IF(C615&lt;='FR_Mantenimiento tasas'!$C$55,'Tabla Ahorro Futuro Reservas'!C615*'FR_Mantenimiento tasas'!$E$55/360,IF(C615&lt;='FR_Mantenimiento tasas'!$C$56,'Tabla Ahorro Futuro Reservas'!C615*'FR_Mantenimiento tasas'!$E$56/360,IF(C615&lt;='FR_Mantenimiento tasas'!$C$57,'Tabla Ahorro Futuro Reservas'!C615*'FR_Mantenimiento tasas'!$E$57/360,""))),5)</f>
        <v>0</v>
      </c>
    </row>
    <row r="616" spans="1:5">
      <c r="A616" s="123">
        <f t="shared" si="18"/>
        <v>614</v>
      </c>
      <c r="B616" s="122">
        <f>IF(DAY(A616)=DAY('F-Ahorro Futuro Reservas'!$H$10),'F-Ahorro Futuro Reservas'!$H$9,0)</f>
        <v>0</v>
      </c>
      <c r="C616" s="122">
        <f t="shared" si="19"/>
        <v>0</v>
      </c>
      <c r="D616" s="121">
        <f>ROUND(IF(C616&lt;='FR_Mantenimiento tasas'!$C$55,'Tabla Ahorro Futuro Reservas'!C616*'FR_Mantenimiento tasas'!$D$55/360,IF(C616&lt;='FR_Mantenimiento tasas'!$C$56,'Tabla Ahorro Futuro Reservas'!C616*'FR_Mantenimiento tasas'!$D$56/360,IF(C616&lt;='FR_Mantenimiento tasas'!$C$57,'Tabla Ahorro Futuro Reservas'!C616*'FR_Mantenimiento tasas'!$D$57/360,""))),5)</f>
        <v>0</v>
      </c>
      <c r="E616" s="121">
        <f>ROUND(IF(C616&lt;='FR_Mantenimiento tasas'!$C$55,'Tabla Ahorro Futuro Reservas'!C616*'FR_Mantenimiento tasas'!$E$55/360,IF(C616&lt;='FR_Mantenimiento tasas'!$C$56,'Tabla Ahorro Futuro Reservas'!C616*'FR_Mantenimiento tasas'!$E$56/360,IF(C616&lt;='FR_Mantenimiento tasas'!$C$57,'Tabla Ahorro Futuro Reservas'!C616*'FR_Mantenimiento tasas'!$E$57/360,""))),5)</f>
        <v>0</v>
      </c>
    </row>
    <row r="617" spans="1:5">
      <c r="A617" s="123">
        <f t="shared" si="18"/>
        <v>615</v>
      </c>
      <c r="B617" s="122">
        <f>IF(DAY(A617)=DAY('F-Ahorro Futuro Reservas'!$H$10),'F-Ahorro Futuro Reservas'!$H$9,0)</f>
        <v>0</v>
      </c>
      <c r="C617" s="122">
        <f t="shared" si="19"/>
        <v>0</v>
      </c>
      <c r="D617" s="121">
        <f>ROUND(IF(C617&lt;='FR_Mantenimiento tasas'!$C$55,'Tabla Ahorro Futuro Reservas'!C617*'FR_Mantenimiento tasas'!$D$55/360,IF(C617&lt;='FR_Mantenimiento tasas'!$C$56,'Tabla Ahorro Futuro Reservas'!C617*'FR_Mantenimiento tasas'!$D$56/360,IF(C617&lt;='FR_Mantenimiento tasas'!$C$57,'Tabla Ahorro Futuro Reservas'!C617*'FR_Mantenimiento tasas'!$D$57/360,""))),5)</f>
        <v>0</v>
      </c>
      <c r="E617" s="121">
        <f>ROUND(IF(C617&lt;='FR_Mantenimiento tasas'!$C$55,'Tabla Ahorro Futuro Reservas'!C617*'FR_Mantenimiento tasas'!$E$55/360,IF(C617&lt;='FR_Mantenimiento tasas'!$C$56,'Tabla Ahorro Futuro Reservas'!C617*'FR_Mantenimiento tasas'!$E$56/360,IF(C617&lt;='FR_Mantenimiento tasas'!$C$57,'Tabla Ahorro Futuro Reservas'!C617*'FR_Mantenimiento tasas'!$E$57/360,""))),5)</f>
        <v>0</v>
      </c>
    </row>
    <row r="618" spans="1:5">
      <c r="A618" s="123">
        <f t="shared" si="18"/>
        <v>616</v>
      </c>
      <c r="B618" s="122">
        <f>IF(DAY(A618)=DAY('F-Ahorro Futuro Reservas'!$H$10),'F-Ahorro Futuro Reservas'!$H$9,0)</f>
        <v>0</v>
      </c>
      <c r="C618" s="122">
        <f t="shared" si="19"/>
        <v>0</v>
      </c>
      <c r="D618" s="121">
        <f>ROUND(IF(C618&lt;='FR_Mantenimiento tasas'!$C$55,'Tabla Ahorro Futuro Reservas'!C618*'FR_Mantenimiento tasas'!$D$55/360,IF(C618&lt;='FR_Mantenimiento tasas'!$C$56,'Tabla Ahorro Futuro Reservas'!C618*'FR_Mantenimiento tasas'!$D$56/360,IF(C618&lt;='FR_Mantenimiento tasas'!$C$57,'Tabla Ahorro Futuro Reservas'!C618*'FR_Mantenimiento tasas'!$D$57/360,""))),5)</f>
        <v>0</v>
      </c>
      <c r="E618" s="121">
        <f>ROUND(IF(C618&lt;='FR_Mantenimiento tasas'!$C$55,'Tabla Ahorro Futuro Reservas'!C618*'FR_Mantenimiento tasas'!$E$55/360,IF(C618&lt;='FR_Mantenimiento tasas'!$C$56,'Tabla Ahorro Futuro Reservas'!C618*'FR_Mantenimiento tasas'!$E$56/360,IF(C618&lt;='FR_Mantenimiento tasas'!$C$57,'Tabla Ahorro Futuro Reservas'!C618*'FR_Mantenimiento tasas'!$E$57/360,""))),5)</f>
        <v>0</v>
      </c>
    </row>
    <row r="619" spans="1:5">
      <c r="A619" s="123">
        <f t="shared" si="18"/>
        <v>617</v>
      </c>
      <c r="B619" s="122">
        <f>IF(DAY(A619)=DAY('F-Ahorro Futuro Reservas'!$H$10),'F-Ahorro Futuro Reservas'!$H$9,0)</f>
        <v>0</v>
      </c>
      <c r="C619" s="122">
        <f t="shared" si="19"/>
        <v>0</v>
      </c>
      <c r="D619" s="121">
        <f>ROUND(IF(C619&lt;='FR_Mantenimiento tasas'!$C$55,'Tabla Ahorro Futuro Reservas'!C619*'FR_Mantenimiento tasas'!$D$55/360,IF(C619&lt;='FR_Mantenimiento tasas'!$C$56,'Tabla Ahorro Futuro Reservas'!C619*'FR_Mantenimiento tasas'!$D$56/360,IF(C619&lt;='FR_Mantenimiento tasas'!$C$57,'Tabla Ahorro Futuro Reservas'!C619*'FR_Mantenimiento tasas'!$D$57/360,""))),5)</f>
        <v>0</v>
      </c>
      <c r="E619" s="121">
        <f>ROUND(IF(C619&lt;='FR_Mantenimiento tasas'!$C$55,'Tabla Ahorro Futuro Reservas'!C619*'FR_Mantenimiento tasas'!$E$55/360,IF(C619&lt;='FR_Mantenimiento tasas'!$C$56,'Tabla Ahorro Futuro Reservas'!C619*'FR_Mantenimiento tasas'!$E$56/360,IF(C619&lt;='FR_Mantenimiento tasas'!$C$57,'Tabla Ahorro Futuro Reservas'!C619*'FR_Mantenimiento tasas'!$E$57/360,""))),5)</f>
        <v>0</v>
      </c>
    </row>
    <row r="620" spans="1:5">
      <c r="A620" s="123">
        <f t="shared" si="18"/>
        <v>618</v>
      </c>
      <c r="B620" s="122">
        <f>IF(DAY(A620)=DAY('F-Ahorro Futuro Reservas'!$H$10),'F-Ahorro Futuro Reservas'!$H$9,0)</f>
        <v>0</v>
      </c>
      <c r="C620" s="122">
        <f t="shared" si="19"/>
        <v>0</v>
      </c>
      <c r="D620" s="121">
        <f>ROUND(IF(C620&lt;='FR_Mantenimiento tasas'!$C$55,'Tabla Ahorro Futuro Reservas'!C620*'FR_Mantenimiento tasas'!$D$55/360,IF(C620&lt;='FR_Mantenimiento tasas'!$C$56,'Tabla Ahorro Futuro Reservas'!C620*'FR_Mantenimiento tasas'!$D$56/360,IF(C620&lt;='FR_Mantenimiento tasas'!$C$57,'Tabla Ahorro Futuro Reservas'!C620*'FR_Mantenimiento tasas'!$D$57/360,""))),5)</f>
        <v>0</v>
      </c>
      <c r="E620" s="121">
        <f>ROUND(IF(C620&lt;='FR_Mantenimiento tasas'!$C$55,'Tabla Ahorro Futuro Reservas'!C620*'FR_Mantenimiento tasas'!$E$55/360,IF(C620&lt;='FR_Mantenimiento tasas'!$C$56,'Tabla Ahorro Futuro Reservas'!C620*'FR_Mantenimiento tasas'!$E$56/360,IF(C620&lt;='FR_Mantenimiento tasas'!$C$57,'Tabla Ahorro Futuro Reservas'!C620*'FR_Mantenimiento tasas'!$E$57/360,""))),5)</f>
        <v>0</v>
      </c>
    </row>
    <row r="621" spans="1:5">
      <c r="A621" s="123">
        <f t="shared" si="18"/>
        <v>619</v>
      </c>
      <c r="B621" s="122">
        <f>IF(DAY(A621)=DAY('F-Ahorro Futuro Reservas'!$H$10),'F-Ahorro Futuro Reservas'!$H$9,0)</f>
        <v>0</v>
      </c>
      <c r="C621" s="122">
        <f t="shared" si="19"/>
        <v>0</v>
      </c>
      <c r="D621" s="121">
        <f>ROUND(IF(C621&lt;='FR_Mantenimiento tasas'!$C$55,'Tabla Ahorro Futuro Reservas'!C621*'FR_Mantenimiento tasas'!$D$55/360,IF(C621&lt;='FR_Mantenimiento tasas'!$C$56,'Tabla Ahorro Futuro Reservas'!C621*'FR_Mantenimiento tasas'!$D$56/360,IF(C621&lt;='FR_Mantenimiento tasas'!$C$57,'Tabla Ahorro Futuro Reservas'!C621*'FR_Mantenimiento tasas'!$D$57/360,""))),5)</f>
        <v>0</v>
      </c>
      <c r="E621" s="121">
        <f>ROUND(IF(C621&lt;='FR_Mantenimiento tasas'!$C$55,'Tabla Ahorro Futuro Reservas'!C621*'FR_Mantenimiento tasas'!$E$55/360,IF(C621&lt;='FR_Mantenimiento tasas'!$C$56,'Tabla Ahorro Futuro Reservas'!C621*'FR_Mantenimiento tasas'!$E$56/360,IF(C621&lt;='FR_Mantenimiento tasas'!$C$57,'Tabla Ahorro Futuro Reservas'!C621*'FR_Mantenimiento tasas'!$E$57/360,""))),5)</f>
        <v>0</v>
      </c>
    </row>
    <row r="622" spans="1:5">
      <c r="A622" s="123">
        <f t="shared" si="18"/>
        <v>620</v>
      </c>
      <c r="B622" s="122">
        <f>IF(DAY(A622)=DAY('F-Ahorro Futuro Reservas'!$H$10),'F-Ahorro Futuro Reservas'!$H$9,0)</f>
        <v>0</v>
      </c>
      <c r="C622" s="122">
        <f t="shared" si="19"/>
        <v>0</v>
      </c>
      <c r="D622" s="121">
        <f>ROUND(IF(C622&lt;='FR_Mantenimiento tasas'!$C$55,'Tabla Ahorro Futuro Reservas'!C622*'FR_Mantenimiento tasas'!$D$55/360,IF(C622&lt;='FR_Mantenimiento tasas'!$C$56,'Tabla Ahorro Futuro Reservas'!C622*'FR_Mantenimiento tasas'!$D$56/360,IF(C622&lt;='FR_Mantenimiento tasas'!$C$57,'Tabla Ahorro Futuro Reservas'!C622*'FR_Mantenimiento tasas'!$D$57/360,""))),5)</f>
        <v>0</v>
      </c>
      <c r="E622" s="121">
        <f>ROUND(IF(C622&lt;='FR_Mantenimiento tasas'!$C$55,'Tabla Ahorro Futuro Reservas'!C622*'FR_Mantenimiento tasas'!$E$55/360,IF(C622&lt;='FR_Mantenimiento tasas'!$C$56,'Tabla Ahorro Futuro Reservas'!C622*'FR_Mantenimiento tasas'!$E$56/360,IF(C622&lt;='FR_Mantenimiento tasas'!$C$57,'Tabla Ahorro Futuro Reservas'!C622*'FR_Mantenimiento tasas'!$E$57/360,""))),5)</f>
        <v>0</v>
      </c>
    </row>
    <row r="623" spans="1:5">
      <c r="A623" s="123">
        <f t="shared" si="18"/>
        <v>621</v>
      </c>
      <c r="B623" s="122">
        <f>IF(DAY(A623)=DAY('F-Ahorro Futuro Reservas'!$H$10),'F-Ahorro Futuro Reservas'!$H$9,0)</f>
        <v>0</v>
      </c>
      <c r="C623" s="122">
        <f t="shared" si="19"/>
        <v>0</v>
      </c>
      <c r="D623" s="121">
        <f>ROUND(IF(C623&lt;='FR_Mantenimiento tasas'!$C$55,'Tabla Ahorro Futuro Reservas'!C623*'FR_Mantenimiento tasas'!$D$55/360,IF(C623&lt;='FR_Mantenimiento tasas'!$C$56,'Tabla Ahorro Futuro Reservas'!C623*'FR_Mantenimiento tasas'!$D$56/360,IF(C623&lt;='FR_Mantenimiento tasas'!$C$57,'Tabla Ahorro Futuro Reservas'!C623*'FR_Mantenimiento tasas'!$D$57/360,""))),5)</f>
        <v>0</v>
      </c>
      <c r="E623" s="121">
        <f>ROUND(IF(C623&lt;='FR_Mantenimiento tasas'!$C$55,'Tabla Ahorro Futuro Reservas'!C623*'FR_Mantenimiento tasas'!$E$55/360,IF(C623&lt;='FR_Mantenimiento tasas'!$C$56,'Tabla Ahorro Futuro Reservas'!C623*'FR_Mantenimiento tasas'!$E$56/360,IF(C623&lt;='FR_Mantenimiento tasas'!$C$57,'Tabla Ahorro Futuro Reservas'!C623*'FR_Mantenimiento tasas'!$E$57/360,""))),5)</f>
        <v>0</v>
      </c>
    </row>
    <row r="624" spans="1:5">
      <c r="A624" s="123">
        <f t="shared" si="18"/>
        <v>622</v>
      </c>
      <c r="B624" s="122">
        <f>IF(DAY(A624)=DAY('F-Ahorro Futuro Reservas'!$H$10),'F-Ahorro Futuro Reservas'!$H$9,0)</f>
        <v>0</v>
      </c>
      <c r="C624" s="122">
        <f t="shared" si="19"/>
        <v>0</v>
      </c>
      <c r="D624" s="121">
        <f>ROUND(IF(C624&lt;='FR_Mantenimiento tasas'!$C$55,'Tabla Ahorro Futuro Reservas'!C624*'FR_Mantenimiento tasas'!$D$55/360,IF(C624&lt;='FR_Mantenimiento tasas'!$C$56,'Tabla Ahorro Futuro Reservas'!C624*'FR_Mantenimiento tasas'!$D$56/360,IF(C624&lt;='FR_Mantenimiento tasas'!$C$57,'Tabla Ahorro Futuro Reservas'!C624*'FR_Mantenimiento tasas'!$D$57/360,""))),5)</f>
        <v>0</v>
      </c>
      <c r="E624" s="121">
        <f>ROUND(IF(C624&lt;='FR_Mantenimiento tasas'!$C$55,'Tabla Ahorro Futuro Reservas'!C624*'FR_Mantenimiento tasas'!$E$55/360,IF(C624&lt;='FR_Mantenimiento tasas'!$C$56,'Tabla Ahorro Futuro Reservas'!C624*'FR_Mantenimiento tasas'!$E$56/360,IF(C624&lt;='FR_Mantenimiento tasas'!$C$57,'Tabla Ahorro Futuro Reservas'!C624*'FR_Mantenimiento tasas'!$E$57/360,""))),5)</f>
        <v>0</v>
      </c>
    </row>
    <row r="625" spans="1:5">
      <c r="A625" s="123">
        <f t="shared" si="18"/>
        <v>623</v>
      </c>
      <c r="B625" s="122">
        <f>IF(DAY(A625)=DAY('F-Ahorro Futuro Reservas'!$H$10),'F-Ahorro Futuro Reservas'!$H$9,0)</f>
        <v>0</v>
      </c>
      <c r="C625" s="122">
        <f t="shared" si="19"/>
        <v>0</v>
      </c>
      <c r="D625" s="121">
        <f>ROUND(IF(C625&lt;='FR_Mantenimiento tasas'!$C$55,'Tabla Ahorro Futuro Reservas'!C625*'FR_Mantenimiento tasas'!$D$55/360,IF(C625&lt;='FR_Mantenimiento tasas'!$C$56,'Tabla Ahorro Futuro Reservas'!C625*'FR_Mantenimiento tasas'!$D$56/360,IF(C625&lt;='FR_Mantenimiento tasas'!$C$57,'Tabla Ahorro Futuro Reservas'!C625*'FR_Mantenimiento tasas'!$D$57/360,""))),5)</f>
        <v>0</v>
      </c>
      <c r="E625" s="121">
        <f>ROUND(IF(C625&lt;='FR_Mantenimiento tasas'!$C$55,'Tabla Ahorro Futuro Reservas'!C625*'FR_Mantenimiento tasas'!$E$55/360,IF(C625&lt;='FR_Mantenimiento tasas'!$C$56,'Tabla Ahorro Futuro Reservas'!C625*'FR_Mantenimiento tasas'!$E$56/360,IF(C625&lt;='FR_Mantenimiento tasas'!$C$57,'Tabla Ahorro Futuro Reservas'!C625*'FR_Mantenimiento tasas'!$E$57/360,""))),5)</f>
        <v>0</v>
      </c>
    </row>
    <row r="626" spans="1:5">
      <c r="A626" s="123">
        <f t="shared" si="18"/>
        <v>624</v>
      </c>
      <c r="B626" s="122">
        <f>IF(DAY(A626)=DAY('F-Ahorro Futuro Reservas'!$H$10),'F-Ahorro Futuro Reservas'!$H$9,0)</f>
        <v>0</v>
      </c>
      <c r="C626" s="122">
        <f t="shared" si="19"/>
        <v>0</v>
      </c>
      <c r="D626" s="121">
        <f>ROUND(IF(C626&lt;='FR_Mantenimiento tasas'!$C$55,'Tabla Ahorro Futuro Reservas'!C626*'FR_Mantenimiento tasas'!$D$55/360,IF(C626&lt;='FR_Mantenimiento tasas'!$C$56,'Tabla Ahorro Futuro Reservas'!C626*'FR_Mantenimiento tasas'!$D$56/360,IF(C626&lt;='FR_Mantenimiento tasas'!$C$57,'Tabla Ahorro Futuro Reservas'!C626*'FR_Mantenimiento tasas'!$D$57/360,""))),5)</f>
        <v>0</v>
      </c>
      <c r="E626" s="121">
        <f>ROUND(IF(C626&lt;='FR_Mantenimiento tasas'!$C$55,'Tabla Ahorro Futuro Reservas'!C626*'FR_Mantenimiento tasas'!$E$55/360,IF(C626&lt;='FR_Mantenimiento tasas'!$C$56,'Tabla Ahorro Futuro Reservas'!C626*'FR_Mantenimiento tasas'!$E$56/360,IF(C626&lt;='FR_Mantenimiento tasas'!$C$57,'Tabla Ahorro Futuro Reservas'!C626*'FR_Mantenimiento tasas'!$E$57/360,""))),5)</f>
        <v>0</v>
      </c>
    </row>
    <row r="627" spans="1:5">
      <c r="A627" s="123">
        <f t="shared" si="18"/>
        <v>625</v>
      </c>
      <c r="B627" s="122">
        <f>IF(DAY(A627)=DAY('F-Ahorro Futuro Reservas'!$H$10),'F-Ahorro Futuro Reservas'!$H$9,0)</f>
        <v>0</v>
      </c>
      <c r="C627" s="122">
        <f t="shared" si="19"/>
        <v>0</v>
      </c>
      <c r="D627" s="121">
        <f>ROUND(IF(C627&lt;='FR_Mantenimiento tasas'!$C$55,'Tabla Ahorro Futuro Reservas'!C627*'FR_Mantenimiento tasas'!$D$55/360,IF(C627&lt;='FR_Mantenimiento tasas'!$C$56,'Tabla Ahorro Futuro Reservas'!C627*'FR_Mantenimiento tasas'!$D$56/360,IF(C627&lt;='FR_Mantenimiento tasas'!$C$57,'Tabla Ahorro Futuro Reservas'!C627*'FR_Mantenimiento tasas'!$D$57/360,""))),5)</f>
        <v>0</v>
      </c>
      <c r="E627" s="121">
        <f>ROUND(IF(C627&lt;='FR_Mantenimiento tasas'!$C$55,'Tabla Ahorro Futuro Reservas'!C627*'FR_Mantenimiento tasas'!$E$55/360,IF(C627&lt;='FR_Mantenimiento tasas'!$C$56,'Tabla Ahorro Futuro Reservas'!C627*'FR_Mantenimiento tasas'!$E$56/360,IF(C627&lt;='FR_Mantenimiento tasas'!$C$57,'Tabla Ahorro Futuro Reservas'!C627*'FR_Mantenimiento tasas'!$E$57/360,""))),5)</f>
        <v>0</v>
      </c>
    </row>
    <row r="628" spans="1:5">
      <c r="A628" s="123">
        <f t="shared" si="18"/>
        <v>626</v>
      </c>
      <c r="B628" s="122">
        <f>IF(DAY(A628)=DAY('F-Ahorro Futuro Reservas'!$H$10),'F-Ahorro Futuro Reservas'!$H$9,0)</f>
        <v>0</v>
      </c>
      <c r="C628" s="122">
        <f t="shared" si="19"/>
        <v>0</v>
      </c>
      <c r="D628" s="121">
        <f>ROUND(IF(C628&lt;='FR_Mantenimiento tasas'!$C$55,'Tabla Ahorro Futuro Reservas'!C628*'FR_Mantenimiento tasas'!$D$55/360,IF(C628&lt;='FR_Mantenimiento tasas'!$C$56,'Tabla Ahorro Futuro Reservas'!C628*'FR_Mantenimiento tasas'!$D$56/360,IF(C628&lt;='FR_Mantenimiento tasas'!$C$57,'Tabla Ahorro Futuro Reservas'!C628*'FR_Mantenimiento tasas'!$D$57/360,""))),5)</f>
        <v>0</v>
      </c>
      <c r="E628" s="121">
        <f>ROUND(IF(C628&lt;='FR_Mantenimiento tasas'!$C$55,'Tabla Ahorro Futuro Reservas'!C628*'FR_Mantenimiento tasas'!$E$55/360,IF(C628&lt;='FR_Mantenimiento tasas'!$C$56,'Tabla Ahorro Futuro Reservas'!C628*'FR_Mantenimiento tasas'!$E$56/360,IF(C628&lt;='FR_Mantenimiento tasas'!$C$57,'Tabla Ahorro Futuro Reservas'!C628*'FR_Mantenimiento tasas'!$E$57/360,""))),5)</f>
        <v>0</v>
      </c>
    </row>
    <row r="629" spans="1:5">
      <c r="A629" s="123">
        <f t="shared" si="18"/>
        <v>627</v>
      </c>
      <c r="B629" s="122">
        <f>IF(DAY(A629)=DAY('F-Ahorro Futuro Reservas'!$H$10),'F-Ahorro Futuro Reservas'!$H$9,0)</f>
        <v>0</v>
      </c>
      <c r="C629" s="122">
        <f t="shared" si="19"/>
        <v>0</v>
      </c>
      <c r="D629" s="121">
        <f>ROUND(IF(C629&lt;='FR_Mantenimiento tasas'!$C$55,'Tabla Ahorro Futuro Reservas'!C629*'FR_Mantenimiento tasas'!$D$55/360,IF(C629&lt;='FR_Mantenimiento tasas'!$C$56,'Tabla Ahorro Futuro Reservas'!C629*'FR_Mantenimiento tasas'!$D$56/360,IF(C629&lt;='FR_Mantenimiento tasas'!$C$57,'Tabla Ahorro Futuro Reservas'!C629*'FR_Mantenimiento tasas'!$D$57/360,""))),5)</f>
        <v>0</v>
      </c>
      <c r="E629" s="121">
        <f>ROUND(IF(C629&lt;='FR_Mantenimiento tasas'!$C$55,'Tabla Ahorro Futuro Reservas'!C629*'FR_Mantenimiento tasas'!$E$55/360,IF(C629&lt;='FR_Mantenimiento tasas'!$C$56,'Tabla Ahorro Futuro Reservas'!C629*'FR_Mantenimiento tasas'!$E$56/360,IF(C629&lt;='FR_Mantenimiento tasas'!$C$57,'Tabla Ahorro Futuro Reservas'!C629*'FR_Mantenimiento tasas'!$E$57/360,""))),5)</f>
        <v>0</v>
      </c>
    </row>
    <row r="630" spans="1:5">
      <c r="A630" s="123">
        <f t="shared" si="18"/>
        <v>628</v>
      </c>
      <c r="B630" s="122">
        <f>IF(DAY(A630)=DAY('F-Ahorro Futuro Reservas'!$H$10),'F-Ahorro Futuro Reservas'!$H$9,0)</f>
        <v>0</v>
      </c>
      <c r="C630" s="122">
        <f t="shared" si="19"/>
        <v>0</v>
      </c>
      <c r="D630" s="121">
        <f>ROUND(IF(C630&lt;='FR_Mantenimiento tasas'!$C$55,'Tabla Ahorro Futuro Reservas'!C630*'FR_Mantenimiento tasas'!$D$55/360,IF(C630&lt;='FR_Mantenimiento tasas'!$C$56,'Tabla Ahorro Futuro Reservas'!C630*'FR_Mantenimiento tasas'!$D$56/360,IF(C630&lt;='FR_Mantenimiento tasas'!$C$57,'Tabla Ahorro Futuro Reservas'!C630*'FR_Mantenimiento tasas'!$D$57/360,""))),5)</f>
        <v>0</v>
      </c>
      <c r="E630" s="121">
        <f>ROUND(IF(C630&lt;='FR_Mantenimiento tasas'!$C$55,'Tabla Ahorro Futuro Reservas'!C630*'FR_Mantenimiento tasas'!$E$55/360,IF(C630&lt;='FR_Mantenimiento tasas'!$C$56,'Tabla Ahorro Futuro Reservas'!C630*'FR_Mantenimiento tasas'!$E$56/360,IF(C630&lt;='FR_Mantenimiento tasas'!$C$57,'Tabla Ahorro Futuro Reservas'!C630*'FR_Mantenimiento tasas'!$E$57/360,""))),5)</f>
        <v>0</v>
      </c>
    </row>
    <row r="631" spans="1:5">
      <c r="A631" s="123">
        <f t="shared" si="18"/>
        <v>629</v>
      </c>
      <c r="B631" s="122">
        <f>IF(DAY(A631)=DAY('F-Ahorro Futuro Reservas'!$H$10),'F-Ahorro Futuro Reservas'!$H$9,0)</f>
        <v>0</v>
      </c>
      <c r="C631" s="122">
        <f t="shared" si="19"/>
        <v>0</v>
      </c>
      <c r="D631" s="121">
        <f>ROUND(IF(C631&lt;='FR_Mantenimiento tasas'!$C$55,'Tabla Ahorro Futuro Reservas'!C631*'FR_Mantenimiento tasas'!$D$55/360,IF(C631&lt;='FR_Mantenimiento tasas'!$C$56,'Tabla Ahorro Futuro Reservas'!C631*'FR_Mantenimiento tasas'!$D$56/360,IF(C631&lt;='FR_Mantenimiento tasas'!$C$57,'Tabla Ahorro Futuro Reservas'!C631*'FR_Mantenimiento tasas'!$D$57/360,""))),5)</f>
        <v>0</v>
      </c>
      <c r="E631" s="121">
        <f>ROUND(IF(C631&lt;='FR_Mantenimiento tasas'!$C$55,'Tabla Ahorro Futuro Reservas'!C631*'FR_Mantenimiento tasas'!$E$55/360,IF(C631&lt;='FR_Mantenimiento tasas'!$C$56,'Tabla Ahorro Futuro Reservas'!C631*'FR_Mantenimiento tasas'!$E$56/360,IF(C631&lt;='FR_Mantenimiento tasas'!$C$57,'Tabla Ahorro Futuro Reservas'!C631*'FR_Mantenimiento tasas'!$E$57/360,""))),5)</f>
        <v>0</v>
      </c>
    </row>
    <row r="632" spans="1:5">
      <c r="A632" s="123">
        <f t="shared" si="18"/>
        <v>630</v>
      </c>
      <c r="B632" s="122">
        <f>IF(DAY(A632)=DAY('F-Ahorro Futuro Reservas'!$H$10),'F-Ahorro Futuro Reservas'!$H$9,0)</f>
        <v>0</v>
      </c>
      <c r="C632" s="122">
        <f t="shared" si="19"/>
        <v>0</v>
      </c>
      <c r="D632" s="121">
        <f>ROUND(IF(C632&lt;='FR_Mantenimiento tasas'!$C$55,'Tabla Ahorro Futuro Reservas'!C632*'FR_Mantenimiento tasas'!$D$55/360,IF(C632&lt;='FR_Mantenimiento tasas'!$C$56,'Tabla Ahorro Futuro Reservas'!C632*'FR_Mantenimiento tasas'!$D$56/360,IF(C632&lt;='FR_Mantenimiento tasas'!$C$57,'Tabla Ahorro Futuro Reservas'!C632*'FR_Mantenimiento tasas'!$D$57/360,""))),5)</f>
        <v>0</v>
      </c>
      <c r="E632" s="121">
        <f>ROUND(IF(C632&lt;='FR_Mantenimiento tasas'!$C$55,'Tabla Ahorro Futuro Reservas'!C632*'FR_Mantenimiento tasas'!$E$55/360,IF(C632&lt;='FR_Mantenimiento tasas'!$C$56,'Tabla Ahorro Futuro Reservas'!C632*'FR_Mantenimiento tasas'!$E$56/360,IF(C632&lt;='FR_Mantenimiento tasas'!$C$57,'Tabla Ahorro Futuro Reservas'!C632*'FR_Mantenimiento tasas'!$E$57/360,""))),5)</f>
        <v>0</v>
      </c>
    </row>
    <row r="633" spans="1:5">
      <c r="A633" s="123">
        <f t="shared" si="18"/>
        <v>631</v>
      </c>
      <c r="B633" s="122">
        <f>IF(DAY(A633)=DAY('F-Ahorro Futuro Reservas'!$H$10),'F-Ahorro Futuro Reservas'!$H$9,0)</f>
        <v>0</v>
      </c>
      <c r="C633" s="122">
        <f t="shared" si="19"/>
        <v>0</v>
      </c>
      <c r="D633" s="121">
        <f>ROUND(IF(C633&lt;='FR_Mantenimiento tasas'!$C$55,'Tabla Ahorro Futuro Reservas'!C633*'FR_Mantenimiento tasas'!$D$55/360,IF(C633&lt;='FR_Mantenimiento tasas'!$C$56,'Tabla Ahorro Futuro Reservas'!C633*'FR_Mantenimiento tasas'!$D$56/360,IF(C633&lt;='FR_Mantenimiento tasas'!$C$57,'Tabla Ahorro Futuro Reservas'!C633*'FR_Mantenimiento tasas'!$D$57/360,""))),5)</f>
        <v>0</v>
      </c>
      <c r="E633" s="121">
        <f>ROUND(IF(C633&lt;='FR_Mantenimiento tasas'!$C$55,'Tabla Ahorro Futuro Reservas'!C633*'FR_Mantenimiento tasas'!$E$55/360,IF(C633&lt;='FR_Mantenimiento tasas'!$C$56,'Tabla Ahorro Futuro Reservas'!C633*'FR_Mantenimiento tasas'!$E$56/360,IF(C633&lt;='FR_Mantenimiento tasas'!$C$57,'Tabla Ahorro Futuro Reservas'!C633*'FR_Mantenimiento tasas'!$E$57/360,""))),5)</f>
        <v>0</v>
      </c>
    </row>
    <row r="634" spans="1:5">
      <c r="A634" s="123">
        <f t="shared" si="18"/>
        <v>632</v>
      </c>
      <c r="B634" s="122">
        <f>IF(DAY(A634)=DAY('F-Ahorro Futuro Reservas'!$H$10),'F-Ahorro Futuro Reservas'!$H$9,0)</f>
        <v>0</v>
      </c>
      <c r="C634" s="122">
        <f t="shared" si="19"/>
        <v>0</v>
      </c>
      <c r="D634" s="121">
        <f>ROUND(IF(C634&lt;='FR_Mantenimiento tasas'!$C$55,'Tabla Ahorro Futuro Reservas'!C634*'FR_Mantenimiento tasas'!$D$55/360,IF(C634&lt;='FR_Mantenimiento tasas'!$C$56,'Tabla Ahorro Futuro Reservas'!C634*'FR_Mantenimiento tasas'!$D$56/360,IF(C634&lt;='FR_Mantenimiento tasas'!$C$57,'Tabla Ahorro Futuro Reservas'!C634*'FR_Mantenimiento tasas'!$D$57/360,""))),5)</f>
        <v>0</v>
      </c>
      <c r="E634" s="121">
        <f>ROUND(IF(C634&lt;='FR_Mantenimiento tasas'!$C$55,'Tabla Ahorro Futuro Reservas'!C634*'FR_Mantenimiento tasas'!$E$55/360,IF(C634&lt;='FR_Mantenimiento tasas'!$C$56,'Tabla Ahorro Futuro Reservas'!C634*'FR_Mantenimiento tasas'!$E$56/360,IF(C634&lt;='FR_Mantenimiento tasas'!$C$57,'Tabla Ahorro Futuro Reservas'!C634*'FR_Mantenimiento tasas'!$E$57/360,""))),5)</f>
        <v>0</v>
      </c>
    </row>
    <row r="635" spans="1:5">
      <c r="A635" s="123">
        <f t="shared" si="18"/>
        <v>633</v>
      </c>
      <c r="B635" s="122">
        <f>IF(DAY(A635)=DAY('F-Ahorro Futuro Reservas'!$H$10),'F-Ahorro Futuro Reservas'!$H$9,0)</f>
        <v>0</v>
      </c>
      <c r="C635" s="122">
        <f t="shared" si="19"/>
        <v>0</v>
      </c>
      <c r="D635" s="121">
        <f>ROUND(IF(C635&lt;='FR_Mantenimiento tasas'!$C$55,'Tabla Ahorro Futuro Reservas'!C635*'FR_Mantenimiento tasas'!$D$55/360,IF(C635&lt;='FR_Mantenimiento tasas'!$C$56,'Tabla Ahorro Futuro Reservas'!C635*'FR_Mantenimiento tasas'!$D$56/360,IF(C635&lt;='FR_Mantenimiento tasas'!$C$57,'Tabla Ahorro Futuro Reservas'!C635*'FR_Mantenimiento tasas'!$D$57/360,""))),5)</f>
        <v>0</v>
      </c>
      <c r="E635" s="121">
        <f>ROUND(IF(C635&lt;='FR_Mantenimiento tasas'!$C$55,'Tabla Ahorro Futuro Reservas'!C635*'FR_Mantenimiento tasas'!$E$55/360,IF(C635&lt;='FR_Mantenimiento tasas'!$C$56,'Tabla Ahorro Futuro Reservas'!C635*'FR_Mantenimiento tasas'!$E$56/360,IF(C635&lt;='FR_Mantenimiento tasas'!$C$57,'Tabla Ahorro Futuro Reservas'!C635*'FR_Mantenimiento tasas'!$E$57/360,""))),5)</f>
        <v>0</v>
      </c>
    </row>
    <row r="636" spans="1:5">
      <c r="A636" s="123">
        <f t="shared" si="18"/>
        <v>634</v>
      </c>
      <c r="B636" s="122">
        <f>IF(DAY(A636)=DAY('F-Ahorro Futuro Reservas'!$H$10),'F-Ahorro Futuro Reservas'!$H$9,0)</f>
        <v>0</v>
      </c>
      <c r="C636" s="122">
        <f t="shared" si="19"/>
        <v>0</v>
      </c>
      <c r="D636" s="121">
        <f>ROUND(IF(C636&lt;='FR_Mantenimiento tasas'!$C$55,'Tabla Ahorro Futuro Reservas'!C636*'FR_Mantenimiento tasas'!$D$55/360,IF(C636&lt;='FR_Mantenimiento tasas'!$C$56,'Tabla Ahorro Futuro Reservas'!C636*'FR_Mantenimiento tasas'!$D$56/360,IF(C636&lt;='FR_Mantenimiento tasas'!$C$57,'Tabla Ahorro Futuro Reservas'!C636*'FR_Mantenimiento tasas'!$D$57/360,""))),5)</f>
        <v>0</v>
      </c>
      <c r="E636" s="121">
        <f>ROUND(IF(C636&lt;='FR_Mantenimiento tasas'!$C$55,'Tabla Ahorro Futuro Reservas'!C636*'FR_Mantenimiento tasas'!$E$55/360,IF(C636&lt;='FR_Mantenimiento tasas'!$C$56,'Tabla Ahorro Futuro Reservas'!C636*'FR_Mantenimiento tasas'!$E$56/360,IF(C636&lt;='FR_Mantenimiento tasas'!$C$57,'Tabla Ahorro Futuro Reservas'!C636*'FR_Mantenimiento tasas'!$E$57/360,""))),5)</f>
        <v>0</v>
      </c>
    </row>
    <row r="637" spans="1:5">
      <c r="A637" s="123">
        <f t="shared" si="18"/>
        <v>635</v>
      </c>
      <c r="B637" s="122">
        <f>IF(DAY(A637)=DAY('F-Ahorro Futuro Reservas'!$H$10),'F-Ahorro Futuro Reservas'!$H$9,0)</f>
        <v>0</v>
      </c>
      <c r="C637" s="122">
        <f t="shared" si="19"/>
        <v>0</v>
      </c>
      <c r="D637" s="121">
        <f>ROUND(IF(C637&lt;='FR_Mantenimiento tasas'!$C$55,'Tabla Ahorro Futuro Reservas'!C637*'FR_Mantenimiento tasas'!$D$55/360,IF(C637&lt;='FR_Mantenimiento tasas'!$C$56,'Tabla Ahorro Futuro Reservas'!C637*'FR_Mantenimiento tasas'!$D$56/360,IF(C637&lt;='FR_Mantenimiento tasas'!$C$57,'Tabla Ahorro Futuro Reservas'!C637*'FR_Mantenimiento tasas'!$D$57/360,""))),5)</f>
        <v>0</v>
      </c>
      <c r="E637" s="121">
        <f>ROUND(IF(C637&lt;='FR_Mantenimiento tasas'!$C$55,'Tabla Ahorro Futuro Reservas'!C637*'FR_Mantenimiento tasas'!$E$55/360,IF(C637&lt;='FR_Mantenimiento tasas'!$C$56,'Tabla Ahorro Futuro Reservas'!C637*'FR_Mantenimiento tasas'!$E$56/360,IF(C637&lt;='FR_Mantenimiento tasas'!$C$57,'Tabla Ahorro Futuro Reservas'!C637*'FR_Mantenimiento tasas'!$E$57/360,""))),5)</f>
        <v>0</v>
      </c>
    </row>
    <row r="638" spans="1:5">
      <c r="A638" s="123">
        <f t="shared" si="18"/>
        <v>636</v>
      </c>
      <c r="B638" s="122">
        <f>IF(DAY(A638)=DAY('F-Ahorro Futuro Reservas'!$H$10),'F-Ahorro Futuro Reservas'!$H$9,0)</f>
        <v>0</v>
      </c>
      <c r="C638" s="122">
        <f t="shared" si="19"/>
        <v>0</v>
      </c>
      <c r="D638" s="121">
        <f>ROUND(IF(C638&lt;='FR_Mantenimiento tasas'!$C$55,'Tabla Ahorro Futuro Reservas'!C638*'FR_Mantenimiento tasas'!$D$55/360,IF(C638&lt;='FR_Mantenimiento tasas'!$C$56,'Tabla Ahorro Futuro Reservas'!C638*'FR_Mantenimiento tasas'!$D$56/360,IF(C638&lt;='FR_Mantenimiento tasas'!$C$57,'Tabla Ahorro Futuro Reservas'!C638*'FR_Mantenimiento tasas'!$D$57/360,""))),5)</f>
        <v>0</v>
      </c>
      <c r="E638" s="121">
        <f>ROUND(IF(C638&lt;='FR_Mantenimiento tasas'!$C$55,'Tabla Ahorro Futuro Reservas'!C638*'FR_Mantenimiento tasas'!$E$55/360,IF(C638&lt;='FR_Mantenimiento tasas'!$C$56,'Tabla Ahorro Futuro Reservas'!C638*'FR_Mantenimiento tasas'!$E$56/360,IF(C638&lt;='FR_Mantenimiento tasas'!$C$57,'Tabla Ahorro Futuro Reservas'!C638*'FR_Mantenimiento tasas'!$E$57/360,""))),5)</f>
        <v>0</v>
      </c>
    </row>
    <row r="639" spans="1:5">
      <c r="A639" s="123">
        <f t="shared" si="18"/>
        <v>637</v>
      </c>
      <c r="B639" s="122">
        <f>IF(DAY(A639)=DAY('F-Ahorro Futuro Reservas'!$H$10),'F-Ahorro Futuro Reservas'!$H$9,0)</f>
        <v>0</v>
      </c>
      <c r="C639" s="122">
        <f t="shared" si="19"/>
        <v>0</v>
      </c>
      <c r="D639" s="121">
        <f>ROUND(IF(C639&lt;='FR_Mantenimiento tasas'!$C$55,'Tabla Ahorro Futuro Reservas'!C639*'FR_Mantenimiento tasas'!$D$55/360,IF(C639&lt;='FR_Mantenimiento tasas'!$C$56,'Tabla Ahorro Futuro Reservas'!C639*'FR_Mantenimiento tasas'!$D$56/360,IF(C639&lt;='FR_Mantenimiento tasas'!$C$57,'Tabla Ahorro Futuro Reservas'!C639*'FR_Mantenimiento tasas'!$D$57/360,""))),5)</f>
        <v>0</v>
      </c>
      <c r="E639" s="121">
        <f>ROUND(IF(C639&lt;='FR_Mantenimiento tasas'!$C$55,'Tabla Ahorro Futuro Reservas'!C639*'FR_Mantenimiento tasas'!$E$55/360,IF(C639&lt;='FR_Mantenimiento tasas'!$C$56,'Tabla Ahorro Futuro Reservas'!C639*'FR_Mantenimiento tasas'!$E$56/360,IF(C639&lt;='FR_Mantenimiento tasas'!$C$57,'Tabla Ahorro Futuro Reservas'!C639*'FR_Mantenimiento tasas'!$E$57/360,""))),5)</f>
        <v>0</v>
      </c>
    </row>
    <row r="640" spans="1:5">
      <c r="A640" s="123">
        <f t="shared" si="18"/>
        <v>638</v>
      </c>
      <c r="B640" s="122">
        <f>IF(DAY(A640)=DAY('F-Ahorro Futuro Reservas'!$H$10),'F-Ahorro Futuro Reservas'!$H$9,0)</f>
        <v>0</v>
      </c>
      <c r="C640" s="122">
        <f t="shared" si="19"/>
        <v>0</v>
      </c>
      <c r="D640" s="121">
        <f>ROUND(IF(C640&lt;='FR_Mantenimiento tasas'!$C$55,'Tabla Ahorro Futuro Reservas'!C640*'FR_Mantenimiento tasas'!$D$55/360,IF(C640&lt;='FR_Mantenimiento tasas'!$C$56,'Tabla Ahorro Futuro Reservas'!C640*'FR_Mantenimiento tasas'!$D$56/360,IF(C640&lt;='FR_Mantenimiento tasas'!$C$57,'Tabla Ahorro Futuro Reservas'!C640*'FR_Mantenimiento tasas'!$D$57/360,""))),5)</f>
        <v>0</v>
      </c>
      <c r="E640" s="121">
        <f>ROUND(IF(C640&lt;='FR_Mantenimiento tasas'!$C$55,'Tabla Ahorro Futuro Reservas'!C640*'FR_Mantenimiento tasas'!$E$55/360,IF(C640&lt;='FR_Mantenimiento tasas'!$C$56,'Tabla Ahorro Futuro Reservas'!C640*'FR_Mantenimiento tasas'!$E$56/360,IF(C640&lt;='FR_Mantenimiento tasas'!$C$57,'Tabla Ahorro Futuro Reservas'!C640*'FR_Mantenimiento tasas'!$E$57/360,""))),5)</f>
        <v>0</v>
      </c>
    </row>
    <row r="641" spans="1:5">
      <c r="A641" s="123">
        <f t="shared" si="18"/>
        <v>639</v>
      </c>
      <c r="B641" s="122">
        <f>IF(DAY(A641)=DAY('F-Ahorro Futuro Reservas'!$H$10),'F-Ahorro Futuro Reservas'!$H$9,0)</f>
        <v>0</v>
      </c>
      <c r="C641" s="122">
        <f t="shared" si="19"/>
        <v>0</v>
      </c>
      <c r="D641" s="121">
        <f>ROUND(IF(C641&lt;='FR_Mantenimiento tasas'!$C$55,'Tabla Ahorro Futuro Reservas'!C641*'FR_Mantenimiento tasas'!$D$55/360,IF(C641&lt;='FR_Mantenimiento tasas'!$C$56,'Tabla Ahorro Futuro Reservas'!C641*'FR_Mantenimiento tasas'!$D$56/360,IF(C641&lt;='FR_Mantenimiento tasas'!$C$57,'Tabla Ahorro Futuro Reservas'!C641*'FR_Mantenimiento tasas'!$D$57/360,""))),5)</f>
        <v>0</v>
      </c>
      <c r="E641" s="121">
        <f>ROUND(IF(C641&lt;='FR_Mantenimiento tasas'!$C$55,'Tabla Ahorro Futuro Reservas'!C641*'FR_Mantenimiento tasas'!$E$55/360,IF(C641&lt;='FR_Mantenimiento tasas'!$C$56,'Tabla Ahorro Futuro Reservas'!C641*'FR_Mantenimiento tasas'!$E$56/360,IF(C641&lt;='FR_Mantenimiento tasas'!$C$57,'Tabla Ahorro Futuro Reservas'!C641*'FR_Mantenimiento tasas'!$E$57/360,""))),5)</f>
        <v>0</v>
      </c>
    </row>
    <row r="642" spans="1:5">
      <c r="A642" s="123">
        <f t="shared" si="18"/>
        <v>640</v>
      </c>
      <c r="B642" s="122">
        <f>IF(DAY(A642)=DAY('F-Ahorro Futuro Reservas'!$H$10),'F-Ahorro Futuro Reservas'!$H$9,0)</f>
        <v>0</v>
      </c>
      <c r="C642" s="122">
        <f t="shared" si="19"/>
        <v>0</v>
      </c>
      <c r="D642" s="121">
        <f>ROUND(IF(C642&lt;='FR_Mantenimiento tasas'!$C$55,'Tabla Ahorro Futuro Reservas'!C642*'FR_Mantenimiento tasas'!$D$55/360,IF(C642&lt;='FR_Mantenimiento tasas'!$C$56,'Tabla Ahorro Futuro Reservas'!C642*'FR_Mantenimiento tasas'!$D$56/360,IF(C642&lt;='FR_Mantenimiento tasas'!$C$57,'Tabla Ahorro Futuro Reservas'!C642*'FR_Mantenimiento tasas'!$D$57/360,""))),5)</f>
        <v>0</v>
      </c>
      <c r="E642" s="121">
        <f>ROUND(IF(C642&lt;='FR_Mantenimiento tasas'!$C$55,'Tabla Ahorro Futuro Reservas'!C642*'FR_Mantenimiento tasas'!$E$55/360,IF(C642&lt;='FR_Mantenimiento tasas'!$C$56,'Tabla Ahorro Futuro Reservas'!C642*'FR_Mantenimiento tasas'!$E$56/360,IF(C642&lt;='FR_Mantenimiento tasas'!$C$57,'Tabla Ahorro Futuro Reservas'!C642*'FR_Mantenimiento tasas'!$E$57/360,""))),5)</f>
        <v>0</v>
      </c>
    </row>
    <row r="643" spans="1:5">
      <c r="A643" s="123">
        <f t="shared" si="18"/>
        <v>641</v>
      </c>
      <c r="B643" s="122">
        <f>IF(DAY(A643)=DAY('F-Ahorro Futuro Reservas'!$H$10),'F-Ahorro Futuro Reservas'!$H$9,0)</f>
        <v>0</v>
      </c>
      <c r="C643" s="122">
        <f t="shared" si="19"/>
        <v>0</v>
      </c>
      <c r="D643" s="121">
        <f>ROUND(IF(C643&lt;='FR_Mantenimiento tasas'!$C$55,'Tabla Ahorro Futuro Reservas'!C643*'FR_Mantenimiento tasas'!$D$55/360,IF(C643&lt;='FR_Mantenimiento tasas'!$C$56,'Tabla Ahorro Futuro Reservas'!C643*'FR_Mantenimiento tasas'!$D$56/360,IF(C643&lt;='FR_Mantenimiento tasas'!$C$57,'Tabla Ahorro Futuro Reservas'!C643*'FR_Mantenimiento tasas'!$D$57/360,""))),5)</f>
        <v>0</v>
      </c>
      <c r="E643" s="121">
        <f>ROUND(IF(C643&lt;='FR_Mantenimiento tasas'!$C$55,'Tabla Ahorro Futuro Reservas'!C643*'FR_Mantenimiento tasas'!$E$55/360,IF(C643&lt;='FR_Mantenimiento tasas'!$C$56,'Tabla Ahorro Futuro Reservas'!C643*'FR_Mantenimiento tasas'!$E$56/360,IF(C643&lt;='FR_Mantenimiento tasas'!$C$57,'Tabla Ahorro Futuro Reservas'!C643*'FR_Mantenimiento tasas'!$E$57/360,""))),5)</f>
        <v>0</v>
      </c>
    </row>
    <row r="644" spans="1:5">
      <c r="A644" s="123">
        <f t="shared" ref="A644:A707" si="20">+A643+1</f>
        <v>642</v>
      </c>
      <c r="B644" s="122">
        <f>IF(DAY(A644)=DAY('F-Ahorro Futuro Reservas'!$H$10),'F-Ahorro Futuro Reservas'!$H$9,0)</f>
        <v>0</v>
      </c>
      <c r="C644" s="122">
        <f t="shared" ref="C644:C707" si="21">+B644+C643+D643</f>
        <v>0</v>
      </c>
      <c r="D644" s="121">
        <f>ROUND(IF(C644&lt;='FR_Mantenimiento tasas'!$C$55,'Tabla Ahorro Futuro Reservas'!C644*'FR_Mantenimiento tasas'!$D$55/360,IF(C644&lt;='FR_Mantenimiento tasas'!$C$56,'Tabla Ahorro Futuro Reservas'!C644*'FR_Mantenimiento tasas'!$D$56/360,IF(C644&lt;='FR_Mantenimiento tasas'!$C$57,'Tabla Ahorro Futuro Reservas'!C644*'FR_Mantenimiento tasas'!$D$57/360,""))),5)</f>
        <v>0</v>
      </c>
      <c r="E644" s="121">
        <f>ROUND(IF(C644&lt;='FR_Mantenimiento tasas'!$C$55,'Tabla Ahorro Futuro Reservas'!C644*'FR_Mantenimiento tasas'!$E$55/360,IF(C644&lt;='FR_Mantenimiento tasas'!$C$56,'Tabla Ahorro Futuro Reservas'!C644*'FR_Mantenimiento tasas'!$E$56/360,IF(C644&lt;='FR_Mantenimiento tasas'!$C$57,'Tabla Ahorro Futuro Reservas'!C644*'FR_Mantenimiento tasas'!$E$57/360,""))),5)</f>
        <v>0</v>
      </c>
    </row>
    <row r="645" spans="1:5">
      <c r="A645" s="123">
        <f t="shared" si="20"/>
        <v>643</v>
      </c>
      <c r="B645" s="122">
        <f>IF(DAY(A645)=DAY('F-Ahorro Futuro Reservas'!$H$10),'F-Ahorro Futuro Reservas'!$H$9,0)</f>
        <v>0</v>
      </c>
      <c r="C645" s="122">
        <f t="shared" si="21"/>
        <v>0</v>
      </c>
      <c r="D645" s="121">
        <f>ROUND(IF(C645&lt;='FR_Mantenimiento tasas'!$C$55,'Tabla Ahorro Futuro Reservas'!C645*'FR_Mantenimiento tasas'!$D$55/360,IF(C645&lt;='FR_Mantenimiento tasas'!$C$56,'Tabla Ahorro Futuro Reservas'!C645*'FR_Mantenimiento tasas'!$D$56/360,IF(C645&lt;='FR_Mantenimiento tasas'!$C$57,'Tabla Ahorro Futuro Reservas'!C645*'FR_Mantenimiento tasas'!$D$57/360,""))),5)</f>
        <v>0</v>
      </c>
      <c r="E645" s="121">
        <f>ROUND(IF(C645&lt;='FR_Mantenimiento tasas'!$C$55,'Tabla Ahorro Futuro Reservas'!C645*'FR_Mantenimiento tasas'!$E$55/360,IF(C645&lt;='FR_Mantenimiento tasas'!$C$56,'Tabla Ahorro Futuro Reservas'!C645*'FR_Mantenimiento tasas'!$E$56/360,IF(C645&lt;='FR_Mantenimiento tasas'!$C$57,'Tabla Ahorro Futuro Reservas'!C645*'FR_Mantenimiento tasas'!$E$57/360,""))),5)</f>
        <v>0</v>
      </c>
    </row>
    <row r="646" spans="1:5">
      <c r="A646" s="123">
        <f t="shared" si="20"/>
        <v>644</v>
      </c>
      <c r="B646" s="122">
        <f>IF(DAY(A646)=DAY('F-Ahorro Futuro Reservas'!$H$10),'F-Ahorro Futuro Reservas'!$H$9,0)</f>
        <v>0</v>
      </c>
      <c r="C646" s="122">
        <f t="shared" si="21"/>
        <v>0</v>
      </c>
      <c r="D646" s="121">
        <f>ROUND(IF(C646&lt;='FR_Mantenimiento tasas'!$C$55,'Tabla Ahorro Futuro Reservas'!C646*'FR_Mantenimiento tasas'!$D$55/360,IF(C646&lt;='FR_Mantenimiento tasas'!$C$56,'Tabla Ahorro Futuro Reservas'!C646*'FR_Mantenimiento tasas'!$D$56/360,IF(C646&lt;='FR_Mantenimiento tasas'!$C$57,'Tabla Ahorro Futuro Reservas'!C646*'FR_Mantenimiento tasas'!$D$57/360,""))),5)</f>
        <v>0</v>
      </c>
      <c r="E646" s="121">
        <f>ROUND(IF(C646&lt;='FR_Mantenimiento tasas'!$C$55,'Tabla Ahorro Futuro Reservas'!C646*'FR_Mantenimiento tasas'!$E$55/360,IF(C646&lt;='FR_Mantenimiento tasas'!$C$56,'Tabla Ahorro Futuro Reservas'!C646*'FR_Mantenimiento tasas'!$E$56/360,IF(C646&lt;='FR_Mantenimiento tasas'!$C$57,'Tabla Ahorro Futuro Reservas'!C646*'FR_Mantenimiento tasas'!$E$57/360,""))),5)</f>
        <v>0</v>
      </c>
    </row>
    <row r="647" spans="1:5">
      <c r="A647" s="123">
        <f t="shared" si="20"/>
        <v>645</v>
      </c>
      <c r="B647" s="122">
        <f>IF(DAY(A647)=DAY('F-Ahorro Futuro Reservas'!$H$10),'F-Ahorro Futuro Reservas'!$H$9,0)</f>
        <v>0</v>
      </c>
      <c r="C647" s="122">
        <f t="shared" si="21"/>
        <v>0</v>
      </c>
      <c r="D647" s="121">
        <f>ROUND(IF(C647&lt;='FR_Mantenimiento tasas'!$C$55,'Tabla Ahorro Futuro Reservas'!C647*'FR_Mantenimiento tasas'!$D$55/360,IF(C647&lt;='FR_Mantenimiento tasas'!$C$56,'Tabla Ahorro Futuro Reservas'!C647*'FR_Mantenimiento tasas'!$D$56/360,IF(C647&lt;='FR_Mantenimiento tasas'!$C$57,'Tabla Ahorro Futuro Reservas'!C647*'FR_Mantenimiento tasas'!$D$57/360,""))),5)</f>
        <v>0</v>
      </c>
      <c r="E647" s="121">
        <f>ROUND(IF(C647&lt;='FR_Mantenimiento tasas'!$C$55,'Tabla Ahorro Futuro Reservas'!C647*'FR_Mantenimiento tasas'!$E$55/360,IF(C647&lt;='FR_Mantenimiento tasas'!$C$56,'Tabla Ahorro Futuro Reservas'!C647*'FR_Mantenimiento tasas'!$E$56/360,IF(C647&lt;='FR_Mantenimiento tasas'!$C$57,'Tabla Ahorro Futuro Reservas'!C647*'FR_Mantenimiento tasas'!$E$57/360,""))),5)</f>
        <v>0</v>
      </c>
    </row>
    <row r="648" spans="1:5">
      <c r="A648" s="123">
        <f t="shared" si="20"/>
        <v>646</v>
      </c>
      <c r="B648" s="122">
        <f>IF(DAY(A648)=DAY('F-Ahorro Futuro Reservas'!$H$10),'F-Ahorro Futuro Reservas'!$H$9,0)</f>
        <v>0</v>
      </c>
      <c r="C648" s="122">
        <f t="shared" si="21"/>
        <v>0</v>
      </c>
      <c r="D648" s="121">
        <f>ROUND(IF(C648&lt;='FR_Mantenimiento tasas'!$C$55,'Tabla Ahorro Futuro Reservas'!C648*'FR_Mantenimiento tasas'!$D$55/360,IF(C648&lt;='FR_Mantenimiento tasas'!$C$56,'Tabla Ahorro Futuro Reservas'!C648*'FR_Mantenimiento tasas'!$D$56/360,IF(C648&lt;='FR_Mantenimiento tasas'!$C$57,'Tabla Ahorro Futuro Reservas'!C648*'FR_Mantenimiento tasas'!$D$57/360,""))),5)</f>
        <v>0</v>
      </c>
      <c r="E648" s="121">
        <f>ROUND(IF(C648&lt;='FR_Mantenimiento tasas'!$C$55,'Tabla Ahorro Futuro Reservas'!C648*'FR_Mantenimiento tasas'!$E$55/360,IF(C648&lt;='FR_Mantenimiento tasas'!$C$56,'Tabla Ahorro Futuro Reservas'!C648*'FR_Mantenimiento tasas'!$E$56/360,IF(C648&lt;='FR_Mantenimiento tasas'!$C$57,'Tabla Ahorro Futuro Reservas'!C648*'FR_Mantenimiento tasas'!$E$57/360,""))),5)</f>
        <v>0</v>
      </c>
    </row>
    <row r="649" spans="1:5">
      <c r="A649" s="123">
        <f t="shared" si="20"/>
        <v>647</v>
      </c>
      <c r="B649" s="122">
        <f>IF(DAY(A649)=DAY('F-Ahorro Futuro Reservas'!$H$10),'F-Ahorro Futuro Reservas'!$H$9,0)</f>
        <v>0</v>
      </c>
      <c r="C649" s="122">
        <f t="shared" si="21"/>
        <v>0</v>
      </c>
      <c r="D649" s="121">
        <f>ROUND(IF(C649&lt;='FR_Mantenimiento tasas'!$C$55,'Tabla Ahorro Futuro Reservas'!C649*'FR_Mantenimiento tasas'!$D$55/360,IF(C649&lt;='FR_Mantenimiento tasas'!$C$56,'Tabla Ahorro Futuro Reservas'!C649*'FR_Mantenimiento tasas'!$D$56/360,IF(C649&lt;='FR_Mantenimiento tasas'!$C$57,'Tabla Ahorro Futuro Reservas'!C649*'FR_Mantenimiento tasas'!$D$57/360,""))),5)</f>
        <v>0</v>
      </c>
      <c r="E649" s="121">
        <f>ROUND(IF(C649&lt;='FR_Mantenimiento tasas'!$C$55,'Tabla Ahorro Futuro Reservas'!C649*'FR_Mantenimiento tasas'!$E$55/360,IF(C649&lt;='FR_Mantenimiento tasas'!$C$56,'Tabla Ahorro Futuro Reservas'!C649*'FR_Mantenimiento tasas'!$E$56/360,IF(C649&lt;='FR_Mantenimiento tasas'!$C$57,'Tabla Ahorro Futuro Reservas'!C649*'FR_Mantenimiento tasas'!$E$57/360,""))),5)</f>
        <v>0</v>
      </c>
    </row>
    <row r="650" spans="1:5">
      <c r="A650" s="123">
        <f t="shared" si="20"/>
        <v>648</v>
      </c>
      <c r="B650" s="122">
        <f>IF(DAY(A650)=DAY('F-Ahorro Futuro Reservas'!$H$10),'F-Ahorro Futuro Reservas'!$H$9,0)</f>
        <v>0</v>
      </c>
      <c r="C650" s="122">
        <f t="shared" si="21"/>
        <v>0</v>
      </c>
      <c r="D650" s="121">
        <f>ROUND(IF(C650&lt;='FR_Mantenimiento tasas'!$C$55,'Tabla Ahorro Futuro Reservas'!C650*'FR_Mantenimiento tasas'!$D$55/360,IF(C650&lt;='FR_Mantenimiento tasas'!$C$56,'Tabla Ahorro Futuro Reservas'!C650*'FR_Mantenimiento tasas'!$D$56/360,IF(C650&lt;='FR_Mantenimiento tasas'!$C$57,'Tabla Ahorro Futuro Reservas'!C650*'FR_Mantenimiento tasas'!$D$57/360,""))),5)</f>
        <v>0</v>
      </c>
      <c r="E650" s="121">
        <f>ROUND(IF(C650&lt;='FR_Mantenimiento tasas'!$C$55,'Tabla Ahorro Futuro Reservas'!C650*'FR_Mantenimiento tasas'!$E$55/360,IF(C650&lt;='FR_Mantenimiento tasas'!$C$56,'Tabla Ahorro Futuro Reservas'!C650*'FR_Mantenimiento tasas'!$E$56/360,IF(C650&lt;='FR_Mantenimiento tasas'!$C$57,'Tabla Ahorro Futuro Reservas'!C650*'FR_Mantenimiento tasas'!$E$57/360,""))),5)</f>
        <v>0</v>
      </c>
    </row>
    <row r="651" spans="1:5">
      <c r="A651" s="123">
        <f t="shared" si="20"/>
        <v>649</v>
      </c>
      <c r="B651" s="122">
        <f>IF(DAY(A651)=DAY('F-Ahorro Futuro Reservas'!$H$10),'F-Ahorro Futuro Reservas'!$H$9,0)</f>
        <v>0</v>
      </c>
      <c r="C651" s="122">
        <f t="shared" si="21"/>
        <v>0</v>
      </c>
      <c r="D651" s="121">
        <f>ROUND(IF(C651&lt;='FR_Mantenimiento tasas'!$C$55,'Tabla Ahorro Futuro Reservas'!C651*'FR_Mantenimiento tasas'!$D$55/360,IF(C651&lt;='FR_Mantenimiento tasas'!$C$56,'Tabla Ahorro Futuro Reservas'!C651*'FR_Mantenimiento tasas'!$D$56/360,IF(C651&lt;='FR_Mantenimiento tasas'!$C$57,'Tabla Ahorro Futuro Reservas'!C651*'FR_Mantenimiento tasas'!$D$57/360,""))),5)</f>
        <v>0</v>
      </c>
      <c r="E651" s="121">
        <f>ROUND(IF(C651&lt;='FR_Mantenimiento tasas'!$C$55,'Tabla Ahorro Futuro Reservas'!C651*'FR_Mantenimiento tasas'!$E$55/360,IF(C651&lt;='FR_Mantenimiento tasas'!$C$56,'Tabla Ahorro Futuro Reservas'!C651*'FR_Mantenimiento tasas'!$E$56/360,IF(C651&lt;='FR_Mantenimiento tasas'!$C$57,'Tabla Ahorro Futuro Reservas'!C651*'FR_Mantenimiento tasas'!$E$57/360,""))),5)</f>
        <v>0</v>
      </c>
    </row>
    <row r="652" spans="1:5">
      <c r="A652" s="123">
        <f t="shared" si="20"/>
        <v>650</v>
      </c>
      <c r="B652" s="122">
        <f>IF(DAY(A652)=DAY('F-Ahorro Futuro Reservas'!$H$10),'F-Ahorro Futuro Reservas'!$H$9,0)</f>
        <v>0</v>
      </c>
      <c r="C652" s="122">
        <f t="shared" si="21"/>
        <v>0</v>
      </c>
      <c r="D652" s="121">
        <f>ROUND(IF(C652&lt;='FR_Mantenimiento tasas'!$C$55,'Tabla Ahorro Futuro Reservas'!C652*'FR_Mantenimiento tasas'!$D$55/360,IF(C652&lt;='FR_Mantenimiento tasas'!$C$56,'Tabla Ahorro Futuro Reservas'!C652*'FR_Mantenimiento tasas'!$D$56/360,IF(C652&lt;='FR_Mantenimiento tasas'!$C$57,'Tabla Ahorro Futuro Reservas'!C652*'FR_Mantenimiento tasas'!$D$57/360,""))),5)</f>
        <v>0</v>
      </c>
      <c r="E652" s="121">
        <f>ROUND(IF(C652&lt;='FR_Mantenimiento tasas'!$C$55,'Tabla Ahorro Futuro Reservas'!C652*'FR_Mantenimiento tasas'!$E$55/360,IF(C652&lt;='FR_Mantenimiento tasas'!$C$56,'Tabla Ahorro Futuro Reservas'!C652*'FR_Mantenimiento tasas'!$E$56/360,IF(C652&lt;='FR_Mantenimiento tasas'!$C$57,'Tabla Ahorro Futuro Reservas'!C652*'FR_Mantenimiento tasas'!$E$57/360,""))),5)</f>
        <v>0</v>
      </c>
    </row>
    <row r="653" spans="1:5">
      <c r="A653" s="123">
        <f t="shared" si="20"/>
        <v>651</v>
      </c>
      <c r="B653" s="122">
        <f>IF(DAY(A653)=DAY('F-Ahorro Futuro Reservas'!$H$10),'F-Ahorro Futuro Reservas'!$H$9,0)</f>
        <v>0</v>
      </c>
      <c r="C653" s="122">
        <f t="shared" si="21"/>
        <v>0</v>
      </c>
      <c r="D653" s="121">
        <f>ROUND(IF(C653&lt;='FR_Mantenimiento tasas'!$C$55,'Tabla Ahorro Futuro Reservas'!C653*'FR_Mantenimiento tasas'!$D$55/360,IF(C653&lt;='FR_Mantenimiento tasas'!$C$56,'Tabla Ahorro Futuro Reservas'!C653*'FR_Mantenimiento tasas'!$D$56/360,IF(C653&lt;='FR_Mantenimiento tasas'!$C$57,'Tabla Ahorro Futuro Reservas'!C653*'FR_Mantenimiento tasas'!$D$57/360,""))),5)</f>
        <v>0</v>
      </c>
      <c r="E653" s="121">
        <f>ROUND(IF(C653&lt;='FR_Mantenimiento tasas'!$C$55,'Tabla Ahorro Futuro Reservas'!C653*'FR_Mantenimiento tasas'!$E$55/360,IF(C653&lt;='FR_Mantenimiento tasas'!$C$56,'Tabla Ahorro Futuro Reservas'!C653*'FR_Mantenimiento tasas'!$E$56/360,IF(C653&lt;='FR_Mantenimiento tasas'!$C$57,'Tabla Ahorro Futuro Reservas'!C653*'FR_Mantenimiento tasas'!$E$57/360,""))),5)</f>
        <v>0</v>
      </c>
    </row>
    <row r="654" spans="1:5">
      <c r="A654" s="123">
        <f t="shared" si="20"/>
        <v>652</v>
      </c>
      <c r="B654" s="122">
        <f>IF(DAY(A654)=DAY('F-Ahorro Futuro Reservas'!$H$10),'F-Ahorro Futuro Reservas'!$H$9,0)</f>
        <v>0</v>
      </c>
      <c r="C654" s="122">
        <f t="shared" si="21"/>
        <v>0</v>
      </c>
      <c r="D654" s="121">
        <f>ROUND(IF(C654&lt;='FR_Mantenimiento tasas'!$C$55,'Tabla Ahorro Futuro Reservas'!C654*'FR_Mantenimiento tasas'!$D$55/360,IF(C654&lt;='FR_Mantenimiento tasas'!$C$56,'Tabla Ahorro Futuro Reservas'!C654*'FR_Mantenimiento tasas'!$D$56/360,IF(C654&lt;='FR_Mantenimiento tasas'!$C$57,'Tabla Ahorro Futuro Reservas'!C654*'FR_Mantenimiento tasas'!$D$57/360,""))),5)</f>
        <v>0</v>
      </c>
      <c r="E654" s="121">
        <f>ROUND(IF(C654&lt;='FR_Mantenimiento tasas'!$C$55,'Tabla Ahorro Futuro Reservas'!C654*'FR_Mantenimiento tasas'!$E$55/360,IF(C654&lt;='FR_Mantenimiento tasas'!$C$56,'Tabla Ahorro Futuro Reservas'!C654*'FR_Mantenimiento tasas'!$E$56/360,IF(C654&lt;='FR_Mantenimiento tasas'!$C$57,'Tabla Ahorro Futuro Reservas'!C654*'FR_Mantenimiento tasas'!$E$57/360,""))),5)</f>
        <v>0</v>
      </c>
    </row>
    <row r="655" spans="1:5">
      <c r="A655" s="123">
        <f t="shared" si="20"/>
        <v>653</v>
      </c>
      <c r="B655" s="122">
        <f>IF(DAY(A655)=DAY('F-Ahorro Futuro Reservas'!$H$10),'F-Ahorro Futuro Reservas'!$H$9,0)</f>
        <v>0</v>
      </c>
      <c r="C655" s="122">
        <f t="shared" si="21"/>
        <v>0</v>
      </c>
      <c r="D655" s="121">
        <f>ROUND(IF(C655&lt;='FR_Mantenimiento tasas'!$C$55,'Tabla Ahorro Futuro Reservas'!C655*'FR_Mantenimiento tasas'!$D$55/360,IF(C655&lt;='FR_Mantenimiento tasas'!$C$56,'Tabla Ahorro Futuro Reservas'!C655*'FR_Mantenimiento tasas'!$D$56/360,IF(C655&lt;='FR_Mantenimiento tasas'!$C$57,'Tabla Ahorro Futuro Reservas'!C655*'FR_Mantenimiento tasas'!$D$57/360,""))),5)</f>
        <v>0</v>
      </c>
      <c r="E655" s="121">
        <f>ROUND(IF(C655&lt;='FR_Mantenimiento tasas'!$C$55,'Tabla Ahorro Futuro Reservas'!C655*'FR_Mantenimiento tasas'!$E$55/360,IF(C655&lt;='FR_Mantenimiento tasas'!$C$56,'Tabla Ahorro Futuro Reservas'!C655*'FR_Mantenimiento tasas'!$E$56/360,IF(C655&lt;='FR_Mantenimiento tasas'!$C$57,'Tabla Ahorro Futuro Reservas'!C655*'FR_Mantenimiento tasas'!$E$57/360,""))),5)</f>
        <v>0</v>
      </c>
    </row>
    <row r="656" spans="1:5">
      <c r="A656" s="123">
        <f t="shared" si="20"/>
        <v>654</v>
      </c>
      <c r="B656" s="122">
        <f>IF(DAY(A656)=DAY('F-Ahorro Futuro Reservas'!$H$10),'F-Ahorro Futuro Reservas'!$H$9,0)</f>
        <v>0</v>
      </c>
      <c r="C656" s="122">
        <f t="shared" si="21"/>
        <v>0</v>
      </c>
      <c r="D656" s="121">
        <f>ROUND(IF(C656&lt;='FR_Mantenimiento tasas'!$C$55,'Tabla Ahorro Futuro Reservas'!C656*'FR_Mantenimiento tasas'!$D$55/360,IF(C656&lt;='FR_Mantenimiento tasas'!$C$56,'Tabla Ahorro Futuro Reservas'!C656*'FR_Mantenimiento tasas'!$D$56/360,IF(C656&lt;='FR_Mantenimiento tasas'!$C$57,'Tabla Ahorro Futuro Reservas'!C656*'FR_Mantenimiento tasas'!$D$57/360,""))),5)</f>
        <v>0</v>
      </c>
      <c r="E656" s="121">
        <f>ROUND(IF(C656&lt;='FR_Mantenimiento tasas'!$C$55,'Tabla Ahorro Futuro Reservas'!C656*'FR_Mantenimiento tasas'!$E$55/360,IF(C656&lt;='FR_Mantenimiento tasas'!$C$56,'Tabla Ahorro Futuro Reservas'!C656*'FR_Mantenimiento tasas'!$E$56/360,IF(C656&lt;='FR_Mantenimiento tasas'!$C$57,'Tabla Ahorro Futuro Reservas'!C656*'FR_Mantenimiento tasas'!$E$57/360,""))),5)</f>
        <v>0</v>
      </c>
    </row>
    <row r="657" spans="1:5">
      <c r="A657" s="123">
        <f t="shared" si="20"/>
        <v>655</v>
      </c>
      <c r="B657" s="122">
        <f>IF(DAY(A657)=DAY('F-Ahorro Futuro Reservas'!$H$10),'F-Ahorro Futuro Reservas'!$H$9,0)</f>
        <v>0</v>
      </c>
      <c r="C657" s="122">
        <f t="shared" si="21"/>
        <v>0</v>
      </c>
      <c r="D657" s="121">
        <f>ROUND(IF(C657&lt;='FR_Mantenimiento tasas'!$C$55,'Tabla Ahorro Futuro Reservas'!C657*'FR_Mantenimiento tasas'!$D$55/360,IF(C657&lt;='FR_Mantenimiento tasas'!$C$56,'Tabla Ahorro Futuro Reservas'!C657*'FR_Mantenimiento tasas'!$D$56/360,IF(C657&lt;='FR_Mantenimiento tasas'!$C$57,'Tabla Ahorro Futuro Reservas'!C657*'FR_Mantenimiento tasas'!$D$57/360,""))),5)</f>
        <v>0</v>
      </c>
      <c r="E657" s="121">
        <f>ROUND(IF(C657&lt;='FR_Mantenimiento tasas'!$C$55,'Tabla Ahorro Futuro Reservas'!C657*'FR_Mantenimiento tasas'!$E$55/360,IF(C657&lt;='FR_Mantenimiento tasas'!$C$56,'Tabla Ahorro Futuro Reservas'!C657*'FR_Mantenimiento tasas'!$E$56/360,IF(C657&lt;='FR_Mantenimiento tasas'!$C$57,'Tabla Ahorro Futuro Reservas'!C657*'FR_Mantenimiento tasas'!$E$57/360,""))),5)</f>
        <v>0</v>
      </c>
    </row>
    <row r="658" spans="1:5">
      <c r="A658" s="123">
        <f t="shared" si="20"/>
        <v>656</v>
      </c>
      <c r="B658" s="122">
        <f>IF(DAY(A658)=DAY('F-Ahorro Futuro Reservas'!$H$10),'F-Ahorro Futuro Reservas'!$H$9,0)</f>
        <v>0</v>
      </c>
      <c r="C658" s="122">
        <f t="shared" si="21"/>
        <v>0</v>
      </c>
      <c r="D658" s="121">
        <f>ROUND(IF(C658&lt;='FR_Mantenimiento tasas'!$C$55,'Tabla Ahorro Futuro Reservas'!C658*'FR_Mantenimiento tasas'!$D$55/360,IF(C658&lt;='FR_Mantenimiento tasas'!$C$56,'Tabla Ahorro Futuro Reservas'!C658*'FR_Mantenimiento tasas'!$D$56/360,IF(C658&lt;='FR_Mantenimiento tasas'!$C$57,'Tabla Ahorro Futuro Reservas'!C658*'FR_Mantenimiento tasas'!$D$57/360,""))),5)</f>
        <v>0</v>
      </c>
      <c r="E658" s="121">
        <f>ROUND(IF(C658&lt;='FR_Mantenimiento tasas'!$C$55,'Tabla Ahorro Futuro Reservas'!C658*'FR_Mantenimiento tasas'!$E$55/360,IF(C658&lt;='FR_Mantenimiento tasas'!$C$56,'Tabla Ahorro Futuro Reservas'!C658*'FR_Mantenimiento tasas'!$E$56/360,IF(C658&lt;='FR_Mantenimiento tasas'!$C$57,'Tabla Ahorro Futuro Reservas'!C658*'FR_Mantenimiento tasas'!$E$57/360,""))),5)</f>
        <v>0</v>
      </c>
    </row>
    <row r="659" spans="1:5">
      <c r="A659" s="123">
        <f t="shared" si="20"/>
        <v>657</v>
      </c>
      <c r="B659" s="122">
        <f>IF(DAY(A659)=DAY('F-Ahorro Futuro Reservas'!$H$10),'F-Ahorro Futuro Reservas'!$H$9,0)</f>
        <v>0</v>
      </c>
      <c r="C659" s="122">
        <f t="shared" si="21"/>
        <v>0</v>
      </c>
      <c r="D659" s="121">
        <f>ROUND(IF(C659&lt;='FR_Mantenimiento tasas'!$C$55,'Tabla Ahorro Futuro Reservas'!C659*'FR_Mantenimiento tasas'!$D$55/360,IF(C659&lt;='FR_Mantenimiento tasas'!$C$56,'Tabla Ahorro Futuro Reservas'!C659*'FR_Mantenimiento tasas'!$D$56/360,IF(C659&lt;='FR_Mantenimiento tasas'!$C$57,'Tabla Ahorro Futuro Reservas'!C659*'FR_Mantenimiento tasas'!$D$57/360,""))),5)</f>
        <v>0</v>
      </c>
      <c r="E659" s="121">
        <f>ROUND(IF(C659&lt;='FR_Mantenimiento tasas'!$C$55,'Tabla Ahorro Futuro Reservas'!C659*'FR_Mantenimiento tasas'!$E$55/360,IF(C659&lt;='FR_Mantenimiento tasas'!$C$56,'Tabla Ahorro Futuro Reservas'!C659*'FR_Mantenimiento tasas'!$E$56/360,IF(C659&lt;='FR_Mantenimiento tasas'!$C$57,'Tabla Ahorro Futuro Reservas'!C659*'FR_Mantenimiento tasas'!$E$57/360,""))),5)</f>
        <v>0</v>
      </c>
    </row>
    <row r="660" spans="1:5">
      <c r="A660" s="123">
        <f t="shared" si="20"/>
        <v>658</v>
      </c>
      <c r="B660" s="122">
        <f>IF(DAY(A660)=DAY('F-Ahorro Futuro Reservas'!$H$10),'F-Ahorro Futuro Reservas'!$H$9,0)</f>
        <v>0</v>
      </c>
      <c r="C660" s="122">
        <f t="shared" si="21"/>
        <v>0</v>
      </c>
      <c r="D660" s="121">
        <f>ROUND(IF(C660&lt;='FR_Mantenimiento tasas'!$C$55,'Tabla Ahorro Futuro Reservas'!C660*'FR_Mantenimiento tasas'!$D$55/360,IF(C660&lt;='FR_Mantenimiento tasas'!$C$56,'Tabla Ahorro Futuro Reservas'!C660*'FR_Mantenimiento tasas'!$D$56/360,IF(C660&lt;='FR_Mantenimiento tasas'!$C$57,'Tabla Ahorro Futuro Reservas'!C660*'FR_Mantenimiento tasas'!$D$57/360,""))),5)</f>
        <v>0</v>
      </c>
      <c r="E660" s="121">
        <f>ROUND(IF(C660&lt;='FR_Mantenimiento tasas'!$C$55,'Tabla Ahorro Futuro Reservas'!C660*'FR_Mantenimiento tasas'!$E$55/360,IF(C660&lt;='FR_Mantenimiento tasas'!$C$56,'Tabla Ahorro Futuro Reservas'!C660*'FR_Mantenimiento tasas'!$E$56/360,IF(C660&lt;='FR_Mantenimiento tasas'!$C$57,'Tabla Ahorro Futuro Reservas'!C660*'FR_Mantenimiento tasas'!$E$57/360,""))),5)</f>
        <v>0</v>
      </c>
    </row>
    <row r="661" spans="1:5">
      <c r="A661" s="123">
        <f t="shared" si="20"/>
        <v>659</v>
      </c>
      <c r="B661" s="122">
        <f>IF(DAY(A661)=DAY('F-Ahorro Futuro Reservas'!$H$10),'F-Ahorro Futuro Reservas'!$H$9,0)</f>
        <v>0</v>
      </c>
      <c r="C661" s="122">
        <f t="shared" si="21"/>
        <v>0</v>
      </c>
      <c r="D661" s="121">
        <f>ROUND(IF(C661&lt;='FR_Mantenimiento tasas'!$C$55,'Tabla Ahorro Futuro Reservas'!C661*'FR_Mantenimiento tasas'!$D$55/360,IF(C661&lt;='FR_Mantenimiento tasas'!$C$56,'Tabla Ahorro Futuro Reservas'!C661*'FR_Mantenimiento tasas'!$D$56/360,IF(C661&lt;='FR_Mantenimiento tasas'!$C$57,'Tabla Ahorro Futuro Reservas'!C661*'FR_Mantenimiento tasas'!$D$57/360,""))),5)</f>
        <v>0</v>
      </c>
      <c r="E661" s="121">
        <f>ROUND(IF(C661&lt;='FR_Mantenimiento tasas'!$C$55,'Tabla Ahorro Futuro Reservas'!C661*'FR_Mantenimiento tasas'!$E$55/360,IF(C661&lt;='FR_Mantenimiento tasas'!$C$56,'Tabla Ahorro Futuro Reservas'!C661*'FR_Mantenimiento tasas'!$E$56/360,IF(C661&lt;='FR_Mantenimiento tasas'!$C$57,'Tabla Ahorro Futuro Reservas'!C661*'FR_Mantenimiento tasas'!$E$57/360,""))),5)</f>
        <v>0</v>
      </c>
    </row>
    <row r="662" spans="1:5">
      <c r="A662" s="123">
        <f t="shared" si="20"/>
        <v>660</v>
      </c>
      <c r="B662" s="122">
        <f>IF(DAY(A662)=DAY('F-Ahorro Futuro Reservas'!$H$10),'F-Ahorro Futuro Reservas'!$H$9,0)</f>
        <v>0</v>
      </c>
      <c r="C662" s="122">
        <f t="shared" si="21"/>
        <v>0</v>
      </c>
      <c r="D662" s="121">
        <f>ROUND(IF(C662&lt;='FR_Mantenimiento tasas'!$C$55,'Tabla Ahorro Futuro Reservas'!C662*'FR_Mantenimiento tasas'!$D$55/360,IF(C662&lt;='FR_Mantenimiento tasas'!$C$56,'Tabla Ahorro Futuro Reservas'!C662*'FR_Mantenimiento tasas'!$D$56/360,IF(C662&lt;='FR_Mantenimiento tasas'!$C$57,'Tabla Ahorro Futuro Reservas'!C662*'FR_Mantenimiento tasas'!$D$57/360,""))),5)</f>
        <v>0</v>
      </c>
      <c r="E662" s="121">
        <f>ROUND(IF(C662&lt;='FR_Mantenimiento tasas'!$C$55,'Tabla Ahorro Futuro Reservas'!C662*'FR_Mantenimiento tasas'!$E$55/360,IF(C662&lt;='FR_Mantenimiento tasas'!$C$56,'Tabla Ahorro Futuro Reservas'!C662*'FR_Mantenimiento tasas'!$E$56/360,IF(C662&lt;='FR_Mantenimiento tasas'!$C$57,'Tabla Ahorro Futuro Reservas'!C662*'FR_Mantenimiento tasas'!$E$57/360,""))),5)</f>
        <v>0</v>
      </c>
    </row>
    <row r="663" spans="1:5">
      <c r="A663" s="123">
        <f t="shared" si="20"/>
        <v>661</v>
      </c>
      <c r="B663" s="122">
        <f>IF(DAY(A663)=DAY('F-Ahorro Futuro Reservas'!$H$10),'F-Ahorro Futuro Reservas'!$H$9,0)</f>
        <v>0</v>
      </c>
      <c r="C663" s="122">
        <f t="shared" si="21"/>
        <v>0</v>
      </c>
      <c r="D663" s="121">
        <f>ROUND(IF(C663&lt;='FR_Mantenimiento tasas'!$C$55,'Tabla Ahorro Futuro Reservas'!C663*'FR_Mantenimiento tasas'!$D$55/360,IF(C663&lt;='FR_Mantenimiento tasas'!$C$56,'Tabla Ahorro Futuro Reservas'!C663*'FR_Mantenimiento tasas'!$D$56/360,IF(C663&lt;='FR_Mantenimiento tasas'!$C$57,'Tabla Ahorro Futuro Reservas'!C663*'FR_Mantenimiento tasas'!$D$57/360,""))),5)</f>
        <v>0</v>
      </c>
      <c r="E663" s="121">
        <f>ROUND(IF(C663&lt;='FR_Mantenimiento tasas'!$C$55,'Tabla Ahorro Futuro Reservas'!C663*'FR_Mantenimiento tasas'!$E$55/360,IF(C663&lt;='FR_Mantenimiento tasas'!$C$56,'Tabla Ahorro Futuro Reservas'!C663*'FR_Mantenimiento tasas'!$E$56/360,IF(C663&lt;='FR_Mantenimiento tasas'!$C$57,'Tabla Ahorro Futuro Reservas'!C663*'FR_Mantenimiento tasas'!$E$57/360,""))),5)</f>
        <v>0</v>
      </c>
    </row>
    <row r="664" spans="1:5">
      <c r="A664" s="123">
        <f t="shared" si="20"/>
        <v>662</v>
      </c>
      <c r="B664" s="122">
        <f>IF(DAY(A664)=DAY('F-Ahorro Futuro Reservas'!$H$10),'F-Ahorro Futuro Reservas'!$H$9,0)</f>
        <v>0</v>
      </c>
      <c r="C664" s="122">
        <f t="shared" si="21"/>
        <v>0</v>
      </c>
      <c r="D664" s="121">
        <f>ROUND(IF(C664&lt;='FR_Mantenimiento tasas'!$C$55,'Tabla Ahorro Futuro Reservas'!C664*'FR_Mantenimiento tasas'!$D$55/360,IF(C664&lt;='FR_Mantenimiento tasas'!$C$56,'Tabla Ahorro Futuro Reservas'!C664*'FR_Mantenimiento tasas'!$D$56/360,IF(C664&lt;='FR_Mantenimiento tasas'!$C$57,'Tabla Ahorro Futuro Reservas'!C664*'FR_Mantenimiento tasas'!$D$57/360,""))),5)</f>
        <v>0</v>
      </c>
      <c r="E664" s="121">
        <f>ROUND(IF(C664&lt;='FR_Mantenimiento tasas'!$C$55,'Tabla Ahorro Futuro Reservas'!C664*'FR_Mantenimiento tasas'!$E$55/360,IF(C664&lt;='FR_Mantenimiento tasas'!$C$56,'Tabla Ahorro Futuro Reservas'!C664*'FR_Mantenimiento tasas'!$E$56/360,IF(C664&lt;='FR_Mantenimiento tasas'!$C$57,'Tabla Ahorro Futuro Reservas'!C664*'FR_Mantenimiento tasas'!$E$57/360,""))),5)</f>
        <v>0</v>
      </c>
    </row>
    <row r="665" spans="1:5">
      <c r="A665" s="123">
        <f t="shared" si="20"/>
        <v>663</v>
      </c>
      <c r="B665" s="122">
        <f>IF(DAY(A665)=DAY('F-Ahorro Futuro Reservas'!$H$10),'F-Ahorro Futuro Reservas'!$H$9,0)</f>
        <v>0</v>
      </c>
      <c r="C665" s="122">
        <f t="shared" si="21"/>
        <v>0</v>
      </c>
      <c r="D665" s="121">
        <f>ROUND(IF(C665&lt;='FR_Mantenimiento tasas'!$C$55,'Tabla Ahorro Futuro Reservas'!C665*'FR_Mantenimiento tasas'!$D$55/360,IF(C665&lt;='FR_Mantenimiento tasas'!$C$56,'Tabla Ahorro Futuro Reservas'!C665*'FR_Mantenimiento tasas'!$D$56/360,IF(C665&lt;='FR_Mantenimiento tasas'!$C$57,'Tabla Ahorro Futuro Reservas'!C665*'FR_Mantenimiento tasas'!$D$57/360,""))),5)</f>
        <v>0</v>
      </c>
      <c r="E665" s="121">
        <f>ROUND(IF(C665&lt;='FR_Mantenimiento tasas'!$C$55,'Tabla Ahorro Futuro Reservas'!C665*'FR_Mantenimiento tasas'!$E$55/360,IF(C665&lt;='FR_Mantenimiento tasas'!$C$56,'Tabla Ahorro Futuro Reservas'!C665*'FR_Mantenimiento tasas'!$E$56/360,IF(C665&lt;='FR_Mantenimiento tasas'!$C$57,'Tabla Ahorro Futuro Reservas'!C665*'FR_Mantenimiento tasas'!$E$57/360,""))),5)</f>
        <v>0</v>
      </c>
    </row>
    <row r="666" spans="1:5">
      <c r="A666" s="123">
        <f t="shared" si="20"/>
        <v>664</v>
      </c>
      <c r="B666" s="122">
        <f>IF(DAY(A666)=DAY('F-Ahorro Futuro Reservas'!$H$10),'F-Ahorro Futuro Reservas'!$H$9,0)</f>
        <v>0</v>
      </c>
      <c r="C666" s="122">
        <f t="shared" si="21"/>
        <v>0</v>
      </c>
      <c r="D666" s="121">
        <f>ROUND(IF(C666&lt;='FR_Mantenimiento tasas'!$C$55,'Tabla Ahorro Futuro Reservas'!C666*'FR_Mantenimiento tasas'!$D$55/360,IF(C666&lt;='FR_Mantenimiento tasas'!$C$56,'Tabla Ahorro Futuro Reservas'!C666*'FR_Mantenimiento tasas'!$D$56/360,IF(C666&lt;='FR_Mantenimiento tasas'!$C$57,'Tabla Ahorro Futuro Reservas'!C666*'FR_Mantenimiento tasas'!$D$57/360,""))),5)</f>
        <v>0</v>
      </c>
      <c r="E666" s="121">
        <f>ROUND(IF(C666&lt;='FR_Mantenimiento tasas'!$C$55,'Tabla Ahorro Futuro Reservas'!C666*'FR_Mantenimiento tasas'!$E$55/360,IF(C666&lt;='FR_Mantenimiento tasas'!$C$56,'Tabla Ahorro Futuro Reservas'!C666*'FR_Mantenimiento tasas'!$E$56/360,IF(C666&lt;='FR_Mantenimiento tasas'!$C$57,'Tabla Ahorro Futuro Reservas'!C666*'FR_Mantenimiento tasas'!$E$57/360,""))),5)</f>
        <v>0</v>
      </c>
    </row>
    <row r="667" spans="1:5">
      <c r="A667" s="123">
        <f t="shared" si="20"/>
        <v>665</v>
      </c>
      <c r="B667" s="122">
        <f>IF(DAY(A667)=DAY('F-Ahorro Futuro Reservas'!$H$10),'F-Ahorro Futuro Reservas'!$H$9,0)</f>
        <v>0</v>
      </c>
      <c r="C667" s="122">
        <f t="shared" si="21"/>
        <v>0</v>
      </c>
      <c r="D667" s="121">
        <f>ROUND(IF(C667&lt;='FR_Mantenimiento tasas'!$C$55,'Tabla Ahorro Futuro Reservas'!C667*'FR_Mantenimiento tasas'!$D$55/360,IF(C667&lt;='FR_Mantenimiento tasas'!$C$56,'Tabla Ahorro Futuro Reservas'!C667*'FR_Mantenimiento tasas'!$D$56/360,IF(C667&lt;='FR_Mantenimiento tasas'!$C$57,'Tabla Ahorro Futuro Reservas'!C667*'FR_Mantenimiento tasas'!$D$57/360,""))),5)</f>
        <v>0</v>
      </c>
      <c r="E667" s="121">
        <f>ROUND(IF(C667&lt;='FR_Mantenimiento tasas'!$C$55,'Tabla Ahorro Futuro Reservas'!C667*'FR_Mantenimiento tasas'!$E$55/360,IF(C667&lt;='FR_Mantenimiento tasas'!$C$56,'Tabla Ahorro Futuro Reservas'!C667*'FR_Mantenimiento tasas'!$E$56/360,IF(C667&lt;='FR_Mantenimiento tasas'!$C$57,'Tabla Ahorro Futuro Reservas'!C667*'FR_Mantenimiento tasas'!$E$57/360,""))),5)</f>
        <v>0</v>
      </c>
    </row>
    <row r="668" spans="1:5">
      <c r="A668" s="123">
        <f t="shared" si="20"/>
        <v>666</v>
      </c>
      <c r="B668" s="122">
        <f>IF(DAY(A668)=DAY('F-Ahorro Futuro Reservas'!$H$10),'F-Ahorro Futuro Reservas'!$H$9,0)</f>
        <v>0</v>
      </c>
      <c r="C668" s="122">
        <f t="shared" si="21"/>
        <v>0</v>
      </c>
      <c r="D668" s="121">
        <f>ROUND(IF(C668&lt;='FR_Mantenimiento tasas'!$C$55,'Tabla Ahorro Futuro Reservas'!C668*'FR_Mantenimiento tasas'!$D$55/360,IF(C668&lt;='FR_Mantenimiento tasas'!$C$56,'Tabla Ahorro Futuro Reservas'!C668*'FR_Mantenimiento tasas'!$D$56/360,IF(C668&lt;='FR_Mantenimiento tasas'!$C$57,'Tabla Ahorro Futuro Reservas'!C668*'FR_Mantenimiento tasas'!$D$57/360,""))),5)</f>
        <v>0</v>
      </c>
      <c r="E668" s="121">
        <f>ROUND(IF(C668&lt;='FR_Mantenimiento tasas'!$C$55,'Tabla Ahorro Futuro Reservas'!C668*'FR_Mantenimiento tasas'!$E$55/360,IF(C668&lt;='FR_Mantenimiento tasas'!$C$56,'Tabla Ahorro Futuro Reservas'!C668*'FR_Mantenimiento tasas'!$E$56/360,IF(C668&lt;='FR_Mantenimiento tasas'!$C$57,'Tabla Ahorro Futuro Reservas'!C668*'FR_Mantenimiento tasas'!$E$57/360,""))),5)</f>
        <v>0</v>
      </c>
    </row>
    <row r="669" spans="1:5">
      <c r="A669" s="123">
        <f t="shared" si="20"/>
        <v>667</v>
      </c>
      <c r="B669" s="122">
        <f>IF(DAY(A669)=DAY('F-Ahorro Futuro Reservas'!$H$10),'F-Ahorro Futuro Reservas'!$H$9,0)</f>
        <v>0</v>
      </c>
      <c r="C669" s="122">
        <f t="shared" si="21"/>
        <v>0</v>
      </c>
      <c r="D669" s="121">
        <f>ROUND(IF(C669&lt;='FR_Mantenimiento tasas'!$C$55,'Tabla Ahorro Futuro Reservas'!C669*'FR_Mantenimiento tasas'!$D$55/360,IF(C669&lt;='FR_Mantenimiento tasas'!$C$56,'Tabla Ahorro Futuro Reservas'!C669*'FR_Mantenimiento tasas'!$D$56/360,IF(C669&lt;='FR_Mantenimiento tasas'!$C$57,'Tabla Ahorro Futuro Reservas'!C669*'FR_Mantenimiento tasas'!$D$57/360,""))),5)</f>
        <v>0</v>
      </c>
      <c r="E669" s="121">
        <f>ROUND(IF(C669&lt;='FR_Mantenimiento tasas'!$C$55,'Tabla Ahorro Futuro Reservas'!C669*'FR_Mantenimiento tasas'!$E$55/360,IF(C669&lt;='FR_Mantenimiento tasas'!$C$56,'Tabla Ahorro Futuro Reservas'!C669*'FR_Mantenimiento tasas'!$E$56/360,IF(C669&lt;='FR_Mantenimiento tasas'!$C$57,'Tabla Ahorro Futuro Reservas'!C669*'FR_Mantenimiento tasas'!$E$57/360,""))),5)</f>
        <v>0</v>
      </c>
    </row>
    <row r="670" spans="1:5">
      <c r="A670" s="123">
        <f t="shared" si="20"/>
        <v>668</v>
      </c>
      <c r="B670" s="122">
        <f>IF(DAY(A670)=DAY('F-Ahorro Futuro Reservas'!$H$10),'F-Ahorro Futuro Reservas'!$H$9,0)</f>
        <v>0</v>
      </c>
      <c r="C670" s="122">
        <f t="shared" si="21"/>
        <v>0</v>
      </c>
      <c r="D670" s="121">
        <f>ROUND(IF(C670&lt;='FR_Mantenimiento tasas'!$C$55,'Tabla Ahorro Futuro Reservas'!C670*'FR_Mantenimiento tasas'!$D$55/360,IF(C670&lt;='FR_Mantenimiento tasas'!$C$56,'Tabla Ahorro Futuro Reservas'!C670*'FR_Mantenimiento tasas'!$D$56/360,IF(C670&lt;='FR_Mantenimiento tasas'!$C$57,'Tabla Ahorro Futuro Reservas'!C670*'FR_Mantenimiento tasas'!$D$57/360,""))),5)</f>
        <v>0</v>
      </c>
      <c r="E670" s="121">
        <f>ROUND(IF(C670&lt;='FR_Mantenimiento tasas'!$C$55,'Tabla Ahorro Futuro Reservas'!C670*'FR_Mantenimiento tasas'!$E$55/360,IF(C670&lt;='FR_Mantenimiento tasas'!$C$56,'Tabla Ahorro Futuro Reservas'!C670*'FR_Mantenimiento tasas'!$E$56/360,IF(C670&lt;='FR_Mantenimiento tasas'!$C$57,'Tabla Ahorro Futuro Reservas'!C670*'FR_Mantenimiento tasas'!$E$57/360,""))),5)</f>
        <v>0</v>
      </c>
    </row>
    <row r="671" spans="1:5">
      <c r="A671" s="123">
        <f t="shared" si="20"/>
        <v>669</v>
      </c>
      <c r="B671" s="122">
        <f>IF(DAY(A671)=DAY('F-Ahorro Futuro Reservas'!$H$10),'F-Ahorro Futuro Reservas'!$H$9,0)</f>
        <v>0</v>
      </c>
      <c r="C671" s="122">
        <f t="shared" si="21"/>
        <v>0</v>
      </c>
      <c r="D671" s="121">
        <f>ROUND(IF(C671&lt;='FR_Mantenimiento tasas'!$C$55,'Tabla Ahorro Futuro Reservas'!C671*'FR_Mantenimiento tasas'!$D$55/360,IF(C671&lt;='FR_Mantenimiento tasas'!$C$56,'Tabla Ahorro Futuro Reservas'!C671*'FR_Mantenimiento tasas'!$D$56/360,IF(C671&lt;='FR_Mantenimiento tasas'!$C$57,'Tabla Ahorro Futuro Reservas'!C671*'FR_Mantenimiento tasas'!$D$57/360,""))),5)</f>
        <v>0</v>
      </c>
      <c r="E671" s="121">
        <f>ROUND(IF(C671&lt;='FR_Mantenimiento tasas'!$C$55,'Tabla Ahorro Futuro Reservas'!C671*'FR_Mantenimiento tasas'!$E$55/360,IF(C671&lt;='FR_Mantenimiento tasas'!$C$56,'Tabla Ahorro Futuro Reservas'!C671*'FR_Mantenimiento tasas'!$E$56/360,IF(C671&lt;='FR_Mantenimiento tasas'!$C$57,'Tabla Ahorro Futuro Reservas'!C671*'FR_Mantenimiento tasas'!$E$57/360,""))),5)</f>
        <v>0</v>
      </c>
    </row>
    <row r="672" spans="1:5">
      <c r="A672" s="123">
        <f t="shared" si="20"/>
        <v>670</v>
      </c>
      <c r="B672" s="122">
        <f>IF(DAY(A672)=DAY('F-Ahorro Futuro Reservas'!$H$10),'F-Ahorro Futuro Reservas'!$H$9,0)</f>
        <v>0</v>
      </c>
      <c r="C672" s="122">
        <f t="shared" si="21"/>
        <v>0</v>
      </c>
      <c r="D672" s="121">
        <f>ROUND(IF(C672&lt;='FR_Mantenimiento tasas'!$C$55,'Tabla Ahorro Futuro Reservas'!C672*'FR_Mantenimiento tasas'!$D$55/360,IF(C672&lt;='FR_Mantenimiento tasas'!$C$56,'Tabla Ahorro Futuro Reservas'!C672*'FR_Mantenimiento tasas'!$D$56/360,IF(C672&lt;='FR_Mantenimiento tasas'!$C$57,'Tabla Ahorro Futuro Reservas'!C672*'FR_Mantenimiento tasas'!$D$57/360,""))),5)</f>
        <v>0</v>
      </c>
      <c r="E672" s="121">
        <f>ROUND(IF(C672&lt;='FR_Mantenimiento tasas'!$C$55,'Tabla Ahorro Futuro Reservas'!C672*'FR_Mantenimiento tasas'!$E$55/360,IF(C672&lt;='FR_Mantenimiento tasas'!$C$56,'Tabla Ahorro Futuro Reservas'!C672*'FR_Mantenimiento tasas'!$E$56/360,IF(C672&lt;='FR_Mantenimiento tasas'!$C$57,'Tabla Ahorro Futuro Reservas'!C672*'FR_Mantenimiento tasas'!$E$57/360,""))),5)</f>
        <v>0</v>
      </c>
    </row>
    <row r="673" spans="1:5">
      <c r="A673" s="123">
        <f t="shared" si="20"/>
        <v>671</v>
      </c>
      <c r="B673" s="122">
        <f>IF(DAY(A673)=DAY('F-Ahorro Futuro Reservas'!$H$10),'F-Ahorro Futuro Reservas'!$H$9,0)</f>
        <v>0</v>
      </c>
      <c r="C673" s="122">
        <f t="shared" si="21"/>
        <v>0</v>
      </c>
      <c r="D673" s="121">
        <f>ROUND(IF(C673&lt;='FR_Mantenimiento tasas'!$C$55,'Tabla Ahorro Futuro Reservas'!C673*'FR_Mantenimiento tasas'!$D$55/360,IF(C673&lt;='FR_Mantenimiento tasas'!$C$56,'Tabla Ahorro Futuro Reservas'!C673*'FR_Mantenimiento tasas'!$D$56/360,IF(C673&lt;='FR_Mantenimiento tasas'!$C$57,'Tabla Ahorro Futuro Reservas'!C673*'FR_Mantenimiento tasas'!$D$57/360,""))),5)</f>
        <v>0</v>
      </c>
      <c r="E673" s="121">
        <f>ROUND(IF(C673&lt;='FR_Mantenimiento tasas'!$C$55,'Tabla Ahorro Futuro Reservas'!C673*'FR_Mantenimiento tasas'!$E$55/360,IF(C673&lt;='FR_Mantenimiento tasas'!$C$56,'Tabla Ahorro Futuro Reservas'!C673*'FR_Mantenimiento tasas'!$E$56/360,IF(C673&lt;='FR_Mantenimiento tasas'!$C$57,'Tabla Ahorro Futuro Reservas'!C673*'FR_Mantenimiento tasas'!$E$57/360,""))),5)</f>
        <v>0</v>
      </c>
    </row>
    <row r="674" spans="1:5">
      <c r="A674" s="123">
        <f t="shared" si="20"/>
        <v>672</v>
      </c>
      <c r="B674" s="122">
        <f>IF(DAY(A674)=DAY('F-Ahorro Futuro Reservas'!$H$10),'F-Ahorro Futuro Reservas'!$H$9,0)</f>
        <v>0</v>
      </c>
      <c r="C674" s="122">
        <f t="shared" si="21"/>
        <v>0</v>
      </c>
      <c r="D674" s="121">
        <f>ROUND(IF(C674&lt;='FR_Mantenimiento tasas'!$C$55,'Tabla Ahorro Futuro Reservas'!C674*'FR_Mantenimiento tasas'!$D$55/360,IF(C674&lt;='FR_Mantenimiento tasas'!$C$56,'Tabla Ahorro Futuro Reservas'!C674*'FR_Mantenimiento tasas'!$D$56/360,IF(C674&lt;='FR_Mantenimiento tasas'!$C$57,'Tabla Ahorro Futuro Reservas'!C674*'FR_Mantenimiento tasas'!$D$57/360,""))),5)</f>
        <v>0</v>
      </c>
      <c r="E674" s="121">
        <f>ROUND(IF(C674&lt;='FR_Mantenimiento tasas'!$C$55,'Tabla Ahorro Futuro Reservas'!C674*'FR_Mantenimiento tasas'!$E$55/360,IF(C674&lt;='FR_Mantenimiento tasas'!$C$56,'Tabla Ahorro Futuro Reservas'!C674*'FR_Mantenimiento tasas'!$E$56/360,IF(C674&lt;='FR_Mantenimiento tasas'!$C$57,'Tabla Ahorro Futuro Reservas'!C674*'FR_Mantenimiento tasas'!$E$57/360,""))),5)</f>
        <v>0</v>
      </c>
    </row>
    <row r="675" spans="1:5">
      <c r="A675" s="123">
        <f t="shared" si="20"/>
        <v>673</v>
      </c>
      <c r="B675" s="122">
        <f>IF(DAY(A675)=DAY('F-Ahorro Futuro Reservas'!$H$10),'F-Ahorro Futuro Reservas'!$H$9,0)</f>
        <v>0</v>
      </c>
      <c r="C675" s="122">
        <f t="shared" si="21"/>
        <v>0</v>
      </c>
      <c r="D675" s="121">
        <f>ROUND(IF(C675&lt;='FR_Mantenimiento tasas'!$C$55,'Tabla Ahorro Futuro Reservas'!C675*'FR_Mantenimiento tasas'!$D$55/360,IF(C675&lt;='FR_Mantenimiento tasas'!$C$56,'Tabla Ahorro Futuro Reservas'!C675*'FR_Mantenimiento tasas'!$D$56/360,IF(C675&lt;='FR_Mantenimiento tasas'!$C$57,'Tabla Ahorro Futuro Reservas'!C675*'FR_Mantenimiento tasas'!$D$57/360,""))),5)</f>
        <v>0</v>
      </c>
      <c r="E675" s="121">
        <f>ROUND(IF(C675&lt;='FR_Mantenimiento tasas'!$C$55,'Tabla Ahorro Futuro Reservas'!C675*'FR_Mantenimiento tasas'!$E$55/360,IF(C675&lt;='FR_Mantenimiento tasas'!$C$56,'Tabla Ahorro Futuro Reservas'!C675*'FR_Mantenimiento tasas'!$E$56/360,IF(C675&lt;='FR_Mantenimiento tasas'!$C$57,'Tabla Ahorro Futuro Reservas'!C675*'FR_Mantenimiento tasas'!$E$57/360,""))),5)</f>
        <v>0</v>
      </c>
    </row>
    <row r="676" spans="1:5">
      <c r="A676" s="123">
        <f t="shared" si="20"/>
        <v>674</v>
      </c>
      <c r="B676" s="122">
        <f>IF(DAY(A676)=DAY('F-Ahorro Futuro Reservas'!$H$10),'F-Ahorro Futuro Reservas'!$H$9,0)</f>
        <v>0</v>
      </c>
      <c r="C676" s="122">
        <f t="shared" si="21"/>
        <v>0</v>
      </c>
      <c r="D676" s="121">
        <f>ROUND(IF(C676&lt;='FR_Mantenimiento tasas'!$C$55,'Tabla Ahorro Futuro Reservas'!C676*'FR_Mantenimiento tasas'!$D$55/360,IF(C676&lt;='FR_Mantenimiento tasas'!$C$56,'Tabla Ahorro Futuro Reservas'!C676*'FR_Mantenimiento tasas'!$D$56/360,IF(C676&lt;='FR_Mantenimiento tasas'!$C$57,'Tabla Ahorro Futuro Reservas'!C676*'FR_Mantenimiento tasas'!$D$57/360,""))),5)</f>
        <v>0</v>
      </c>
      <c r="E676" s="121">
        <f>ROUND(IF(C676&lt;='FR_Mantenimiento tasas'!$C$55,'Tabla Ahorro Futuro Reservas'!C676*'FR_Mantenimiento tasas'!$E$55/360,IF(C676&lt;='FR_Mantenimiento tasas'!$C$56,'Tabla Ahorro Futuro Reservas'!C676*'FR_Mantenimiento tasas'!$E$56/360,IF(C676&lt;='FR_Mantenimiento tasas'!$C$57,'Tabla Ahorro Futuro Reservas'!C676*'FR_Mantenimiento tasas'!$E$57/360,""))),5)</f>
        <v>0</v>
      </c>
    </row>
    <row r="677" spans="1:5">
      <c r="A677" s="123">
        <f t="shared" si="20"/>
        <v>675</v>
      </c>
      <c r="B677" s="122">
        <f>IF(DAY(A677)=DAY('F-Ahorro Futuro Reservas'!$H$10),'F-Ahorro Futuro Reservas'!$H$9,0)</f>
        <v>0</v>
      </c>
      <c r="C677" s="122">
        <f t="shared" si="21"/>
        <v>0</v>
      </c>
      <c r="D677" s="121">
        <f>ROUND(IF(C677&lt;='FR_Mantenimiento tasas'!$C$55,'Tabla Ahorro Futuro Reservas'!C677*'FR_Mantenimiento tasas'!$D$55/360,IF(C677&lt;='FR_Mantenimiento tasas'!$C$56,'Tabla Ahorro Futuro Reservas'!C677*'FR_Mantenimiento tasas'!$D$56/360,IF(C677&lt;='FR_Mantenimiento tasas'!$C$57,'Tabla Ahorro Futuro Reservas'!C677*'FR_Mantenimiento tasas'!$D$57/360,""))),5)</f>
        <v>0</v>
      </c>
      <c r="E677" s="121">
        <f>ROUND(IF(C677&lt;='FR_Mantenimiento tasas'!$C$55,'Tabla Ahorro Futuro Reservas'!C677*'FR_Mantenimiento tasas'!$E$55/360,IF(C677&lt;='FR_Mantenimiento tasas'!$C$56,'Tabla Ahorro Futuro Reservas'!C677*'FR_Mantenimiento tasas'!$E$56/360,IF(C677&lt;='FR_Mantenimiento tasas'!$C$57,'Tabla Ahorro Futuro Reservas'!C677*'FR_Mantenimiento tasas'!$E$57/360,""))),5)</f>
        <v>0</v>
      </c>
    </row>
    <row r="678" spans="1:5">
      <c r="A678" s="123">
        <f t="shared" si="20"/>
        <v>676</v>
      </c>
      <c r="B678" s="122">
        <f>IF(DAY(A678)=DAY('F-Ahorro Futuro Reservas'!$H$10),'F-Ahorro Futuro Reservas'!$H$9,0)</f>
        <v>0</v>
      </c>
      <c r="C678" s="122">
        <f t="shared" si="21"/>
        <v>0</v>
      </c>
      <c r="D678" s="121">
        <f>ROUND(IF(C678&lt;='FR_Mantenimiento tasas'!$C$55,'Tabla Ahorro Futuro Reservas'!C678*'FR_Mantenimiento tasas'!$D$55/360,IF(C678&lt;='FR_Mantenimiento tasas'!$C$56,'Tabla Ahorro Futuro Reservas'!C678*'FR_Mantenimiento tasas'!$D$56/360,IF(C678&lt;='FR_Mantenimiento tasas'!$C$57,'Tabla Ahorro Futuro Reservas'!C678*'FR_Mantenimiento tasas'!$D$57/360,""))),5)</f>
        <v>0</v>
      </c>
      <c r="E678" s="121">
        <f>ROUND(IF(C678&lt;='FR_Mantenimiento tasas'!$C$55,'Tabla Ahorro Futuro Reservas'!C678*'FR_Mantenimiento tasas'!$E$55/360,IF(C678&lt;='FR_Mantenimiento tasas'!$C$56,'Tabla Ahorro Futuro Reservas'!C678*'FR_Mantenimiento tasas'!$E$56/360,IF(C678&lt;='FR_Mantenimiento tasas'!$C$57,'Tabla Ahorro Futuro Reservas'!C678*'FR_Mantenimiento tasas'!$E$57/360,""))),5)</f>
        <v>0</v>
      </c>
    </row>
    <row r="679" spans="1:5">
      <c r="A679" s="123">
        <f t="shared" si="20"/>
        <v>677</v>
      </c>
      <c r="B679" s="122">
        <f>IF(DAY(A679)=DAY('F-Ahorro Futuro Reservas'!$H$10),'F-Ahorro Futuro Reservas'!$H$9,0)</f>
        <v>0</v>
      </c>
      <c r="C679" s="122">
        <f t="shared" si="21"/>
        <v>0</v>
      </c>
      <c r="D679" s="121">
        <f>ROUND(IF(C679&lt;='FR_Mantenimiento tasas'!$C$55,'Tabla Ahorro Futuro Reservas'!C679*'FR_Mantenimiento tasas'!$D$55/360,IF(C679&lt;='FR_Mantenimiento tasas'!$C$56,'Tabla Ahorro Futuro Reservas'!C679*'FR_Mantenimiento tasas'!$D$56/360,IF(C679&lt;='FR_Mantenimiento tasas'!$C$57,'Tabla Ahorro Futuro Reservas'!C679*'FR_Mantenimiento tasas'!$D$57/360,""))),5)</f>
        <v>0</v>
      </c>
      <c r="E679" s="121">
        <f>ROUND(IF(C679&lt;='FR_Mantenimiento tasas'!$C$55,'Tabla Ahorro Futuro Reservas'!C679*'FR_Mantenimiento tasas'!$E$55/360,IF(C679&lt;='FR_Mantenimiento tasas'!$C$56,'Tabla Ahorro Futuro Reservas'!C679*'FR_Mantenimiento tasas'!$E$56/360,IF(C679&lt;='FR_Mantenimiento tasas'!$C$57,'Tabla Ahorro Futuro Reservas'!C679*'FR_Mantenimiento tasas'!$E$57/360,""))),5)</f>
        <v>0</v>
      </c>
    </row>
    <row r="680" spans="1:5">
      <c r="A680" s="123">
        <f t="shared" si="20"/>
        <v>678</v>
      </c>
      <c r="B680" s="122">
        <f>IF(DAY(A680)=DAY('F-Ahorro Futuro Reservas'!$H$10),'F-Ahorro Futuro Reservas'!$H$9,0)</f>
        <v>0</v>
      </c>
      <c r="C680" s="122">
        <f t="shared" si="21"/>
        <v>0</v>
      </c>
      <c r="D680" s="121">
        <f>ROUND(IF(C680&lt;='FR_Mantenimiento tasas'!$C$55,'Tabla Ahorro Futuro Reservas'!C680*'FR_Mantenimiento tasas'!$D$55/360,IF(C680&lt;='FR_Mantenimiento tasas'!$C$56,'Tabla Ahorro Futuro Reservas'!C680*'FR_Mantenimiento tasas'!$D$56/360,IF(C680&lt;='FR_Mantenimiento tasas'!$C$57,'Tabla Ahorro Futuro Reservas'!C680*'FR_Mantenimiento tasas'!$D$57/360,""))),5)</f>
        <v>0</v>
      </c>
      <c r="E680" s="121">
        <f>ROUND(IF(C680&lt;='FR_Mantenimiento tasas'!$C$55,'Tabla Ahorro Futuro Reservas'!C680*'FR_Mantenimiento tasas'!$E$55/360,IF(C680&lt;='FR_Mantenimiento tasas'!$C$56,'Tabla Ahorro Futuro Reservas'!C680*'FR_Mantenimiento tasas'!$E$56/360,IF(C680&lt;='FR_Mantenimiento tasas'!$C$57,'Tabla Ahorro Futuro Reservas'!C680*'FR_Mantenimiento tasas'!$E$57/360,""))),5)</f>
        <v>0</v>
      </c>
    </row>
    <row r="681" spans="1:5">
      <c r="A681" s="123">
        <f t="shared" si="20"/>
        <v>679</v>
      </c>
      <c r="B681" s="122">
        <f>IF(DAY(A681)=DAY('F-Ahorro Futuro Reservas'!$H$10),'F-Ahorro Futuro Reservas'!$H$9,0)</f>
        <v>0</v>
      </c>
      <c r="C681" s="122">
        <f t="shared" si="21"/>
        <v>0</v>
      </c>
      <c r="D681" s="121">
        <f>ROUND(IF(C681&lt;='FR_Mantenimiento tasas'!$C$55,'Tabla Ahorro Futuro Reservas'!C681*'FR_Mantenimiento tasas'!$D$55/360,IF(C681&lt;='FR_Mantenimiento tasas'!$C$56,'Tabla Ahorro Futuro Reservas'!C681*'FR_Mantenimiento tasas'!$D$56/360,IF(C681&lt;='FR_Mantenimiento tasas'!$C$57,'Tabla Ahorro Futuro Reservas'!C681*'FR_Mantenimiento tasas'!$D$57/360,""))),5)</f>
        <v>0</v>
      </c>
      <c r="E681" s="121">
        <f>ROUND(IF(C681&lt;='FR_Mantenimiento tasas'!$C$55,'Tabla Ahorro Futuro Reservas'!C681*'FR_Mantenimiento tasas'!$E$55/360,IF(C681&lt;='FR_Mantenimiento tasas'!$C$56,'Tabla Ahorro Futuro Reservas'!C681*'FR_Mantenimiento tasas'!$E$56/360,IF(C681&lt;='FR_Mantenimiento tasas'!$C$57,'Tabla Ahorro Futuro Reservas'!C681*'FR_Mantenimiento tasas'!$E$57/360,""))),5)</f>
        <v>0</v>
      </c>
    </row>
    <row r="682" spans="1:5">
      <c r="A682" s="123">
        <f t="shared" si="20"/>
        <v>680</v>
      </c>
      <c r="B682" s="122">
        <f>IF(DAY(A682)=DAY('F-Ahorro Futuro Reservas'!$H$10),'F-Ahorro Futuro Reservas'!$H$9,0)</f>
        <v>0</v>
      </c>
      <c r="C682" s="122">
        <f t="shared" si="21"/>
        <v>0</v>
      </c>
      <c r="D682" s="121">
        <f>ROUND(IF(C682&lt;='FR_Mantenimiento tasas'!$C$55,'Tabla Ahorro Futuro Reservas'!C682*'FR_Mantenimiento tasas'!$D$55/360,IF(C682&lt;='FR_Mantenimiento tasas'!$C$56,'Tabla Ahorro Futuro Reservas'!C682*'FR_Mantenimiento tasas'!$D$56/360,IF(C682&lt;='FR_Mantenimiento tasas'!$C$57,'Tabla Ahorro Futuro Reservas'!C682*'FR_Mantenimiento tasas'!$D$57/360,""))),5)</f>
        <v>0</v>
      </c>
      <c r="E682" s="121">
        <f>ROUND(IF(C682&lt;='FR_Mantenimiento tasas'!$C$55,'Tabla Ahorro Futuro Reservas'!C682*'FR_Mantenimiento tasas'!$E$55/360,IF(C682&lt;='FR_Mantenimiento tasas'!$C$56,'Tabla Ahorro Futuro Reservas'!C682*'FR_Mantenimiento tasas'!$E$56/360,IF(C682&lt;='FR_Mantenimiento tasas'!$C$57,'Tabla Ahorro Futuro Reservas'!C682*'FR_Mantenimiento tasas'!$E$57/360,""))),5)</f>
        <v>0</v>
      </c>
    </row>
    <row r="683" spans="1:5">
      <c r="A683" s="123">
        <f t="shared" si="20"/>
        <v>681</v>
      </c>
      <c r="B683" s="122">
        <f>IF(DAY(A683)=DAY('F-Ahorro Futuro Reservas'!$H$10),'F-Ahorro Futuro Reservas'!$H$9,0)</f>
        <v>0</v>
      </c>
      <c r="C683" s="122">
        <f t="shared" si="21"/>
        <v>0</v>
      </c>
      <c r="D683" s="121">
        <f>ROUND(IF(C683&lt;='FR_Mantenimiento tasas'!$C$55,'Tabla Ahorro Futuro Reservas'!C683*'FR_Mantenimiento tasas'!$D$55/360,IF(C683&lt;='FR_Mantenimiento tasas'!$C$56,'Tabla Ahorro Futuro Reservas'!C683*'FR_Mantenimiento tasas'!$D$56/360,IF(C683&lt;='FR_Mantenimiento tasas'!$C$57,'Tabla Ahorro Futuro Reservas'!C683*'FR_Mantenimiento tasas'!$D$57/360,""))),5)</f>
        <v>0</v>
      </c>
      <c r="E683" s="121">
        <f>ROUND(IF(C683&lt;='FR_Mantenimiento tasas'!$C$55,'Tabla Ahorro Futuro Reservas'!C683*'FR_Mantenimiento tasas'!$E$55/360,IF(C683&lt;='FR_Mantenimiento tasas'!$C$56,'Tabla Ahorro Futuro Reservas'!C683*'FR_Mantenimiento tasas'!$E$56/360,IF(C683&lt;='FR_Mantenimiento tasas'!$C$57,'Tabla Ahorro Futuro Reservas'!C683*'FR_Mantenimiento tasas'!$E$57/360,""))),5)</f>
        <v>0</v>
      </c>
    </row>
    <row r="684" spans="1:5">
      <c r="A684" s="123">
        <f t="shared" si="20"/>
        <v>682</v>
      </c>
      <c r="B684" s="122">
        <f>IF(DAY(A684)=DAY('F-Ahorro Futuro Reservas'!$H$10),'F-Ahorro Futuro Reservas'!$H$9,0)</f>
        <v>0</v>
      </c>
      <c r="C684" s="122">
        <f t="shared" si="21"/>
        <v>0</v>
      </c>
      <c r="D684" s="121">
        <f>ROUND(IF(C684&lt;='FR_Mantenimiento tasas'!$C$55,'Tabla Ahorro Futuro Reservas'!C684*'FR_Mantenimiento tasas'!$D$55/360,IF(C684&lt;='FR_Mantenimiento tasas'!$C$56,'Tabla Ahorro Futuro Reservas'!C684*'FR_Mantenimiento tasas'!$D$56/360,IF(C684&lt;='FR_Mantenimiento tasas'!$C$57,'Tabla Ahorro Futuro Reservas'!C684*'FR_Mantenimiento tasas'!$D$57/360,""))),5)</f>
        <v>0</v>
      </c>
      <c r="E684" s="121">
        <f>ROUND(IF(C684&lt;='FR_Mantenimiento tasas'!$C$55,'Tabla Ahorro Futuro Reservas'!C684*'FR_Mantenimiento tasas'!$E$55/360,IF(C684&lt;='FR_Mantenimiento tasas'!$C$56,'Tabla Ahorro Futuro Reservas'!C684*'FR_Mantenimiento tasas'!$E$56/360,IF(C684&lt;='FR_Mantenimiento tasas'!$C$57,'Tabla Ahorro Futuro Reservas'!C684*'FR_Mantenimiento tasas'!$E$57/360,""))),5)</f>
        <v>0</v>
      </c>
    </row>
    <row r="685" spans="1:5">
      <c r="A685" s="123">
        <f t="shared" si="20"/>
        <v>683</v>
      </c>
      <c r="B685" s="122">
        <f>IF(DAY(A685)=DAY('F-Ahorro Futuro Reservas'!$H$10),'F-Ahorro Futuro Reservas'!$H$9,0)</f>
        <v>0</v>
      </c>
      <c r="C685" s="122">
        <f t="shared" si="21"/>
        <v>0</v>
      </c>
      <c r="D685" s="121">
        <f>ROUND(IF(C685&lt;='FR_Mantenimiento tasas'!$C$55,'Tabla Ahorro Futuro Reservas'!C685*'FR_Mantenimiento tasas'!$D$55/360,IF(C685&lt;='FR_Mantenimiento tasas'!$C$56,'Tabla Ahorro Futuro Reservas'!C685*'FR_Mantenimiento tasas'!$D$56/360,IF(C685&lt;='FR_Mantenimiento tasas'!$C$57,'Tabla Ahorro Futuro Reservas'!C685*'FR_Mantenimiento tasas'!$D$57/360,""))),5)</f>
        <v>0</v>
      </c>
      <c r="E685" s="121">
        <f>ROUND(IF(C685&lt;='FR_Mantenimiento tasas'!$C$55,'Tabla Ahorro Futuro Reservas'!C685*'FR_Mantenimiento tasas'!$E$55/360,IF(C685&lt;='FR_Mantenimiento tasas'!$C$56,'Tabla Ahorro Futuro Reservas'!C685*'FR_Mantenimiento tasas'!$E$56/360,IF(C685&lt;='FR_Mantenimiento tasas'!$C$57,'Tabla Ahorro Futuro Reservas'!C685*'FR_Mantenimiento tasas'!$E$57/360,""))),5)</f>
        <v>0</v>
      </c>
    </row>
    <row r="686" spans="1:5">
      <c r="A686" s="123">
        <f t="shared" si="20"/>
        <v>684</v>
      </c>
      <c r="B686" s="122">
        <f>IF(DAY(A686)=DAY('F-Ahorro Futuro Reservas'!$H$10),'F-Ahorro Futuro Reservas'!$H$9,0)</f>
        <v>0</v>
      </c>
      <c r="C686" s="122">
        <f t="shared" si="21"/>
        <v>0</v>
      </c>
      <c r="D686" s="121">
        <f>ROUND(IF(C686&lt;='FR_Mantenimiento tasas'!$C$55,'Tabla Ahorro Futuro Reservas'!C686*'FR_Mantenimiento tasas'!$D$55/360,IF(C686&lt;='FR_Mantenimiento tasas'!$C$56,'Tabla Ahorro Futuro Reservas'!C686*'FR_Mantenimiento tasas'!$D$56/360,IF(C686&lt;='FR_Mantenimiento tasas'!$C$57,'Tabla Ahorro Futuro Reservas'!C686*'FR_Mantenimiento tasas'!$D$57/360,""))),5)</f>
        <v>0</v>
      </c>
      <c r="E686" s="121">
        <f>ROUND(IF(C686&lt;='FR_Mantenimiento tasas'!$C$55,'Tabla Ahorro Futuro Reservas'!C686*'FR_Mantenimiento tasas'!$E$55/360,IF(C686&lt;='FR_Mantenimiento tasas'!$C$56,'Tabla Ahorro Futuro Reservas'!C686*'FR_Mantenimiento tasas'!$E$56/360,IF(C686&lt;='FR_Mantenimiento tasas'!$C$57,'Tabla Ahorro Futuro Reservas'!C686*'FR_Mantenimiento tasas'!$E$57/360,""))),5)</f>
        <v>0</v>
      </c>
    </row>
    <row r="687" spans="1:5">
      <c r="A687" s="123">
        <f t="shared" si="20"/>
        <v>685</v>
      </c>
      <c r="B687" s="122">
        <f>IF(DAY(A687)=DAY('F-Ahorro Futuro Reservas'!$H$10),'F-Ahorro Futuro Reservas'!$H$9,0)</f>
        <v>0</v>
      </c>
      <c r="C687" s="122">
        <f t="shared" si="21"/>
        <v>0</v>
      </c>
      <c r="D687" s="121">
        <f>ROUND(IF(C687&lt;='FR_Mantenimiento tasas'!$C$55,'Tabla Ahorro Futuro Reservas'!C687*'FR_Mantenimiento tasas'!$D$55/360,IF(C687&lt;='FR_Mantenimiento tasas'!$C$56,'Tabla Ahorro Futuro Reservas'!C687*'FR_Mantenimiento tasas'!$D$56/360,IF(C687&lt;='FR_Mantenimiento tasas'!$C$57,'Tabla Ahorro Futuro Reservas'!C687*'FR_Mantenimiento tasas'!$D$57/360,""))),5)</f>
        <v>0</v>
      </c>
      <c r="E687" s="121">
        <f>ROUND(IF(C687&lt;='FR_Mantenimiento tasas'!$C$55,'Tabla Ahorro Futuro Reservas'!C687*'FR_Mantenimiento tasas'!$E$55/360,IF(C687&lt;='FR_Mantenimiento tasas'!$C$56,'Tabla Ahorro Futuro Reservas'!C687*'FR_Mantenimiento tasas'!$E$56/360,IF(C687&lt;='FR_Mantenimiento tasas'!$C$57,'Tabla Ahorro Futuro Reservas'!C687*'FR_Mantenimiento tasas'!$E$57/360,""))),5)</f>
        <v>0</v>
      </c>
    </row>
    <row r="688" spans="1:5">
      <c r="A688" s="123">
        <f t="shared" si="20"/>
        <v>686</v>
      </c>
      <c r="B688" s="122">
        <f>IF(DAY(A688)=DAY('F-Ahorro Futuro Reservas'!$H$10),'F-Ahorro Futuro Reservas'!$H$9,0)</f>
        <v>0</v>
      </c>
      <c r="C688" s="122">
        <f t="shared" si="21"/>
        <v>0</v>
      </c>
      <c r="D688" s="121">
        <f>ROUND(IF(C688&lt;='FR_Mantenimiento tasas'!$C$55,'Tabla Ahorro Futuro Reservas'!C688*'FR_Mantenimiento tasas'!$D$55/360,IF(C688&lt;='FR_Mantenimiento tasas'!$C$56,'Tabla Ahorro Futuro Reservas'!C688*'FR_Mantenimiento tasas'!$D$56/360,IF(C688&lt;='FR_Mantenimiento tasas'!$C$57,'Tabla Ahorro Futuro Reservas'!C688*'FR_Mantenimiento tasas'!$D$57/360,""))),5)</f>
        <v>0</v>
      </c>
      <c r="E688" s="121">
        <f>ROUND(IF(C688&lt;='FR_Mantenimiento tasas'!$C$55,'Tabla Ahorro Futuro Reservas'!C688*'FR_Mantenimiento tasas'!$E$55/360,IF(C688&lt;='FR_Mantenimiento tasas'!$C$56,'Tabla Ahorro Futuro Reservas'!C688*'FR_Mantenimiento tasas'!$E$56/360,IF(C688&lt;='FR_Mantenimiento tasas'!$C$57,'Tabla Ahorro Futuro Reservas'!C688*'FR_Mantenimiento tasas'!$E$57/360,""))),5)</f>
        <v>0</v>
      </c>
    </row>
    <row r="689" spans="1:5">
      <c r="A689" s="123">
        <f t="shared" si="20"/>
        <v>687</v>
      </c>
      <c r="B689" s="122">
        <f>IF(DAY(A689)=DAY('F-Ahorro Futuro Reservas'!$H$10),'F-Ahorro Futuro Reservas'!$H$9,0)</f>
        <v>0</v>
      </c>
      <c r="C689" s="122">
        <f t="shared" si="21"/>
        <v>0</v>
      </c>
      <c r="D689" s="121">
        <f>ROUND(IF(C689&lt;='FR_Mantenimiento tasas'!$C$55,'Tabla Ahorro Futuro Reservas'!C689*'FR_Mantenimiento tasas'!$D$55/360,IF(C689&lt;='FR_Mantenimiento tasas'!$C$56,'Tabla Ahorro Futuro Reservas'!C689*'FR_Mantenimiento tasas'!$D$56/360,IF(C689&lt;='FR_Mantenimiento tasas'!$C$57,'Tabla Ahorro Futuro Reservas'!C689*'FR_Mantenimiento tasas'!$D$57/360,""))),5)</f>
        <v>0</v>
      </c>
      <c r="E689" s="121">
        <f>ROUND(IF(C689&lt;='FR_Mantenimiento tasas'!$C$55,'Tabla Ahorro Futuro Reservas'!C689*'FR_Mantenimiento tasas'!$E$55/360,IF(C689&lt;='FR_Mantenimiento tasas'!$C$56,'Tabla Ahorro Futuro Reservas'!C689*'FR_Mantenimiento tasas'!$E$56/360,IF(C689&lt;='FR_Mantenimiento tasas'!$C$57,'Tabla Ahorro Futuro Reservas'!C689*'FR_Mantenimiento tasas'!$E$57/360,""))),5)</f>
        <v>0</v>
      </c>
    </row>
    <row r="690" spans="1:5">
      <c r="A690" s="123">
        <f t="shared" si="20"/>
        <v>688</v>
      </c>
      <c r="B690" s="122">
        <f>IF(DAY(A690)=DAY('F-Ahorro Futuro Reservas'!$H$10),'F-Ahorro Futuro Reservas'!$H$9,0)</f>
        <v>0</v>
      </c>
      <c r="C690" s="122">
        <f t="shared" si="21"/>
        <v>0</v>
      </c>
      <c r="D690" s="121">
        <f>ROUND(IF(C690&lt;='FR_Mantenimiento tasas'!$C$55,'Tabla Ahorro Futuro Reservas'!C690*'FR_Mantenimiento tasas'!$D$55/360,IF(C690&lt;='FR_Mantenimiento tasas'!$C$56,'Tabla Ahorro Futuro Reservas'!C690*'FR_Mantenimiento tasas'!$D$56/360,IF(C690&lt;='FR_Mantenimiento tasas'!$C$57,'Tabla Ahorro Futuro Reservas'!C690*'FR_Mantenimiento tasas'!$D$57/360,""))),5)</f>
        <v>0</v>
      </c>
      <c r="E690" s="121">
        <f>ROUND(IF(C690&lt;='FR_Mantenimiento tasas'!$C$55,'Tabla Ahorro Futuro Reservas'!C690*'FR_Mantenimiento tasas'!$E$55/360,IF(C690&lt;='FR_Mantenimiento tasas'!$C$56,'Tabla Ahorro Futuro Reservas'!C690*'FR_Mantenimiento tasas'!$E$56/360,IF(C690&lt;='FR_Mantenimiento tasas'!$C$57,'Tabla Ahorro Futuro Reservas'!C690*'FR_Mantenimiento tasas'!$E$57/360,""))),5)</f>
        <v>0</v>
      </c>
    </row>
    <row r="691" spans="1:5">
      <c r="A691" s="123">
        <f t="shared" si="20"/>
        <v>689</v>
      </c>
      <c r="B691" s="122">
        <f>IF(DAY(A691)=DAY('F-Ahorro Futuro Reservas'!$H$10),'F-Ahorro Futuro Reservas'!$H$9,0)</f>
        <v>0</v>
      </c>
      <c r="C691" s="122">
        <f t="shared" si="21"/>
        <v>0</v>
      </c>
      <c r="D691" s="121">
        <f>ROUND(IF(C691&lt;='FR_Mantenimiento tasas'!$C$55,'Tabla Ahorro Futuro Reservas'!C691*'FR_Mantenimiento tasas'!$D$55/360,IF(C691&lt;='FR_Mantenimiento tasas'!$C$56,'Tabla Ahorro Futuro Reservas'!C691*'FR_Mantenimiento tasas'!$D$56/360,IF(C691&lt;='FR_Mantenimiento tasas'!$C$57,'Tabla Ahorro Futuro Reservas'!C691*'FR_Mantenimiento tasas'!$D$57/360,""))),5)</f>
        <v>0</v>
      </c>
      <c r="E691" s="121">
        <f>ROUND(IF(C691&lt;='FR_Mantenimiento tasas'!$C$55,'Tabla Ahorro Futuro Reservas'!C691*'FR_Mantenimiento tasas'!$E$55/360,IF(C691&lt;='FR_Mantenimiento tasas'!$C$56,'Tabla Ahorro Futuro Reservas'!C691*'FR_Mantenimiento tasas'!$E$56/360,IF(C691&lt;='FR_Mantenimiento tasas'!$C$57,'Tabla Ahorro Futuro Reservas'!C691*'FR_Mantenimiento tasas'!$E$57/360,""))),5)</f>
        <v>0</v>
      </c>
    </row>
    <row r="692" spans="1:5">
      <c r="A692" s="123">
        <f t="shared" si="20"/>
        <v>690</v>
      </c>
      <c r="B692" s="122">
        <f>IF(DAY(A692)=DAY('F-Ahorro Futuro Reservas'!$H$10),'F-Ahorro Futuro Reservas'!$H$9,0)</f>
        <v>0</v>
      </c>
      <c r="C692" s="122">
        <f t="shared" si="21"/>
        <v>0</v>
      </c>
      <c r="D692" s="121">
        <f>ROUND(IF(C692&lt;='FR_Mantenimiento tasas'!$C$55,'Tabla Ahorro Futuro Reservas'!C692*'FR_Mantenimiento tasas'!$D$55/360,IF(C692&lt;='FR_Mantenimiento tasas'!$C$56,'Tabla Ahorro Futuro Reservas'!C692*'FR_Mantenimiento tasas'!$D$56/360,IF(C692&lt;='FR_Mantenimiento tasas'!$C$57,'Tabla Ahorro Futuro Reservas'!C692*'FR_Mantenimiento tasas'!$D$57/360,""))),5)</f>
        <v>0</v>
      </c>
      <c r="E692" s="121">
        <f>ROUND(IF(C692&lt;='FR_Mantenimiento tasas'!$C$55,'Tabla Ahorro Futuro Reservas'!C692*'FR_Mantenimiento tasas'!$E$55/360,IF(C692&lt;='FR_Mantenimiento tasas'!$C$56,'Tabla Ahorro Futuro Reservas'!C692*'FR_Mantenimiento tasas'!$E$56/360,IF(C692&lt;='FR_Mantenimiento tasas'!$C$57,'Tabla Ahorro Futuro Reservas'!C692*'FR_Mantenimiento tasas'!$E$57/360,""))),5)</f>
        <v>0</v>
      </c>
    </row>
    <row r="693" spans="1:5">
      <c r="A693" s="123">
        <f t="shared" si="20"/>
        <v>691</v>
      </c>
      <c r="B693" s="122">
        <f>IF(DAY(A693)=DAY('F-Ahorro Futuro Reservas'!$H$10),'F-Ahorro Futuro Reservas'!$H$9,0)</f>
        <v>0</v>
      </c>
      <c r="C693" s="122">
        <f t="shared" si="21"/>
        <v>0</v>
      </c>
      <c r="D693" s="121">
        <f>ROUND(IF(C693&lt;='FR_Mantenimiento tasas'!$C$55,'Tabla Ahorro Futuro Reservas'!C693*'FR_Mantenimiento tasas'!$D$55/360,IF(C693&lt;='FR_Mantenimiento tasas'!$C$56,'Tabla Ahorro Futuro Reservas'!C693*'FR_Mantenimiento tasas'!$D$56/360,IF(C693&lt;='FR_Mantenimiento tasas'!$C$57,'Tabla Ahorro Futuro Reservas'!C693*'FR_Mantenimiento tasas'!$D$57/360,""))),5)</f>
        <v>0</v>
      </c>
      <c r="E693" s="121">
        <f>ROUND(IF(C693&lt;='FR_Mantenimiento tasas'!$C$55,'Tabla Ahorro Futuro Reservas'!C693*'FR_Mantenimiento tasas'!$E$55/360,IF(C693&lt;='FR_Mantenimiento tasas'!$C$56,'Tabla Ahorro Futuro Reservas'!C693*'FR_Mantenimiento tasas'!$E$56/360,IF(C693&lt;='FR_Mantenimiento tasas'!$C$57,'Tabla Ahorro Futuro Reservas'!C693*'FR_Mantenimiento tasas'!$E$57/360,""))),5)</f>
        <v>0</v>
      </c>
    </row>
    <row r="694" spans="1:5">
      <c r="A694" s="123">
        <f t="shared" si="20"/>
        <v>692</v>
      </c>
      <c r="B694" s="122">
        <f>IF(DAY(A694)=DAY('F-Ahorro Futuro Reservas'!$H$10),'F-Ahorro Futuro Reservas'!$H$9,0)</f>
        <v>0</v>
      </c>
      <c r="C694" s="122">
        <f t="shared" si="21"/>
        <v>0</v>
      </c>
      <c r="D694" s="121">
        <f>ROUND(IF(C694&lt;='FR_Mantenimiento tasas'!$C$55,'Tabla Ahorro Futuro Reservas'!C694*'FR_Mantenimiento tasas'!$D$55/360,IF(C694&lt;='FR_Mantenimiento tasas'!$C$56,'Tabla Ahorro Futuro Reservas'!C694*'FR_Mantenimiento tasas'!$D$56/360,IF(C694&lt;='FR_Mantenimiento tasas'!$C$57,'Tabla Ahorro Futuro Reservas'!C694*'FR_Mantenimiento tasas'!$D$57/360,""))),5)</f>
        <v>0</v>
      </c>
      <c r="E694" s="121">
        <f>ROUND(IF(C694&lt;='FR_Mantenimiento tasas'!$C$55,'Tabla Ahorro Futuro Reservas'!C694*'FR_Mantenimiento tasas'!$E$55/360,IF(C694&lt;='FR_Mantenimiento tasas'!$C$56,'Tabla Ahorro Futuro Reservas'!C694*'FR_Mantenimiento tasas'!$E$56/360,IF(C694&lt;='FR_Mantenimiento tasas'!$C$57,'Tabla Ahorro Futuro Reservas'!C694*'FR_Mantenimiento tasas'!$E$57/360,""))),5)</f>
        <v>0</v>
      </c>
    </row>
    <row r="695" spans="1:5">
      <c r="A695" s="123">
        <f t="shared" si="20"/>
        <v>693</v>
      </c>
      <c r="B695" s="122">
        <f>IF(DAY(A695)=DAY('F-Ahorro Futuro Reservas'!$H$10),'F-Ahorro Futuro Reservas'!$H$9,0)</f>
        <v>0</v>
      </c>
      <c r="C695" s="122">
        <f t="shared" si="21"/>
        <v>0</v>
      </c>
      <c r="D695" s="121">
        <f>ROUND(IF(C695&lt;='FR_Mantenimiento tasas'!$C$55,'Tabla Ahorro Futuro Reservas'!C695*'FR_Mantenimiento tasas'!$D$55/360,IF(C695&lt;='FR_Mantenimiento tasas'!$C$56,'Tabla Ahorro Futuro Reservas'!C695*'FR_Mantenimiento tasas'!$D$56/360,IF(C695&lt;='FR_Mantenimiento tasas'!$C$57,'Tabla Ahorro Futuro Reservas'!C695*'FR_Mantenimiento tasas'!$D$57/360,""))),5)</f>
        <v>0</v>
      </c>
      <c r="E695" s="121">
        <f>ROUND(IF(C695&lt;='FR_Mantenimiento tasas'!$C$55,'Tabla Ahorro Futuro Reservas'!C695*'FR_Mantenimiento tasas'!$E$55/360,IF(C695&lt;='FR_Mantenimiento tasas'!$C$56,'Tabla Ahorro Futuro Reservas'!C695*'FR_Mantenimiento tasas'!$E$56/360,IF(C695&lt;='FR_Mantenimiento tasas'!$C$57,'Tabla Ahorro Futuro Reservas'!C695*'FR_Mantenimiento tasas'!$E$57/360,""))),5)</f>
        <v>0</v>
      </c>
    </row>
    <row r="696" spans="1:5">
      <c r="A696" s="123">
        <f t="shared" si="20"/>
        <v>694</v>
      </c>
      <c r="B696" s="122">
        <f>IF(DAY(A696)=DAY('F-Ahorro Futuro Reservas'!$H$10),'F-Ahorro Futuro Reservas'!$H$9,0)</f>
        <v>0</v>
      </c>
      <c r="C696" s="122">
        <f t="shared" si="21"/>
        <v>0</v>
      </c>
      <c r="D696" s="121">
        <f>ROUND(IF(C696&lt;='FR_Mantenimiento tasas'!$C$55,'Tabla Ahorro Futuro Reservas'!C696*'FR_Mantenimiento tasas'!$D$55/360,IF(C696&lt;='FR_Mantenimiento tasas'!$C$56,'Tabla Ahorro Futuro Reservas'!C696*'FR_Mantenimiento tasas'!$D$56/360,IF(C696&lt;='FR_Mantenimiento tasas'!$C$57,'Tabla Ahorro Futuro Reservas'!C696*'FR_Mantenimiento tasas'!$D$57/360,""))),5)</f>
        <v>0</v>
      </c>
      <c r="E696" s="121">
        <f>ROUND(IF(C696&lt;='FR_Mantenimiento tasas'!$C$55,'Tabla Ahorro Futuro Reservas'!C696*'FR_Mantenimiento tasas'!$E$55/360,IF(C696&lt;='FR_Mantenimiento tasas'!$C$56,'Tabla Ahorro Futuro Reservas'!C696*'FR_Mantenimiento tasas'!$E$56/360,IF(C696&lt;='FR_Mantenimiento tasas'!$C$57,'Tabla Ahorro Futuro Reservas'!C696*'FR_Mantenimiento tasas'!$E$57/360,""))),5)</f>
        <v>0</v>
      </c>
    </row>
    <row r="697" spans="1:5">
      <c r="A697" s="123">
        <f t="shared" si="20"/>
        <v>695</v>
      </c>
      <c r="B697" s="122">
        <f>IF(DAY(A697)=DAY('F-Ahorro Futuro Reservas'!$H$10),'F-Ahorro Futuro Reservas'!$H$9,0)</f>
        <v>0</v>
      </c>
      <c r="C697" s="122">
        <f t="shared" si="21"/>
        <v>0</v>
      </c>
      <c r="D697" s="121">
        <f>ROUND(IF(C697&lt;='FR_Mantenimiento tasas'!$C$55,'Tabla Ahorro Futuro Reservas'!C697*'FR_Mantenimiento tasas'!$D$55/360,IF(C697&lt;='FR_Mantenimiento tasas'!$C$56,'Tabla Ahorro Futuro Reservas'!C697*'FR_Mantenimiento tasas'!$D$56/360,IF(C697&lt;='FR_Mantenimiento tasas'!$C$57,'Tabla Ahorro Futuro Reservas'!C697*'FR_Mantenimiento tasas'!$D$57/360,""))),5)</f>
        <v>0</v>
      </c>
      <c r="E697" s="121">
        <f>ROUND(IF(C697&lt;='FR_Mantenimiento tasas'!$C$55,'Tabla Ahorro Futuro Reservas'!C697*'FR_Mantenimiento tasas'!$E$55/360,IF(C697&lt;='FR_Mantenimiento tasas'!$C$56,'Tabla Ahorro Futuro Reservas'!C697*'FR_Mantenimiento tasas'!$E$56/360,IF(C697&lt;='FR_Mantenimiento tasas'!$C$57,'Tabla Ahorro Futuro Reservas'!C697*'FR_Mantenimiento tasas'!$E$57/360,""))),5)</f>
        <v>0</v>
      </c>
    </row>
    <row r="698" spans="1:5">
      <c r="A698" s="123">
        <f t="shared" si="20"/>
        <v>696</v>
      </c>
      <c r="B698" s="122">
        <f>IF(DAY(A698)=DAY('F-Ahorro Futuro Reservas'!$H$10),'F-Ahorro Futuro Reservas'!$H$9,0)</f>
        <v>0</v>
      </c>
      <c r="C698" s="122">
        <f t="shared" si="21"/>
        <v>0</v>
      </c>
      <c r="D698" s="121">
        <f>ROUND(IF(C698&lt;='FR_Mantenimiento tasas'!$C$55,'Tabla Ahorro Futuro Reservas'!C698*'FR_Mantenimiento tasas'!$D$55/360,IF(C698&lt;='FR_Mantenimiento tasas'!$C$56,'Tabla Ahorro Futuro Reservas'!C698*'FR_Mantenimiento tasas'!$D$56/360,IF(C698&lt;='FR_Mantenimiento tasas'!$C$57,'Tabla Ahorro Futuro Reservas'!C698*'FR_Mantenimiento tasas'!$D$57/360,""))),5)</f>
        <v>0</v>
      </c>
      <c r="E698" s="121">
        <f>ROUND(IF(C698&lt;='FR_Mantenimiento tasas'!$C$55,'Tabla Ahorro Futuro Reservas'!C698*'FR_Mantenimiento tasas'!$E$55/360,IF(C698&lt;='FR_Mantenimiento tasas'!$C$56,'Tabla Ahorro Futuro Reservas'!C698*'FR_Mantenimiento tasas'!$E$56/360,IF(C698&lt;='FR_Mantenimiento tasas'!$C$57,'Tabla Ahorro Futuro Reservas'!C698*'FR_Mantenimiento tasas'!$E$57/360,""))),5)</f>
        <v>0</v>
      </c>
    </row>
    <row r="699" spans="1:5">
      <c r="A699" s="123">
        <f t="shared" si="20"/>
        <v>697</v>
      </c>
      <c r="B699" s="122">
        <f>IF(DAY(A699)=DAY('F-Ahorro Futuro Reservas'!$H$10),'F-Ahorro Futuro Reservas'!$H$9,0)</f>
        <v>0</v>
      </c>
      <c r="C699" s="122">
        <f t="shared" si="21"/>
        <v>0</v>
      </c>
      <c r="D699" s="121">
        <f>ROUND(IF(C699&lt;='FR_Mantenimiento tasas'!$C$55,'Tabla Ahorro Futuro Reservas'!C699*'FR_Mantenimiento tasas'!$D$55/360,IF(C699&lt;='FR_Mantenimiento tasas'!$C$56,'Tabla Ahorro Futuro Reservas'!C699*'FR_Mantenimiento tasas'!$D$56/360,IF(C699&lt;='FR_Mantenimiento tasas'!$C$57,'Tabla Ahorro Futuro Reservas'!C699*'FR_Mantenimiento tasas'!$D$57/360,""))),5)</f>
        <v>0</v>
      </c>
      <c r="E699" s="121">
        <f>ROUND(IF(C699&lt;='FR_Mantenimiento tasas'!$C$55,'Tabla Ahorro Futuro Reservas'!C699*'FR_Mantenimiento tasas'!$E$55/360,IF(C699&lt;='FR_Mantenimiento tasas'!$C$56,'Tabla Ahorro Futuro Reservas'!C699*'FR_Mantenimiento tasas'!$E$56/360,IF(C699&lt;='FR_Mantenimiento tasas'!$C$57,'Tabla Ahorro Futuro Reservas'!C699*'FR_Mantenimiento tasas'!$E$57/360,""))),5)</f>
        <v>0</v>
      </c>
    </row>
    <row r="700" spans="1:5">
      <c r="A700" s="123">
        <f t="shared" si="20"/>
        <v>698</v>
      </c>
      <c r="B700" s="122">
        <f>IF(DAY(A700)=DAY('F-Ahorro Futuro Reservas'!$H$10),'F-Ahorro Futuro Reservas'!$H$9,0)</f>
        <v>0</v>
      </c>
      <c r="C700" s="122">
        <f t="shared" si="21"/>
        <v>0</v>
      </c>
      <c r="D700" s="121">
        <f>ROUND(IF(C700&lt;='FR_Mantenimiento tasas'!$C$55,'Tabla Ahorro Futuro Reservas'!C700*'FR_Mantenimiento tasas'!$D$55/360,IF(C700&lt;='FR_Mantenimiento tasas'!$C$56,'Tabla Ahorro Futuro Reservas'!C700*'FR_Mantenimiento tasas'!$D$56/360,IF(C700&lt;='FR_Mantenimiento tasas'!$C$57,'Tabla Ahorro Futuro Reservas'!C700*'FR_Mantenimiento tasas'!$D$57/360,""))),5)</f>
        <v>0</v>
      </c>
      <c r="E700" s="121">
        <f>ROUND(IF(C700&lt;='FR_Mantenimiento tasas'!$C$55,'Tabla Ahorro Futuro Reservas'!C700*'FR_Mantenimiento tasas'!$E$55/360,IF(C700&lt;='FR_Mantenimiento tasas'!$C$56,'Tabla Ahorro Futuro Reservas'!C700*'FR_Mantenimiento tasas'!$E$56/360,IF(C700&lt;='FR_Mantenimiento tasas'!$C$57,'Tabla Ahorro Futuro Reservas'!C700*'FR_Mantenimiento tasas'!$E$57/360,""))),5)</f>
        <v>0</v>
      </c>
    </row>
    <row r="701" spans="1:5">
      <c r="A701" s="123">
        <f t="shared" si="20"/>
        <v>699</v>
      </c>
      <c r="B701" s="122">
        <f>IF(DAY(A701)=DAY('F-Ahorro Futuro Reservas'!$H$10),'F-Ahorro Futuro Reservas'!$H$9,0)</f>
        <v>0</v>
      </c>
      <c r="C701" s="122">
        <f t="shared" si="21"/>
        <v>0</v>
      </c>
      <c r="D701" s="121">
        <f>ROUND(IF(C701&lt;='FR_Mantenimiento tasas'!$C$55,'Tabla Ahorro Futuro Reservas'!C701*'FR_Mantenimiento tasas'!$D$55/360,IF(C701&lt;='FR_Mantenimiento tasas'!$C$56,'Tabla Ahorro Futuro Reservas'!C701*'FR_Mantenimiento tasas'!$D$56/360,IF(C701&lt;='FR_Mantenimiento tasas'!$C$57,'Tabla Ahorro Futuro Reservas'!C701*'FR_Mantenimiento tasas'!$D$57/360,""))),5)</f>
        <v>0</v>
      </c>
      <c r="E701" s="121">
        <f>ROUND(IF(C701&lt;='FR_Mantenimiento tasas'!$C$55,'Tabla Ahorro Futuro Reservas'!C701*'FR_Mantenimiento tasas'!$E$55/360,IF(C701&lt;='FR_Mantenimiento tasas'!$C$56,'Tabla Ahorro Futuro Reservas'!C701*'FR_Mantenimiento tasas'!$E$56/360,IF(C701&lt;='FR_Mantenimiento tasas'!$C$57,'Tabla Ahorro Futuro Reservas'!C701*'FR_Mantenimiento tasas'!$E$57/360,""))),5)</f>
        <v>0</v>
      </c>
    </row>
    <row r="702" spans="1:5">
      <c r="A702" s="123">
        <f t="shared" si="20"/>
        <v>700</v>
      </c>
      <c r="B702" s="122">
        <f>IF(DAY(A702)=DAY('F-Ahorro Futuro Reservas'!$H$10),'F-Ahorro Futuro Reservas'!$H$9,0)</f>
        <v>0</v>
      </c>
      <c r="C702" s="122">
        <f t="shared" si="21"/>
        <v>0</v>
      </c>
      <c r="D702" s="121">
        <f>ROUND(IF(C702&lt;='FR_Mantenimiento tasas'!$C$55,'Tabla Ahorro Futuro Reservas'!C702*'FR_Mantenimiento tasas'!$D$55/360,IF(C702&lt;='FR_Mantenimiento tasas'!$C$56,'Tabla Ahorro Futuro Reservas'!C702*'FR_Mantenimiento tasas'!$D$56/360,IF(C702&lt;='FR_Mantenimiento tasas'!$C$57,'Tabla Ahorro Futuro Reservas'!C702*'FR_Mantenimiento tasas'!$D$57/360,""))),5)</f>
        <v>0</v>
      </c>
      <c r="E702" s="121">
        <f>ROUND(IF(C702&lt;='FR_Mantenimiento tasas'!$C$55,'Tabla Ahorro Futuro Reservas'!C702*'FR_Mantenimiento tasas'!$E$55/360,IF(C702&lt;='FR_Mantenimiento tasas'!$C$56,'Tabla Ahorro Futuro Reservas'!C702*'FR_Mantenimiento tasas'!$E$56/360,IF(C702&lt;='FR_Mantenimiento tasas'!$C$57,'Tabla Ahorro Futuro Reservas'!C702*'FR_Mantenimiento tasas'!$E$57/360,""))),5)</f>
        <v>0</v>
      </c>
    </row>
    <row r="703" spans="1:5">
      <c r="A703" s="123">
        <f t="shared" si="20"/>
        <v>701</v>
      </c>
      <c r="B703" s="122">
        <f>IF(DAY(A703)=DAY('F-Ahorro Futuro Reservas'!$H$10),'F-Ahorro Futuro Reservas'!$H$9,0)</f>
        <v>0</v>
      </c>
      <c r="C703" s="122">
        <f t="shared" si="21"/>
        <v>0</v>
      </c>
      <c r="D703" s="121">
        <f>ROUND(IF(C703&lt;='FR_Mantenimiento tasas'!$C$55,'Tabla Ahorro Futuro Reservas'!C703*'FR_Mantenimiento tasas'!$D$55/360,IF(C703&lt;='FR_Mantenimiento tasas'!$C$56,'Tabla Ahorro Futuro Reservas'!C703*'FR_Mantenimiento tasas'!$D$56/360,IF(C703&lt;='FR_Mantenimiento tasas'!$C$57,'Tabla Ahorro Futuro Reservas'!C703*'FR_Mantenimiento tasas'!$D$57/360,""))),5)</f>
        <v>0</v>
      </c>
      <c r="E703" s="121">
        <f>ROUND(IF(C703&lt;='FR_Mantenimiento tasas'!$C$55,'Tabla Ahorro Futuro Reservas'!C703*'FR_Mantenimiento tasas'!$E$55/360,IF(C703&lt;='FR_Mantenimiento tasas'!$C$56,'Tabla Ahorro Futuro Reservas'!C703*'FR_Mantenimiento tasas'!$E$56/360,IF(C703&lt;='FR_Mantenimiento tasas'!$C$57,'Tabla Ahorro Futuro Reservas'!C703*'FR_Mantenimiento tasas'!$E$57/360,""))),5)</f>
        <v>0</v>
      </c>
    </row>
    <row r="704" spans="1:5">
      <c r="A704" s="123">
        <f t="shared" si="20"/>
        <v>702</v>
      </c>
      <c r="B704" s="122">
        <f>IF(DAY(A704)=DAY('F-Ahorro Futuro Reservas'!$H$10),'F-Ahorro Futuro Reservas'!$H$9,0)</f>
        <v>0</v>
      </c>
      <c r="C704" s="122">
        <f t="shared" si="21"/>
        <v>0</v>
      </c>
      <c r="D704" s="121">
        <f>ROUND(IF(C704&lt;='FR_Mantenimiento tasas'!$C$55,'Tabla Ahorro Futuro Reservas'!C704*'FR_Mantenimiento tasas'!$D$55/360,IF(C704&lt;='FR_Mantenimiento tasas'!$C$56,'Tabla Ahorro Futuro Reservas'!C704*'FR_Mantenimiento tasas'!$D$56/360,IF(C704&lt;='FR_Mantenimiento tasas'!$C$57,'Tabla Ahorro Futuro Reservas'!C704*'FR_Mantenimiento tasas'!$D$57/360,""))),5)</f>
        <v>0</v>
      </c>
      <c r="E704" s="121">
        <f>ROUND(IF(C704&lt;='FR_Mantenimiento tasas'!$C$55,'Tabla Ahorro Futuro Reservas'!C704*'FR_Mantenimiento tasas'!$E$55/360,IF(C704&lt;='FR_Mantenimiento tasas'!$C$56,'Tabla Ahorro Futuro Reservas'!C704*'FR_Mantenimiento tasas'!$E$56/360,IF(C704&lt;='FR_Mantenimiento tasas'!$C$57,'Tabla Ahorro Futuro Reservas'!C704*'FR_Mantenimiento tasas'!$E$57/360,""))),5)</f>
        <v>0</v>
      </c>
    </row>
    <row r="705" spans="1:5">
      <c r="A705" s="123">
        <f t="shared" si="20"/>
        <v>703</v>
      </c>
      <c r="B705" s="122">
        <f>IF(DAY(A705)=DAY('F-Ahorro Futuro Reservas'!$H$10),'F-Ahorro Futuro Reservas'!$H$9,0)</f>
        <v>0</v>
      </c>
      <c r="C705" s="122">
        <f t="shared" si="21"/>
        <v>0</v>
      </c>
      <c r="D705" s="121">
        <f>ROUND(IF(C705&lt;='FR_Mantenimiento tasas'!$C$55,'Tabla Ahorro Futuro Reservas'!C705*'FR_Mantenimiento tasas'!$D$55/360,IF(C705&lt;='FR_Mantenimiento tasas'!$C$56,'Tabla Ahorro Futuro Reservas'!C705*'FR_Mantenimiento tasas'!$D$56/360,IF(C705&lt;='FR_Mantenimiento tasas'!$C$57,'Tabla Ahorro Futuro Reservas'!C705*'FR_Mantenimiento tasas'!$D$57/360,""))),5)</f>
        <v>0</v>
      </c>
      <c r="E705" s="121">
        <f>ROUND(IF(C705&lt;='FR_Mantenimiento tasas'!$C$55,'Tabla Ahorro Futuro Reservas'!C705*'FR_Mantenimiento tasas'!$E$55/360,IF(C705&lt;='FR_Mantenimiento tasas'!$C$56,'Tabla Ahorro Futuro Reservas'!C705*'FR_Mantenimiento tasas'!$E$56/360,IF(C705&lt;='FR_Mantenimiento tasas'!$C$57,'Tabla Ahorro Futuro Reservas'!C705*'FR_Mantenimiento tasas'!$E$57/360,""))),5)</f>
        <v>0</v>
      </c>
    </row>
    <row r="706" spans="1:5">
      <c r="A706" s="123">
        <f t="shared" si="20"/>
        <v>704</v>
      </c>
      <c r="B706" s="122">
        <f>IF(DAY(A706)=DAY('F-Ahorro Futuro Reservas'!$H$10),'F-Ahorro Futuro Reservas'!$H$9,0)</f>
        <v>0</v>
      </c>
      <c r="C706" s="122">
        <f t="shared" si="21"/>
        <v>0</v>
      </c>
      <c r="D706" s="121">
        <f>ROUND(IF(C706&lt;='FR_Mantenimiento tasas'!$C$55,'Tabla Ahorro Futuro Reservas'!C706*'FR_Mantenimiento tasas'!$D$55/360,IF(C706&lt;='FR_Mantenimiento tasas'!$C$56,'Tabla Ahorro Futuro Reservas'!C706*'FR_Mantenimiento tasas'!$D$56/360,IF(C706&lt;='FR_Mantenimiento tasas'!$C$57,'Tabla Ahorro Futuro Reservas'!C706*'FR_Mantenimiento tasas'!$D$57/360,""))),5)</f>
        <v>0</v>
      </c>
      <c r="E706" s="121">
        <f>ROUND(IF(C706&lt;='FR_Mantenimiento tasas'!$C$55,'Tabla Ahorro Futuro Reservas'!C706*'FR_Mantenimiento tasas'!$E$55/360,IF(C706&lt;='FR_Mantenimiento tasas'!$C$56,'Tabla Ahorro Futuro Reservas'!C706*'FR_Mantenimiento tasas'!$E$56/360,IF(C706&lt;='FR_Mantenimiento tasas'!$C$57,'Tabla Ahorro Futuro Reservas'!C706*'FR_Mantenimiento tasas'!$E$57/360,""))),5)</f>
        <v>0</v>
      </c>
    </row>
    <row r="707" spans="1:5">
      <c r="A707" s="123">
        <f t="shared" si="20"/>
        <v>705</v>
      </c>
      <c r="B707" s="122">
        <f>IF(DAY(A707)=DAY('F-Ahorro Futuro Reservas'!$H$10),'F-Ahorro Futuro Reservas'!$H$9,0)</f>
        <v>0</v>
      </c>
      <c r="C707" s="122">
        <f t="shared" si="21"/>
        <v>0</v>
      </c>
      <c r="D707" s="121">
        <f>ROUND(IF(C707&lt;='FR_Mantenimiento tasas'!$C$55,'Tabla Ahorro Futuro Reservas'!C707*'FR_Mantenimiento tasas'!$D$55/360,IF(C707&lt;='FR_Mantenimiento tasas'!$C$56,'Tabla Ahorro Futuro Reservas'!C707*'FR_Mantenimiento tasas'!$D$56/360,IF(C707&lt;='FR_Mantenimiento tasas'!$C$57,'Tabla Ahorro Futuro Reservas'!C707*'FR_Mantenimiento tasas'!$D$57/360,""))),5)</f>
        <v>0</v>
      </c>
      <c r="E707" s="121">
        <f>ROUND(IF(C707&lt;='FR_Mantenimiento tasas'!$C$55,'Tabla Ahorro Futuro Reservas'!C707*'FR_Mantenimiento tasas'!$E$55/360,IF(C707&lt;='FR_Mantenimiento tasas'!$C$56,'Tabla Ahorro Futuro Reservas'!C707*'FR_Mantenimiento tasas'!$E$56/360,IF(C707&lt;='FR_Mantenimiento tasas'!$C$57,'Tabla Ahorro Futuro Reservas'!C707*'FR_Mantenimiento tasas'!$E$57/360,""))),5)</f>
        <v>0</v>
      </c>
    </row>
    <row r="708" spans="1:5">
      <c r="A708" s="123">
        <f t="shared" ref="A708:A771" si="22">+A707+1</f>
        <v>706</v>
      </c>
      <c r="B708" s="122">
        <f>IF(DAY(A708)=DAY('F-Ahorro Futuro Reservas'!$H$10),'F-Ahorro Futuro Reservas'!$H$9,0)</f>
        <v>0</v>
      </c>
      <c r="C708" s="122">
        <f t="shared" ref="C708:C771" si="23">+B708+C707+D707</f>
        <v>0</v>
      </c>
      <c r="D708" s="121">
        <f>ROUND(IF(C708&lt;='FR_Mantenimiento tasas'!$C$55,'Tabla Ahorro Futuro Reservas'!C708*'FR_Mantenimiento tasas'!$D$55/360,IF(C708&lt;='FR_Mantenimiento tasas'!$C$56,'Tabla Ahorro Futuro Reservas'!C708*'FR_Mantenimiento tasas'!$D$56/360,IF(C708&lt;='FR_Mantenimiento tasas'!$C$57,'Tabla Ahorro Futuro Reservas'!C708*'FR_Mantenimiento tasas'!$D$57/360,""))),5)</f>
        <v>0</v>
      </c>
      <c r="E708" s="121">
        <f>ROUND(IF(C708&lt;='FR_Mantenimiento tasas'!$C$55,'Tabla Ahorro Futuro Reservas'!C708*'FR_Mantenimiento tasas'!$E$55/360,IF(C708&lt;='FR_Mantenimiento tasas'!$C$56,'Tabla Ahorro Futuro Reservas'!C708*'FR_Mantenimiento tasas'!$E$56/360,IF(C708&lt;='FR_Mantenimiento tasas'!$C$57,'Tabla Ahorro Futuro Reservas'!C708*'FR_Mantenimiento tasas'!$E$57/360,""))),5)</f>
        <v>0</v>
      </c>
    </row>
    <row r="709" spans="1:5">
      <c r="A709" s="123">
        <f t="shared" si="22"/>
        <v>707</v>
      </c>
      <c r="B709" s="122">
        <f>IF(DAY(A709)=DAY('F-Ahorro Futuro Reservas'!$H$10),'F-Ahorro Futuro Reservas'!$H$9,0)</f>
        <v>0</v>
      </c>
      <c r="C709" s="122">
        <f t="shared" si="23"/>
        <v>0</v>
      </c>
      <c r="D709" s="121">
        <f>ROUND(IF(C709&lt;='FR_Mantenimiento tasas'!$C$55,'Tabla Ahorro Futuro Reservas'!C709*'FR_Mantenimiento tasas'!$D$55/360,IF(C709&lt;='FR_Mantenimiento tasas'!$C$56,'Tabla Ahorro Futuro Reservas'!C709*'FR_Mantenimiento tasas'!$D$56/360,IF(C709&lt;='FR_Mantenimiento tasas'!$C$57,'Tabla Ahorro Futuro Reservas'!C709*'FR_Mantenimiento tasas'!$D$57/360,""))),5)</f>
        <v>0</v>
      </c>
      <c r="E709" s="121">
        <f>ROUND(IF(C709&lt;='FR_Mantenimiento tasas'!$C$55,'Tabla Ahorro Futuro Reservas'!C709*'FR_Mantenimiento tasas'!$E$55/360,IF(C709&lt;='FR_Mantenimiento tasas'!$C$56,'Tabla Ahorro Futuro Reservas'!C709*'FR_Mantenimiento tasas'!$E$56/360,IF(C709&lt;='FR_Mantenimiento tasas'!$C$57,'Tabla Ahorro Futuro Reservas'!C709*'FR_Mantenimiento tasas'!$E$57/360,""))),5)</f>
        <v>0</v>
      </c>
    </row>
    <row r="710" spans="1:5">
      <c r="A710" s="123">
        <f t="shared" si="22"/>
        <v>708</v>
      </c>
      <c r="B710" s="122">
        <f>IF(DAY(A710)=DAY('F-Ahorro Futuro Reservas'!$H$10),'F-Ahorro Futuro Reservas'!$H$9,0)</f>
        <v>0</v>
      </c>
      <c r="C710" s="122">
        <f t="shared" si="23"/>
        <v>0</v>
      </c>
      <c r="D710" s="121">
        <f>ROUND(IF(C710&lt;='FR_Mantenimiento tasas'!$C$55,'Tabla Ahorro Futuro Reservas'!C710*'FR_Mantenimiento tasas'!$D$55/360,IF(C710&lt;='FR_Mantenimiento tasas'!$C$56,'Tabla Ahorro Futuro Reservas'!C710*'FR_Mantenimiento tasas'!$D$56/360,IF(C710&lt;='FR_Mantenimiento tasas'!$C$57,'Tabla Ahorro Futuro Reservas'!C710*'FR_Mantenimiento tasas'!$D$57/360,""))),5)</f>
        <v>0</v>
      </c>
      <c r="E710" s="121">
        <f>ROUND(IF(C710&lt;='FR_Mantenimiento tasas'!$C$55,'Tabla Ahorro Futuro Reservas'!C710*'FR_Mantenimiento tasas'!$E$55/360,IF(C710&lt;='FR_Mantenimiento tasas'!$C$56,'Tabla Ahorro Futuro Reservas'!C710*'FR_Mantenimiento tasas'!$E$56/360,IF(C710&lt;='FR_Mantenimiento tasas'!$C$57,'Tabla Ahorro Futuro Reservas'!C710*'FR_Mantenimiento tasas'!$E$57/360,""))),5)</f>
        <v>0</v>
      </c>
    </row>
    <row r="711" spans="1:5">
      <c r="A711" s="123">
        <f t="shared" si="22"/>
        <v>709</v>
      </c>
      <c r="B711" s="122">
        <f>IF(DAY(A711)=DAY('F-Ahorro Futuro Reservas'!$H$10),'F-Ahorro Futuro Reservas'!$H$9,0)</f>
        <v>0</v>
      </c>
      <c r="C711" s="122">
        <f t="shared" si="23"/>
        <v>0</v>
      </c>
      <c r="D711" s="121">
        <f>ROUND(IF(C711&lt;='FR_Mantenimiento tasas'!$C$55,'Tabla Ahorro Futuro Reservas'!C711*'FR_Mantenimiento tasas'!$D$55/360,IF(C711&lt;='FR_Mantenimiento tasas'!$C$56,'Tabla Ahorro Futuro Reservas'!C711*'FR_Mantenimiento tasas'!$D$56/360,IF(C711&lt;='FR_Mantenimiento tasas'!$C$57,'Tabla Ahorro Futuro Reservas'!C711*'FR_Mantenimiento tasas'!$D$57/360,""))),5)</f>
        <v>0</v>
      </c>
      <c r="E711" s="121">
        <f>ROUND(IF(C711&lt;='FR_Mantenimiento tasas'!$C$55,'Tabla Ahorro Futuro Reservas'!C711*'FR_Mantenimiento tasas'!$E$55/360,IF(C711&lt;='FR_Mantenimiento tasas'!$C$56,'Tabla Ahorro Futuro Reservas'!C711*'FR_Mantenimiento tasas'!$E$56/360,IF(C711&lt;='FR_Mantenimiento tasas'!$C$57,'Tabla Ahorro Futuro Reservas'!C711*'FR_Mantenimiento tasas'!$E$57/360,""))),5)</f>
        <v>0</v>
      </c>
    </row>
    <row r="712" spans="1:5">
      <c r="A712" s="123">
        <f t="shared" si="22"/>
        <v>710</v>
      </c>
      <c r="B712" s="122">
        <f>IF(DAY(A712)=DAY('F-Ahorro Futuro Reservas'!$H$10),'F-Ahorro Futuro Reservas'!$H$9,0)</f>
        <v>0</v>
      </c>
      <c r="C712" s="122">
        <f t="shared" si="23"/>
        <v>0</v>
      </c>
      <c r="D712" s="121">
        <f>ROUND(IF(C712&lt;='FR_Mantenimiento tasas'!$C$55,'Tabla Ahorro Futuro Reservas'!C712*'FR_Mantenimiento tasas'!$D$55/360,IF(C712&lt;='FR_Mantenimiento tasas'!$C$56,'Tabla Ahorro Futuro Reservas'!C712*'FR_Mantenimiento tasas'!$D$56/360,IF(C712&lt;='FR_Mantenimiento tasas'!$C$57,'Tabla Ahorro Futuro Reservas'!C712*'FR_Mantenimiento tasas'!$D$57/360,""))),5)</f>
        <v>0</v>
      </c>
      <c r="E712" s="121">
        <f>ROUND(IF(C712&lt;='FR_Mantenimiento tasas'!$C$55,'Tabla Ahorro Futuro Reservas'!C712*'FR_Mantenimiento tasas'!$E$55/360,IF(C712&lt;='FR_Mantenimiento tasas'!$C$56,'Tabla Ahorro Futuro Reservas'!C712*'FR_Mantenimiento tasas'!$E$56/360,IF(C712&lt;='FR_Mantenimiento tasas'!$C$57,'Tabla Ahorro Futuro Reservas'!C712*'FR_Mantenimiento tasas'!$E$57/360,""))),5)</f>
        <v>0</v>
      </c>
    </row>
    <row r="713" spans="1:5">
      <c r="A713" s="123">
        <f t="shared" si="22"/>
        <v>711</v>
      </c>
      <c r="B713" s="122">
        <f>IF(DAY(A713)=DAY('F-Ahorro Futuro Reservas'!$H$10),'F-Ahorro Futuro Reservas'!$H$9,0)</f>
        <v>0</v>
      </c>
      <c r="C713" s="122">
        <f t="shared" si="23"/>
        <v>0</v>
      </c>
      <c r="D713" s="121">
        <f>ROUND(IF(C713&lt;='FR_Mantenimiento tasas'!$C$55,'Tabla Ahorro Futuro Reservas'!C713*'FR_Mantenimiento tasas'!$D$55/360,IF(C713&lt;='FR_Mantenimiento tasas'!$C$56,'Tabla Ahorro Futuro Reservas'!C713*'FR_Mantenimiento tasas'!$D$56/360,IF(C713&lt;='FR_Mantenimiento tasas'!$C$57,'Tabla Ahorro Futuro Reservas'!C713*'FR_Mantenimiento tasas'!$D$57/360,""))),5)</f>
        <v>0</v>
      </c>
      <c r="E713" s="121">
        <f>ROUND(IF(C713&lt;='FR_Mantenimiento tasas'!$C$55,'Tabla Ahorro Futuro Reservas'!C713*'FR_Mantenimiento tasas'!$E$55/360,IF(C713&lt;='FR_Mantenimiento tasas'!$C$56,'Tabla Ahorro Futuro Reservas'!C713*'FR_Mantenimiento tasas'!$E$56/360,IF(C713&lt;='FR_Mantenimiento tasas'!$C$57,'Tabla Ahorro Futuro Reservas'!C713*'FR_Mantenimiento tasas'!$E$57/360,""))),5)</f>
        <v>0</v>
      </c>
    </row>
    <row r="714" spans="1:5">
      <c r="A714" s="123">
        <f t="shared" si="22"/>
        <v>712</v>
      </c>
      <c r="B714" s="122">
        <f>IF(DAY(A714)=DAY('F-Ahorro Futuro Reservas'!$H$10),'F-Ahorro Futuro Reservas'!$H$9,0)</f>
        <v>0</v>
      </c>
      <c r="C714" s="122">
        <f t="shared" si="23"/>
        <v>0</v>
      </c>
      <c r="D714" s="121">
        <f>ROUND(IF(C714&lt;='FR_Mantenimiento tasas'!$C$55,'Tabla Ahorro Futuro Reservas'!C714*'FR_Mantenimiento tasas'!$D$55/360,IF(C714&lt;='FR_Mantenimiento tasas'!$C$56,'Tabla Ahorro Futuro Reservas'!C714*'FR_Mantenimiento tasas'!$D$56/360,IF(C714&lt;='FR_Mantenimiento tasas'!$C$57,'Tabla Ahorro Futuro Reservas'!C714*'FR_Mantenimiento tasas'!$D$57/360,""))),5)</f>
        <v>0</v>
      </c>
      <c r="E714" s="121">
        <f>ROUND(IF(C714&lt;='FR_Mantenimiento tasas'!$C$55,'Tabla Ahorro Futuro Reservas'!C714*'FR_Mantenimiento tasas'!$E$55/360,IF(C714&lt;='FR_Mantenimiento tasas'!$C$56,'Tabla Ahorro Futuro Reservas'!C714*'FR_Mantenimiento tasas'!$E$56/360,IF(C714&lt;='FR_Mantenimiento tasas'!$C$57,'Tabla Ahorro Futuro Reservas'!C714*'FR_Mantenimiento tasas'!$E$57/360,""))),5)</f>
        <v>0</v>
      </c>
    </row>
    <row r="715" spans="1:5">
      <c r="A715" s="123">
        <f t="shared" si="22"/>
        <v>713</v>
      </c>
      <c r="B715" s="122">
        <f>IF(DAY(A715)=DAY('F-Ahorro Futuro Reservas'!$H$10),'F-Ahorro Futuro Reservas'!$H$9,0)</f>
        <v>0</v>
      </c>
      <c r="C715" s="122">
        <f t="shared" si="23"/>
        <v>0</v>
      </c>
      <c r="D715" s="121">
        <f>ROUND(IF(C715&lt;='FR_Mantenimiento tasas'!$C$55,'Tabla Ahorro Futuro Reservas'!C715*'FR_Mantenimiento tasas'!$D$55/360,IF(C715&lt;='FR_Mantenimiento tasas'!$C$56,'Tabla Ahorro Futuro Reservas'!C715*'FR_Mantenimiento tasas'!$D$56/360,IF(C715&lt;='FR_Mantenimiento tasas'!$C$57,'Tabla Ahorro Futuro Reservas'!C715*'FR_Mantenimiento tasas'!$D$57/360,""))),5)</f>
        <v>0</v>
      </c>
      <c r="E715" s="121">
        <f>ROUND(IF(C715&lt;='FR_Mantenimiento tasas'!$C$55,'Tabla Ahorro Futuro Reservas'!C715*'FR_Mantenimiento tasas'!$E$55/360,IF(C715&lt;='FR_Mantenimiento tasas'!$C$56,'Tabla Ahorro Futuro Reservas'!C715*'FR_Mantenimiento tasas'!$E$56/360,IF(C715&lt;='FR_Mantenimiento tasas'!$C$57,'Tabla Ahorro Futuro Reservas'!C715*'FR_Mantenimiento tasas'!$E$57/360,""))),5)</f>
        <v>0</v>
      </c>
    </row>
    <row r="716" spans="1:5">
      <c r="A716" s="123">
        <f t="shared" si="22"/>
        <v>714</v>
      </c>
      <c r="B716" s="122">
        <f>IF(DAY(A716)=DAY('F-Ahorro Futuro Reservas'!$H$10),'F-Ahorro Futuro Reservas'!$H$9,0)</f>
        <v>0</v>
      </c>
      <c r="C716" s="122">
        <f t="shared" si="23"/>
        <v>0</v>
      </c>
      <c r="D716" s="121">
        <f>ROUND(IF(C716&lt;='FR_Mantenimiento tasas'!$C$55,'Tabla Ahorro Futuro Reservas'!C716*'FR_Mantenimiento tasas'!$D$55/360,IF(C716&lt;='FR_Mantenimiento tasas'!$C$56,'Tabla Ahorro Futuro Reservas'!C716*'FR_Mantenimiento tasas'!$D$56/360,IF(C716&lt;='FR_Mantenimiento tasas'!$C$57,'Tabla Ahorro Futuro Reservas'!C716*'FR_Mantenimiento tasas'!$D$57/360,""))),5)</f>
        <v>0</v>
      </c>
      <c r="E716" s="121">
        <f>ROUND(IF(C716&lt;='FR_Mantenimiento tasas'!$C$55,'Tabla Ahorro Futuro Reservas'!C716*'FR_Mantenimiento tasas'!$E$55/360,IF(C716&lt;='FR_Mantenimiento tasas'!$C$56,'Tabla Ahorro Futuro Reservas'!C716*'FR_Mantenimiento tasas'!$E$56/360,IF(C716&lt;='FR_Mantenimiento tasas'!$C$57,'Tabla Ahorro Futuro Reservas'!C716*'FR_Mantenimiento tasas'!$E$57/360,""))),5)</f>
        <v>0</v>
      </c>
    </row>
    <row r="717" spans="1:5">
      <c r="A717" s="123">
        <f t="shared" si="22"/>
        <v>715</v>
      </c>
      <c r="B717" s="122">
        <f>IF(DAY(A717)=DAY('F-Ahorro Futuro Reservas'!$H$10),'F-Ahorro Futuro Reservas'!$H$9,0)</f>
        <v>0</v>
      </c>
      <c r="C717" s="122">
        <f t="shared" si="23"/>
        <v>0</v>
      </c>
      <c r="D717" s="121">
        <f>ROUND(IF(C717&lt;='FR_Mantenimiento tasas'!$C$55,'Tabla Ahorro Futuro Reservas'!C717*'FR_Mantenimiento tasas'!$D$55/360,IF(C717&lt;='FR_Mantenimiento tasas'!$C$56,'Tabla Ahorro Futuro Reservas'!C717*'FR_Mantenimiento tasas'!$D$56/360,IF(C717&lt;='FR_Mantenimiento tasas'!$C$57,'Tabla Ahorro Futuro Reservas'!C717*'FR_Mantenimiento tasas'!$D$57/360,""))),5)</f>
        <v>0</v>
      </c>
      <c r="E717" s="121">
        <f>ROUND(IF(C717&lt;='FR_Mantenimiento tasas'!$C$55,'Tabla Ahorro Futuro Reservas'!C717*'FR_Mantenimiento tasas'!$E$55/360,IF(C717&lt;='FR_Mantenimiento tasas'!$C$56,'Tabla Ahorro Futuro Reservas'!C717*'FR_Mantenimiento tasas'!$E$56/360,IF(C717&lt;='FR_Mantenimiento tasas'!$C$57,'Tabla Ahorro Futuro Reservas'!C717*'FR_Mantenimiento tasas'!$E$57/360,""))),5)</f>
        <v>0</v>
      </c>
    </row>
    <row r="718" spans="1:5">
      <c r="A718" s="123">
        <f t="shared" si="22"/>
        <v>716</v>
      </c>
      <c r="B718" s="122">
        <f>IF(DAY(A718)=DAY('F-Ahorro Futuro Reservas'!$H$10),'F-Ahorro Futuro Reservas'!$H$9,0)</f>
        <v>0</v>
      </c>
      <c r="C718" s="122">
        <f t="shared" si="23"/>
        <v>0</v>
      </c>
      <c r="D718" s="121">
        <f>ROUND(IF(C718&lt;='FR_Mantenimiento tasas'!$C$55,'Tabla Ahorro Futuro Reservas'!C718*'FR_Mantenimiento tasas'!$D$55/360,IF(C718&lt;='FR_Mantenimiento tasas'!$C$56,'Tabla Ahorro Futuro Reservas'!C718*'FR_Mantenimiento tasas'!$D$56/360,IF(C718&lt;='FR_Mantenimiento tasas'!$C$57,'Tabla Ahorro Futuro Reservas'!C718*'FR_Mantenimiento tasas'!$D$57/360,""))),5)</f>
        <v>0</v>
      </c>
      <c r="E718" s="121">
        <f>ROUND(IF(C718&lt;='FR_Mantenimiento tasas'!$C$55,'Tabla Ahorro Futuro Reservas'!C718*'FR_Mantenimiento tasas'!$E$55/360,IF(C718&lt;='FR_Mantenimiento tasas'!$C$56,'Tabla Ahorro Futuro Reservas'!C718*'FR_Mantenimiento tasas'!$E$56/360,IF(C718&lt;='FR_Mantenimiento tasas'!$C$57,'Tabla Ahorro Futuro Reservas'!C718*'FR_Mantenimiento tasas'!$E$57/360,""))),5)</f>
        <v>0</v>
      </c>
    </row>
    <row r="719" spans="1:5">
      <c r="A719" s="123">
        <f t="shared" si="22"/>
        <v>717</v>
      </c>
      <c r="B719" s="122">
        <f>IF(DAY(A719)=DAY('F-Ahorro Futuro Reservas'!$H$10),'F-Ahorro Futuro Reservas'!$H$9,0)</f>
        <v>0</v>
      </c>
      <c r="C719" s="122">
        <f t="shared" si="23"/>
        <v>0</v>
      </c>
      <c r="D719" s="121">
        <f>ROUND(IF(C719&lt;='FR_Mantenimiento tasas'!$C$55,'Tabla Ahorro Futuro Reservas'!C719*'FR_Mantenimiento tasas'!$D$55/360,IF(C719&lt;='FR_Mantenimiento tasas'!$C$56,'Tabla Ahorro Futuro Reservas'!C719*'FR_Mantenimiento tasas'!$D$56/360,IF(C719&lt;='FR_Mantenimiento tasas'!$C$57,'Tabla Ahorro Futuro Reservas'!C719*'FR_Mantenimiento tasas'!$D$57/360,""))),5)</f>
        <v>0</v>
      </c>
      <c r="E719" s="121">
        <f>ROUND(IF(C719&lt;='FR_Mantenimiento tasas'!$C$55,'Tabla Ahorro Futuro Reservas'!C719*'FR_Mantenimiento tasas'!$E$55/360,IF(C719&lt;='FR_Mantenimiento tasas'!$C$56,'Tabla Ahorro Futuro Reservas'!C719*'FR_Mantenimiento tasas'!$E$56/360,IF(C719&lt;='FR_Mantenimiento tasas'!$C$57,'Tabla Ahorro Futuro Reservas'!C719*'FR_Mantenimiento tasas'!$E$57/360,""))),5)</f>
        <v>0</v>
      </c>
    </row>
    <row r="720" spans="1:5">
      <c r="A720" s="123">
        <f t="shared" si="22"/>
        <v>718</v>
      </c>
      <c r="B720" s="122">
        <f>IF(DAY(A720)=DAY('F-Ahorro Futuro Reservas'!$H$10),'F-Ahorro Futuro Reservas'!$H$9,0)</f>
        <v>0</v>
      </c>
      <c r="C720" s="122">
        <f t="shared" si="23"/>
        <v>0</v>
      </c>
      <c r="D720" s="121">
        <f>ROUND(IF(C720&lt;='FR_Mantenimiento tasas'!$C$55,'Tabla Ahorro Futuro Reservas'!C720*'FR_Mantenimiento tasas'!$D$55/360,IF(C720&lt;='FR_Mantenimiento tasas'!$C$56,'Tabla Ahorro Futuro Reservas'!C720*'FR_Mantenimiento tasas'!$D$56/360,IF(C720&lt;='FR_Mantenimiento tasas'!$C$57,'Tabla Ahorro Futuro Reservas'!C720*'FR_Mantenimiento tasas'!$D$57/360,""))),5)</f>
        <v>0</v>
      </c>
      <c r="E720" s="121">
        <f>ROUND(IF(C720&lt;='FR_Mantenimiento tasas'!$C$55,'Tabla Ahorro Futuro Reservas'!C720*'FR_Mantenimiento tasas'!$E$55/360,IF(C720&lt;='FR_Mantenimiento tasas'!$C$56,'Tabla Ahorro Futuro Reservas'!C720*'FR_Mantenimiento tasas'!$E$56/360,IF(C720&lt;='FR_Mantenimiento tasas'!$C$57,'Tabla Ahorro Futuro Reservas'!C720*'FR_Mantenimiento tasas'!$E$57/360,""))),5)</f>
        <v>0</v>
      </c>
    </row>
    <row r="721" spans="1:5">
      <c r="A721" s="123">
        <f t="shared" si="22"/>
        <v>719</v>
      </c>
      <c r="B721" s="122">
        <f>IF(DAY(A721)=DAY('F-Ahorro Futuro Reservas'!$H$10),'F-Ahorro Futuro Reservas'!$H$9,0)</f>
        <v>0</v>
      </c>
      <c r="C721" s="122">
        <f t="shared" si="23"/>
        <v>0</v>
      </c>
      <c r="D721" s="121">
        <f>ROUND(IF(C721&lt;='FR_Mantenimiento tasas'!$C$55,'Tabla Ahorro Futuro Reservas'!C721*'FR_Mantenimiento tasas'!$D$55/360,IF(C721&lt;='FR_Mantenimiento tasas'!$C$56,'Tabla Ahorro Futuro Reservas'!C721*'FR_Mantenimiento tasas'!$D$56/360,IF(C721&lt;='FR_Mantenimiento tasas'!$C$57,'Tabla Ahorro Futuro Reservas'!C721*'FR_Mantenimiento tasas'!$D$57/360,""))),5)</f>
        <v>0</v>
      </c>
      <c r="E721" s="121">
        <f>ROUND(IF(C721&lt;='FR_Mantenimiento tasas'!$C$55,'Tabla Ahorro Futuro Reservas'!C721*'FR_Mantenimiento tasas'!$E$55/360,IF(C721&lt;='FR_Mantenimiento tasas'!$C$56,'Tabla Ahorro Futuro Reservas'!C721*'FR_Mantenimiento tasas'!$E$56/360,IF(C721&lt;='FR_Mantenimiento tasas'!$C$57,'Tabla Ahorro Futuro Reservas'!C721*'FR_Mantenimiento tasas'!$E$57/360,""))),5)</f>
        <v>0</v>
      </c>
    </row>
    <row r="722" spans="1:5">
      <c r="A722" s="123">
        <f t="shared" si="22"/>
        <v>720</v>
      </c>
      <c r="B722" s="122">
        <f>IF(DAY(A722)=DAY('F-Ahorro Futuro Reservas'!$H$10),'F-Ahorro Futuro Reservas'!$H$9,0)</f>
        <v>0</v>
      </c>
      <c r="C722" s="122">
        <f t="shared" si="23"/>
        <v>0</v>
      </c>
      <c r="D722" s="121">
        <f>ROUND(IF(C722&lt;='FR_Mantenimiento tasas'!$C$55,'Tabla Ahorro Futuro Reservas'!C722*'FR_Mantenimiento tasas'!$D$55/360,IF(C722&lt;='FR_Mantenimiento tasas'!$C$56,'Tabla Ahorro Futuro Reservas'!C722*'FR_Mantenimiento tasas'!$D$56/360,IF(C722&lt;='FR_Mantenimiento tasas'!$C$57,'Tabla Ahorro Futuro Reservas'!C722*'FR_Mantenimiento tasas'!$D$57/360,""))),5)</f>
        <v>0</v>
      </c>
      <c r="E722" s="121">
        <f>ROUND(IF(C722&lt;='FR_Mantenimiento tasas'!$C$55,'Tabla Ahorro Futuro Reservas'!C722*'FR_Mantenimiento tasas'!$E$55/360,IF(C722&lt;='FR_Mantenimiento tasas'!$C$56,'Tabla Ahorro Futuro Reservas'!C722*'FR_Mantenimiento tasas'!$E$56/360,IF(C722&lt;='FR_Mantenimiento tasas'!$C$57,'Tabla Ahorro Futuro Reservas'!C722*'FR_Mantenimiento tasas'!$E$57/360,""))),5)</f>
        <v>0</v>
      </c>
    </row>
    <row r="723" spans="1:5">
      <c r="A723" s="123">
        <f t="shared" si="22"/>
        <v>721</v>
      </c>
      <c r="B723" s="122">
        <f>IF(DAY(A723)=DAY('F-Ahorro Futuro Reservas'!$H$10),'F-Ahorro Futuro Reservas'!$H$9,0)</f>
        <v>0</v>
      </c>
      <c r="C723" s="122">
        <f t="shared" si="23"/>
        <v>0</v>
      </c>
      <c r="D723" s="121">
        <f>ROUND(IF(C723&lt;='FR_Mantenimiento tasas'!$C$55,'Tabla Ahorro Futuro Reservas'!C723*'FR_Mantenimiento tasas'!$D$55/360,IF(C723&lt;='FR_Mantenimiento tasas'!$C$56,'Tabla Ahorro Futuro Reservas'!C723*'FR_Mantenimiento tasas'!$D$56/360,IF(C723&lt;='FR_Mantenimiento tasas'!$C$57,'Tabla Ahorro Futuro Reservas'!C723*'FR_Mantenimiento tasas'!$D$57/360,""))),5)</f>
        <v>0</v>
      </c>
      <c r="E723" s="121">
        <f>ROUND(IF(C723&lt;='FR_Mantenimiento tasas'!$C$55,'Tabla Ahorro Futuro Reservas'!C723*'FR_Mantenimiento tasas'!$E$55/360,IF(C723&lt;='FR_Mantenimiento tasas'!$C$56,'Tabla Ahorro Futuro Reservas'!C723*'FR_Mantenimiento tasas'!$E$56/360,IF(C723&lt;='FR_Mantenimiento tasas'!$C$57,'Tabla Ahorro Futuro Reservas'!C723*'FR_Mantenimiento tasas'!$E$57/360,""))),5)</f>
        <v>0</v>
      </c>
    </row>
    <row r="724" spans="1:5">
      <c r="A724" s="123">
        <f t="shared" si="22"/>
        <v>722</v>
      </c>
      <c r="B724" s="122">
        <f>IF(DAY(A724)=DAY('F-Ahorro Futuro Reservas'!$H$10),'F-Ahorro Futuro Reservas'!$H$9,0)</f>
        <v>0</v>
      </c>
      <c r="C724" s="122">
        <f t="shared" si="23"/>
        <v>0</v>
      </c>
      <c r="D724" s="121">
        <f>ROUND(IF(C724&lt;='FR_Mantenimiento tasas'!$C$55,'Tabla Ahorro Futuro Reservas'!C724*'FR_Mantenimiento tasas'!$D$55/360,IF(C724&lt;='FR_Mantenimiento tasas'!$C$56,'Tabla Ahorro Futuro Reservas'!C724*'FR_Mantenimiento tasas'!$D$56/360,IF(C724&lt;='FR_Mantenimiento tasas'!$C$57,'Tabla Ahorro Futuro Reservas'!C724*'FR_Mantenimiento tasas'!$D$57/360,""))),5)</f>
        <v>0</v>
      </c>
      <c r="E724" s="121">
        <f>ROUND(IF(C724&lt;='FR_Mantenimiento tasas'!$C$55,'Tabla Ahorro Futuro Reservas'!C724*'FR_Mantenimiento tasas'!$E$55/360,IF(C724&lt;='FR_Mantenimiento tasas'!$C$56,'Tabla Ahorro Futuro Reservas'!C724*'FR_Mantenimiento tasas'!$E$56/360,IF(C724&lt;='FR_Mantenimiento tasas'!$C$57,'Tabla Ahorro Futuro Reservas'!C724*'FR_Mantenimiento tasas'!$E$57/360,""))),5)</f>
        <v>0</v>
      </c>
    </row>
    <row r="725" spans="1:5">
      <c r="A725" s="123">
        <f t="shared" si="22"/>
        <v>723</v>
      </c>
      <c r="B725" s="122">
        <f>IF(DAY(A725)=DAY('F-Ahorro Futuro Reservas'!$H$10),'F-Ahorro Futuro Reservas'!$H$9,0)</f>
        <v>0</v>
      </c>
      <c r="C725" s="122">
        <f t="shared" si="23"/>
        <v>0</v>
      </c>
      <c r="D725" s="121">
        <f>ROUND(IF(C725&lt;='FR_Mantenimiento tasas'!$C$55,'Tabla Ahorro Futuro Reservas'!C725*'FR_Mantenimiento tasas'!$D$55/360,IF(C725&lt;='FR_Mantenimiento tasas'!$C$56,'Tabla Ahorro Futuro Reservas'!C725*'FR_Mantenimiento tasas'!$D$56/360,IF(C725&lt;='FR_Mantenimiento tasas'!$C$57,'Tabla Ahorro Futuro Reservas'!C725*'FR_Mantenimiento tasas'!$D$57/360,""))),5)</f>
        <v>0</v>
      </c>
      <c r="E725" s="121">
        <f>ROUND(IF(C725&lt;='FR_Mantenimiento tasas'!$C$55,'Tabla Ahorro Futuro Reservas'!C725*'FR_Mantenimiento tasas'!$E$55/360,IF(C725&lt;='FR_Mantenimiento tasas'!$C$56,'Tabla Ahorro Futuro Reservas'!C725*'FR_Mantenimiento tasas'!$E$56/360,IF(C725&lt;='FR_Mantenimiento tasas'!$C$57,'Tabla Ahorro Futuro Reservas'!C725*'FR_Mantenimiento tasas'!$E$57/360,""))),5)</f>
        <v>0</v>
      </c>
    </row>
    <row r="726" spans="1:5">
      <c r="A726" s="123">
        <f t="shared" si="22"/>
        <v>724</v>
      </c>
      <c r="B726" s="122">
        <f>IF(DAY(A726)=DAY('F-Ahorro Futuro Reservas'!$H$10),'F-Ahorro Futuro Reservas'!$H$9,0)</f>
        <v>0</v>
      </c>
      <c r="C726" s="122">
        <f t="shared" si="23"/>
        <v>0</v>
      </c>
      <c r="D726" s="121">
        <f>ROUND(IF(C726&lt;='FR_Mantenimiento tasas'!$C$55,'Tabla Ahorro Futuro Reservas'!C726*'FR_Mantenimiento tasas'!$D$55/360,IF(C726&lt;='FR_Mantenimiento tasas'!$C$56,'Tabla Ahorro Futuro Reservas'!C726*'FR_Mantenimiento tasas'!$D$56/360,IF(C726&lt;='FR_Mantenimiento tasas'!$C$57,'Tabla Ahorro Futuro Reservas'!C726*'FR_Mantenimiento tasas'!$D$57/360,""))),5)</f>
        <v>0</v>
      </c>
      <c r="E726" s="121">
        <f>ROUND(IF(C726&lt;='FR_Mantenimiento tasas'!$C$55,'Tabla Ahorro Futuro Reservas'!C726*'FR_Mantenimiento tasas'!$E$55/360,IF(C726&lt;='FR_Mantenimiento tasas'!$C$56,'Tabla Ahorro Futuro Reservas'!C726*'FR_Mantenimiento tasas'!$E$56/360,IF(C726&lt;='FR_Mantenimiento tasas'!$C$57,'Tabla Ahorro Futuro Reservas'!C726*'FR_Mantenimiento tasas'!$E$57/360,""))),5)</f>
        <v>0</v>
      </c>
    </row>
    <row r="727" spans="1:5">
      <c r="A727" s="123">
        <f t="shared" si="22"/>
        <v>725</v>
      </c>
      <c r="B727" s="122">
        <f>IF(DAY(A727)=DAY('F-Ahorro Futuro Reservas'!$H$10),'F-Ahorro Futuro Reservas'!$H$9,0)</f>
        <v>0</v>
      </c>
      <c r="C727" s="122">
        <f t="shared" si="23"/>
        <v>0</v>
      </c>
      <c r="D727" s="121">
        <f>ROUND(IF(C727&lt;='FR_Mantenimiento tasas'!$C$55,'Tabla Ahorro Futuro Reservas'!C727*'FR_Mantenimiento tasas'!$D$55/360,IF(C727&lt;='FR_Mantenimiento tasas'!$C$56,'Tabla Ahorro Futuro Reservas'!C727*'FR_Mantenimiento tasas'!$D$56/360,IF(C727&lt;='FR_Mantenimiento tasas'!$C$57,'Tabla Ahorro Futuro Reservas'!C727*'FR_Mantenimiento tasas'!$D$57/360,""))),5)</f>
        <v>0</v>
      </c>
      <c r="E727" s="121">
        <f>ROUND(IF(C727&lt;='FR_Mantenimiento tasas'!$C$55,'Tabla Ahorro Futuro Reservas'!C727*'FR_Mantenimiento tasas'!$E$55/360,IF(C727&lt;='FR_Mantenimiento tasas'!$C$56,'Tabla Ahorro Futuro Reservas'!C727*'FR_Mantenimiento tasas'!$E$56/360,IF(C727&lt;='FR_Mantenimiento tasas'!$C$57,'Tabla Ahorro Futuro Reservas'!C727*'FR_Mantenimiento tasas'!$E$57/360,""))),5)</f>
        <v>0</v>
      </c>
    </row>
    <row r="728" spans="1:5">
      <c r="A728" s="123">
        <f t="shared" si="22"/>
        <v>726</v>
      </c>
      <c r="B728" s="122">
        <f>IF(DAY(A728)=DAY('F-Ahorro Futuro Reservas'!$H$10),'F-Ahorro Futuro Reservas'!$H$9,0)</f>
        <v>0</v>
      </c>
      <c r="C728" s="122">
        <f t="shared" si="23"/>
        <v>0</v>
      </c>
      <c r="D728" s="121">
        <f>ROUND(IF(C728&lt;='FR_Mantenimiento tasas'!$C$55,'Tabla Ahorro Futuro Reservas'!C728*'FR_Mantenimiento tasas'!$D$55/360,IF(C728&lt;='FR_Mantenimiento tasas'!$C$56,'Tabla Ahorro Futuro Reservas'!C728*'FR_Mantenimiento tasas'!$D$56/360,IF(C728&lt;='FR_Mantenimiento tasas'!$C$57,'Tabla Ahorro Futuro Reservas'!C728*'FR_Mantenimiento tasas'!$D$57/360,""))),5)</f>
        <v>0</v>
      </c>
      <c r="E728" s="121">
        <f>ROUND(IF(C728&lt;='FR_Mantenimiento tasas'!$C$55,'Tabla Ahorro Futuro Reservas'!C728*'FR_Mantenimiento tasas'!$E$55/360,IF(C728&lt;='FR_Mantenimiento tasas'!$C$56,'Tabla Ahorro Futuro Reservas'!C728*'FR_Mantenimiento tasas'!$E$56/360,IF(C728&lt;='FR_Mantenimiento tasas'!$C$57,'Tabla Ahorro Futuro Reservas'!C728*'FR_Mantenimiento tasas'!$E$57/360,""))),5)</f>
        <v>0</v>
      </c>
    </row>
    <row r="729" spans="1:5">
      <c r="A729" s="123">
        <f t="shared" si="22"/>
        <v>727</v>
      </c>
      <c r="B729" s="122">
        <f>IF(DAY(A729)=DAY('F-Ahorro Futuro Reservas'!$H$10),'F-Ahorro Futuro Reservas'!$H$9,0)</f>
        <v>0</v>
      </c>
      <c r="C729" s="122">
        <f t="shared" si="23"/>
        <v>0</v>
      </c>
      <c r="D729" s="121">
        <f>ROUND(IF(C729&lt;='FR_Mantenimiento tasas'!$C$55,'Tabla Ahorro Futuro Reservas'!C729*'FR_Mantenimiento tasas'!$D$55/360,IF(C729&lt;='FR_Mantenimiento tasas'!$C$56,'Tabla Ahorro Futuro Reservas'!C729*'FR_Mantenimiento tasas'!$D$56/360,IF(C729&lt;='FR_Mantenimiento tasas'!$C$57,'Tabla Ahorro Futuro Reservas'!C729*'FR_Mantenimiento tasas'!$D$57/360,""))),5)</f>
        <v>0</v>
      </c>
      <c r="E729" s="121">
        <f>ROUND(IF(C729&lt;='FR_Mantenimiento tasas'!$C$55,'Tabla Ahorro Futuro Reservas'!C729*'FR_Mantenimiento tasas'!$E$55/360,IF(C729&lt;='FR_Mantenimiento tasas'!$C$56,'Tabla Ahorro Futuro Reservas'!C729*'FR_Mantenimiento tasas'!$E$56/360,IF(C729&lt;='FR_Mantenimiento tasas'!$C$57,'Tabla Ahorro Futuro Reservas'!C729*'FR_Mantenimiento tasas'!$E$57/360,""))),5)</f>
        <v>0</v>
      </c>
    </row>
    <row r="730" spans="1:5">
      <c r="A730" s="123">
        <f t="shared" si="22"/>
        <v>728</v>
      </c>
      <c r="B730" s="122">
        <f>IF(DAY(A730)=DAY('F-Ahorro Futuro Reservas'!$H$10),'F-Ahorro Futuro Reservas'!$H$9,0)</f>
        <v>0</v>
      </c>
      <c r="C730" s="122">
        <f t="shared" si="23"/>
        <v>0</v>
      </c>
      <c r="D730" s="121">
        <f>ROUND(IF(C730&lt;='FR_Mantenimiento tasas'!$C$55,'Tabla Ahorro Futuro Reservas'!C730*'FR_Mantenimiento tasas'!$D$55/360,IF(C730&lt;='FR_Mantenimiento tasas'!$C$56,'Tabla Ahorro Futuro Reservas'!C730*'FR_Mantenimiento tasas'!$D$56/360,IF(C730&lt;='FR_Mantenimiento tasas'!$C$57,'Tabla Ahorro Futuro Reservas'!C730*'FR_Mantenimiento tasas'!$D$57/360,""))),5)</f>
        <v>0</v>
      </c>
      <c r="E730" s="121">
        <f>ROUND(IF(C730&lt;='FR_Mantenimiento tasas'!$C$55,'Tabla Ahorro Futuro Reservas'!C730*'FR_Mantenimiento tasas'!$E$55/360,IF(C730&lt;='FR_Mantenimiento tasas'!$C$56,'Tabla Ahorro Futuro Reservas'!C730*'FR_Mantenimiento tasas'!$E$56/360,IF(C730&lt;='FR_Mantenimiento tasas'!$C$57,'Tabla Ahorro Futuro Reservas'!C730*'FR_Mantenimiento tasas'!$E$57/360,""))),5)</f>
        <v>0</v>
      </c>
    </row>
    <row r="731" spans="1:5">
      <c r="A731" s="123">
        <f t="shared" si="22"/>
        <v>729</v>
      </c>
      <c r="B731" s="122">
        <f>IF(DAY(A731)=DAY('F-Ahorro Futuro Reservas'!$H$10),'F-Ahorro Futuro Reservas'!$H$9,0)</f>
        <v>0</v>
      </c>
      <c r="C731" s="122">
        <f t="shared" si="23"/>
        <v>0</v>
      </c>
      <c r="D731" s="121">
        <f>ROUND(IF(C731&lt;='FR_Mantenimiento tasas'!$C$55,'Tabla Ahorro Futuro Reservas'!C731*'FR_Mantenimiento tasas'!$D$55/360,IF(C731&lt;='FR_Mantenimiento tasas'!$C$56,'Tabla Ahorro Futuro Reservas'!C731*'FR_Mantenimiento tasas'!$D$56/360,IF(C731&lt;='FR_Mantenimiento tasas'!$C$57,'Tabla Ahorro Futuro Reservas'!C731*'FR_Mantenimiento tasas'!$D$57/360,""))),5)</f>
        <v>0</v>
      </c>
      <c r="E731" s="121">
        <f>ROUND(IF(C731&lt;='FR_Mantenimiento tasas'!$C$55,'Tabla Ahorro Futuro Reservas'!C731*'FR_Mantenimiento tasas'!$E$55/360,IF(C731&lt;='FR_Mantenimiento tasas'!$C$56,'Tabla Ahorro Futuro Reservas'!C731*'FR_Mantenimiento tasas'!$E$56/360,IF(C731&lt;='FR_Mantenimiento tasas'!$C$57,'Tabla Ahorro Futuro Reservas'!C731*'FR_Mantenimiento tasas'!$E$57/360,""))),5)</f>
        <v>0</v>
      </c>
    </row>
    <row r="732" spans="1:5">
      <c r="A732" s="123">
        <f t="shared" si="22"/>
        <v>730</v>
      </c>
      <c r="B732" s="122">
        <f>IF(DAY(A732)=DAY('F-Ahorro Futuro Reservas'!$H$10),'F-Ahorro Futuro Reservas'!$H$9,0)</f>
        <v>0</v>
      </c>
      <c r="C732" s="122">
        <f t="shared" si="23"/>
        <v>0</v>
      </c>
      <c r="D732" s="121">
        <f>ROUND(IF(C732&lt;='FR_Mantenimiento tasas'!$C$55,'Tabla Ahorro Futuro Reservas'!C732*'FR_Mantenimiento tasas'!$D$55/360,IF(C732&lt;='FR_Mantenimiento tasas'!$C$56,'Tabla Ahorro Futuro Reservas'!C732*'FR_Mantenimiento tasas'!$D$56/360,IF(C732&lt;='FR_Mantenimiento tasas'!$C$57,'Tabla Ahorro Futuro Reservas'!C732*'FR_Mantenimiento tasas'!$D$57/360,""))),5)</f>
        <v>0</v>
      </c>
      <c r="E732" s="121">
        <f>ROUND(IF(C732&lt;='FR_Mantenimiento tasas'!$C$55,'Tabla Ahorro Futuro Reservas'!C732*'FR_Mantenimiento tasas'!$E$55/360,IF(C732&lt;='FR_Mantenimiento tasas'!$C$56,'Tabla Ahorro Futuro Reservas'!C732*'FR_Mantenimiento tasas'!$E$56/360,IF(C732&lt;='FR_Mantenimiento tasas'!$C$57,'Tabla Ahorro Futuro Reservas'!C732*'FR_Mantenimiento tasas'!$E$57/360,""))),5)</f>
        <v>0</v>
      </c>
    </row>
    <row r="733" spans="1:5">
      <c r="A733" s="123">
        <f t="shared" si="22"/>
        <v>731</v>
      </c>
      <c r="B733" s="122">
        <f>IF(DAY(A733)=DAY('F-Ahorro Futuro Reservas'!$H$10),'F-Ahorro Futuro Reservas'!$H$9,0)</f>
        <v>0</v>
      </c>
      <c r="C733" s="122">
        <f t="shared" si="23"/>
        <v>0</v>
      </c>
      <c r="D733" s="121">
        <f>ROUND(IF(C733&lt;='FR_Mantenimiento tasas'!$C$55,'Tabla Ahorro Futuro Reservas'!C733*'FR_Mantenimiento tasas'!$D$55/360,IF(C733&lt;='FR_Mantenimiento tasas'!$C$56,'Tabla Ahorro Futuro Reservas'!C733*'FR_Mantenimiento tasas'!$D$56/360,IF(C733&lt;='FR_Mantenimiento tasas'!$C$57,'Tabla Ahorro Futuro Reservas'!C733*'FR_Mantenimiento tasas'!$D$57/360,""))),5)</f>
        <v>0</v>
      </c>
      <c r="E733" s="121">
        <f>ROUND(IF(C733&lt;='FR_Mantenimiento tasas'!$C$55,'Tabla Ahorro Futuro Reservas'!C733*'FR_Mantenimiento tasas'!$E$55/360,IF(C733&lt;='FR_Mantenimiento tasas'!$C$56,'Tabla Ahorro Futuro Reservas'!C733*'FR_Mantenimiento tasas'!$E$56/360,IF(C733&lt;='FR_Mantenimiento tasas'!$C$57,'Tabla Ahorro Futuro Reservas'!C733*'FR_Mantenimiento tasas'!$E$57/360,""))),5)</f>
        <v>0</v>
      </c>
    </row>
    <row r="734" spans="1:5">
      <c r="A734" s="123">
        <f t="shared" si="22"/>
        <v>732</v>
      </c>
      <c r="B734" s="122">
        <f>IF(DAY(A734)=DAY('F-Ahorro Futuro Reservas'!$H$10),'F-Ahorro Futuro Reservas'!$H$9,0)</f>
        <v>0</v>
      </c>
      <c r="C734" s="122">
        <f t="shared" si="23"/>
        <v>0</v>
      </c>
      <c r="D734" s="121">
        <f>ROUND(IF(C734&lt;='FR_Mantenimiento tasas'!$C$55,'Tabla Ahorro Futuro Reservas'!C734*'FR_Mantenimiento tasas'!$D$55/360,IF(C734&lt;='FR_Mantenimiento tasas'!$C$56,'Tabla Ahorro Futuro Reservas'!C734*'FR_Mantenimiento tasas'!$D$56/360,IF(C734&lt;='FR_Mantenimiento tasas'!$C$57,'Tabla Ahorro Futuro Reservas'!C734*'FR_Mantenimiento tasas'!$D$57/360,""))),5)</f>
        <v>0</v>
      </c>
      <c r="E734" s="121">
        <f>ROUND(IF(C734&lt;='FR_Mantenimiento tasas'!$C$55,'Tabla Ahorro Futuro Reservas'!C734*'FR_Mantenimiento tasas'!$E$55/360,IF(C734&lt;='FR_Mantenimiento tasas'!$C$56,'Tabla Ahorro Futuro Reservas'!C734*'FR_Mantenimiento tasas'!$E$56/360,IF(C734&lt;='FR_Mantenimiento tasas'!$C$57,'Tabla Ahorro Futuro Reservas'!C734*'FR_Mantenimiento tasas'!$E$57/360,""))),5)</f>
        <v>0</v>
      </c>
    </row>
    <row r="735" spans="1:5">
      <c r="A735" s="123">
        <f t="shared" si="22"/>
        <v>733</v>
      </c>
      <c r="B735" s="122">
        <f>IF(DAY(A735)=DAY('F-Ahorro Futuro Reservas'!$H$10),'F-Ahorro Futuro Reservas'!$H$9,0)</f>
        <v>0</v>
      </c>
      <c r="C735" s="122">
        <f t="shared" si="23"/>
        <v>0</v>
      </c>
      <c r="D735" s="121">
        <f>ROUND(IF(C735&lt;='FR_Mantenimiento tasas'!$C$55,'Tabla Ahorro Futuro Reservas'!C735*'FR_Mantenimiento tasas'!$D$55/360,IF(C735&lt;='FR_Mantenimiento tasas'!$C$56,'Tabla Ahorro Futuro Reservas'!C735*'FR_Mantenimiento tasas'!$D$56/360,IF(C735&lt;='FR_Mantenimiento tasas'!$C$57,'Tabla Ahorro Futuro Reservas'!C735*'FR_Mantenimiento tasas'!$D$57/360,""))),5)</f>
        <v>0</v>
      </c>
      <c r="E735" s="121">
        <f>ROUND(IF(C735&lt;='FR_Mantenimiento tasas'!$C$55,'Tabla Ahorro Futuro Reservas'!C735*'FR_Mantenimiento tasas'!$E$55/360,IF(C735&lt;='FR_Mantenimiento tasas'!$C$56,'Tabla Ahorro Futuro Reservas'!C735*'FR_Mantenimiento tasas'!$E$56/360,IF(C735&lt;='FR_Mantenimiento tasas'!$C$57,'Tabla Ahorro Futuro Reservas'!C735*'FR_Mantenimiento tasas'!$E$57/360,""))),5)</f>
        <v>0</v>
      </c>
    </row>
    <row r="736" spans="1:5">
      <c r="A736" s="123">
        <f t="shared" si="22"/>
        <v>734</v>
      </c>
      <c r="B736" s="122">
        <f>IF(DAY(A736)=DAY('F-Ahorro Futuro Reservas'!$H$10),'F-Ahorro Futuro Reservas'!$H$9,0)</f>
        <v>0</v>
      </c>
      <c r="C736" s="122">
        <f t="shared" si="23"/>
        <v>0</v>
      </c>
      <c r="D736" s="121">
        <f>ROUND(IF(C736&lt;='FR_Mantenimiento tasas'!$C$55,'Tabla Ahorro Futuro Reservas'!C736*'FR_Mantenimiento tasas'!$D$55/360,IF(C736&lt;='FR_Mantenimiento tasas'!$C$56,'Tabla Ahorro Futuro Reservas'!C736*'FR_Mantenimiento tasas'!$D$56/360,IF(C736&lt;='FR_Mantenimiento tasas'!$C$57,'Tabla Ahorro Futuro Reservas'!C736*'FR_Mantenimiento tasas'!$D$57/360,""))),5)</f>
        <v>0</v>
      </c>
      <c r="E736" s="121">
        <f>ROUND(IF(C736&lt;='FR_Mantenimiento tasas'!$C$55,'Tabla Ahorro Futuro Reservas'!C736*'FR_Mantenimiento tasas'!$E$55/360,IF(C736&lt;='FR_Mantenimiento tasas'!$C$56,'Tabla Ahorro Futuro Reservas'!C736*'FR_Mantenimiento tasas'!$E$56/360,IF(C736&lt;='FR_Mantenimiento tasas'!$C$57,'Tabla Ahorro Futuro Reservas'!C736*'FR_Mantenimiento tasas'!$E$57/360,""))),5)</f>
        <v>0</v>
      </c>
    </row>
    <row r="737" spans="1:5">
      <c r="A737" s="123">
        <f t="shared" si="22"/>
        <v>735</v>
      </c>
      <c r="B737" s="122">
        <f>IF(DAY(A737)=DAY('F-Ahorro Futuro Reservas'!$H$10),'F-Ahorro Futuro Reservas'!$H$9,0)</f>
        <v>0</v>
      </c>
      <c r="C737" s="122">
        <f t="shared" si="23"/>
        <v>0</v>
      </c>
      <c r="D737" s="121">
        <f>ROUND(IF(C737&lt;='FR_Mantenimiento tasas'!$C$55,'Tabla Ahorro Futuro Reservas'!C737*'FR_Mantenimiento tasas'!$D$55/360,IF(C737&lt;='FR_Mantenimiento tasas'!$C$56,'Tabla Ahorro Futuro Reservas'!C737*'FR_Mantenimiento tasas'!$D$56/360,IF(C737&lt;='FR_Mantenimiento tasas'!$C$57,'Tabla Ahorro Futuro Reservas'!C737*'FR_Mantenimiento tasas'!$D$57/360,""))),5)</f>
        <v>0</v>
      </c>
      <c r="E737" s="121">
        <f>ROUND(IF(C737&lt;='FR_Mantenimiento tasas'!$C$55,'Tabla Ahorro Futuro Reservas'!C737*'FR_Mantenimiento tasas'!$E$55/360,IF(C737&lt;='FR_Mantenimiento tasas'!$C$56,'Tabla Ahorro Futuro Reservas'!C737*'FR_Mantenimiento tasas'!$E$56/360,IF(C737&lt;='FR_Mantenimiento tasas'!$C$57,'Tabla Ahorro Futuro Reservas'!C737*'FR_Mantenimiento tasas'!$E$57/360,""))),5)</f>
        <v>0</v>
      </c>
    </row>
    <row r="738" spans="1:5">
      <c r="A738" s="123">
        <f t="shared" si="22"/>
        <v>736</v>
      </c>
      <c r="B738" s="122">
        <f>IF(DAY(A738)=DAY('F-Ahorro Futuro Reservas'!$H$10),'F-Ahorro Futuro Reservas'!$H$9,0)</f>
        <v>0</v>
      </c>
      <c r="C738" s="122">
        <f t="shared" si="23"/>
        <v>0</v>
      </c>
      <c r="D738" s="121">
        <f>ROUND(IF(C738&lt;='FR_Mantenimiento tasas'!$C$55,'Tabla Ahorro Futuro Reservas'!C738*'FR_Mantenimiento tasas'!$D$55/360,IF(C738&lt;='FR_Mantenimiento tasas'!$C$56,'Tabla Ahorro Futuro Reservas'!C738*'FR_Mantenimiento tasas'!$D$56/360,IF(C738&lt;='FR_Mantenimiento tasas'!$C$57,'Tabla Ahorro Futuro Reservas'!C738*'FR_Mantenimiento tasas'!$D$57/360,""))),5)</f>
        <v>0</v>
      </c>
      <c r="E738" s="121">
        <f>ROUND(IF(C738&lt;='FR_Mantenimiento tasas'!$C$55,'Tabla Ahorro Futuro Reservas'!C738*'FR_Mantenimiento tasas'!$E$55/360,IF(C738&lt;='FR_Mantenimiento tasas'!$C$56,'Tabla Ahorro Futuro Reservas'!C738*'FR_Mantenimiento tasas'!$E$56/360,IF(C738&lt;='FR_Mantenimiento tasas'!$C$57,'Tabla Ahorro Futuro Reservas'!C738*'FR_Mantenimiento tasas'!$E$57/360,""))),5)</f>
        <v>0</v>
      </c>
    </row>
    <row r="739" spans="1:5">
      <c r="A739" s="123">
        <f t="shared" si="22"/>
        <v>737</v>
      </c>
      <c r="B739" s="122">
        <f>IF(DAY(A739)=DAY('F-Ahorro Futuro Reservas'!$H$10),'F-Ahorro Futuro Reservas'!$H$9,0)</f>
        <v>0</v>
      </c>
      <c r="C739" s="122">
        <f t="shared" si="23"/>
        <v>0</v>
      </c>
      <c r="D739" s="121">
        <f>ROUND(IF(C739&lt;='FR_Mantenimiento tasas'!$C$55,'Tabla Ahorro Futuro Reservas'!C739*'FR_Mantenimiento tasas'!$D$55/360,IF(C739&lt;='FR_Mantenimiento tasas'!$C$56,'Tabla Ahorro Futuro Reservas'!C739*'FR_Mantenimiento tasas'!$D$56/360,IF(C739&lt;='FR_Mantenimiento tasas'!$C$57,'Tabla Ahorro Futuro Reservas'!C739*'FR_Mantenimiento tasas'!$D$57/360,""))),5)</f>
        <v>0</v>
      </c>
      <c r="E739" s="121">
        <f>ROUND(IF(C739&lt;='FR_Mantenimiento tasas'!$C$55,'Tabla Ahorro Futuro Reservas'!C739*'FR_Mantenimiento tasas'!$E$55/360,IF(C739&lt;='FR_Mantenimiento tasas'!$C$56,'Tabla Ahorro Futuro Reservas'!C739*'FR_Mantenimiento tasas'!$E$56/360,IF(C739&lt;='FR_Mantenimiento tasas'!$C$57,'Tabla Ahorro Futuro Reservas'!C739*'FR_Mantenimiento tasas'!$E$57/360,""))),5)</f>
        <v>0</v>
      </c>
    </row>
    <row r="740" spans="1:5">
      <c r="A740" s="123">
        <f t="shared" si="22"/>
        <v>738</v>
      </c>
      <c r="B740" s="122">
        <f>IF(DAY(A740)=DAY('F-Ahorro Futuro Reservas'!$H$10),'F-Ahorro Futuro Reservas'!$H$9,0)</f>
        <v>0</v>
      </c>
      <c r="C740" s="122">
        <f t="shared" si="23"/>
        <v>0</v>
      </c>
      <c r="D740" s="121">
        <f>ROUND(IF(C740&lt;='FR_Mantenimiento tasas'!$C$55,'Tabla Ahorro Futuro Reservas'!C740*'FR_Mantenimiento tasas'!$D$55/360,IF(C740&lt;='FR_Mantenimiento tasas'!$C$56,'Tabla Ahorro Futuro Reservas'!C740*'FR_Mantenimiento tasas'!$D$56/360,IF(C740&lt;='FR_Mantenimiento tasas'!$C$57,'Tabla Ahorro Futuro Reservas'!C740*'FR_Mantenimiento tasas'!$D$57/360,""))),5)</f>
        <v>0</v>
      </c>
      <c r="E740" s="121">
        <f>ROUND(IF(C740&lt;='FR_Mantenimiento tasas'!$C$55,'Tabla Ahorro Futuro Reservas'!C740*'FR_Mantenimiento tasas'!$E$55/360,IF(C740&lt;='FR_Mantenimiento tasas'!$C$56,'Tabla Ahorro Futuro Reservas'!C740*'FR_Mantenimiento tasas'!$E$56/360,IF(C740&lt;='FR_Mantenimiento tasas'!$C$57,'Tabla Ahorro Futuro Reservas'!C740*'FR_Mantenimiento tasas'!$E$57/360,""))),5)</f>
        <v>0</v>
      </c>
    </row>
    <row r="741" spans="1:5">
      <c r="A741" s="123">
        <f t="shared" si="22"/>
        <v>739</v>
      </c>
      <c r="B741" s="122">
        <f>IF(DAY(A741)=DAY('F-Ahorro Futuro Reservas'!$H$10),'F-Ahorro Futuro Reservas'!$H$9,0)</f>
        <v>0</v>
      </c>
      <c r="C741" s="122">
        <f t="shared" si="23"/>
        <v>0</v>
      </c>
      <c r="D741" s="121">
        <f>ROUND(IF(C741&lt;='FR_Mantenimiento tasas'!$C$55,'Tabla Ahorro Futuro Reservas'!C741*'FR_Mantenimiento tasas'!$D$55/360,IF(C741&lt;='FR_Mantenimiento tasas'!$C$56,'Tabla Ahorro Futuro Reservas'!C741*'FR_Mantenimiento tasas'!$D$56/360,IF(C741&lt;='FR_Mantenimiento tasas'!$C$57,'Tabla Ahorro Futuro Reservas'!C741*'FR_Mantenimiento tasas'!$D$57/360,""))),5)</f>
        <v>0</v>
      </c>
      <c r="E741" s="121">
        <f>ROUND(IF(C741&lt;='FR_Mantenimiento tasas'!$C$55,'Tabla Ahorro Futuro Reservas'!C741*'FR_Mantenimiento tasas'!$E$55/360,IF(C741&lt;='FR_Mantenimiento tasas'!$C$56,'Tabla Ahorro Futuro Reservas'!C741*'FR_Mantenimiento tasas'!$E$56/360,IF(C741&lt;='FR_Mantenimiento tasas'!$C$57,'Tabla Ahorro Futuro Reservas'!C741*'FR_Mantenimiento tasas'!$E$57/360,""))),5)</f>
        <v>0</v>
      </c>
    </row>
    <row r="742" spans="1:5">
      <c r="A742" s="123">
        <f t="shared" si="22"/>
        <v>740</v>
      </c>
      <c r="B742" s="122">
        <f>IF(DAY(A742)=DAY('F-Ahorro Futuro Reservas'!$H$10),'F-Ahorro Futuro Reservas'!$H$9,0)</f>
        <v>0</v>
      </c>
      <c r="C742" s="122">
        <f t="shared" si="23"/>
        <v>0</v>
      </c>
      <c r="D742" s="121">
        <f>ROUND(IF(C742&lt;='FR_Mantenimiento tasas'!$C$55,'Tabla Ahorro Futuro Reservas'!C742*'FR_Mantenimiento tasas'!$D$55/360,IF(C742&lt;='FR_Mantenimiento tasas'!$C$56,'Tabla Ahorro Futuro Reservas'!C742*'FR_Mantenimiento tasas'!$D$56/360,IF(C742&lt;='FR_Mantenimiento tasas'!$C$57,'Tabla Ahorro Futuro Reservas'!C742*'FR_Mantenimiento tasas'!$D$57/360,""))),5)</f>
        <v>0</v>
      </c>
      <c r="E742" s="121">
        <f>ROUND(IF(C742&lt;='FR_Mantenimiento tasas'!$C$55,'Tabla Ahorro Futuro Reservas'!C742*'FR_Mantenimiento tasas'!$E$55/360,IF(C742&lt;='FR_Mantenimiento tasas'!$C$56,'Tabla Ahorro Futuro Reservas'!C742*'FR_Mantenimiento tasas'!$E$56/360,IF(C742&lt;='FR_Mantenimiento tasas'!$C$57,'Tabla Ahorro Futuro Reservas'!C742*'FR_Mantenimiento tasas'!$E$57/360,""))),5)</f>
        <v>0</v>
      </c>
    </row>
    <row r="743" spans="1:5">
      <c r="A743" s="123">
        <f t="shared" si="22"/>
        <v>741</v>
      </c>
      <c r="B743" s="122">
        <f>IF(DAY(A743)=DAY('F-Ahorro Futuro Reservas'!$H$10),'F-Ahorro Futuro Reservas'!$H$9,0)</f>
        <v>0</v>
      </c>
      <c r="C743" s="122">
        <f t="shared" si="23"/>
        <v>0</v>
      </c>
      <c r="D743" s="121">
        <f>ROUND(IF(C743&lt;='FR_Mantenimiento tasas'!$C$55,'Tabla Ahorro Futuro Reservas'!C743*'FR_Mantenimiento tasas'!$D$55/360,IF(C743&lt;='FR_Mantenimiento tasas'!$C$56,'Tabla Ahorro Futuro Reservas'!C743*'FR_Mantenimiento tasas'!$D$56/360,IF(C743&lt;='FR_Mantenimiento tasas'!$C$57,'Tabla Ahorro Futuro Reservas'!C743*'FR_Mantenimiento tasas'!$D$57/360,""))),5)</f>
        <v>0</v>
      </c>
      <c r="E743" s="121">
        <f>ROUND(IF(C743&lt;='FR_Mantenimiento tasas'!$C$55,'Tabla Ahorro Futuro Reservas'!C743*'FR_Mantenimiento tasas'!$E$55/360,IF(C743&lt;='FR_Mantenimiento tasas'!$C$56,'Tabla Ahorro Futuro Reservas'!C743*'FR_Mantenimiento tasas'!$E$56/360,IF(C743&lt;='FR_Mantenimiento tasas'!$C$57,'Tabla Ahorro Futuro Reservas'!C743*'FR_Mantenimiento tasas'!$E$57/360,""))),5)</f>
        <v>0</v>
      </c>
    </row>
    <row r="744" spans="1:5">
      <c r="A744" s="123">
        <f t="shared" si="22"/>
        <v>742</v>
      </c>
      <c r="B744" s="122">
        <f>IF(DAY(A744)=DAY('F-Ahorro Futuro Reservas'!$H$10),'F-Ahorro Futuro Reservas'!$H$9,0)</f>
        <v>0</v>
      </c>
      <c r="C744" s="122">
        <f t="shared" si="23"/>
        <v>0</v>
      </c>
      <c r="D744" s="121">
        <f>ROUND(IF(C744&lt;='FR_Mantenimiento tasas'!$C$55,'Tabla Ahorro Futuro Reservas'!C744*'FR_Mantenimiento tasas'!$D$55/360,IF(C744&lt;='FR_Mantenimiento tasas'!$C$56,'Tabla Ahorro Futuro Reservas'!C744*'FR_Mantenimiento tasas'!$D$56/360,IF(C744&lt;='FR_Mantenimiento tasas'!$C$57,'Tabla Ahorro Futuro Reservas'!C744*'FR_Mantenimiento tasas'!$D$57/360,""))),5)</f>
        <v>0</v>
      </c>
      <c r="E744" s="121">
        <f>ROUND(IF(C744&lt;='FR_Mantenimiento tasas'!$C$55,'Tabla Ahorro Futuro Reservas'!C744*'FR_Mantenimiento tasas'!$E$55/360,IF(C744&lt;='FR_Mantenimiento tasas'!$C$56,'Tabla Ahorro Futuro Reservas'!C744*'FR_Mantenimiento tasas'!$E$56/360,IF(C744&lt;='FR_Mantenimiento tasas'!$C$57,'Tabla Ahorro Futuro Reservas'!C744*'FR_Mantenimiento tasas'!$E$57/360,""))),5)</f>
        <v>0</v>
      </c>
    </row>
    <row r="745" spans="1:5">
      <c r="A745" s="123">
        <f t="shared" si="22"/>
        <v>743</v>
      </c>
      <c r="B745" s="122">
        <f>IF(DAY(A745)=DAY('F-Ahorro Futuro Reservas'!$H$10),'F-Ahorro Futuro Reservas'!$H$9,0)</f>
        <v>0</v>
      </c>
      <c r="C745" s="122">
        <f t="shared" si="23"/>
        <v>0</v>
      </c>
      <c r="D745" s="121">
        <f>ROUND(IF(C745&lt;='FR_Mantenimiento tasas'!$C$55,'Tabla Ahorro Futuro Reservas'!C745*'FR_Mantenimiento tasas'!$D$55/360,IF(C745&lt;='FR_Mantenimiento tasas'!$C$56,'Tabla Ahorro Futuro Reservas'!C745*'FR_Mantenimiento tasas'!$D$56/360,IF(C745&lt;='FR_Mantenimiento tasas'!$C$57,'Tabla Ahorro Futuro Reservas'!C745*'FR_Mantenimiento tasas'!$D$57/360,""))),5)</f>
        <v>0</v>
      </c>
      <c r="E745" s="121">
        <f>ROUND(IF(C745&lt;='FR_Mantenimiento tasas'!$C$55,'Tabla Ahorro Futuro Reservas'!C745*'FR_Mantenimiento tasas'!$E$55/360,IF(C745&lt;='FR_Mantenimiento tasas'!$C$56,'Tabla Ahorro Futuro Reservas'!C745*'FR_Mantenimiento tasas'!$E$56/360,IF(C745&lt;='FR_Mantenimiento tasas'!$C$57,'Tabla Ahorro Futuro Reservas'!C745*'FR_Mantenimiento tasas'!$E$57/360,""))),5)</f>
        <v>0</v>
      </c>
    </row>
    <row r="746" spans="1:5">
      <c r="A746" s="123">
        <f t="shared" si="22"/>
        <v>744</v>
      </c>
      <c r="B746" s="122">
        <f>IF(DAY(A746)=DAY('F-Ahorro Futuro Reservas'!$H$10),'F-Ahorro Futuro Reservas'!$H$9,0)</f>
        <v>0</v>
      </c>
      <c r="C746" s="122">
        <f t="shared" si="23"/>
        <v>0</v>
      </c>
      <c r="D746" s="121">
        <f>ROUND(IF(C746&lt;='FR_Mantenimiento tasas'!$C$55,'Tabla Ahorro Futuro Reservas'!C746*'FR_Mantenimiento tasas'!$D$55/360,IF(C746&lt;='FR_Mantenimiento tasas'!$C$56,'Tabla Ahorro Futuro Reservas'!C746*'FR_Mantenimiento tasas'!$D$56/360,IF(C746&lt;='FR_Mantenimiento tasas'!$C$57,'Tabla Ahorro Futuro Reservas'!C746*'FR_Mantenimiento tasas'!$D$57/360,""))),5)</f>
        <v>0</v>
      </c>
      <c r="E746" s="121">
        <f>ROUND(IF(C746&lt;='FR_Mantenimiento tasas'!$C$55,'Tabla Ahorro Futuro Reservas'!C746*'FR_Mantenimiento tasas'!$E$55/360,IF(C746&lt;='FR_Mantenimiento tasas'!$C$56,'Tabla Ahorro Futuro Reservas'!C746*'FR_Mantenimiento tasas'!$E$56/360,IF(C746&lt;='FR_Mantenimiento tasas'!$C$57,'Tabla Ahorro Futuro Reservas'!C746*'FR_Mantenimiento tasas'!$E$57/360,""))),5)</f>
        <v>0</v>
      </c>
    </row>
    <row r="747" spans="1:5">
      <c r="A747" s="123">
        <f t="shared" si="22"/>
        <v>745</v>
      </c>
      <c r="B747" s="122">
        <f>IF(DAY(A747)=DAY('F-Ahorro Futuro Reservas'!$H$10),'F-Ahorro Futuro Reservas'!$H$9,0)</f>
        <v>0</v>
      </c>
      <c r="C747" s="122">
        <f t="shared" si="23"/>
        <v>0</v>
      </c>
      <c r="D747" s="121">
        <f>ROUND(IF(C747&lt;='FR_Mantenimiento tasas'!$C$55,'Tabla Ahorro Futuro Reservas'!C747*'FR_Mantenimiento tasas'!$D$55/360,IF(C747&lt;='FR_Mantenimiento tasas'!$C$56,'Tabla Ahorro Futuro Reservas'!C747*'FR_Mantenimiento tasas'!$D$56/360,IF(C747&lt;='FR_Mantenimiento tasas'!$C$57,'Tabla Ahorro Futuro Reservas'!C747*'FR_Mantenimiento tasas'!$D$57/360,""))),5)</f>
        <v>0</v>
      </c>
      <c r="E747" s="121">
        <f>ROUND(IF(C747&lt;='FR_Mantenimiento tasas'!$C$55,'Tabla Ahorro Futuro Reservas'!C747*'FR_Mantenimiento tasas'!$E$55/360,IF(C747&lt;='FR_Mantenimiento tasas'!$C$56,'Tabla Ahorro Futuro Reservas'!C747*'FR_Mantenimiento tasas'!$E$56/360,IF(C747&lt;='FR_Mantenimiento tasas'!$C$57,'Tabla Ahorro Futuro Reservas'!C747*'FR_Mantenimiento tasas'!$E$57/360,""))),5)</f>
        <v>0</v>
      </c>
    </row>
    <row r="748" spans="1:5">
      <c r="A748" s="123">
        <f t="shared" si="22"/>
        <v>746</v>
      </c>
      <c r="B748" s="122">
        <f>IF(DAY(A748)=DAY('F-Ahorro Futuro Reservas'!$H$10),'F-Ahorro Futuro Reservas'!$H$9,0)</f>
        <v>0</v>
      </c>
      <c r="C748" s="122">
        <f t="shared" si="23"/>
        <v>0</v>
      </c>
      <c r="D748" s="121">
        <f>ROUND(IF(C748&lt;='FR_Mantenimiento tasas'!$C$55,'Tabla Ahorro Futuro Reservas'!C748*'FR_Mantenimiento tasas'!$D$55/360,IF(C748&lt;='FR_Mantenimiento tasas'!$C$56,'Tabla Ahorro Futuro Reservas'!C748*'FR_Mantenimiento tasas'!$D$56/360,IF(C748&lt;='FR_Mantenimiento tasas'!$C$57,'Tabla Ahorro Futuro Reservas'!C748*'FR_Mantenimiento tasas'!$D$57/360,""))),5)</f>
        <v>0</v>
      </c>
      <c r="E748" s="121">
        <f>ROUND(IF(C748&lt;='FR_Mantenimiento tasas'!$C$55,'Tabla Ahorro Futuro Reservas'!C748*'FR_Mantenimiento tasas'!$E$55/360,IF(C748&lt;='FR_Mantenimiento tasas'!$C$56,'Tabla Ahorro Futuro Reservas'!C748*'FR_Mantenimiento tasas'!$E$56/360,IF(C748&lt;='FR_Mantenimiento tasas'!$C$57,'Tabla Ahorro Futuro Reservas'!C748*'FR_Mantenimiento tasas'!$E$57/360,""))),5)</f>
        <v>0</v>
      </c>
    </row>
    <row r="749" spans="1:5">
      <c r="A749" s="123">
        <f t="shared" si="22"/>
        <v>747</v>
      </c>
      <c r="B749" s="122">
        <f>IF(DAY(A749)=DAY('F-Ahorro Futuro Reservas'!$H$10),'F-Ahorro Futuro Reservas'!$H$9,0)</f>
        <v>0</v>
      </c>
      <c r="C749" s="122">
        <f t="shared" si="23"/>
        <v>0</v>
      </c>
      <c r="D749" s="121">
        <f>ROUND(IF(C749&lt;='FR_Mantenimiento tasas'!$C$55,'Tabla Ahorro Futuro Reservas'!C749*'FR_Mantenimiento tasas'!$D$55/360,IF(C749&lt;='FR_Mantenimiento tasas'!$C$56,'Tabla Ahorro Futuro Reservas'!C749*'FR_Mantenimiento tasas'!$D$56/360,IF(C749&lt;='FR_Mantenimiento tasas'!$C$57,'Tabla Ahorro Futuro Reservas'!C749*'FR_Mantenimiento tasas'!$D$57/360,""))),5)</f>
        <v>0</v>
      </c>
      <c r="E749" s="121">
        <f>ROUND(IF(C749&lt;='FR_Mantenimiento tasas'!$C$55,'Tabla Ahorro Futuro Reservas'!C749*'FR_Mantenimiento tasas'!$E$55/360,IF(C749&lt;='FR_Mantenimiento tasas'!$C$56,'Tabla Ahorro Futuro Reservas'!C749*'FR_Mantenimiento tasas'!$E$56/360,IF(C749&lt;='FR_Mantenimiento tasas'!$C$57,'Tabla Ahorro Futuro Reservas'!C749*'FR_Mantenimiento tasas'!$E$57/360,""))),5)</f>
        <v>0</v>
      </c>
    </row>
    <row r="750" spans="1:5">
      <c r="A750" s="123">
        <f t="shared" si="22"/>
        <v>748</v>
      </c>
      <c r="B750" s="122">
        <f>IF(DAY(A750)=DAY('F-Ahorro Futuro Reservas'!$H$10),'F-Ahorro Futuro Reservas'!$H$9,0)</f>
        <v>0</v>
      </c>
      <c r="C750" s="122">
        <f t="shared" si="23"/>
        <v>0</v>
      </c>
      <c r="D750" s="121">
        <f>ROUND(IF(C750&lt;='FR_Mantenimiento tasas'!$C$55,'Tabla Ahorro Futuro Reservas'!C750*'FR_Mantenimiento tasas'!$D$55/360,IF(C750&lt;='FR_Mantenimiento tasas'!$C$56,'Tabla Ahorro Futuro Reservas'!C750*'FR_Mantenimiento tasas'!$D$56/360,IF(C750&lt;='FR_Mantenimiento tasas'!$C$57,'Tabla Ahorro Futuro Reservas'!C750*'FR_Mantenimiento tasas'!$D$57/360,""))),5)</f>
        <v>0</v>
      </c>
      <c r="E750" s="121">
        <f>ROUND(IF(C750&lt;='FR_Mantenimiento tasas'!$C$55,'Tabla Ahorro Futuro Reservas'!C750*'FR_Mantenimiento tasas'!$E$55/360,IF(C750&lt;='FR_Mantenimiento tasas'!$C$56,'Tabla Ahorro Futuro Reservas'!C750*'FR_Mantenimiento tasas'!$E$56/360,IF(C750&lt;='FR_Mantenimiento tasas'!$C$57,'Tabla Ahorro Futuro Reservas'!C750*'FR_Mantenimiento tasas'!$E$57/360,""))),5)</f>
        <v>0</v>
      </c>
    </row>
    <row r="751" spans="1:5">
      <c r="A751" s="123">
        <f t="shared" si="22"/>
        <v>749</v>
      </c>
      <c r="B751" s="122">
        <f>IF(DAY(A751)=DAY('F-Ahorro Futuro Reservas'!$H$10),'F-Ahorro Futuro Reservas'!$H$9,0)</f>
        <v>0</v>
      </c>
      <c r="C751" s="122">
        <f t="shared" si="23"/>
        <v>0</v>
      </c>
      <c r="D751" s="121">
        <f>ROUND(IF(C751&lt;='FR_Mantenimiento tasas'!$C$55,'Tabla Ahorro Futuro Reservas'!C751*'FR_Mantenimiento tasas'!$D$55/360,IF(C751&lt;='FR_Mantenimiento tasas'!$C$56,'Tabla Ahorro Futuro Reservas'!C751*'FR_Mantenimiento tasas'!$D$56/360,IF(C751&lt;='FR_Mantenimiento tasas'!$C$57,'Tabla Ahorro Futuro Reservas'!C751*'FR_Mantenimiento tasas'!$D$57/360,""))),5)</f>
        <v>0</v>
      </c>
      <c r="E751" s="121">
        <f>ROUND(IF(C751&lt;='FR_Mantenimiento tasas'!$C$55,'Tabla Ahorro Futuro Reservas'!C751*'FR_Mantenimiento tasas'!$E$55/360,IF(C751&lt;='FR_Mantenimiento tasas'!$C$56,'Tabla Ahorro Futuro Reservas'!C751*'FR_Mantenimiento tasas'!$E$56/360,IF(C751&lt;='FR_Mantenimiento tasas'!$C$57,'Tabla Ahorro Futuro Reservas'!C751*'FR_Mantenimiento tasas'!$E$57/360,""))),5)</f>
        <v>0</v>
      </c>
    </row>
    <row r="752" spans="1:5">
      <c r="A752" s="123">
        <f t="shared" si="22"/>
        <v>750</v>
      </c>
      <c r="B752" s="122">
        <f>IF(DAY(A752)=DAY('F-Ahorro Futuro Reservas'!$H$10),'F-Ahorro Futuro Reservas'!$H$9,0)</f>
        <v>0</v>
      </c>
      <c r="C752" s="122">
        <f t="shared" si="23"/>
        <v>0</v>
      </c>
      <c r="D752" s="121">
        <f>ROUND(IF(C752&lt;='FR_Mantenimiento tasas'!$C$55,'Tabla Ahorro Futuro Reservas'!C752*'FR_Mantenimiento tasas'!$D$55/360,IF(C752&lt;='FR_Mantenimiento tasas'!$C$56,'Tabla Ahorro Futuro Reservas'!C752*'FR_Mantenimiento tasas'!$D$56/360,IF(C752&lt;='FR_Mantenimiento tasas'!$C$57,'Tabla Ahorro Futuro Reservas'!C752*'FR_Mantenimiento tasas'!$D$57/360,""))),5)</f>
        <v>0</v>
      </c>
      <c r="E752" s="121">
        <f>ROUND(IF(C752&lt;='FR_Mantenimiento tasas'!$C$55,'Tabla Ahorro Futuro Reservas'!C752*'FR_Mantenimiento tasas'!$E$55/360,IF(C752&lt;='FR_Mantenimiento tasas'!$C$56,'Tabla Ahorro Futuro Reservas'!C752*'FR_Mantenimiento tasas'!$E$56/360,IF(C752&lt;='FR_Mantenimiento tasas'!$C$57,'Tabla Ahorro Futuro Reservas'!C752*'FR_Mantenimiento tasas'!$E$57/360,""))),5)</f>
        <v>0</v>
      </c>
    </row>
    <row r="753" spans="1:5">
      <c r="A753" s="123">
        <f t="shared" si="22"/>
        <v>751</v>
      </c>
      <c r="B753" s="122">
        <f>IF(DAY(A753)=DAY('F-Ahorro Futuro Reservas'!$H$10),'F-Ahorro Futuro Reservas'!$H$9,0)</f>
        <v>0</v>
      </c>
      <c r="C753" s="122">
        <f t="shared" si="23"/>
        <v>0</v>
      </c>
      <c r="D753" s="121">
        <f>ROUND(IF(C753&lt;='FR_Mantenimiento tasas'!$C$55,'Tabla Ahorro Futuro Reservas'!C753*'FR_Mantenimiento tasas'!$D$55/360,IF(C753&lt;='FR_Mantenimiento tasas'!$C$56,'Tabla Ahorro Futuro Reservas'!C753*'FR_Mantenimiento tasas'!$D$56/360,IF(C753&lt;='FR_Mantenimiento tasas'!$C$57,'Tabla Ahorro Futuro Reservas'!C753*'FR_Mantenimiento tasas'!$D$57/360,""))),5)</f>
        <v>0</v>
      </c>
      <c r="E753" s="121">
        <f>ROUND(IF(C753&lt;='FR_Mantenimiento tasas'!$C$55,'Tabla Ahorro Futuro Reservas'!C753*'FR_Mantenimiento tasas'!$E$55/360,IF(C753&lt;='FR_Mantenimiento tasas'!$C$56,'Tabla Ahorro Futuro Reservas'!C753*'FR_Mantenimiento tasas'!$E$56/360,IF(C753&lt;='FR_Mantenimiento tasas'!$C$57,'Tabla Ahorro Futuro Reservas'!C753*'FR_Mantenimiento tasas'!$E$57/360,""))),5)</f>
        <v>0</v>
      </c>
    </row>
    <row r="754" spans="1:5">
      <c r="A754" s="123">
        <f t="shared" si="22"/>
        <v>752</v>
      </c>
      <c r="B754" s="122">
        <f>IF(DAY(A754)=DAY('F-Ahorro Futuro Reservas'!$H$10),'F-Ahorro Futuro Reservas'!$H$9,0)</f>
        <v>0</v>
      </c>
      <c r="C754" s="122">
        <f t="shared" si="23"/>
        <v>0</v>
      </c>
      <c r="D754" s="121">
        <f>ROUND(IF(C754&lt;='FR_Mantenimiento tasas'!$C$55,'Tabla Ahorro Futuro Reservas'!C754*'FR_Mantenimiento tasas'!$D$55/360,IF(C754&lt;='FR_Mantenimiento tasas'!$C$56,'Tabla Ahorro Futuro Reservas'!C754*'FR_Mantenimiento tasas'!$D$56/360,IF(C754&lt;='FR_Mantenimiento tasas'!$C$57,'Tabla Ahorro Futuro Reservas'!C754*'FR_Mantenimiento tasas'!$D$57/360,""))),5)</f>
        <v>0</v>
      </c>
      <c r="E754" s="121">
        <f>ROUND(IF(C754&lt;='FR_Mantenimiento tasas'!$C$55,'Tabla Ahorro Futuro Reservas'!C754*'FR_Mantenimiento tasas'!$E$55/360,IF(C754&lt;='FR_Mantenimiento tasas'!$C$56,'Tabla Ahorro Futuro Reservas'!C754*'FR_Mantenimiento tasas'!$E$56/360,IF(C754&lt;='FR_Mantenimiento tasas'!$C$57,'Tabla Ahorro Futuro Reservas'!C754*'FR_Mantenimiento tasas'!$E$57/360,""))),5)</f>
        <v>0</v>
      </c>
    </row>
    <row r="755" spans="1:5">
      <c r="A755" s="123">
        <f t="shared" si="22"/>
        <v>753</v>
      </c>
      <c r="B755" s="122">
        <f>IF(DAY(A755)=DAY('F-Ahorro Futuro Reservas'!$H$10),'F-Ahorro Futuro Reservas'!$H$9,0)</f>
        <v>0</v>
      </c>
      <c r="C755" s="122">
        <f t="shared" si="23"/>
        <v>0</v>
      </c>
      <c r="D755" s="121">
        <f>ROUND(IF(C755&lt;='FR_Mantenimiento tasas'!$C$55,'Tabla Ahorro Futuro Reservas'!C755*'FR_Mantenimiento tasas'!$D$55/360,IF(C755&lt;='FR_Mantenimiento tasas'!$C$56,'Tabla Ahorro Futuro Reservas'!C755*'FR_Mantenimiento tasas'!$D$56/360,IF(C755&lt;='FR_Mantenimiento tasas'!$C$57,'Tabla Ahorro Futuro Reservas'!C755*'FR_Mantenimiento tasas'!$D$57/360,""))),5)</f>
        <v>0</v>
      </c>
      <c r="E755" s="121">
        <f>ROUND(IF(C755&lt;='FR_Mantenimiento tasas'!$C$55,'Tabla Ahorro Futuro Reservas'!C755*'FR_Mantenimiento tasas'!$E$55/360,IF(C755&lt;='FR_Mantenimiento tasas'!$C$56,'Tabla Ahorro Futuro Reservas'!C755*'FR_Mantenimiento tasas'!$E$56/360,IF(C755&lt;='FR_Mantenimiento tasas'!$C$57,'Tabla Ahorro Futuro Reservas'!C755*'FR_Mantenimiento tasas'!$E$57/360,""))),5)</f>
        <v>0</v>
      </c>
    </row>
    <row r="756" spans="1:5">
      <c r="A756" s="123">
        <f t="shared" si="22"/>
        <v>754</v>
      </c>
      <c r="B756" s="122">
        <f>IF(DAY(A756)=DAY('F-Ahorro Futuro Reservas'!$H$10),'F-Ahorro Futuro Reservas'!$H$9,0)</f>
        <v>0</v>
      </c>
      <c r="C756" s="122">
        <f t="shared" si="23"/>
        <v>0</v>
      </c>
      <c r="D756" s="121">
        <f>ROUND(IF(C756&lt;='FR_Mantenimiento tasas'!$C$55,'Tabla Ahorro Futuro Reservas'!C756*'FR_Mantenimiento tasas'!$D$55/360,IF(C756&lt;='FR_Mantenimiento tasas'!$C$56,'Tabla Ahorro Futuro Reservas'!C756*'FR_Mantenimiento tasas'!$D$56/360,IF(C756&lt;='FR_Mantenimiento tasas'!$C$57,'Tabla Ahorro Futuro Reservas'!C756*'FR_Mantenimiento tasas'!$D$57/360,""))),5)</f>
        <v>0</v>
      </c>
      <c r="E756" s="121">
        <f>ROUND(IF(C756&lt;='FR_Mantenimiento tasas'!$C$55,'Tabla Ahorro Futuro Reservas'!C756*'FR_Mantenimiento tasas'!$E$55/360,IF(C756&lt;='FR_Mantenimiento tasas'!$C$56,'Tabla Ahorro Futuro Reservas'!C756*'FR_Mantenimiento tasas'!$E$56/360,IF(C756&lt;='FR_Mantenimiento tasas'!$C$57,'Tabla Ahorro Futuro Reservas'!C756*'FR_Mantenimiento tasas'!$E$57/360,""))),5)</f>
        <v>0</v>
      </c>
    </row>
    <row r="757" spans="1:5">
      <c r="A757" s="123">
        <f t="shared" si="22"/>
        <v>755</v>
      </c>
      <c r="B757" s="122">
        <f>IF(DAY(A757)=DAY('F-Ahorro Futuro Reservas'!$H$10),'F-Ahorro Futuro Reservas'!$H$9,0)</f>
        <v>0</v>
      </c>
      <c r="C757" s="122">
        <f t="shared" si="23"/>
        <v>0</v>
      </c>
      <c r="D757" s="121">
        <f>ROUND(IF(C757&lt;='FR_Mantenimiento tasas'!$C$55,'Tabla Ahorro Futuro Reservas'!C757*'FR_Mantenimiento tasas'!$D$55/360,IF(C757&lt;='FR_Mantenimiento tasas'!$C$56,'Tabla Ahorro Futuro Reservas'!C757*'FR_Mantenimiento tasas'!$D$56/360,IF(C757&lt;='FR_Mantenimiento tasas'!$C$57,'Tabla Ahorro Futuro Reservas'!C757*'FR_Mantenimiento tasas'!$D$57/360,""))),5)</f>
        <v>0</v>
      </c>
      <c r="E757" s="121">
        <f>ROUND(IF(C757&lt;='FR_Mantenimiento tasas'!$C$55,'Tabla Ahorro Futuro Reservas'!C757*'FR_Mantenimiento tasas'!$E$55/360,IF(C757&lt;='FR_Mantenimiento tasas'!$C$56,'Tabla Ahorro Futuro Reservas'!C757*'FR_Mantenimiento tasas'!$E$56/360,IF(C757&lt;='FR_Mantenimiento tasas'!$C$57,'Tabla Ahorro Futuro Reservas'!C757*'FR_Mantenimiento tasas'!$E$57/360,""))),5)</f>
        <v>0</v>
      </c>
    </row>
    <row r="758" spans="1:5">
      <c r="A758" s="123">
        <f t="shared" si="22"/>
        <v>756</v>
      </c>
      <c r="B758" s="122">
        <f>IF(DAY(A758)=DAY('F-Ahorro Futuro Reservas'!$H$10),'F-Ahorro Futuro Reservas'!$H$9,0)</f>
        <v>0</v>
      </c>
      <c r="C758" s="122">
        <f t="shared" si="23"/>
        <v>0</v>
      </c>
      <c r="D758" s="121">
        <f>ROUND(IF(C758&lt;='FR_Mantenimiento tasas'!$C$55,'Tabla Ahorro Futuro Reservas'!C758*'FR_Mantenimiento tasas'!$D$55/360,IF(C758&lt;='FR_Mantenimiento tasas'!$C$56,'Tabla Ahorro Futuro Reservas'!C758*'FR_Mantenimiento tasas'!$D$56/360,IF(C758&lt;='FR_Mantenimiento tasas'!$C$57,'Tabla Ahorro Futuro Reservas'!C758*'FR_Mantenimiento tasas'!$D$57/360,""))),5)</f>
        <v>0</v>
      </c>
      <c r="E758" s="121">
        <f>ROUND(IF(C758&lt;='FR_Mantenimiento tasas'!$C$55,'Tabla Ahorro Futuro Reservas'!C758*'FR_Mantenimiento tasas'!$E$55/360,IF(C758&lt;='FR_Mantenimiento tasas'!$C$56,'Tabla Ahorro Futuro Reservas'!C758*'FR_Mantenimiento tasas'!$E$56/360,IF(C758&lt;='FR_Mantenimiento tasas'!$C$57,'Tabla Ahorro Futuro Reservas'!C758*'FR_Mantenimiento tasas'!$E$57/360,""))),5)</f>
        <v>0</v>
      </c>
    </row>
    <row r="759" spans="1:5">
      <c r="A759" s="123">
        <f t="shared" si="22"/>
        <v>757</v>
      </c>
      <c r="B759" s="122">
        <f>IF(DAY(A759)=DAY('F-Ahorro Futuro Reservas'!$H$10),'F-Ahorro Futuro Reservas'!$H$9,0)</f>
        <v>0</v>
      </c>
      <c r="C759" s="122">
        <f t="shared" si="23"/>
        <v>0</v>
      </c>
      <c r="D759" s="121">
        <f>ROUND(IF(C759&lt;='FR_Mantenimiento tasas'!$C$55,'Tabla Ahorro Futuro Reservas'!C759*'FR_Mantenimiento tasas'!$D$55/360,IF(C759&lt;='FR_Mantenimiento tasas'!$C$56,'Tabla Ahorro Futuro Reservas'!C759*'FR_Mantenimiento tasas'!$D$56/360,IF(C759&lt;='FR_Mantenimiento tasas'!$C$57,'Tabla Ahorro Futuro Reservas'!C759*'FR_Mantenimiento tasas'!$D$57/360,""))),5)</f>
        <v>0</v>
      </c>
      <c r="E759" s="121">
        <f>ROUND(IF(C759&lt;='FR_Mantenimiento tasas'!$C$55,'Tabla Ahorro Futuro Reservas'!C759*'FR_Mantenimiento tasas'!$E$55/360,IF(C759&lt;='FR_Mantenimiento tasas'!$C$56,'Tabla Ahorro Futuro Reservas'!C759*'FR_Mantenimiento tasas'!$E$56/360,IF(C759&lt;='FR_Mantenimiento tasas'!$C$57,'Tabla Ahorro Futuro Reservas'!C759*'FR_Mantenimiento tasas'!$E$57/360,""))),5)</f>
        <v>0</v>
      </c>
    </row>
    <row r="760" spans="1:5">
      <c r="A760" s="123">
        <f t="shared" si="22"/>
        <v>758</v>
      </c>
      <c r="B760" s="122">
        <f>IF(DAY(A760)=DAY('F-Ahorro Futuro Reservas'!$H$10),'F-Ahorro Futuro Reservas'!$H$9,0)</f>
        <v>0</v>
      </c>
      <c r="C760" s="122">
        <f t="shared" si="23"/>
        <v>0</v>
      </c>
      <c r="D760" s="121">
        <f>ROUND(IF(C760&lt;='FR_Mantenimiento tasas'!$C$55,'Tabla Ahorro Futuro Reservas'!C760*'FR_Mantenimiento tasas'!$D$55/360,IF(C760&lt;='FR_Mantenimiento tasas'!$C$56,'Tabla Ahorro Futuro Reservas'!C760*'FR_Mantenimiento tasas'!$D$56/360,IF(C760&lt;='FR_Mantenimiento tasas'!$C$57,'Tabla Ahorro Futuro Reservas'!C760*'FR_Mantenimiento tasas'!$D$57/360,""))),5)</f>
        <v>0</v>
      </c>
      <c r="E760" s="121">
        <f>ROUND(IF(C760&lt;='FR_Mantenimiento tasas'!$C$55,'Tabla Ahorro Futuro Reservas'!C760*'FR_Mantenimiento tasas'!$E$55/360,IF(C760&lt;='FR_Mantenimiento tasas'!$C$56,'Tabla Ahorro Futuro Reservas'!C760*'FR_Mantenimiento tasas'!$E$56/360,IF(C760&lt;='FR_Mantenimiento tasas'!$C$57,'Tabla Ahorro Futuro Reservas'!C760*'FR_Mantenimiento tasas'!$E$57/360,""))),5)</f>
        <v>0</v>
      </c>
    </row>
    <row r="761" spans="1:5">
      <c r="A761" s="123">
        <f t="shared" si="22"/>
        <v>759</v>
      </c>
      <c r="B761" s="122">
        <f>IF(DAY(A761)=DAY('F-Ahorro Futuro Reservas'!$H$10),'F-Ahorro Futuro Reservas'!$H$9,0)</f>
        <v>0</v>
      </c>
      <c r="C761" s="122">
        <f t="shared" si="23"/>
        <v>0</v>
      </c>
      <c r="D761" s="121">
        <f>ROUND(IF(C761&lt;='FR_Mantenimiento tasas'!$C$55,'Tabla Ahorro Futuro Reservas'!C761*'FR_Mantenimiento tasas'!$D$55/360,IF(C761&lt;='FR_Mantenimiento tasas'!$C$56,'Tabla Ahorro Futuro Reservas'!C761*'FR_Mantenimiento tasas'!$D$56/360,IF(C761&lt;='FR_Mantenimiento tasas'!$C$57,'Tabla Ahorro Futuro Reservas'!C761*'FR_Mantenimiento tasas'!$D$57/360,""))),5)</f>
        <v>0</v>
      </c>
      <c r="E761" s="121">
        <f>ROUND(IF(C761&lt;='FR_Mantenimiento tasas'!$C$55,'Tabla Ahorro Futuro Reservas'!C761*'FR_Mantenimiento tasas'!$E$55/360,IF(C761&lt;='FR_Mantenimiento tasas'!$C$56,'Tabla Ahorro Futuro Reservas'!C761*'FR_Mantenimiento tasas'!$E$56/360,IF(C761&lt;='FR_Mantenimiento tasas'!$C$57,'Tabla Ahorro Futuro Reservas'!C761*'FR_Mantenimiento tasas'!$E$57/360,""))),5)</f>
        <v>0</v>
      </c>
    </row>
    <row r="762" spans="1:5">
      <c r="A762" s="123">
        <f t="shared" si="22"/>
        <v>760</v>
      </c>
      <c r="B762" s="122">
        <f>IF(DAY(A762)=DAY('F-Ahorro Futuro Reservas'!$H$10),'F-Ahorro Futuro Reservas'!$H$9,0)</f>
        <v>0</v>
      </c>
      <c r="C762" s="122">
        <f t="shared" si="23"/>
        <v>0</v>
      </c>
      <c r="D762" s="121">
        <f>ROUND(IF(C762&lt;='FR_Mantenimiento tasas'!$C$55,'Tabla Ahorro Futuro Reservas'!C762*'FR_Mantenimiento tasas'!$D$55/360,IF(C762&lt;='FR_Mantenimiento tasas'!$C$56,'Tabla Ahorro Futuro Reservas'!C762*'FR_Mantenimiento tasas'!$D$56/360,IF(C762&lt;='FR_Mantenimiento tasas'!$C$57,'Tabla Ahorro Futuro Reservas'!C762*'FR_Mantenimiento tasas'!$D$57/360,""))),5)</f>
        <v>0</v>
      </c>
      <c r="E762" s="121">
        <f>ROUND(IF(C762&lt;='FR_Mantenimiento tasas'!$C$55,'Tabla Ahorro Futuro Reservas'!C762*'FR_Mantenimiento tasas'!$E$55/360,IF(C762&lt;='FR_Mantenimiento tasas'!$C$56,'Tabla Ahorro Futuro Reservas'!C762*'FR_Mantenimiento tasas'!$E$56/360,IF(C762&lt;='FR_Mantenimiento tasas'!$C$57,'Tabla Ahorro Futuro Reservas'!C762*'FR_Mantenimiento tasas'!$E$57/360,""))),5)</f>
        <v>0</v>
      </c>
    </row>
    <row r="763" spans="1:5">
      <c r="A763" s="123">
        <f t="shared" si="22"/>
        <v>761</v>
      </c>
      <c r="B763" s="122">
        <f>IF(DAY(A763)=DAY('F-Ahorro Futuro Reservas'!$H$10),'F-Ahorro Futuro Reservas'!$H$9,0)</f>
        <v>0</v>
      </c>
      <c r="C763" s="122">
        <f t="shared" si="23"/>
        <v>0</v>
      </c>
      <c r="D763" s="121">
        <f>ROUND(IF(C763&lt;='FR_Mantenimiento tasas'!$C$55,'Tabla Ahorro Futuro Reservas'!C763*'FR_Mantenimiento tasas'!$D$55/360,IF(C763&lt;='FR_Mantenimiento tasas'!$C$56,'Tabla Ahorro Futuro Reservas'!C763*'FR_Mantenimiento tasas'!$D$56/360,IF(C763&lt;='FR_Mantenimiento tasas'!$C$57,'Tabla Ahorro Futuro Reservas'!C763*'FR_Mantenimiento tasas'!$D$57/360,""))),5)</f>
        <v>0</v>
      </c>
      <c r="E763" s="121">
        <f>ROUND(IF(C763&lt;='FR_Mantenimiento tasas'!$C$55,'Tabla Ahorro Futuro Reservas'!C763*'FR_Mantenimiento tasas'!$E$55/360,IF(C763&lt;='FR_Mantenimiento tasas'!$C$56,'Tabla Ahorro Futuro Reservas'!C763*'FR_Mantenimiento tasas'!$E$56/360,IF(C763&lt;='FR_Mantenimiento tasas'!$C$57,'Tabla Ahorro Futuro Reservas'!C763*'FR_Mantenimiento tasas'!$E$57/360,""))),5)</f>
        <v>0</v>
      </c>
    </row>
    <row r="764" spans="1:5">
      <c r="A764" s="123">
        <f t="shared" si="22"/>
        <v>762</v>
      </c>
      <c r="B764" s="122">
        <f>IF(DAY(A764)=DAY('F-Ahorro Futuro Reservas'!$H$10),'F-Ahorro Futuro Reservas'!$H$9,0)</f>
        <v>0</v>
      </c>
      <c r="C764" s="122">
        <f t="shared" si="23"/>
        <v>0</v>
      </c>
      <c r="D764" s="121">
        <f>ROUND(IF(C764&lt;='FR_Mantenimiento tasas'!$C$55,'Tabla Ahorro Futuro Reservas'!C764*'FR_Mantenimiento tasas'!$D$55/360,IF(C764&lt;='FR_Mantenimiento tasas'!$C$56,'Tabla Ahorro Futuro Reservas'!C764*'FR_Mantenimiento tasas'!$D$56/360,IF(C764&lt;='FR_Mantenimiento tasas'!$C$57,'Tabla Ahorro Futuro Reservas'!C764*'FR_Mantenimiento tasas'!$D$57/360,""))),5)</f>
        <v>0</v>
      </c>
      <c r="E764" s="121">
        <f>ROUND(IF(C764&lt;='FR_Mantenimiento tasas'!$C$55,'Tabla Ahorro Futuro Reservas'!C764*'FR_Mantenimiento tasas'!$E$55/360,IF(C764&lt;='FR_Mantenimiento tasas'!$C$56,'Tabla Ahorro Futuro Reservas'!C764*'FR_Mantenimiento tasas'!$E$56/360,IF(C764&lt;='FR_Mantenimiento tasas'!$C$57,'Tabla Ahorro Futuro Reservas'!C764*'FR_Mantenimiento tasas'!$E$57/360,""))),5)</f>
        <v>0</v>
      </c>
    </row>
    <row r="765" spans="1:5">
      <c r="A765" s="123">
        <f t="shared" si="22"/>
        <v>763</v>
      </c>
      <c r="B765" s="122">
        <f>IF(DAY(A765)=DAY('F-Ahorro Futuro Reservas'!$H$10),'F-Ahorro Futuro Reservas'!$H$9,0)</f>
        <v>0</v>
      </c>
      <c r="C765" s="122">
        <f t="shared" si="23"/>
        <v>0</v>
      </c>
      <c r="D765" s="121">
        <f>ROUND(IF(C765&lt;='FR_Mantenimiento tasas'!$C$55,'Tabla Ahorro Futuro Reservas'!C765*'FR_Mantenimiento tasas'!$D$55/360,IF(C765&lt;='FR_Mantenimiento tasas'!$C$56,'Tabla Ahorro Futuro Reservas'!C765*'FR_Mantenimiento tasas'!$D$56/360,IF(C765&lt;='FR_Mantenimiento tasas'!$C$57,'Tabla Ahorro Futuro Reservas'!C765*'FR_Mantenimiento tasas'!$D$57/360,""))),5)</f>
        <v>0</v>
      </c>
      <c r="E765" s="121">
        <f>ROUND(IF(C765&lt;='FR_Mantenimiento tasas'!$C$55,'Tabla Ahorro Futuro Reservas'!C765*'FR_Mantenimiento tasas'!$E$55/360,IF(C765&lt;='FR_Mantenimiento tasas'!$C$56,'Tabla Ahorro Futuro Reservas'!C765*'FR_Mantenimiento tasas'!$E$56/360,IF(C765&lt;='FR_Mantenimiento tasas'!$C$57,'Tabla Ahorro Futuro Reservas'!C765*'FR_Mantenimiento tasas'!$E$57/360,""))),5)</f>
        <v>0</v>
      </c>
    </row>
    <row r="766" spans="1:5">
      <c r="A766" s="123">
        <f t="shared" si="22"/>
        <v>764</v>
      </c>
      <c r="B766" s="122">
        <f>IF(DAY(A766)=DAY('F-Ahorro Futuro Reservas'!$H$10),'F-Ahorro Futuro Reservas'!$H$9,0)</f>
        <v>0</v>
      </c>
      <c r="C766" s="122">
        <f t="shared" si="23"/>
        <v>0</v>
      </c>
      <c r="D766" s="121">
        <f>ROUND(IF(C766&lt;='FR_Mantenimiento tasas'!$C$55,'Tabla Ahorro Futuro Reservas'!C766*'FR_Mantenimiento tasas'!$D$55/360,IF(C766&lt;='FR_Mantenimiento tasas'!$C$56,'Tabla Ahorro Futuro Reservas'!C766*'FR_Mantenimiento tasas'!$D$56/360,IF(C766&lt;='FR_Mantenimiento tasas'!$C$57,'Tabla Ahorro Futuro Reservas'!C766*'FR_Mantenimiento tasas'!$D$57/360,""))),5)</f>
        <v>0</v>
      </c>
      <c r="E766" s="121">
        <f>ROUND(IF(C766&lt;='FR_Mantenimiento tasas'!$C$55,'Tabla Ahorro Futuro Reservas'!C766*'FR_Mantenimiento tasas'!$E$55/360,IF(C766&lt;='FR_Mantenimiento tasas'!$C$56,'Tabla Ahorro Futuro Reservas'!C766*'FR_Mantenimiento tasas'!$E$56/360,IF(C766&lt;='FR_Mantenimiento tasas'!$C$57,'Tabla Ahorro Futuro Reservas'!C766*'FR_Mantenimiento tasas'!$E$57/360,""))),5)</f>
        <v>0</v>
      </c>
    </row>
    <row r="767" spans="1:5">
      <c r="A767" s="123">
        <f t="shared" si="22"/>
        <v>765</v>
      </c>
      <c r="B767" s="122">
        <f>IF(DAY(A767)=DAY('F-Ahorro Futuro Reservas'!$H$10),'F-Ahorro Futuro Reservas'!$H$9,0)</f>
        <v>0</v>
      </c>
      <c r="C767" s="122">
        <f t="shared" si="23"/>
        <v>0</v>
      </c>
      <c r="D767" s="121">
        <f>ROUND(IF(C767&lt;='FR_Mantenimiento tasas'!$C$55,'Tabla Ahorro Futuro Reservas'!C767*'FR_Mantenimiento tasas'!$D$55/360,IF(C767&lt;='FR_Mantenimiento tasas'!$C$56,'Tabla Ahorro Futuro Reservas'!C767*'FR_Mantenimiento tasas'!$D$56/360,IF(C767&lt;='FR_Mantenimiento tasas'!$C$57,'Tabla Ahorro Futuro Reservas'!C767*'FR_Mantenimiento tasas'!$D$57/360,""))),5)</f>
        <v>0</v>
      </c>
      <c r="E767" s="121">
        <f>ROUND(IF(C767&lt;='FR_Mantenimiento tasas'!$C$55,'Tabla Ahorro Futuro Reservas'!C767*'FR_Mantenimiento tasas'!$E$55/360,IF(C767&lt;='FR_Mantenimiento tasas'!$C$56,'Tabla Ahorro Futuro Reservas'!C767*'FR_Mantenimiento tasas'!$E$56/360,IF(C767&lt;='FR_Mantenimiento tasas'!$C$57,'Tabla Ahorro Futuro Reservas'!C767*'FR_Mantenimiento tasas'!$E$57/360,""))),5)</f>
        <v>0</v>
      </c>
    </row>
    <row r="768" spans="1:5">
      <c r="A768" s="123">
        <f t="shared" si="22"/>
        <v>766</v>
      </c>
      <c r="B768" s="122">
        <f>IF(DAY(A768)=DAY('F-Ahorro Futuro Reservas'!$H$10),'F-Ahorro Futuro Reservas'!$H$9,0)</f>
        <v>0</v>
      </c>
      <c r="C768" s="122">
        <f t="shared" si="23"/>
        <v>0</v>
      </c>
      <c r="D768" s="121">
        <f>ROUND(IF(C768&lt;='FR_Mantenimiento tasas'!$C$55,'Tabla Ahorro Futuro Reservas'!C768*'FR_Mantenimiento tasas'!$D$55/360,IF(C768&lt;='FR_Mantenimiento tasas'!$C$56,'Tabla Ahorro Futuro Reservas'!C768*'FR_Mantenimiento tasas'!$D$56/360,IF(C768&lt;='FR_Mantenimiento tasas'!$C$57,'Tabla Ahorro Futuro Reservas'!C768*'FR_Mantenimiento tasas'!$D$57/360,""))),5)</f>
        <v>0</v>
      </c>
      <c r="E768" s="121">
        <f>ROUND(IF(C768&lt;='FR_Mantenimiento tasas'!$C$55,'Tabla Ahorro Futuro Reservas'!C768*'FR_Mantenimiento tasas'!$E$55/360,IF(C768&lt;='FR_Mantenimiento tasas'!$C$56,'Tabla Ahorro Futuro Reservas'!C768*'FR_Mantenimiento tasas'!$E$56/360,IF(C768&lt;='FR_Mantenimiento tasas'!$C$57,'Tabla Ahorro Futuro Reservas'!C768*'FR_Mantenimiento tasas'!$E$57/360,""))),5)</f>
        <v>0</v>
      </c>
    </row>
    <row r="769" spans="1:5">
      <c r="A769" s="123">
        <f t="shared" si="22"/>
        <v>767</v>
      </c>
      <c r="B769" s="122">
        <f>IF(DAY(A769)=DAY('F-Ahorro Futuro Reservas'!$H$10),'F-Ahorro Futuro Reservas'!$H$9,0)</f>
        <v>0</v>
      </c>
      <c r="C769" s="122">
        <f t="shared" si="23"/>
        <v>0</v>
      </c>
      <c r="D769" s="121">
        <f>ROUND(IF(C769&lt;='FR_Mantenimiento tasas'!$C$55,'Tabla Ahorro Futuro Reservas'!C769*'FR_Mantenimiento tasas'!$D$55/360,IF(C769&lt;='FR_Mantenimiento tasas'!$C$56,'Tabla Ahorro Futuro Reservas'!C769*'FR_Mantenimiento tasas'!$D$56/360,IF(C769&lt;='FR_Mantenimiento tasas'!$C$57,'Tabla Ahorro Futuro Reservas'!C769*'FR_Mantenimiento tasas'!$D$57/360,""))),5)</f>
        <v>0</v>
      </c>
      <c r="E769" s="121">
        <f>ROUND(IF(C769&lt;='FR_Mantenimiento tasas'!$C$55,'Tabla Ahorro Futuro Reservas'!C769*'FR_Mantenimiento tasas'!$E$55/360,IF(C769&lt;='FR_Mantenimiento tasas'!$C$56,'Tabla Ahorro Futuro Reservas'!C769*'FR_Mantenimiento tasas'!$E$56/360,IF(C769&lt;='FR_Mantenimiento tasas'!$C$57,'Tabla Ahorro Futuro Reservas'!C769*'FR_Mantenimiento tasas'!$E$57/360,""))),5)</f>
        <v>0</v>
      </c>
    </row>
    <row r="770" spans="1:5">
      <c r="A770" s="123">
        <f t="shared" si="22"/>
        <v>768</v>
      </c>
      <c r="B770" s="122">
        <f>IF(DAY(A770)=DAY('F-Ahorro Futuro Reservas'!$H$10),'F-Ahorro Futuro Reservas'!$H$9,0)</f>
        <v>0</v>
      </c>
      <c r="C770" s="122">
        <f t="shared" si="23"/>
        <v>0</v>
      </c>
      <c r="D770" s="121">
        <f>ROUND(IF(C770&lt;='FR_Mantenimiento tasas'!$C$55,'Tabla Ahorro Futuro Reservas'!C770*'FR_Mantenimiento tasas'!$D$55/360,IF(C770&lt;='FR_Mantenimiento tasas'!$C$56,'Tabla Ahorro Futuro Reservas'!C770*'FR_Mantenimiento tasas'!$D$56/360,IF(C770&lt;='FR_Mantenimiento tasas'!$C$57,'Tabla Ahorro Futuro Reservas'!C770*'FR_Mantenimiento tasas'!$D$57/360,""))),5)</f>
        <v>0</v>
      </c>
      <c r="E770" s="121">
        <f>ROUND(IF(C770&lt;='FR_Mantenimiento tasas'!$C$55,'Tabla Ahorro Futuro Reservas'!C770*'FR_Mantenimiento tasas'!$E$55/360,IF(C770&lt;='FR_Mantenimiento tasas'!$C$56,'Tabla Ahorro Futuro Reservas'!C770*'FR_Mantenimiento tasas'!$E$56/360,IF(C770&lt;='FR_Mantenimiento tasas'!$C$57,'Tabla Ahorro Futuro Reservas'!C770*'FR_Mantenimiento tasas'!$E$57/360,""))),5)</f>
        <v>0</v>
      </c>
    </row>
    <row r="771" spans="1:5">
      <c r="A771" s="123">
        <f t="shared" si="22"/>
        <v>769</v>
      </c>
      <c r="B771" s="122">
        <f>IF(DAY(A771)=DAY('F-Ahorro Futuro Reservas'!$H$10),'F-Ahorro Futuro Reservas'!$H$9,0)</f>
        <v>0</v>
      </c>
      <c r="C771" s="122">
        <f t="shared" si="23"/>
        <v>0</v>
      </c>
      <c r="D771" s="121">
        <f>ROUND(IF(C771&lt;='FR_Mantenimiento tasas'!$C$55,'Tabla Ahorro Futuro Reservas'!C771*'FR_Mantenimiento tasas'!$D$55/360,IF(C771&lt;='FR_Mantenimiento tasas'!$C$56,'Tabla Ahorro Futuro Reservas'!C771*'FR_Mantenimiento tasas'!$D$56/360,IF(C771&lt;='FR_Mantenimiento tasas'!$C$57,'Tabla Ahorro Futuro Reservas'!C771*'FR_Mantenimiento tasas'!$D$57/360,""))),5)</f>
        <v>0</v>
      </c>
      <c r="E771" s="121">
        <f>ROUND(IF(C771&lt;='FR_Mantenimiento tasas'!$C$55,'Tabla Ahorro Futuro Reservas'!C771*'FR_Mantenimiento tasas'!$E$55/360,IF(C771&lt;='FR_Mantenimiento tasas'!$C$56,'Tabla Ahorro Futuro Reservas'!C771*'FR_Mantenimiento tasas'!$E$56/360,IF(C771&lt;='FR_Mantenimiento tasas'!$C$57,'Tabla Ahorro Futuro Reservas'!C771*'FR_Mantenimiento tasas'!$E$57/360,""))),5)</f>
        <v>0</v>
      </c>
    </row>
    <row r="772" spans="1:5">
      <c r="A772" s="123">
        <f t="shared" ref="A772:A835" si="24">+A771+1</f>
        <v>770</v>
      </c>
      <c r="B772" s="122">
        <f>IF(DAY(A772)=DAY('F-Ahorro Futuro Reservas'!$H$10),'F-Ahorro Futuro Reservas'!$H$9,0)</f>
        <v>0</v>
      </c>
      <c r="C772" s="122">
        <f t="shared" ref="C772:C835" si="25">+B772+C771+D771</f>
        <v>0</v>
      </c>
      <c r="D772" s="121">
        <f>ROUND(IF(C772&lt;='FR_Mantenimiento tasas'!$C$55,'Tabla Ahorro Futuro Reservas'!C772*'FR_Mantenimiento tasas'!$D$55/360,IF(C772&lt;='FR_Mantenimiento tasas'!$C$56,'Tabla Ahorro Futuro Reservas'!C772*'FR_Mantenimiento tasas'!$D$56/360,IF(C772&lt;='FR_Mantenimiento tasas'!$C$57,'Tabla Ahorro Futuro Reservas'!C772*'FR_Mantenimiento tasas'!$D$57/360,""))),5)</f>
        <v>0</v>
      </c>
      <c r="E772" s="121">
        <f>ROUND(IF(C772&lt;='FR_Mantenimiento tasas'!$C$55,'Tabla Ahorro Futuro Reservas'!C772*'FR_Mantenimiento tasas'!$E$55/360,IF(C772&lt;='FR_Mantenimiento tasas'!$C$56,'Tabla Ahorro Futuro Reservas'!C772*'FR_Mantenimiento tasas'!$E$56/360,IF(C772&lt;='FR_Mantenimiento tasas'!$C$57,'Tabla Ahorro Futuro Reservas'!C772*'FR_Mantenimiento tasas'!$E$57/360,""))),5)</f>
        <v>0</v>
      </c>
    </row>
    <row r="773" spans="1:5">
      <c r="A773" s="123">
        <f t="shared" si="24"/>
        <v>771</v>
      </c>
      <c r="B773" s="122">
        <f>IF(DAY(A773)=DAY('F-Ahorro Futuro Reservas'!$H$10),'F-Ahorro Futuro Reservas'!$H$9,0)</f>
        <v>0</v>
      </c>
      <c r="C773" s="122">
        <f t="shared" si="25"/>
        <v>0</v>
      </c>
      <c r="D773" s="121">
        <f>ROUND(IF(C773&lt;='FR_Mantenimiento tasas'!$C$55,'Tabla Ahorro Futuro Reservas'!C773*'FR_Mantenimiento tasas'!$D$55/360,IF(C773&lt;='FR_Mantenimiento tasas'!$C$56,'Tabla Ahorro Futuro Reservas'!C773*'FR_Mantenimiento tasas'!$D$56/360,IF(C773&lt;='FR_Mantenimiento tasas'!$C$57,'Tabla Ahorro Futuro Reservas'!C773*'FR_Mantenimiento tasas'!$D$57/360,""))),5)</f>
        <v>0</v>
      </c>
      <c r="E773" s="121">
        <f>ROUND(IF(C773&lt;='FR_Mantenimiento tasas'!$C$55,'Tabla Ahorro Futuro Reservas'!C773*'FR_Mantenimiento tasas'!$E$55/360,IF(C773&lt;='FR_Mantenimiento tasas'!$C$56,'Tabla Ahorro Futuro Reservas'!C773*'FR_Mantenimiento tasas'!$E$56/360,IF(C773&lt;='FR_Mantenimiento tasas'!$C$57,'Tabla Ahorro Futuro Reservas'!C773*'FR_Mantenimiento tasas'!$E$57/360,""))),5)</f>
        <v>0</v>
      </c>
    </row>
    <row r="774" spans="1:5">
      <c r="A774" s="123">
        <f t="shared" si="24"/>
        <v>772</v>
      </c>
      <c r="B774" s="122">
        <f>IF(DAY(A774)=DAY('F-Ahorro Futuro Reservas'!$H$10),'F-Ahorro Futuro Reservas'!$H$9,0)</f>
        <v>0</v>
      </c>
      <c r="C774" s="122">
        <f t="shared" si="25"/>
        <v>0</v>
      </c>
      <c r="D774" s="121">
        <f>ROUND(IF(C774&lt;='FR_Mantenimiento tasas'!$C$55,'Tabla Ahorro Futuro Reservas'!C774*'FR_Mantenimiento tasas'!$D$55/360,IF(C774&lt;='FR_Mantenimiento tasas'!$C$56,'Tabla Ahorro Futuro Reservas'!C774*'FR_Mantenimiento tasas'!$D$56/360,IF(C774&lt;='FR_Mantenimiento tasas'!$C$57,'Tabla Ahorro Futuro Reservas'!C774*'FR_Mantenimiento tasas'!$D$57/360,""))),5)</f>
        <v>0</v>
      </c>
      <c r="E774" s="121">
        <f>ROUND(IF(C774&lt;='FR_Mantenimiento tasas'!$C$55,'Tabla Ahorro Futuro Reservas'!C774*'FR_Mantenimiento tasas'!$E$55/360,IF(C774&lt;='FR_Mantenimiento tasas'!$C$56,'Tabla Ahorro Futuro Reservas'!C774*'FR_Mantenimiento tasas'!$E$56/360,IF(C774&lt;='FR_Mantenimiento tasas'!$C$57,'Tabla Ahorro Futuro Reservas'!C774*'FR_Mantenimiento tasas'!$E$57/360,""))),5)</f>
        <v>0</v>
      </c>
    </row>
    <row r="775" spans="1:5">
      <c r="A775" s="123">
        <f t="shared" si="24"/>
        <v>773</v>
      </c>
      <c r="B775" s="122">
        <f>IF(DAY(A775)=DAY('F-Ahorro Futuro Reservas'!$H$10),'F-Ahorro Futuro Reservas'!$H$9,0)</f>
        <v>0</v>
      </c>
      <c r="C775" s="122">
        <f t="shared" si="25"/>
        <v>0</v>
      </c>
      <c r="D775" s="121">
        <f>ROUND(IF(C775&lt;='FR_Mantenimiento tasas'!$C$55,'Tabla Ahorro Futuro Reservas'!C775*'FR_Mantenimiento tasas'!$D$55/360,IF(C775&lt;='FR_Mantenimiento tasas'!$C$56,'Tabla Ahorro Futuro Reservas'!C775*'FR_Mantenimiento tasas'!$D$56/360,IF(C775&lt;='FR_Mantenimiento tasas'!$C$57,'Tabla Ahorro Futuro Reservas'!C775*'FR_Mantenimiento tasas'!$D$57/360,""))),5)</f>
        <v>0</v>
      </c>
      <c r="E775" s="121">
        <f>ROUND(IF(C775&lt;='FR_Mantenimiento tasas'!$C$55,'Tabla Ahorro Futuro Reservas'!C775*'FR_Mantenimiento tasas'!$E$55/360,IF(C775&lt;='FR_Mantenimiento tasas'!$C$56,'Tabla Ahorro Futuro Reservas'!C775*'FR_Mantenimiento tasas'!$E$56/360,IF(C775&lt;='FR_Mantenimiento tasas'!$C$57,'Tabla Ahorro Futuro Reservas'!C775*'FR_Mantenimiento tasas'!$E$57/360,""))),5)</f>
        <v>0</v>
      </c>
    </row>
    <row r="776" spans="1:5">
      <c r="A776" s="123">
        <f t="shared" si="24"/>
        <v>774</v>
      </c>
      <c r="B776" s="122">
        <f>IF(DAY(A776)=DAY('F-Ahorro Futuro Reservas'!$H$10),'F-Ahorro Futuro Reservas'!$H$9,0)</f>
        <v>0</v>
      </c>
      <c r="C776" s="122">
        <f t="shared" si="25"/>
        <v>0</v>
      </c>
      <c r="D776" s="121">
        <f>ROUND(IF(C776&lt;='FR_Mantenimiento tasas'!$C$55,'Tabla Ahorro Futuro Reservas'!C776*'FR_Mantenimiento tasas'!$D$55/360,IF(C776&lt;='FR_Mantenimiento tasas'!$C$56,'Tabla Ahorro Futuro Reservas'!C776*'FR_Mantenimiento tasas'!$D$56/360,IF(C776&lt;='FR_Mantenimiento tasas'!$C$57,'Tabla Ahorro Futuro Reservas'!C776*'FR_Mantenimiento tasas'!$D$57/360,""))),5)</f>
        <v>0</v>
      </c>
      <c r="E776" s="121">
        <f>ROUND(IF(C776&lt;='FR_Mantenimiento tasas'!$C$55,'Tabla Ahorro Futuro Reservas'!C776*'FR_Mantenimiento tasas'!$E$55/360,IF(C776&lt;='FR_Mantenimiento tasas'!$C$56,'Tabla Ahorro Futuro Reservas'!C776*'FR_Mantenimiento tasas'!$E$56/360,IF(C776&lt;='FR_Mantenimiento tasas'!$C$57,'Tabla Ahorro Futuro Reservas'!C776*'FR_Mantenimiento tasas'!$E$57/360,""))),5)</f>
        <v>0</v>
      </c>
    </row>
    <row r="777" spans="1:5">
      <c r="A777" s="123">
        <f t="shared" si="24"/>
        <v>775</v>
      </c>
      <c r="B777" s="122">
        <f>IF(DAY(A777)=DAY('F-Ahorro Futuro Reservas'!$H$10),'F-Ahorro Futuro Reservas'!$H$9,0)</f>
        <v>0</v>
      </c>
      <c r="C777" s="122">
        <f t="shared" si="25"/>
        <v>0</v>
      </c>
      <c r="D777" s="121">
        <f>ROUND(IF(C777&lt;='FR_Mantenimiento tasas'!$C$55,'Tabla Ahorro Futuro Reservas'!C777*'FR_Mantenimiento tasas'!$D$55/360,IF(C777&lt;='FR_Mantenimiento tasas'!$C$56,'Tabla Ahorro Futuro Reservas'!C777*'FR_Mantenimiento tasas'!$D$56/360,IF(C777&lt;='FR_Mantenimiento tasas'!$C$57,'Tabla Ahorro Futuro Reservas'!C777*'FR_Mantenimiento tasas'!$D$57/360,""))),5)</f>
        <v>0</v>
      </c>
      <c r="E777" s="121">
        <f>ROUND(IF(C777&lt;='FR_Mantenimiento tasas'!$C$55,'Tabla Ahorro Futuro Reservas'!C777*'FR_Mantenimiento tasas'!$E$55/360,IF(C777&lt;='FR_Mantenimiento tasas'!$C$56,'Tabla Ahorro Futuro Reservas'!C777*'FR_Mantenimiento tasas'!$E$56/360,IF(C777&lt;='FR_Mantenimiento tasas'!$C$57,'Tabla Ahorro Futuro Reservas'!C777*'FR_Mantenimiento tasas'!$E$57/360,""))),5)</f>
        <v>0</v>
      </c>
    </row>
    <row r="778" spans="1:5">
      <c r="A778" s="123">
        <f t="shared" si="24"/>
        <v>776</v>
      </c>
      <c r="B778" s="122">
        <f>IF(DAY(A778)=DAY('F-Ahorro Futuro Reservas'!$H$10),'F-Ahorro Futuro Reservas'!$H$9,0)</f>
        <v>0</v>
      </c>
      <c r="C778" s="122">
        <f t="shared" si="25"/>
        <v>0</v>
      </c>
      <c r="D778" s="121">
        <f>ROUND(IF(C778&lt;='FR_Mantenimiento tasas'!$C$55,'Tabla Ahorro Futuro Reservas'!C778*'FR_Mantenimiento tasas'!$D$55/360,IF(C778&lt;='FR_Mantenimiento tasas'!$C$56,'Tabla Ahorro Futuro Reservas'!C778*'FR_Mantenimiento tasas'!$D$56/360,IF(C778&lt;='FR_Mantenimiento tasas'!$C$57,'Tabla Ahorro Futuro Reservas'!C778*'FR_Mantenimiento tasas'!$D$57/360,""))),5)</f>
        <v>0</v>
      </c>
      <c r="E778" s="121">
        <f>ROUND(IF(C778&lt;='FR_Mantenimiento tasas'!$C$55,'Tabla Ahorro Futuro Reservas'!C778*'FR_Mantenimiento tasas'!$E$55/360,IF(C778&lt;='FR_Mantenimiento tasas'!$C$56,'Tabla Ahorro Futuro Reservas'!C778*'FR_Mantenimiento tasas'!$E$56/360,IF(C778&lt;='FR_Mantenimiento tasas'!$C$57,'Tabla Ahorro Futuro Reservas'!C778*'FR_Mantenimiento tasas'!$E$57/360,""))),5)</f>
        <v>0</v>
      </c>
    </row>
    <row r="779" spans="1:5">
      <c r="A779" s="123">
        <f t="shared" si="24"/>
        <v>777</v>
      </c>
      <c r="B779" s="122">
        <f>IF(DAY(A779)=DAY('F-Ahorro Futuro Reservas'!$H$10),'F-Ahorro Futuro Reservas'!$H$9,0)</f>
        <v>0</v>
      </c>
      <c r="C779" s="122">
        <f t="shared" si="25"/>
        <v>0</v>
      </c>
      <c r="D779" s="121">
        <f>ROUND(IF(C779&lt;='FR_Mantenimiento tasas'!$C$55,'Tabla Ahorro Futuro Reservas'!C779*'FR_Mantenimiento tasas'!$D$55/360,IF(C779&lt;='FR_Mantenimiento tasas'!$C$56,'Tabla Ahorro Futuro Reservas'!C779*'FR_Mantenimiento tasas'!$D$56/360,IF(C779&lt;='FR_Mantenimiento tasas'!$C$57,'Tabla Ahorro Futuro Reservas'!C779*'FR_Mantenimiento tasas'!$D$57/360,""))),5)</f>
        <v>0</v>
      </c>
      <c r="E779" s="121">
        <f>ROUND(IF(C779&lt;='FR_Mantenimiento tasas'!$C$55,'Tabla Ahorro Futuro Reservas'!C779*'FR_Mantenimiento tasas'!$E$55/360,IF(C779&lt;='FR_Mantenimiento tasas'!$C$56,'Tabla Ahorro Futuro Reservas'!C779*'FR_Mantenimiento tasas'!$E$56/360,IF(C779&lt;='FR_Mantenimiento tasas'!$C$57,'Tabla Ahorro Futuro Reservas'!C779*'FR_Mantenimiento tasas'!$E$57/360,""))),5)</f>
        <v>0</v>
      </c>
    </row>
    <row r="780" spans="1:5">
      <c r="A780" s="123">
        <f t="shared" si="24"/>
        <v>778</v>
      </c>
      <c r="B780" s="122">
        <f>IF(DAY(A780)=DAY('F-Ahorro Futuro Reservas'!$H$10),'F-Ahorro Futuro Reservas'!$H$9,0)</f>
        <v>0</v>
      </c>
      <c r="C780" s="122">
        <f t="shared" si="25"/>
        <v>0</v>
      </c>
      <c r="D780" s="121">
        <f>ROUND(IF(C780&lt;='FR_Mantenimiento tasas'!$C$55,'Tabla Ahorro Futuro Reservas'!C780*'FR_Mantenimiento tasas'!$D$55/360,IF(C780&lt;='FR_Mantenimiento tasas'!$C$56,'Tabla Ahorro Futuro Reservas'!C780*'FR_Mantenimiento tasas'!$D$56/360,IF(C780&lt;='FR_Mantenimiento tasas'!$C$57,'Tabla Ahorro Futuro Reservas'!C780*'FR_Mantenimiento tasas'!$D$57/360,""))),5)</f>
        <v>0</v>
      </c>
      <c r="E780" s="121">
        <f>ROUND(IF(C780&lt;='FR_Mantenimiento tasas'!$C$55,'Tabla Ahorro Futuro Reservas'!C780*'FR_Mantenimiento tasas'!$E$55/360,IF(C780&lt;='FR_Mantenimiento tasas'!$C$56,'Tabla Ahorro Futuro Reservas'!C780*'FR_Mantenimiento tasas'!$E$56/360,IF(C780&lt;='FR_Mantenimiento tasas'!$C$57,'Tabla Ahorro Futuro Reservas'!C780*'FR_Mantenimiento tasas'!$E$57/360,""))),5)</f>
        <v>0</v>
      </c>
    </row>
    <row r="781" spans="1:5">
      <c r="A781" s="123">
        <f t="shared" si="24"/>
        <v>779</v>
      </c>
      <c r="B781" s="122">
        <f>IF(DAY(A781)=DAY('F-Ahorro Futuro Reservas'!$H$10),'F-Ahorro Futuro Reservas'!$H$9,0)</f>
        <v>0</v>
      </c>
      <c r="C781" s="122">
        <f t="shared" si="25"/>
        <v>0</v>
      </c>
      <c r="D781" s="121">
        <f>ROUND(IF(C781&lt;='FR_Mantenimiento tasas'!$C$55,'Tabla Ahorro Futuro Reservas'!C781*'FR_Mantenimiento tasas'!$D$55/360,IF(C781&lt;='FR_Mantenimiento tasas'!$C$56,'Tabla Ahorro Futuro Reservas'!C781*'FR_Mantenimiento tasas'!$D$56/360,IF(C781&lt;='FR_Mantenimiento tasas'!$C$57,'Tabla Ahorro Futuro Reservas'!C781*'FR_Mantenimiento tasas'!$D$57/360,""))),5)</f>
        <v>0</v>
      </c>
      <c r="E781" s="121">
        <f>ROUND(IF(C781&lt;='FR_Mantenimiento tasas'!$C$55,'Tabla Ahorro Futuro Reservas'!C781*'FR_Mantenimiento tasas'!$E$55/360,IF(C781&lt;='FR_Mantenimiento tasas'!$C$56,'Tabla Ahorro Futuro Reservas'!C781*'FR_Mantenimiento tasas'!$E$56/360,IF(C781&lt;='FR_Mantenimiento tasas'!$C$57,'Tabla Ahorro Futuro Reservas'!C781*'FR_Mantenimiento tasas'!$E$57/360,""))),5)</f>
        <v>0</v>
      </c>
    </row>
    <row r="782" spans="1:5">
      <c r="A782" s="123">
        <f t="shared" si="24"/>
        <v>780</v>
      </c>
      <c r="B782" s="122">
        <f>IF(DAY(A782)=DAY('F-Ahorro Futuro Reservas'!$H$10),'F-Ahorro Futuro Reservas'!$H$9,0)</f>
        <v>0</v>
      </c>
      <c r="C782" s="122">
        <f t="shared" si="25"/>
        <v>0</v>
      </c>
      <c r="D782" s="121">
        <f>ROUND(IF(C782&lt;='FR_Mantenimiento tasas'!$C$55,'Tabla Ahorro Futuro Reservas'!C782*'FR_Mantenimiento tasas'!$D$55/360,IF(C782&lt;='FR_Mantenimiento tasas'!$C$56,'Tabla Ahorro Futuro Reservas'!C782*'FR_Mantenimiento tasas'!$D$56/360,IF(C782&lt;='FR_Mantenimiento tasas'!$C$57,'Tabla Ahorro Futuro Reservas'!C782*'FR_Mantenimiento tasas'!$D$57/360,""))),5)</f>
        <v>0</v>
      </c>
      <c r="E782" s="121">
        <f>ROUND(IF(C782&lt;='FR_Mantenimiento tasas'!$C$55,'Tabla Ahorro Futuro Reservas'!C782*'FR_Mantenimiento tasas'!$E$55/360,IF(C782&lt;='FR_Mantenimiento tasas'!$C$56,'Tabla Ahorro Futuro Reservas'!C782*'FR_Mantenimiento tasas'!$E$56/360,IF(C782&lt;='FR_Mantenimiento tasas'!$C$57,'Tabla Ahorro Futuro Reservas'!C782*'FR_Mantenimiento tasas'!$E$57/360,""))),5)</f>
        <v>0</v>
      </c>
    </row>
    <row r="783" spans="1:5">
      <c r="A783" s="123">
        <f t="shared" si="24"/>
        <v>781</v>
      </c>
      <c r="B783" s="122">
        <f>IF(DAY(A783)=DAY('F-Ahorro Futuro Reservas'!$H$10),'F-Ahorro Futuro Reservas'!$H$9,0)</f>
        <v>0</v>
      </c>
      <c r="C783" s="122">
        <f t="shared" si="25"/>
        <v>0</v>
      </c>
      <c r="D783" s="121">
        <f>ROUND(IF(C783&lt;='FR_Mantenimiento tasas'!$C$55,'Tabla Ahorro Futuro Reservas'!C783*'FR_Mantenimiento tasas'!$D$55/360,IF(C783&lt;='FR_Mantenimiento tasas'!$C$56,'Tabla Ahorro Futuro Reservas'!C783*'FR_Mantenimiento tasas'!$D$56/360,IF(C783&lt;='FR_Mantenimiento tasas'!$C$57,'Tabla Ahorro Futuro Reservas'!C783*'FR_Mantenimiento tasas'!$D$57/360,""))),5)</f>
        <v>0</v>
      </c>
      <c r="E783" s="121">
        <f>ROUND(IF(C783&lt;='FR_Mantenimiento tasas'!$C$55,'Tabla Ahorro Futuro Reservas'!C783*'FR_Mantenimiento tasas'!$E$55/360,IF(C783&lt;='FR_Mantenimiento tasas'!$C$56,'Tabla Ahorro Futuro Reservas'!C783*'FR_Mantenimiento tasas'!$E$56/360,IF(C783&lt;='FR_Mantenimiento tasas'!$C$57,'Tabla Ahorro Futuro Reservas'!C783*'FR_Mantenimiento tasas'!$E$57/360,""))),5)</f>
        <v>0</v>
      </c>
    </row>
    <row r="784" spans="1:5">
      <c r="A784" s="123">
        <f t="shared" si="24"/>
        <v>782</v>
      </c>
      <c r="B784" s="122">
        <f>IF(DAY(A784)=DAY('F-Ahorro Futuro Reservas'!$H$10),'F-Ahorro Futuro Reservas'!$H$9,0)</f>
        <v>0</v>
      </c>
      <c r="C784" s="122">
        <f t="shared" si="25"/>
        <v>0</v>
      </c>
      <c r="D784" s="121">
        <f>ROUND(IF(C784&lt;='FR_Mantenimiento tasas'!$C$55,'Tabla Ahorro Futuro Reservas'!C784*'FR_Mantenimiento tasas'!$D$55/360,IF(C784&lt;='FR_Mantenimiento tasas'!$C$56,'Tabla Ahorro Futuro Reservas'!C784*'FR_Mantenimiento tasas'!$D$56/360,IF(C784&lt;='FR_Mantenimiento tasas'!$C$57,'Tabla Ahorro Futuro Reservas'!C784*'FR_Mantenimiento tasas'!$D$57/360,""))),5)</f>
        <v>0</v>
      </c>
      <c r="E784" s="121">
        <f>ROUND(IF(C784&lt;='FR_Mantenimiento tasas'!$C$55,'Tabla Ahorro Futuro Reservas'!C784*'FR_Mantenimiento tasas'!$E$55/360,IF(C784&lt;='FR_Mantenimiento tasas'!$C$56,'Tabla Ahorro Futuro Reservas'!C784*'FR_Mantenimiento tasas'!$E$56/360,IF(C784&lt;='FR_Mantenimiento tasas'!$C$57,'Tabla Ahorro Futuro Reservas'!C784*'FR_Mantenimiento tasas'!$E$57/360,""))),5)</f>
        <v>0</v>
      </c>
    </row>
    <row r="785" spans="1:5">
      <c r="A785" s="123">
        <f t="shared" si="24"/>
        <v>783</v>
      </c>
      <c r="B785" s="122">
        <f>IF(DAY(A785)=DAY('F-Ahorro Futuro Reservas'!$H$10),'F-Ahorro Futuro Reservas'!$H$9,0)</f>
        <v>0</v>
      </c>
      <c r="C785" s="122">
        <f t="shared" si="25"/>
        <v>0</v>
      </c>
      <c r="D785" s="121">
        <f>ROUND(IF(C785&lt;='FR_Mantenimiento tasas'!$C$55,'Tabla Ahorro Futuro Reservas'!C785*'FR_Mantenimiento tasas'!$D$55/360,IF(C785&lt;='FR_Mantenimiento tasas'!$C$56,'Tabla Ahorro Futuro Reservas'!C785*'FR_Mantenimiento tasas'!$D$56/360,IF(C785&lt;='FR_Mantenimiento tasas'!$C$57,'Tabla Ahorro Futuro Reservas'!C785*'FR_Mantenimiento tasas'!$D$57/360,""))),5)</f>
        <v>0</v>
      </c>
      <c r="E785" s="121">
        <f>ROUND(IF(C785&lt;='FR_Mantenimiento tasas'!$C$55,'Tabla Ahorro Futuro Reservas'!C785*'FR_Mantenimiento tasas'!$E$55/360,IF(C785&lt;='FR_Mantenimiento tasas'!$C$56,'Tabla Ahorro Futuro Reservas'!C785*'FR_Mantenimiento tasas'!$E$56/360,IF(C785&lt;='FR_Mantenimiento tasas'!$C$57,'Tabla Ahorro Futuro Reservas'!C785*'FR_Mantenimiento tasas'!$E$57/360,""))),5)</f>
        <v>0</v>
      </c>
    </row>
    <row r="786" spans="1:5">
      <c r="A786" s="123">
        <f t="shared" si="24"/>
        <v>784</v>
      </c>
      <c r="B786" s="122">
        <f>IF(DAY(A786)=DAY('F-Ahorro Futuro Reservas'!$H$10),'F-Ahorro Futuro Reservas'!$H$9,0)</f>
        <v>0</v>
      </c>
      <c r="C786" s="122">
        <f t="shared" si="25"/>
        <v>0</v>
      </c>
      <c r="D786" s="121">
        <f>ROUND(IF(C786&lt;='FR_Mantenimiento tasas'!$C$55,'Tabla Ahorro Futuro Reservas'!C786*'FR_Mantenimiento tasas'!$D$55/360,IF(C786&lt;='FR_Mantenimiento tasas'!$C$56,'Tabla Ahorro Futuro Reservas'!C786*'FR_Mantenimiento tasas'!$D$56/360,IF(C786&lt;='FR_Mantenimiento tasas'!$C$57,'Tabla Ahorro Futuro Reservas'!C786*'FR_Mantenimiento tasas'!$D$57/360,""))),5)</f>
        <v>0</v>
      </c>
      <c r="E786" s="121">
        <f>ROUND(IF(C786&lt;='FR_Mantenimiento tasas'!$C$55,'Tabla Ahorro Futuro Reservas'!C786*'FR_Mantenimiento tasas'!$E$55/360,IF(C786&lt;='FR_Mantenimiento tasas'!$C$56,'Tabla Ahorro Futuro Reservas'!C786*'FR_Mantenimiento tasas'!$E$56/360,IF(C786&lt;='FR_Mantenimiento tasas'!$C$57,'Tabla Ahorro Futuro Reservas'!C786*'FR_Mantenimiento tasas'!$E$57/360,""))),5)</f>
        <v>0</v>
      </c>
    </row>
    <row r="787" spans="1:5">
      <c r="A787" s="123">
        <f t="shared" si="24"/>
        <v>785</v>
      </c>
      <c r="B787" s="122">
        <f>IF(DAY(A787)=DAY('F-Ahorro Futuro Reservas'!$H$10),'F-Ahorro Futuro Reservas'!$H$9,0)</f>
        <v>0</v>
      </c>
      <c r="C787" s="122">
        <f t="shared" si="25"/>
        <v>0</v>
      </c>
      <c r="D787" s="121">
        <f>ROUND(IF(C787&lt;='FR_Mantenimiento tasas'!$C$55,'Tabla Ahorro Futuro Reservas'!C787*'FR_Mantenimiento tasas'!$D$55/360,IF(C787&lt;='FR_Mantenimiento tasas'!$C$56,'Tabla Ahorro Futuro Reservas'!C787*'FR_Mantenimiento tasas'!$D$56/360,IF(C787&lt;='FR_Mantenimiento tasas'!$C$57,'Tabla Ahorro Futuro Reservas'!C787*'FR_Mantenimiento tasas'!$D$57/360,""))),5)</f>
        <v>0</v>
      </c>
      <c r="E787" s="121">
        <f>ROUND(IF(C787&lt;='FR_Mantenimiento tasas'!$C$55,'Tabla Ahorro Futuro Reservas'!C787*'FR_Mantenimiento tasas'!$E$55/360,IF(C787&lt;='FR_Mantenimiento tasas'!$C$56,'Tabla Ahorro Futuro Reservas'!C787*'FR_Mantenimiento tasas'!$E$56/360,IF(C787&lt;='FR_Mantenimiento tasas'!$C$57,'Tabla Ahorro Futuro Reservas'!C787*'FR_Mantenimiento tasas'!$E$57/360,""))),5)</f>
        <v>0</v>
      </c>
    </row>
    <row r="788" spans="1:5">
      <c r="A788" s="123">
        <f t="shared" si="24"/>
        <v>786</v>
      </c>
      <c r="B788" s="122">
        <f>IF(DAY(A788)=DAY('F-Ahorro Futuro Reservas'!$H$10),'F-Ahorro Futuro Reservas'!$H$9,0)</f>
        <v>0</v>
      </c>
      <c r="C788" s="122">
        <f t="shared" si="25"/>
        <v>0</v>
      </c>
      <c r="D788" s="121">
        <f>ROUND(IF(C788&lt;='FR_Mantenimiento tasas'!$C$55,'Tabla Ahorro Futuro Reservas'!C788*'FR_Mantenimiento tasas'!$D$55/360,IF(C788&lt;='FR_Mantenimiento tasas'!$C$56,'Tabla Ahorro Futuro Reservas'!C788*'FR_Mantenimiento tasas'!$D$56/360,IF(C788&lt;='FR_Mantenimiento tasas'!$C$57,'Tabla Ahorro Futuro Reservas'!C788*'FR_Mantenimiento tasas'!$D$57/360,""))),5)</f>
        <v>0</v>
      </c>
      <c r="E788" s="121">
        <f>ROUND(IF(C788&lt;='FR_Mantenimiento tasas'!$C$55,'Tabla Ahorro Futuro Reservas'!C788*'FR_Mantenimiento tasas'!$E$55/360,IF(C788&lt;='FR_Mantenimiento tasas'!$C$56,'Tabla Ahorro Futuro Reservas'!C788*'FR_Mantenimiento tasas'!$E$56/360,IF(C788&lt;='FR_Mantenimiento tasas'!$C$57,'Tabla Ahorro Futuro Reservas'!C788*'FR_Mantenimiento tasas'!$E$57/360,""))),5)</f>
        <v>0</v>
      </c>
    </row>
    <row r="789" spans="1:5">
      <c r="A789" s="123">
        <f t="shared" si="24"/>
        <v>787</v>
      </c>
      <c r="B789" s="122">
        <f>IF(DAY(A789)=DAY('F-Ahorro Futuro Reservas'!$H$10),'F-Ahorro Futuro Reservas'!$H$9,0)</f>
        <v>0</v>
      </c>
      <c r="C789" s="122">
        <f t="shared" si="25"/>
        <v>0</v>
      </c>
      <c r="D789" s="121">
        <f>ROUND(IF(C789&lt;='FR_Mantenimiento tasas'!$C$55,'Tabla Ahorro Futuro Reservas'!C789*'FR_Mantenimiento tasas'!$D$55/360,IF(C789&lt;='FR_Mantenimiento tasas'!$C$56,'Tabla Ahorro Futuro Reservas'!C789*'FR_Mantenimiento tasas'!$D$56/360,IF(C789&lt;='FR_Mantenimiento tasas'!$C$57,'Tabla Ahorro Futuro Reservas'!C789*'FR_Mantenimiento tasas'!$D$57/360,""))),5)</f>
        <v>0</v>
      </c>
      <c r="E789" s="121">
        <f>ROUND(IF(C789&lt;='FR_Mantenimiento tasas'!$C$55,'Tabla Ahorro Futuro Reservas'!C789*'FR_Mantenimiento tasas'!$E$55/360,IF(C789&lt;='FR_Mantenimiento tasas'!$C$56,'Tabla Ahorro Futuro Reservas'!C789*'FR_Mantenimiento tasas'!$E$56/360,IF(C789&lt;='FR_Mantenimiento tasas'!$C$57,'Tabla Ahorro Futuro Reservas'!C789*'FR_Mantenimiento tasas'!$E$57/360,""))),5)</f>
        <v>0</v>
      </c>
    </row>
    <row r="790" spans="1:5">
      <c r="A790" s="123">
        <f t="shared" si="24"/>
        <v>788</v>
      </c>
      <c r="B790" s="122">
        <f>IF(DAY(A790)=DAY('F-Ahorro Futuro Reservas'!$H$10),'F-Ahorro Futuro Reservas'!$H$9,0)</f>
        <v>0</v>
      </c>
      <c r="C790" s="122">
        <f t="shared" si="25"/>
        <v>0</v>
      </c>
      <c r="D790" s="121">
        <f>ROUND(IF(C790&lt;='FR_Mantenimiento tasas'!$C$55,'Tabla Ahorro Futuro Reservas'!C790*'FR_Mantenimiento tasas'!$D$55/360,IF(C790&lt;='FR_Mantenimiento tasas'!$C$56,'Tabla Ahorro Futuro Reservas'!C790*'FR_Mantenimiento tasas'!$D$56/360,IF(C790&lt;='FR_Mantenimiento tasas'!$C$57,'Tabla Ahorro Futuro Reservas'!C790*'FR_Mantenimiento tasas'!$D$57/360,""))),5)</f>
        <v>0</v>
      </c>
      <c r="E790" s="121">
        <f>ROUND(IF(C790&lt;='FR_Mantenimiento tasas'!$C$55,'Tabla Ahorro Futuro Reservas'!C790*'FR_Mantenimiento tasas'!$E$55/360,IF(C790&lt;='FR_Mantenimiento tasas'!$C$56,'Tabla Ahorro Futuro Reservas'!C790*'FR_Mantenimiento tasas'!$E$56/360,IF(C790&lt;='FR_Mantenimiento tasas'!$C$57,'Tabla Ahorro Futuro Reservas'!C790*'FR_Mantenimiento tasas'!$E$57/360,""))),5)</f>
        <v>0</v>
      </c>
    </row>
    <row r="791" spans="1:5">
      <c r="A791" s="123">
        <f t="shared" si="24"/>
        <v>789</v>
      </c>
      <c r="B791" s="122">
        <f>IF(DAY(A791)=DAY('F-Ahorro Futuro Reservas'!$H$10),'F-Ahorro Futuro Reservas'!$H$9,0)</f>
        <v>0</v>
      </c>
      <c r="C791" s="122">
        <f t="shared" si="25"/>
        <v>0</v>
      </c>
      <c r="D791" s="121">
        <f>ROUND(IF(C791&lt;='FR_Mantenimiento tasas'!$C$55,'Tabla Ahorro Futuro Reservas'!C791*'FR_Mantenimiento tasas'!$D$55/360,IF(C791&lt;='FR_Mantenimiento tasas'!$C$56,'Tabla Ahorro Futuro Reservas'!C791*'FR_Mantenimiento tasas'!$D$56/360,IF(C791&lt;='FR_Mantenimiento tasas'!$C$57,'Tabla Ahorro Futuro Reservas'!C791*'FR_Mantenimiento tasas'!$D$57/360,""))),5)</f>
        <v>0</v>
      </c>
      <c r="E791" s="121">
        <f>ROUND(IF(C791&lt;='FR_Mantenimiento tasas'!$C$55,'Tabla Ahorro Futuro Reservas'!C791*'FR_Mantenimiento tasas'!$E$55/360,IF(C791&lt;='FR_Mantenimiento tasas'!$C$56,'Tabla Ahorro Futuro Reservas'!C791*'FR_Mantenimiento tasas'!$E$56/360,IF(C791&lt;='FR_Mantenimiento tasas'!$C$57,'Tabla Ahorro Futuro Reservas'!C791*'FR_Mantenimiento tasas'!$E$57/360,""))),5)</f>
        <v>0</v>
      </c>
    </row>
    <row r="792" spans="1:5">
      <c r="A792" s="123">
        <f t="shared" si="24"/>
        <v>790</v>
      </c>
      <c r="B792" s="122">
        <f>IF(DAY(A792)=DAY('F-Ahorro Futuro Reservas'!$H$10),'F-Ahorro Futuro Reservas'!$H$9,0)</f>
        <v>0</v>
      </c>
      <c r="C792" s="122">
        <f t="shared" si="25"/>
        <v>0</v>
      </c>
      <c r="D792" s="121">
        <f>ROUND(IF(C792&lt;='FR_Mantenimiento tasas'!$C$55,'Tabla Ahorro Futuro Reservas'!C792*'FR_Mantenimiento tasas'!$D$55/360,IF(C792&lt;='FR_Mantenimiento tasas'!$C$56,'Tabla Ahorro Futuro Reservas'!C792*'FR_Mantenimiento tasas'!$D$56/360,IF(C792&lt;='FR_Mantenimiento tasas'!$C$57,'Tabla Ahorro Futuro Reservas'!C792*'FR_Mantenimiento tasas'!$D$57/360,""))),5)</f>
        <v>0</v>
      </c>
      <c r="E792" s="121">
        <f>ROUND(IF(C792&lt;='FR_Mantenimiento tasas'!$C$55,'Tabla Ahorro Futuro Reservas'!C792*'FR_Mantenimiento tasas'!$E$55/360,IF(C792&lt;='FR_Mantenimiento tasas'!$C$56,'Tabla Ahorro Futuro Reservas'!C792*'FR_Mantenimiento tasas'!$E$56/360,IF(C792&lt;='FR_Mantenimiento tasas'!$C$57,'Tabla Ahorro Futuro Reservas'!C792*'FR_Mantenimiento tasas'!$E$57/360,""))),5)</f>
        <v>0</v>
      </c>
    </row>
    <row r="793" spans="1:5">
      <c r="A793" s="123">
        <f t="shared" si="24"/>
        <v>791</v>
      </c>
      <c r="B793" s="122">
        <f>IF(DAY(A793)=DAY('F-Ahorro Futuro Reservas'!$H$10),'F-Ahorro Futuro Reservas'!$H$9,0)</f>
        <v>0</v>
      </c>
      <c r="C793" s="122">
        <f t="shared" si="25"/>
        <v>0</v>
      </c>
      <c r="D793" s="121">
        <f>ROUND(IF(C793&lt;='FR_Mantenimiento tasas'!$C$55,'Tabla Ahorro Futuro Reservas'!C793*'FR_Mantenimiento tasas'!$D$55/360,IF(C793&lt;='FR_Mantenimiento tasas'!$C$56,'Tabla Ahorro Futuro Reservas'!C793*'FR_Mantenimiento tasas'!$D$56/360,IF(C793&lt;='FR_Mantenimiento tasas'!$C$57,'Tabla Ahorro Futuro Reservas'!C793*'FR_Mantenimiento tasas'!$D$57/360,""))),5)</f>
        <v>0</v>
      </c>
      <c r="E793" s="121">
        <f>ROUND(IF(C793&lt;='FR_Mantenimiento tasas'!$C$55,'Tabla Ahorro Futuro Reservas'!C793*'FR_Mantenimiento tasas'!$E$55/360,IF(C793&lt;='FR_Mantenimiento tasas'!$C$56,'Tabla Ahorro Futuro Reservas'!C793*'FR_Mantenimiento tasas'!$E$56/360,IF(C793&lt;='FR_Mantenimiento tasas'!$C$57,'Tabla Ahorro Futuro Reservas'!C793*'FR_Mantenimiento tasas'!$E$57/360,""))),5)</f>
        <v>0</v>
      </c>
    </row>
    <row r="794" spans="1:5">
      <c r="A794" s="123">
        <f t="shared" si="24"/>
        <v>792</v>
      </c>
      <c r="B794" s="122">
        <f>IF(DAY(A794)=DAY('F-Ahorro Futuro Reservas'!$H$10),'F-Ahorro Futuro Reservas'!$H$9,0)</f>
        <v>0</v>
      </c>
      <c r="C794" s="122">
        <f t="shared" si="25"/>
        <v>0</v>
      </c>
      <c r="D794" s="121">
        <f>ROUND(IF(C794&lt;='FR_Mantenimiento tasas'!$C$55,'Tabla Ahorro Futuro Reservas'!C794*'FR_Mantenimiento tasas'!$D$55/360,IF(C794&lt;='FR_Mantenimiento tasas'!$C$56,'Tabla Ahorro Futuro Reservas'!C794*'FR_Mantenimiento tasas'!$D$56/360,IF(C794&lt;='FR_Mantenimiento tasas'!$C$57,'Tabla Ahorro Futuro Reservas'!C794*'FR_Mantenimiento tasas'!$D$57/360,""))),5)</f>
        <v>0</v>
      </c>
      <c r="E794" s="121">
        <f>ROUND(IF(C794&lt;='FR_Mantenimiento tasas'!$C$55,'Tabla Ahorro Futuro Reservas'!C794*'FR_Mantenimiento tasas'!$E$55/360,IF(C794&lt;='FR_Mantenimiento tasas'!$C$56,'Tabla Ahorro Futuro Reservas'!C794*'FR_Mantenimiento tasas'!$E$56/360,IF(C794&lt;='FR_Mantenimiento tasas'!$C$57,'Tabla Ahorro Futuro Reservas'!C794*'FR_Mantenimiento tasas'!$E$57/360,""))),5)</f>
        <v>0</v>
      </c>
    </row>
    <row r="795" spans="1:5">
      <c r="A795" s="123">
        <f t="shared" si="24"/>
        <v>793</v>
      </c>
      <c r="B795" s="122">
        <f>IF(DAY(A795)=DAY('F-Ahorro Futuro Reservas'!$H$10),'F-Ahorro Futuro Reservas'!$H$9,0)</f>
        <v>0</v>
      </c>
      <c r="C795" s="122">
        <f t="shared" si="25"/>
        <v>0</v>
      </c>
      <c r="D795" s="121">
        <f>ROUND(IF(C795&lt;='FR_Mantenimiento tasas'!$C$55,'Tabla Ahorro Futuro Reservas'!C795*'FR_Mantenimiento tasas'!$D$55/360,IF(C795&lt;='FR_Mantenimiento tasas'!$C$56,'Tabla Ahorro Futuro Reservas'!C795*'FR_Mantenimiento tasas'!$D$56/360,IF(C795&lt;='FR_Mantenimiento tasas'!$C$57,'Tabla Ahorro Futuro Reservas'!C795*'FR_Mantenimiento tasas'!$D$57/360,""))),5)</f>
        <v>0</v>
      </c>
      <c r="E795" s="121">
        <f>ROUND(IF(C795&lt;='FR_Mantenimiento tasas'!$C$55,'Tabla Ahorro Futuro Reservas'!C795*'FR_Mantenimiento tasas'!$E$55/360,IF(C795&lt;='FR_Mantenimiento tasas'!$C$56,'Tabla Ahorro Futuro Reservas'!C795*'FR_Mantenimiento tasas'!$E$56/360,IF(C795&lt;='FR_Mantenimiento tasas'!$C$57,'Tabla Ahorro Futuro Reservas'!C795*'FR_Mantenimiento tasas'!$E$57/360,""))),5)</f>
        <v>0</v>
      </c>
    </row>
    <row r="796" spans="1:5">
      <c r="A796" s="123">
        <f t="shared" si="24"/>
        <v>794</v>
      </c>
      <c r="B796" s="122">
        <f>IF(DAY(A796)=DAY('F-Ahorro Futuro Reservas'!$H$10),'F-Ahorro Futuro Reservas'!$H$9,0)</f>
        <v>0</v>
      </c>
      <c r="C796" s="122">
        <f t="shared" si="25"/>
        <v>0</v>
      </c>
      <c r="D796" s="121">
        <f>ROUND(IF(C796&lt;='FR_Mantenimiento tasas'!$C$55,'Tabla Ahorro Futuro Reservas'!C796*'FR_Mantenimiento tasas'!$D$55/360,IF(C796&lt;='FR_Mantenimiento tasas'!$C$56,'Tabla Ahorro Futuro Reservas'!C796*'FR_Mantenimiento tasas'!$D$56/360,IF(C796&lt;='FR_Mantenimiento tasas'!$C$57,'Tabla Ahorro Futuro Reservas'!C796*'FR_Mantenimiento tasas'!$D$57/360,""))),5)</f>
        <v>0</v>
      </c>
      <c r="E796" s="121">
        <f>ROUND(IF(C796&lt;='FR_Mantenimiento tasas'!$C$55,'Tabla Ahorro Futuro Reservas'!C796*'FR_Mantenimiento tasas'!$E$55/360,IF(C796&lt;='FR_Mantenimiento tasas'!$C$56,'Tabla Ahorro Futuro Reservas'!C796*'FR_Mantenimiento tasas'!$E$56/360,IF(C796&lt;='FR_Mantenimiento tasas'!$C$57,'Tabla Ahorro Futuro Reservas'!C796*'FR_Mantenimiento tasas'!$E$57/360,""))),5)</f>
        <v>0</v>
      </c>
    </row>
    <row r="797" spans="1:5">
      <c r="A797" s="123">
        <f t="shared" si="24"/>
        <v>795</v>
      </c>
      <c r="B797" s="122">
        <f>IF(DAY(A797)=DAY('F-Ahorro Futuro Reservas'!$H$10),'F-Ahorro Futuro Reservas'!$H$9,0)</f>
        <v>0</v>
      </c>
      <c r="C797" s="122">
        <f t="shared" si="25"/>
        <v>0</v>
      </c>
      <c r="D797" s="121">
        <f>ROUND(IF(C797&lt;='FR_Mantenimiento tasas'!$C$55,'Tabla Ahorro Futuro Reservas'!C797*'FR_Mantenimiento tasas'!$D$55/360,IF(C797&lt;='FR_Mantenimiento tasas'!$C$56,'Tabla Ahorro Futuro Reservas'!C797*'FR_Mantenimiento tasas'!$D$56/360,IF(C797&lt;='FR_Mantenimiento tasas'!$C$57,'Tabla Ahorro Futuro Reservas'!C797*'FR_Mantenimiento tasas'!$D$57/360,""))),5)</f>
        <v>0</v>
      </c>
      <c r="E797" s="121">
        <f>ROUND(IF(C797&lt;='FR_Mantenimiento tasas'!$C$55,'Tabla Ahorro Futuro Reservas'!C797*'FR_Mantenimiento tasas'!$E$55/360,IF(C797&lt;='FR_Mantenimiento tasas'!$C$56,'Tabla Ahorro Futuro Reservas'!C797*'FR_Mantenimiento tasas'!$E$56/360,IF(C797&lt;='FR_Mantenimiento tasas'!$C$57,'Tabla Ahorro Futuro Reservas'!C797*'FR_Mantenimiento tasas'!$E$57/360,""))),5)</f>
        <v>0</v>
      </c>
    </row>
    <row r="798" spans="1:5">
      <c r="A798" s="123">
        <f t="shared" si="24"/>
        <v>796</v>
      </c>
      <c r="B798" s="122">
        <f>IF(DAY(A798)=DAY('F-Ahorro Futuro Reservas'!$H$10),'F-Ahorro Futuro Reservas'!$H$9,0)</f>
        <v>0</v>
      </c>
      <c r="C798" s="122">
        <f t="shared" si="25"/>
        <v>0</v>
      </c>
      <c r="D798" s="121">
        <f>ROUND(IF(C798&lt;='FR_Mantenimiento tasas'!$C$55,'Tabla Ahorro Futuro Reservas'!C798*'FR_Mantenimiento tasas'!$D$55/360,IF(C798&lt;='FR_Mantenimiento tasas'!$C$56,'Tabla Ahorro Futuro Reservas'!C798*'FR_Mantenimiento tasas'!$D$56/360,IF(C798&lt;='FR_Mantenimiento tasas'!$C$57,'Tabla Ahorro Futuro Reservas'!C798*'FR_Mantenimiento tasas'!$D$57/360,""))),5)</f>
        <v>0</v>
      </c>
      <c r="E798" s="121">
        <f>ROUND(IF(C798&lt;='FR_Mantenimiento tasas'!$C$55,'Tabla Ahorro Futuro Reservas'!C798*'FR_Mantenimiento tasas'!$E$55/360,IF(C798&lt;='FR_Mantenimiento tasas'!$C$56,'Tabla Ahorro Futuro Reservas'!C798*'FR_Mantenimiento tasas'!$E$56/360,IF(C798&lt;='FR_Mantenimiento tasas'!$C$57,'Tabla Ahorro Futuro Reservas'!C798*'FR_Mantenimiento tasas'!$E$57/360,""))),5)</f>
        <v>0</v>
      </c>
    </row>
    <row r="799" spans="1:5">
      <c r="A799" s="123">
        <f t="shared" si="24"/>
        <v>797</v>
      </c>
      <c r="B799" s="122">
        <f>IF(DAY(A799)=DAY('F-Ahorro Futuro Reservas'!$H$10),'F-Ahorro Futuro Reservas'!$H$9,0)</f>
        <v>0</v>
      </c>
      <c r="C799" s="122">
        <f t="shared" si="25"/>
        <v>0</v>
      </c>
      <c r="D799" s="121">
        <f>ROUND(IF(C799&lt;='FR_Mantenimiento tasas'!$C$55,'Tabla Ahorro Futuro Reservas'!C799*'FR_Mantenimiento tasas'!$D$55/360,IF(C799&lt;='FR_Mantenimiento tasas'!$C$56,'Tabla Ahorro Futuro Reservas'!C799*'FR_Mantenimiento tasas'!$D$56/360,IF(C799&lt;='FR_Mantenimiento tasas'!$C$57,'Tabla Ahorro Futuro Reservas'!C799*'FR_Mantenimiento tasas'!$D$57/360,""))),5)</f>
        <v>0</v>
      </c>
      <c r="E799" s="121">
        <f>ROUND(IF(C799&lt;='FR_Mantenimiento tasas'!$C$55,'Tabla Ahorro Futuro Reservas'!C799*'FR_Mantenimiento tasas'!$E$55/360,IF(C799&lt;='FR_Mantenimiento tasas'!$C$56,'Tabla Ahorro Futuro Reservas'!C799*'FR_Mantenimiento tasas'!$E$56/360,IF(C799&lt;='FR_Mantenimiento tasas'!$C$57,'Tabla Ahorro Futuro Reservas'!C799*'FR_Mantenimiento tasas'!$E$57/360,""))),5)</f>
        <v>0</v>
      </c>
    </row>
    <row r="800" spans="1:5">
      <c r="A800" s="123">
        <f t="shared" si="24"/>
        <v>798</v>
      </c>
      <c r="B800" s="122">
        <f>IF(DAY(A800)=DAY('F-Ahorro Futuro Reservas'!$H$10),'F-Ahorro Futuro Reservas'!$H$9,0)</f>
        <v>0</v>
      </c>
      <c r="C800" s="122">
        <f t="shared" si="25"/>
        <v>0</v>
      </c>
      <c r="D800" s="121">
        <f>ROUND(IF(C800&lt;='FR_Mantenimiento tasas'!$C$55,'Tabla Ahorro Futuro Reservas'!C800*'FR_Mantenimiento tasas'!$D$55/360,IF(C800&lt;='FR_Mantenimiento tasas'!$C$56,'Tabla Ahorro Futuro Reservas'!C800*'FR_Mantenimiento tasas'!$D$56/360,IF(C800&lt;='FR_Mantenimiento tasas'!$C$57,'Tabla Ahorro Futuro Reservas'!C800*'FR_Mantenimiento tasas'!$D$57/360,""))),5)</f>
        <v>0</v>
      </c>
      <c r="E800" s="121">
        <f>ROUND(IF(C800&lt;='FR_Mantenimiento tasas'!$C$55,'Tabla Ahorro Futuro Reservas'!C800*'FR_Mantenimiento tasas'!$E$55/360,IF(C800&lt;='FR_Mantenimiento tasas'!$C$56,'Tabla Ahorro Futuro Reservas'!C800*'FR_Mantenimiento tasas'!$E$56/360,IF(C800&lt;='FR_Mantenimiento tasas'!$C$57,'Tabla Ahorro Futuro Reservas'!C800*'FR_Mantenimiento tasas'!$E$57/360,""))),5)</f>
        <v>0</v>
      </c>
    </row>
    <row r="801" spans="1:5">
      <c r="A801" s="123">
        <f t="shared" si="24"/>
        <v>799</v>
      </c>
      <c r="B801" s="122">
        <f>IF(DAY(A801)=DAY('F-Ahorro Futuro Reservas'!$H$10),'F-Ahorro Futuro Reservas'!$H$9,0)</f>
        <v>0</v>
      </c>
      <c r="C801" s="122">
        <f t="shared" si="25"/>
        <v>0</v>
      </c>
      <c r="D801" s="121">
        <f>ROUND(IF(C801&lt;='FR_Mantenimiento tasas'!$C$55,'Tabla Ahorro Futuro Reservas'!C801*'FR_Mantenimiento tasas'!$D$55/360,IF(C801&lt;='FR_Mantenimiento tasas'!$C$56,'Tabla Ahorro Futuro Reservas'!C801*'FR_Mantenimiento tasas'!$D$56/360,IF(C801&lt;='FR_Mantenimiento tasas'!$C$57,'Tabla Ahorro Futuro Reservas'!C801*'FR_Mantenimiento tasas'!$D$57/360,""))),5)</f>
        <v>0</v>
      </c>
      <c r="E801" s="121">
        <f>ROUND(IF(C801&lt;='FR_Mantenimiento tasas'!$C$55,'Tabla Ahorro Futuro Reservas'!C801*'FR_Mantenimiento tasas'!$E$55/360,IF(C801&lt;='FR_Mantenimiento tasas'!$C$56,'Tabla Ahorro Futuro Reservas'!C801*'FR_Mantenimiento tasas'!$E$56/360,IF(C801&lt;='FR_Mantenimiento tasas'!$C$57,'Tabla Ahorro Futuro Reservas'!C801*'FR_Mantenimiento tasas'!$E$57/360,""))),5)</f>
        <v>0</v>
      </c>
    </row>
    <row r="802" spans="1:5">
      <c r="A802" s="123">
        <f t="shared" si="24"/>
        <v>800</v>
      </c>
      <c r="B802" s="122">
        <f>IF(DAY(A802)=DAY('F-Ahorro Futuro Reservas'!$H$10),'F-Ahorro Futuro Reservas'!$H$9,0)</f>
        <v>0</v>
      </c>
      <c r="C802" s="122">
        <f t="shared" si="25"/>
        <v>0</v>
      </c>
      <c r="D802" s="121">
        <f>ROUND(IF(C802&lt;='FR_Mantenimiento tasas'!$C$55,'Tabla Ahorro Futuro Reservas'!C802*'FR_Mantenimiento tasas'!$D$55/360,IF(C802&lt;='FR_Mantenimiento tasas'!$C$56,'Tabla Ahorro Futuro Reservas'!C802*'FR_Mantenimiento tasas'!$D$56/360,IF(C802&lt;='FR_Mantenimiento tasas'!$C$57,'Tabla Ahorro Futuro Reservas'!C802*'FR_Mantenimiento tasas'!$D$57/360,""))),5)</f>
        <v>0</v>
      </c>
      <c r="E802" s="121">
        <f>ROUND(IF(C802&lt;='FR_Mantenimiento tasas'!$C$55,'Tabla Ahorro Futuro Reservas'!C802*'FR_Mantenimiento tasas'!$E$55/360,IF(C802&lt;='FR_Mantenimiento tasas'!$C$56,'Tabla Ahorro Futuro Reservas'!C802*'FR_Mantenimiento tasas'!$E$56/360,IF(C802&lt;='FR_Mantenimiento tasas'!$C$57,'Tabla Ahorro Futuro Reservas'!C802*'FR_Mantenimiento tasas'!$E$57/360,""))),5)</f>
        <v>0</v>
      </c>
    </row>
    <row r="803" spans="1:5">
      <c r="A803" s="123">
        <f t="shared" si="24"/>
        <v>801</v>
      </c>
      <c r="B803" s="122">
        <f>IF(DAY(A803)=DAY('F-Ahorro Futuro Reservas'!$H$10),'F-Ahorro Futuro Reservas'!$H$9,0)</f>
        <v>0</v>
      </c>
      <c r="C803" s="122">
        <f t="shared" si="25"/>
        <v>0</v>
      </c>
      <c r="D803" s="121">
        <f>ROUND(IF(C803&lt;='FR_Mantenimiento tasas'!$C$55,'Tabla Ahorro Futuro Reservas'!C803*'FR_Mantenimiento tasas'!$D$55/360,IF(C803&lt;='FR_Mantenimiento tasas'!$C$56,'Tabla Ahorro Futuro Reservas'!C803*'FR_Mantenimiento tasas'!$D$56/360,IF(C803&lt;='FR_Mantenimiento tasas'!$C$57,'Tabla Ahorro Futuro Reservas'!C803*'FR_Mantenimiento tasas'!$D$57/360,""))),5)</f>
        <v>0</v>
      </c>
      <c r="E803" s="121">
        <f>ROUND(IF(C803&lt;='FR_Mantenimiento tasas'!$C$55,'Tabla Ahorro Futuro Reservas'!C803*'FR_Mantenimiento tasas'!$E$55/360,IF(C803&lt;='FR_Mantenimiento tasas'!$C$56,'Tabla Ahorro Futuro Reservas'!C803*'FR_Mantenimiento tasas'!$E$56/360,IF(C803&lt;='FR_Mantenimiento tasas'!$C$57,'Tabla Ahorro Futuro Reservas'!C803*'FR_Mantenimiento tasas'!$E$57/360,""))),5)</f>
        <v>0</v>
      </c>
    </row>
    <row r="804" spans="1:5">
      <c r="A804" s="123">
        <f t="shared" si="24"/>
        <v>802</v>
      </c>
      <c r="B804" s="122">
        <f>IF(DAY(A804)=DAY('F-Ahorro Futuro Reservas'!$H$10),'F-Ahorro Futuro Reservas'!$H$9,0)</f>
        <v>0</v>
      </c>
      <c r="C804" s="122">
        <f t="shared" si="25"/>
        <v>0</v>
      </c>
      <c r="D804" s="121">
        <f>ROUND(IF(C804&lt;='FR_Mantenimiento tasas'!$C$55,'Tabla Ahorro Futuro Reservas'!C804*'FR_Mantenimiento tasas'!$D$55/360,IF(C804&lt;='FR_Mantenimiento tasas'!$C$56,'Tabla Ahorro Futuro Reservas'!C804*'FR_Mantenimiento tasas'!$D$56/360,IF(C804&lt;='FR_Mantenimiento tasas'!$C$57,'Tabla Ahorro Futuro Reservas'!C804*'FR_Mantenimiento tasas'!$D$57/360,""))),5)</f>
        <v>0</v>
      </c>
      <c r="E804" s="121">
        <f>ROUND(IF(C804&lt;='FR_Mantenimiento tasas'!$C$55,'Tabla Ahorro Futuro Reservas'!C804*'FR_Mantenimiento tasas'!$E$55/360,IF(C804&lt;='FR_Mantenimiento tasas'!$C$56,'Tabla Ahorro Futuro Reservas'!C804*'FR_Mantenimiento tasas'!$E$56/360,IF(C804&lt;='FR_Mantenimiento tasas'!$C$57,'Tabla Ahorro Futuro Reservas'!C804*'FR_Mantenimiento tasas'!$E$57/360,""))),5)</f>
        <v>0</v>
      </c>
    </row>
    <row r="805" spans="1:5">
      <c r="A805" s="123">
        <f t="shared" si="24"/>
        <v>803</v>
      </c>
      <c r="B805" s="122">
        <f>IF(DAY(A805)=DAY('F-Ahorro Futuro Reservas'!$H$10),'F-Ahorro Futuro Reservas'!$H$9,0)</f>
        <v>0</v>
      </c>
      <c r="C805" s="122">
        <f t="shared" si="25"/>
        <v>0</v>
      </c>
      <c r="D805" s="121">
        <f>ROUND(IF(C805&lt;='FR_Mantenimiento tasas'!$C$55,'Tabla Ahorro Futuro Reservas'!C805*'FR_Mantenimiento tasas'!$D$55/360,IF(C805&lt;='FR_Mantenimiento tasas'!$C$56,'Tabla Ahorro Futuro Reservas'!C805*'FR_Mantenimiento tasas'!$D$56/360,IF(C805&lt;='FR_Mantenimiento tasas'!$C$57,'Tabla Ahorro Futuro Reservas'!C805*'FR_Mantenimiento tasas'!$D$57/360,""))),5)</f>
        <v>0</v>
      </c>
      <c r="E805" s="121">
        <f>ROUND(IF(C805&lt;='FR_Mantenimiento tasas'!$C$55,'Tabla Ahorro Futuro Reservas'!C805*'FR_Mantenimiento tasas'!$E$55/360,IF(C805&lt;='FR_Mantenimiento tasas'!$C$56,'Tabla Ahorro Futuro Reservas'!C805*'FR_Mantenimiento tasas'!$E$56/360,IF(C805&lt;='FR_Mantenimiento tasas'!$C$57,'Tabla Ahorro Futuro Reservas'!C805*'FR_Mantenimiento tasas'!$E$57/360,""))),5)</f>
        <v>0</v>
      </c>
    </row>
    <row r="806" spans="1:5">
      <c r="A806" s="123">
        <f t="shared" si="24"/>
        <v>804</v>
      </c>
      <c r="B806" s="122">
        <f>IF(DAY(A806)=DAY('F-Ahorro Futuro Reservas'!$H$10),'F-Ahorro Futuro Reservas'!$H$9,0)</f>
        <v>0</v>
      </c>
      <c r="C806" s="122">
        <f t="shared" si="25"/>
        <v>0</v>
      </c>
      <c r="D806" s="121">
        <f>ROUND(IF(C806&lt;='FR_Mantenimiento tasas'!$C$55,'Tabla Ahorro Futuro Reservas'!C806*'FR_Mantenimiento tasas'!$D$55/360,IF(C806&lt;='FR_Mantenimiento tasas'!$C$56,'Tabla Ahorro Futuro Reservas'!C806*'FR_Mantenimiento tasas'!$D$56/360,IF(C806&lt;='FR_Mantenimiento tasas'!$C$57,'Tabla Ahorro Futuro Reservas'!C806*'FR_Mantenimiento tasas'!$D$57/360,""))),5)</f>
        <v>0</v>
      </c>
      <c r="E806" s="121">
        <f>ROUND(IF(C806&lt;='FR_Mantenimiento tasas'!$C$55,'Tabla Ahorro Futuro Reservas'!C806*'FR_Mantenimiento tasas'!$E$55/360,IF(C806&lt;='FR_Mantenimiento tasas'!$C$56,'Tabla Ahorro Futuro Reservas'!C806*'FR_Mantenimiento tasas'!$E$56/360,IF(C806&lt;='FR_Mantenimiento tasas'!$C$57,'Tabla Ahorro Futuro Reservas'!C806*'FR_Mantenimiento tasas'!$E$57/360,""))),5)</f>
        <v>0</v>
      </c>
    </row>
    <row r="807" spans="1:5">
      <c r="A807" s="123">
        <f t="shared" si="24"/>
        <v>805</v>
      </c>
      <c r="B807" s="122">
        <f>IF(DAY(A807)=DAY('F-Ahorro Futuro Reservas'!$H$10),'F-Ahorro Futuro Reservas'!$H$9,0)</f>
        <v>0</v>
      </c>
      <c r="C807" s="122">
        <f t="shared" si="25"/>
        <v>0</v>
      </c>
      <c r="D807" s="121">
        <f>ROUND(IF(C807&lt;='FR_Mantenimiento tasas'!$C$55,'Tabla Ahorro Futuro Reservas'!C807*'FR_Mantenimiento tasas'!$D$55/360,IF(C807&lt;='FR_Mantenimiento tasas'!$C$56,'Tabla Ahorro Futuro Reservas'!C807*'FR_Mantenimiento tasas'!$D$56/360,IF(C807&lt;='FR_Mantenimiento tasas'!$C$57,'Tabla Ahorro Futuro Reservas'!C807*'FR_Mantenimiento tasas'!$D$57/360,""))),5)</f>
        <v>0</v>
      </c>
      <c r="E807" s="121">
        <f>ROUND(IF(C807&lt;='FR_Mantenimiento tasas'!$C$55,'Tabla Ahorro Futuro Reservas'!C807*'FR_Mantenimiento tasas'!$E$55/360,IF(C807&lt;='FR_Mantenimiento tasas'!$C$56,'Tabla Ahorro Futuro Reservas'!C807*'FR_Mantenimiento tasas'!$E$56/360,IF(C807&lt;='FR_Mantenimiento tasas'!$C$57,'Tabla Ahorro Futuro Reservas'!C807*'FR_Mantenimiento tasas'!$E$57/360,""))),5)</f>
        <v>0</v>
      </c>
    </row>
    <row r="808" spans="1:5">
      <c r="A808" s="123">
        <f t="shared" si="24"/>
        <v>806</v>
      </c>
      <c r="B808" s="122">
        <f>IF(DAY(A808)=DAY('F-Ahorro Futuro Reservas'!$H$10),'F-Ahorro Futuro Reservas'!$H$9,0)</f>
        <v>0</v>
      </c>
      <c r="C808" s="122">
        <f t="shared" si="25"/>
        <v>0</v>
      </c>
      <c r="D808" s="121">
        <f>ROUND(IF(C808&lt;='FR_Mantenimiento tasas'!$C$55,'Tabla Ahorro Futuro Reservas'!C808*'FR_Mantenimiento tasas'!$D$55/360,IF(C808&lt;='FR_Mantenimiento tasas'!$C$56,'Tabla Ahorro Futuro Reservas'!C808*'FR_Mantenimiento tasas'!$D$56/360,IF(C808&lt;='FR_Mantenimiento tasas'!$C$57,'Tabla Ahorro Futuro Reservas'!C808*'FR_Mantenimiento tasas'!$D$57/360,""))),5)</f>
        <v>0</v>
      </c>
      <c r="E808" s="121">
        <f>ROUND(IF(C808&lt;='FR_Mantenimiento tasas'!$C$55,'Tabla Ahorro Futuro Reservas'!C808*'FR_Mantenimiento tasas'!$E$55/360,IF(C808&lt;='FR_Mantenimiento tasas'!$C$56,'Tabla Ahorro Futuro Reservas'!C808*'FR_Mantenimiento tasas'!$E$56/360,IF(C808&lt;='FR_Mantenimiento tasas'!$C$57,'Tabla Ahorro Futuro Reservas'!C808*'FR_Mantenimiento tasas'!$E$57/360,""))),5)</f>
        <v>0</v>
      </c>
    </row>
    <row r="809" spans="1:5">
      <c r="A809" s="123">
        <f t="shared" si="24"/>
        <v>807</v>
      </c>
      <c r="B809" s="122">
        <f>IF(DAY(A809)=DAY('F-Ahorro Futuro Reservas'!$H$10),'F-Ahorro Futuro Reservas'!$H$9,0)</f>
        <v>0</v>
      </c>
      <c r="C809" s="122">
        <f t="shared" si="25"/>
        <v>0</v>
      </c>
      <c r="D809" s="121">
        <f>ROUND(IF(C809&lt;='FR_Mantenimiento tasas'!$C$55,'Tabla Ahorro Futuro Reservas'!C809*'FR_Mantenimiento tasas'!$D$55/360,IF(C809&lt;='FR_Mantenimiento tasas'!$C$56,'Tabla Ahorro Futuro Reservas'!C809*'FR_Mantenimiento tasas'!$D$56/360,IF(C809&lt;='FR_Mantenimiento tasas'!$C$57,'Tabla Ahorro Futuro Reservas'!C809*'FR_Mantenimiento tasas'!$D$57/360,""))),5)</f>
        <v>0</v>
      </c>
      <c r="E809" s="121">
        <f>ROUND(IF(C809&lt;='FR_Mantenimiento tasas'!$C$55,'Tabla Ahorro Futuro Reservas'!C809*'FR_Mantenimiento tasas'!$E$55/360,IF(C809&lt;='FR_Mantenimiento tasas'!$C$56,'Tabla Ahorro Futuro Reservas'!C809*'FR_Mantenimiento tasas'!$E$56/360,IF(C809&lt;='FR_Mantenimiento tasas'!$C$57,'Tabla Ahorro Futuro Reservas'!C809*'FR_Mantenimiento tasas'!$E$57/360,""))),5)</f>
        <v>0</v>
      </c>
    </row>
    <row r="810" spans="1:5">
      <c r="A810" s="123">
        <f t="shared" si="24"/>
        <v>808</v>
      </c>
      <c r="B810" s="122">
        <f>IF(DAY(A810)=DAY('F-Ahorro Futuro Reservas'!$H$10),'F-Ahorro Futuro Reservas'!$H$9,0)</f>
        <v>0</v>
      </c>
      <c r="C810" s="122">
        <f t="shared" si="25"/>
        <v>0</v>
      </c>
      <c r="D810" s="121">
        <f>ROUND(IF(C810&lt;='FR_Mantenimiento tasas'!$C$55,'Tabla Ahorro Futuro Reservas'!C810*'FR_Mantenimiento tasas'!$D$55/360,IF(C810&lt;='FR_Mantenimiento tasas'!$C$56,'Tabla Ahorro Futuro Reservas'!C810*'FR_Mantenimiento tasas'!$D$56/360,IF(C810&lt;='FR_Mantenimiento tasas'!$C$57,'Tabla Ahorro Futuro Reservas'!C810*'FR_Mantenimiento tasas'!$D$57/360,""))),5)</f>
        <v>0</v>
      </c>
      <c r="E810" s="121">
        <f>ROUND(IF(C810&lt;='FR_Mantenimiento tasas'!$C$55,'Tabla Ahorro Futuro Reservas'!C810*'FR_Mantenimiento tasas'!$E$55/360,IF(C810&lt;='FR_Mantenimiento tasas'!$C$56,'Tabla Ahorro Futuro Reservas'!C810*'FR_Mantenimiento tasas'!$E$56/360,IF(C810&lt;='FR_Mantenimiento tasas'!$C$57,'Tabla Ahorro Futuro Reservas'!C810*'FR_Mantenimiento tasas'!$E$57/360,""))),5)</f>
        <v>0</v>
      </c>
    </row>
    <row r="811" spans="1:5">
      <c r="A811" s="123">
        <f t="shared" si="24"/>
        <v>809</v>
      </c>
      <c r="B811" s="122">
        <f>IF(DAY(A811)=DAY('F-Ahorro Futuro Reservas'!$H$10),'F-Ahorro Futuro Reservas'!$H$9,0)</f>
        <v>0</v>
      </c>
      <c r="C811" s="122">
        <f t="shared" si="25"/>
        <v>0</v>
      </c>
      <c r="D811" s="121">
        <f>ROUND(IF(C811&lt;='FR_Mantenimiento tasas'!$C$55,'Tabla Ahorro Futuro Reservas'!C811*'FR_Mantenimiento tasas'!$D$55/360,IF(C811&lt;='FR_Mantenimiento tasas'!$C$56,'Tabla Ahorro Futuro Reservas'!C811*'FR_Mantenimiento tasas'!$D$56/360,IF(C811&lt;='FR_Mantenimiento tasas'!$C$57,'Tabla Ahorro Futuro Reservas'!C811*'FR_Mantenimiento tasas'!$D$57/360,""))),5)</f>
        <v>0</v>
      </c>
      <c r="E811" s="121">
        <f>ROUND(IF(C811&lt;='FR_Mantenimiento tasas'!$C$55,'Tabla Ahorro Futuro Reservas'!C811*'FR_Mantenimiento tasas'!$E$55/360,IF(C811&lt;='FR_Mantenimiento tasas'!$C$56,'Tabla Ahorro Futuro Reservas'!C811*'FR_Mantenimiento tasas'!$E$56/360,IF(C811&lt;='FR_Mantenimiento tasas'!$C$57,'Tabla Ahorro Futuro Reservas'!C811*'FR_Mantenimiento tasas'!$E$57/360,""))),5)</f>
        <v>0</v>
      </c>
    </row>
    <row r="812" spans="1:5">
      <c r="A812" s="123">
        <f t="shared" si="24"/>
        <v>810</v>
      </c>
      <c r="B812" s="122">
        <f>IF(DAY(A812)=DAY('F-Ahorro Futuro Reservas'!$H$10),'F-Ahorro Futuro Reservas'!$H$9,0)</f>
        <v>0</v>
      </c>
      <c r="C812" s="122">
        <f t="shared" si="25"/>
        <v>0</v>
      </c>
      <c r="D812" s="121">
        <f>ROUND(IF(C812&lt;='FR_Mantenimiento tasas'!$C$55,'Tabla Ahorro Futuro Reservas'!C812*'FR_Mantenimiento tasas'!$D$55/360,IF(C812&lt;='FR_Mantenimiento tasas'!$C$56,'Tabla Ahorro Futuro Reservas'!C812*'FR_Mantenimiento tasas'!$D$56/360,IF(C812&lt;='FR_Mantenimiento tasas'!$C$57,'Tabla Ahorro Futuro Reservas'!C812*'FR_Mantenimiento tasas'!$D$57/360,""))),5)</f>
        <v>0</v>
      </c>
      <c r="E812" s="121">
        <f>ROUND(IF(C812&lt;='FR_Mantenimiento tasas'!$C$55,'Tabla Ahorro Futuro Reservas'!C812*'FR_Mantenimiento tasas'!$E$55/360,IF(C812&lt;='FR_Mantenimiento tasas'!$C$56,'Tabla Ahorro Futuro Reservas'!C812*'FR_Mantenimiento tasas'!$E$56/360,IF(C812&lt;='FR_Mantenimiento tasas'!$C$57,'Tabla Ahorro Futuro Reservas'!C812*'FR_Mantenimiento tasas'!$E$57/360,""))),5)</f>
        <v>0</v>
      </c>
    </row>
    <row r="813" spans="1:5">
      <c r="A813" s="123">
        <f t="shared" si="24"/>
        <v>811</v>
      </c>
      <c r="B813" s="122">
        <f>IF(DAY(A813)=DAY('F-Ahorro Futuro Reservas'!$H$10),'F-Ahorro Futuro Reservas'!$H$9,0)</f>
        <v>0</v>
      </c>
      <c r="C813" s="122">
        <f t="shared" si="25"/>
        <v>0</v>
      </c>
      <c r="D813" s="121">
        <f>ROUND(IF(C813&lt;='FR_Mantenimiento tasas'!$C$55,'Tabla Ahorro Futuro Reservas'!C813*'FR_Mantenimiento tasas'!$D$55/360,IF(C813&lt;='FR_Mantenimiento tasas'!$C$56,'Tabla Ahorro Futuro Reservas'!C813*'FR_Mantenimiento tasas'!$D$56/360,IF(C813&lt;='FR_Mantenimiento tasas'!$C$57,'Tabla Ahorro Futuro Reservas'!C813*'FR_Mantenimiento tasas'!$D$57/360,""))),5)</f>
        <v>0</v>
      </c>
      <c r="E813" s="121">
        <f>ROUND(IF(C813&lt;='FR_Mantenimiento tasas'!$C$55,'Tabla Ahorro Futuro Reservas'!C813*'FR_Mantenimiento tasas'!$E$55/360,IF(C813&lt;='FR_Mantenimiento tasas'!$C$56,'Tabla Ahorro Futuro Reservas'!C813*'FR_Mantenimiento tasas'!$E$56/360,IF(C813&lt;='FR_Mantenimiento tasas'!$C$57,'Tabla Ahorro Futuro Reservas'!C813*'FR_Mantenimiento tasas'!$E$57/360,""))),5)</f>
        <v>0</v>
      </c>
    </row>
    <row r="814" spans="1:5">
      <c r="A814" s="123">
        <f t="shared" si="24"/>
        <v>812</v>
      </c>
      <c r="B814" s="122">
        <f>IF(DAY(A814)=DAY('F-Ahorro Futuro Reservas'!$H$10),'F-Ahorro Futuro Reservas'!$H$9,0)</f>
        <v>0</v>
      </c>
      <c r="C814" s="122">
        <f t="shared" si="25"/>
        <v>0</v>
      </c>
      <c r="D814" s="121">
        <f>ROUND(IF(C814&lt;='FR_Mantenimiento tasas'!$C$55,'Tabla Ahorro Futuro Reservas'!C814*'FR_Mantenimiento tasas'!$D$55/360,IF(C814&lt;='FR_Mantenimiento tasas'!$C$56,'Tabla Ahorro Futuro Reservas'!C814*'FR_Mantenimiento tasas'!$D$56/360,IF(C814&lt;='FR_Mantenimiento tasas'!$C$57,'Tabla Ahorro Futuro Reservas'!C814*'FR_Mantenimiento tasas'!$D$57/360,""))),5)</f>
        <v>0</v>
      </c>
      <c r="E814" s="121">
        <f>ROUND(IF(C814&lt;='FR_Mantenimiento tasas'!$C$55,'Tabla Ahorro Futuro Reservas'!C814*'FR_Mantenimiento tasas'!$E$55/360,IF(C814&lt;='FR_Mantenimiento tasas'!$C$56,'Tabla Ahorro Futuro Reservas'!C814*'FR_Mantenimiento tasas'!$E$56/360,IF(C814&lt;='FR_Mantenimiento tasas'!$C$57,'Tabla Ahorro Futuro Reservas'!C814*'FR_Mantenimiento tasas'!$E$57/360,""))),5)</f>
        <v>0</v>
      </c>
    </row>
    <row r="815" spans="1:5">
      <c r="A815" s="123">
        <f t="shared" si="24"/>
        <v>813</v>
      </c>
      <c r="B815" s="122">
        <f>IF(DAY(A815)=DAY('F-Ahorro Futuro Reservas'!$H$10),'F-Ahorro Futuro Reservas'!$H$9,0)</f>
        <v>0</v>
      </c>
      <c r="C815" s="122">
        <f t="shared" si="25"/>
        <v>0</v>
      </c>
      <c r="D815" s="121">
        <f>ROUND(IF(C815&lt;='FR_Mantenimiento tasas'!$C$55,'Tabla Ahorro Futuro Reservas'!C815*'FR_Mantenimiento tasas'!$D$55/360,IF(C815&lt;='FR_Mantenimiento tasas'!$C$56,'Tabla Ahorro Futuro Reservas'!C815*'FR_Mantenimiento tasas'!$D$56/360,IF(C815&lt;='FR_Mantenimiento tasas'!$C$57,'Tabla Ahorro Futuro Reservas'!C815*'FR_Mantenimiento tasas'!$D$57/360,""))),5)</f>
        <v>0</v>
      </c>
      <c r="E815" s="121">
        <f>ROUND(IF(C815&lt;='FR_Mantenimiento tasas'!$C$55,'Tabla Ahorro Futuro Reservas'!C815*'FR_Mantenimiento tasas'!$E$55/360,IF(C815&lt;='FR_Mantenimiento tasas'!$C$56,'Tabla Ahorro Futuro Reservas'!C815*'FR_Mantenimiento tasas'!$E$56/360,IF(C815&lt;='FR_Mantenimiento tasas'!$C$57,'Tabla Ahorro Futuro Reservas'!C815*'FR_Mantenimiento tasas'!$E$57/360,""))),5)</f>
        <v>0</v>
      </c>
    </row>
    <row r="816" spans="1:5">
      <c r="A816" s="123">
        <f t="shared" si="24"/>
        <v>814</v>
      </c>
      <c r="B816" s="122">
        <f>IF(DAY(A816)=DAY('F-Ahorro Futuro Reservas'!$H$10),'F-Ahorro Futuro Reservas'!$H$9,0)</f>
        <v>0</v>
      </c>
      <c r="C816" s="122">
        <f t="shared" si="25"/>
        <v>0</v>
      </c>
      <c r="D816" s="121">
        <f>ROUND(IF(C816&lt;='FR_Mantenimiento tasas'!$C$55,'Tabla Ahorro Futuro Reservas'!C816*'FR_Mantenimiento tasas'!$D$55/360,IF(C816&lt;='FR_Mantenimiento tasas'!$C$56,'Tabla Ahorro Futuro Reservas'!C816*'FR_Mantenimiento tasas'!$D$56/360,IF(C816&lt;='FR_Mantenimiento tasas'!$C$57,'Tabla Ahorro Futuro Reservas'!C816*'FR_Mantenimiento tasas'!$D$57/360,""))),5)</f>
        <v>0</v>
      </c>
      <c r="E816" s="121">
        <f>ROUND(IF(C816&lt;='FR_Mantenimiento tasas'!$C$55,'Tabla Ahorro Futuro Reservas'!C816*'FR_Mantenimiento tasas'!$E$55/360,IF(C816&lt;='FR_Mantenimiento tasas'!$C$56,'Tabla Ahorro Futuro Reservas'!C816*'FR_Mantenimiento tasas'!$E$56/360,IF(C816&lt;='FR_Mantenimiento tasas'!$C$57,'Tabla Ahorro Futuro Reservas'!C816*'FR_Mantenimiento tasas'!$E$57/360,""))),5)</f>
        <v>0</v>
      </c>
    </row>
    <row r="817" spans="1:5">
      <c r="A817" s="123">
        <f t="shared" si="24"/>
        <v>815</v>
      </c>
      <c r="B817" s="122">
        <f>IF(DAY(A817)=DAY('F-Ahorro Futuro Reservas'!$H$10),'F-Ahorro Futuro Reservas'!$H$9,0)</f>
        <v>0</v>
      </c>
      <c r="C817" s="122">
        <f t="shared" si="25"/>
        <v>0</v>
      </c>
      <c r="D817" s="121">
        <f>ROUND(IF(C817&lt;='FR_Mantenimiento tasas'!$C$55,'Tabla Ahorro Futuro Reservas'!C817*'FR_Mantenimiento tasas'!$D$55/360,IF(C817&lt;='FR_Mantenimiento tasas'!$C$56,'Tabla Ahorro Futuro Reservas'!C817*'FR_Mantenimiento tasas'!$D$56/360,IF(C817&lt;='FR_Mantenimiento tasas'!$C$57,'Tabla Ahorro Futuro Reservas'!C817*'FR_Mantenimiento tasas'!$D$57/360,""))),5)</f>
        <v>0</v>
      </c>
      <c r="E817" s="121">
        <f>ROUND(IF(C817&lt;='FR_Mantenimiento tasas'!$C$55,'Tabla Ahorro Futuro Reservas'!C817*'FR_Mantenimiento tasas'!$E$55/360,IF(C817&lt;='FR_Mantenimiento tasas'!$C$56,'Tabla Ahorro Futuro Reservas'!C817*'FR_Mantenimiento tasas'!$E$56/360,IF(C817&lt;='FR_Mantenimiento tasas'!$C$57,'Tabla Ahorro Futuro Reservas'!C817*'FR_Mantenimiento tasas'!$E$57/360,""))),5)</f>
        <v>0</v>
      </c>
    </row>
    <row r="818" spans="1:5">
      <c r="A818" s="123">
        <f t="shared" si="24"/>
        <v>816</v>
      </c>
      <c r="B818" s="122">
        <f>IF(DAY(A818)=DAY('F-Ahorro Futuro Reservas'!$H$10),'F-Ahorro Futuro Reservas'!$H$9,0)</f>
        <v>0</v>
      </c>
      <c r="C818" s="122">
        <f t="shared" si="25"/>
        <v>0</v>
      </c>
      <c r="D818" s="121">
        <f>ROUND(IF(C818&lt;='FR_Mantenimiento tasas'!$C$55,'Tabla Ahorro Futuro Reservas'!C818*'FR_Mantenimiento tasas'!$D$55/360,IF(C818&lt;='FR_Mantenimiento tasas'!$C$56,'Tabla Ahorro Futuro Reservas'!C818*'FR_Mantenimiento tasas'!$D$56/360,IF(C818&lt;='FR_Mantenimiento tasas'!$C$57,'Tabla Ahorro Futuro Reservas'!C818*'FR_Mantenimiento tasas'!$D$57/360,""))),5)</f>
        <v>0</v>
      </c>
      <c r="E818" s="121">
        <f>ROUND(IF(C818&lt;='FR_Mantenimiento tasas'!$C$55,'Tabla Ahorro Futuro Reservas'!C818*'FR_Mantenimiento tasas'!$E$55/360,IF(C818&lt;='FR_Mantenimiento tasas'!$C$56,'Tabla Ahorro Futuro Reservas'!C818*'FR_Mantenimiento tasas'!$E$56/360,IF(C818&lt;='FR_Mantenimiento tasas'!$C$57,'Tabla Ahorro Futuro Reservas'!C818*'FR_Mantenimiento tasas'!$E$57/360,""))),5)</f>
        <v>0</v>
      </c>
    </row>
    <row r="819" spans="1:5">
      <c r="A819" s="123">
        <f t="shared" si="24"/>
        <v>817</v>
      </c>
      <c r="B819" s="122">
        <f>IF(DAY(A819)=DAY('F-Ahorro Futuro Reservas'!$H$10),'F-Ahorro Futuro Reservas'!$H$9,0)</f>
        <v>0</v>
      </c>
      <c r="C819" s="122">
        <f t="shared" si="25"/>
        <v>0</v>
      </c>
      <c r="D819" s="121">
        <f>ROUND(IF(C819&lt;='FR_Mantenimiento tasas'!$C$55,'Tabla Ahorro Futuro Reservas'!C819*'FR_Mantenimiento tasas'!$D$55/360,IF(C819&lt;='FR_Mantenimiento tasas'!$C$56,'Tabla Ahorro Futuro Reservas'!C819*'FR_Mantenimiento tasas'!$D$56/360,IF(C819&lt;='FR_Mantenimiento tasas'!$C$57,'Tabla Ahorro Futuro Reservas'!C819*'FR_Mantenimiento tasas'!$D$57/360,""))),5)</f>
        <v>0</v>
      </c>
      <c r="E819" s="121">
        <f>ROUND(IF(C819&lt;='FR_Mantenimiento tasas'!$C$55,'Tabla Ahorro Futuro Reservas'!C819*'FR_Mantenimiento tasas'!$E$55/360,IF(C819&lt;='FR_Mantenimiento tasas'!$C$56,'Tabla Ahorro Futuro Reservas'!C819*'FR_Mantenimiento tasas'!$E$56/360,IF(C819&lt;='FR_Mantenimiento tasas'!$C$57,'Tabla Ahorro Futuro Reservas'!C819*'FR_Mantenimiento tasas'!$E$57/360,""))),5)</f>
        <v>0</v>
      </c>
    </row>
    <row r="820" spans="1:5">
      <c r="A820" s="123">
        <f t="shared" si="24"/>
        <v>818</v>
      </c>
      <c r="B820" s="122">
        <f>IF(DAY(A820)=DAY('F-Ahorro Futuro Reservas'!$H$10),'F-Ahorro Futuro Reservas'!$H$9,0)</f>
        <v>0</v>
      </c>
      <c r="C820" s="122">
        <f t="shared" si="25"/>
        <v>0</v>
      </c>
      <c r="D820" s="121">
        <f>ROUND(IF(C820&lt;='FR_Mantenimiento tasas'!$C$55,'Tabla Ahorro Futuro Reservas'!C820*'FR_Mantenimiento tasas'!$D$55/360,IF(C820&lt;='FR_Mantenimiento tasas'!$C$56,'Tabla Ahorro Futuro Reservas'!C820*'FR_Mantenimiento tasas'!$D$56/360,IF(C820&lt;='FR_Mantenimiento tasas'!$C$57,'Tabla Ahorro Futuro Reservas'!C820*'FR_Mantenimiento tasas'!$D$57/360,""))),5)</f>
        <v>0</v>
      </c>
      <c r="E820" s="121">
        <f>ROUND(IF(C820&lt;='FR_Mantenimiento tasas'!$C$55,'Tabla Ahorro Futuro Reservas'!C820*'FR_Mantenimiento tasas'!$E$55/360,IF(C820&lt;='FR_Mantenimiento tasas'!$C$56,'Tabla Ahorro Futuro Reservas'!C820*'FR_Mantenimiento tasas'!$E$56/360,IF(C820&lt;='FR_Mantenimiento tasas'!$C$57,'Tabla Ahorro Futuro Reservas'!C820*'FR_Mantenimiento tasas'!$E$57/360,""))),5)</f>
        <v>0</v>
      </c>
    </row>
    <row r="821" spans="1:5">
      <c r="A821" s="123">
        <f t="shared" si="24"/>
        <v>819</v>
      </c>
      <c r="B821" s="122">
        <f>IF(DAY(A821)=DAY('F-Ahorro Futuro Reservas'!$H$10),'F-Ahorro Futuro Reservas'!$H$9,0)</f>
        <v>0</v>
      </c>
      <c r="C821" s="122">
        <f t="shared" si="25"/>
        <v>0</v>
      </c>
      <c r="D821" s="121">
        <f>ROUND(IF(C821&lt;='FR_Mantenimiento tasas'!$C$55,'Tabla Ahorro Futuro Reservas'!C821*'FR_Mantenimiento tasas'!$D$55/360,IF(C821&lt;='FR_Mantenimiento tasas'!$C$56,'Tabla Ahorro Futuro Reservas'!C821*'FR_Mantenimiento tasas'!$D$56/360,IF(C821&lt;='FR_Mantenimiento tasas'!$C$57,'Tabla Ahorro Futuro Reservas'!C821*'FR_Mantenimiento tasas'!$D$57/360,""))),5)</f>
        <v>0</v>
      </c>
      <c r="E821" s="121">
        <f>ROUND(IF(C821&lt;='FR_Mantenimiento tasas'!$C$55,'Tabla Ahorro Futuro Reservas'!C821*'FR_Mantenimiento tasas'!$E$55/360,IF(C821&lt;='FR_Mantenimiento tasas'!$C$56,'Tabla Ahorro Futuro Reservas'!C821*'FR_Mantenimiento tasas'!$E$56/360,IF(C821&lt;='FR_Mantenimiento tasas'!$C$57,'Tabla Ahorro Futuro Reservas'!C821*'FR_Mantenimiento tasas'!$E$57/360,""))),5)</f>
        <v>0</v>
      </c>
    </row>
    <row r="822" spans="1:5">
      <c r="A822" s="123">
        <f t="shared" si="24"/>
        <v>820</v>
      </c>
      <c r="B822" s="122">
        <f>IF(DAY(A822)=DAY('F-Ahorro Futuro Reservas'!$H$10),'F-Ahorro Futuro Reservas'!$H$9,0)</f>
        <v>0</v>
      </c>
      <c r="C822" s="122">
        <f t="shared" si="25"/>
        <v>0</v>
      </c>
      <c r="D822" s="121">
        <f>ROUND(IF(C822&lt;='FR_Mantenimiento tasas'!$C$55,'Tabla Ahorro Futuro Reservas'!C822*'FR_Mantenimiento tasas'!$D$55/360,IF(C822&lt;='FR_Mantenimiento tasas'!$C$56,'Tabla Ahorro Futuro Reservas'!C822*'FR_Mantenimiento tasas'!$D$56/360,IF(C822&lt;='FR_Mantenimiento tasas'!$C$57,'Tabla Ahorro Futuro Reservas'!C822*'FR_Mantenimiento tasas'!$D$57/360,""))),5)</f>
        <v>0</v>
      </c>
      <c r="E822" s="121">
        <f>ROUND(IF(C822&lt;='FR_Mantenimiento tasas'!$C$55,'Tabla Ahorro Futuro Reservas'!C822*'FR_Mantenimiento tasas'!$E$55/360,IF(C822&lt;='FR_Mantenimiento tasas'!$C$56,'Tabla Ahorro Futuro Reservas'!C822*'FR_Mantenimiento tasas'!$E$56/360,IF(C822&lt;='FR_Mantenimiento tasas'!$C$57,'Tabla Ahorro Futuro Reservas'!C822*'FR_Mantenimiento tasas'!$E$57/360,""))),5)</f>
        <v>0</v>
      </c>
    </row>
    <row r="823" spans="1:5">
      <c r="A823" s="123">
        <f t="shared" si="24"/>
        <v>821</v>
      </c>
      <c r="B823" s="122">
        <f>IF(DAY(A823)=DAY('F-Ahorro Futuro Reservas'!$H$10),'F-Ahorro Futuro Reservas'!$H$9,0)</f>
        <v>0</v>
      </c>
      <c r="C823" s="122">
        <f t="shared" si="25"/>
        <v>0</v>
      </c>
      <c r="D823" s="121">
        <f>ROUND(IF(C823&lt;='FR_Mantenimiento tasas'!$C$55,'Tabla Ahorro Futuro Reservas'!C823*'FR_Mantenimiento tasas'!$D$55/360,IF(C823&lt;='FR_Mantenimiento tasas'!$C$56,'Tabla Ahorro Futuro Reservas'!C823*'FR_Mantenimiento tasas'!$D$56/360,IF(C823&lt;='FR_Mantenimiento tasas'!$C$57,'Tabla Ahorro Futuro Reservas'!C823*'FR_Mantenimiento tasas'!$D$57/360,""))),5)</f>
        <v>0</v>
      </c>
      <c r="E823" s="121">
        <f>ROUND(IF(C823&lt;='FR_Mantenimiento tasas'!$C$55,'Tabla Ahorro Futuro Reservas'!C823*'FR_Mantenimiento tasas'!$E$55/360,IF(C823&lt;='FR_Mantenimiento tasas'!$C$56,'Tabla Ahorro Futuro Reservas'!C823*'FR_Mantenimiento tasas'!$E$56/360,IF(C823&lt;='FR_Mantenimiento tasas'!$C$57,'Tabla Ahorro Futuro Reservas'!C823*'FR_Mantenimiento tasas'!$E$57/360,""))),5)</f>
        <v>0</v>
      </c>
    </row>
    <row r="824" spans="1:5">
      <c r="A824" s="123">
        <f t="shared" si="24"/>
        <v>822</v>
      </c>
      <c r="B824" s="122">
        <f>IF(DAY(A824)=DAY('F-Ahorro Futuro Reservas'!$H$10),'F-Ahorro Futuro Reservas'!$H$9,0)</f>
        <v>0</v>
      </c>
      <c r="C824" s="122">
        <f t="shared" si="25"/>
        <v>0</v>
      </c>
      <c r="D824" s="121">
        <f>ROUND(IF(C824&lt;='FR_Mantenimiento tasas'!$C$55,'Tabla Ahorro Futuro Reservas'!C824*'FR_Mantenimiento tasas'!$D$55/360,IF(C824&lt;='FR_Mantenimiento tasas'!$C$56,'Tabla Ahorro Futuro Reservas'!C824*'FR_Mantenimiento tasas'!$D$56/360,IF(C824&lt;='FR_Mantenimiento tasas'!$C$57,'Tabla Ahorro Futuro Reservas'!C824*'FR_Mantenimiento tasas'!$D$57/360,""))),5)</f>
        <v>0</v>
      </c>
      <c r="E824" s="121">
        <f>ROUND(IF(C824&lt;='FR_Mantenimiento tasas'!$C$55,'Tabla Ahorro Futuro Reservas'!C824*'FR_Mantenimiento tasas'!$E$55/360,IF(C824&lt;='FR_Mantenimiento tasas'!$C$56,'Tabla Ahorro Futuro Reservas'!C824*'FR_Mantenimiento tasas'!$E$56/360,IF(C824&lt;='FR_Mantenimiento tasas'!$C$57,'Tabla Ahorro Futuro Reservas'!C824*'FR_Mantenimiento tasas'!$E$57/360,""))),5)</f>
        <v>0</v>
      </c>
    </row>
    <row r="825" spans="1:5">
      <c r="A825" s="123">
        <f t="shared" si="24"/>
        <v>823</v>
      </c>
      <c r="B825" s="122">
        <f>IF(DAY(A825)=DAY('F-Ahorro Futuro Reservas'!$H$10),'F-Ahorro Futuro Reservas'!$H$9,0)</f>
        <v>0</v>
      </c>
      <c r="C825" s="122">
        <f t="shared" si="25"/>
        <v>0</v>
      </c>
      <c r="D825" s="121">
        <f>ROUND(IF(C825&lt;='FR_Mantenimiento tasas'!$C$55,'Tabla Ahorro Futuro Reservas'!C825*'FR_Mantenimiento tasas'!$D$55/360,IF(C825&lt;='FR_Mantenimiento tasas'!$C$56,'Tabla Ahorro Futuro Reservas'!C825*'FR_Mantenimiento tasas'!$D$56/360,IF(C825&lt;='FR_Mantenimiento tasas'!$C$57,'Tabla Ahorro Futuro Reservas'!C825*'FR_Mantenimiento tasas'!$D$57/360,""))),5)</f>
        <v>0</v>
      </c>
      <c r="E825" s="121">
        <f>ROUND(IF(C825&lt;='FR_Mantenimiento tasas'!$C$55,'Tabla Ahorro Futuro Reservas'!C825*'FR_Mantenimiento tasas'!$E$55/360,IF(C825&lt;='FR_Mantenimiento tasas'!$C$56,'Tabla Ahorro Futuro Reservas'!C825*'FR_Mantenimiento tasas'!$E$56/360,IF(C825&lt;='FR_Mantenimiento tasas'!$C$57,'Tabla Ahorro Futuro Reservas'!C825*'FR_Mantenimiento tasas'!$E$57/360,""))),5)</f>
        <v>0</v>
      </c>
    </row>
    <row r="826" spans="1:5">
      <c r="A826" s="123">
        <f t="shared" si="24"/>
        <v>824</v>
      </c>
      <c r="B826" s="122">
        <f>IF(DAY(A826)=DAY('F-Ahorro Futuro Reservas'!$H$10),'F-Ahorro Futuro Reservas'!$H$9,0)</f>
        <v>0</v>
      </c>
      <c r="C826" s="122">
        <f t="shared" si="25"/>
        <v>0</v>
      </c>
      <c r="D826" s="121">
        <f>ROUND(IF(C826&lt;='FR_Mantenimiento tasas'!$C$55,'Tabla Ahorro Futuro Reservas'!C826*'FR_Mantenimiento tasas'!$D$55/360,IF(C826&lt;='FR_Mantenimiento tasas'!$C$56,'Tabla Ahorro Futuro Reservas'!C826*'FR_Mantenimiento tasas'!$D$56/360,IF(C826&lt;='FR_Mantenimiento tasas'!$C$57,'Tabla Ahorro Futuro Reservas'!C826*'FR_Mantenimiento tasas'!$D$57/360,""))),5)</f>
        <v>0</v>
      </c>
      <c r="E826" s="121">
        <f>ROUND(IF(C826&lt;='FR_Mantenimiento tasas'!$C$55,'Tabla Ahorro Futuro Reservas'!C826*'FR_Mantenimiento tasas'!$E$55/360,IF(C826&lt;='FR_Mantenimiento tasas'!$C$56,'Tabla Ahorro Futuro Reservas'!C826*'FR_Mantenimiento tasas'!$E$56/360,IF(C826&lt;='FR_Mantenimiento tasas'!$C$57,'Tabla Ahorro Futuro Reservas'!C826*'FR_Mantenimiento tasas'!$E$57/360,""))),5)</f>
        <v>0</v>
      </c>
    </row>
    <row r="827" spans="1:5">
      <c r="A827" s="123">
        <f t="shared" si="24"/>
        <v>825</v>
      </c>
      <c r="B827" s="122">
        <f>IF(DAY(A827)=DAY('F-Ahorro Futuro Reservas'!$H$10),'F-Ahorro Futuro Reservas'!$H$9,0)</f>
        <v>0</v>
      </c>
      <c r="C827" s="122">
        <f t="shared" si="25"/>
        <v>0</v>
      </c>
      <c r="D827" s="121">
        <f>ROUND(IF(C827&lt;='FR_Mantenimiento tasas'!$C$55,'Tabla Ahorro Futuro Reservas'!C827*'FR_Mantenimiento tasas'!$D$55/360,IF(C827&lt;='FR_Mantenimiento tasas'!$C$56,'Tabla Ahorro Futuro Reservas'!C827*'FR_Mantenimiento tasas'!$D$56/360,IF(C827&lt;='FR_Mantenimiento tasas'!$C$57,'Tabla Ahorro Futuro Reservas'!C827*'FR_Mantenimiento tasas'!$D$57/360,""))),5)</f>
        <v>0</v>
      </c>
      <c r="E827" s="121">
        <f>ROUND(IF(C827&lt;='FR_Mantenimiento tasas'!$C$55,'Tabla Ahorro Futuro Reservas'!C827*'FR_Mantenimiento tasas'!$E$55/360,IF(C827&lt;='FR_Mantenimiento tasas'!$C$56,'Tabla Ahorro Futuro Reservas'!C827*'FR_Mantenimiento tasas'!$E$56/360,IF(C827&lt;='FR_Mantenimiento tasas'!$C$57,'Tabla Ahorro Futuro Reservas'!C827*'FR_Mantenimiento tasas'!$E$57/360,""))),5)</f>
        <v>0</v>
      </c>
    </row>
    <row r="828" spans="1:5">
      <c r="A828" s="123">
        <f t="shared" si="24"/>
        <v>826</v>
      </c>
      <c r="B828" s="122">
        <f>IF(DAY(A828)=DAY('F-Ahorro Futuro Reservas'!$H$10),'F-Ahorro Futuro Reservas'!$H$9,0)</f>
        <v>0</v>
      </c>
      <c r="C828" s="122">
        <f t="shared" si="25"/>
        <v>0</v>
      </c>
      <c r="D828" s="121">
        <f>ROUND(IF(C828&lt;='FR_Mantenimiento tasas'!$C$55,'Tabla Ahorro Futuro Reservas'!C828*'FR_Mantenimiento tasas'!$D$55/360,IF(C828&lt;='FR_Mantenimiento tasas'!$C$56,'Tabla Ahorro Futuro Reservas'!C828*'FR_Mantenimiento tasas'!$D$56/360,IF(C828&lt;='FR_Mantenimiento tasas'!$C$57,'Tabla Ahorro Futuro Reservas'!C828*'FR_Mantenimiento tasas'!$D$57/360,""))),5)</f>
        <v>0</v>
      </c>
      <c r="E828" s="121">
        <f>ROUND(IF(C828&lt;='FR_Mantenimiento tasas'!$C$55,'Tabla Ahorro Futuro Reservas'!C828*'FR_Mantenimiento tasas'!$E$55/360,IF(C828&lt;='FR_Mantenimiento tasas'!$C$56,'Tabla Ahorro Futuro Reservas'!C828*'FR_Mantenimiento tasas'!$E$56/360,IF(C828&lt;='FR_Mantenimiento tasas'!$C$57,'Tabla Ahorro Futuro Reservas'!C828*'FR_Mantenimiento tasas'!$E$57/360,""))),5)</f>
        <v>0</v>
      </c>
    </row>
    <row r="829" spans="1:5">
      <c r="A829" s="123">
        <f t="shared" si="24"/>
        <v>827</v>
      </c>
      <c r="B829" s="122">
        <f>IF(DAY(A829)=DAY('F-Ahorro Futuro Reservas'!$H$10),'F-Ahorro Futuro Reservas'!$H$9,0)</f>
        <v>0</v>
      </c>
      <c r="C829" s="122">
        <f t="shared" si="25"/>
        <v>0</v>
      </c>
      <c r="D829" s="121">
        <f>ROUND(IF(C829&lt;='FR_Mantenimiento tasas'!$C$55,'Tabla Ahorro Futuro Reservas'!C829*'FR_Mantenimiento tasas'!$D$55/360,IF(C829&lt;='FR_Mantenimiento tasas'!$C$56,'Tabla Ahorro Futuro Reservas'!C829*'FR_Mantenimiento tasas'!$D$56/360,IF(C829&lt;='FR_Mantenimiento tasas'!$C$57,'Tabla Ahorro Futuro Reservas'!C829*'FR_Mantenimiento tasas'!$D$57/360,""))),5)</f>
        <v>0</v>
      </c>
      <c r="E829" s="121">
        <f>ROUND(IF(C829&lt;='FR_Mantenimiento tasas'!$C$55,'Tabla Ahorro Futuro Reservas'!C829*'FR_Mantenimiento tasas'!$E$55/360,IF(C829&lt;='FR_Mantenimiento tasas'!$C$56,'Tabla Ahorro Futuro Reservas'!C829*'FR_Mantenimiento tasas'!$E$56/360,IF(C829&lt;='FR_Mantenimiento tasas'!$C$57,'Tabla Ahorro Futuro Reservas'!C829*'FR_Mantenimiento tasas'!$E$57/360,""))),5)</f>
        <v>0</v>
      </c>
    </row>
    <row r="830" spans="1:5">
      <c r="A830" s="123">
        <f t="shared" si="24"/>
        <v>828</v>
      </c>
      <c r="B830" s="122">
        <f>IF(DAY(A830)=DAY('F-Ahorro Futuro Reservas'!$H$10),'F-Ahorro Futuro Reservas'!$H$9,0)</f>
        <v>0</v>
      </c>
      <c r="C830" s="122">
        <f t="shared" si="25"/>
        <v>0</v>
      </c>
      <c r="D830" s="121">
        <f>ROUND(IF(C830&lt;='FR_Mantenimiento tasas'!$C$55,'Tabla Ahorro Futuro Reservas'!C830*'FR_Mantenimiento tasas'!$D$55/360,IF(C830&lt;='FR_Mantenimiento tasas'!$C$56,'Tabla Ahorro Futuro Reservas'!C830*'FR_Mantenimiento tasas'!$D$56/360,IF(C830&lt;='FR_Mantenimiento tasas'!$C$57,'Tabla Ahorro Futuro Reservas'!C830*'FR_Mantenimiento tasas'!$D$57/360,""))),5)</f>
        <v>0</v>
      </c>
      <c r="E830" s="121">
        <f>ROUND(IF(C830&lt;='FR_Mantenimiento tasas'!$C$55,'Tabla Ahorro Futuro Reservas'!C830*'FR_Mantenimiento tasas'!$E$55/360,IF(C830&lt;='FR_Mantenimiento tasas'!$C$56,'Tabla Ahorro Futuro Reservas'!C830*'FR_Mantenimiento tasas'!$E$56/360,IF(C830&lt;='FR_Mantenimiento tasas'!$C$57,'Tabla Ahorro Futuro Reservas'!C830*'FR_Mantenimiento tasas'!$E$57/360,""))),5)</f>
        <v>0</v>
      </c>
    </row>
    <row r="831" spans="1:5">
      <c r="A831" s="123">
        <f t="shared" si="24"/>
        <v>829</v>
      </c>
      <c r="B831" s="122">
        <f>IF(DAY(A831)=DAY('F-Ahorro Futuro Reservas'!$H$10),'F-Ahorro Futuro Reservas'!$H$9,0)</f>
        <v>0</v>
      </c>
      <c r="C831" s="122">
        <f t="shared" si="25"/>
        <v>0</v>
      </c>
      <c r="D831" s="121">
        <f>ROUND(IF(C831&lt;='FR_Mantenimiento tasas'!$C$55,'Tabla Ahorro Futuro Reservas'!C831*'FR_Mantenimiento tasas'!$D$55/360,IF(C831&lt;='FR_Mantenimiento tasas'!$C$56,'Tabla Ahorro Futuro Reservas'!C831*'FR_Mantenimiento tasas'!$D$56/360,IF(C831&lt;='FR_Mantenimiento tasas'!$C$57,'Tabla Ahorro Futuro Reservas'!C831*'FR_Mantenimiento tasas'!$D$57/360,""))),5)</f>
        <v>0</v>
      </c>
      <c r="E831" s="121">
        <f>ROUND(IF(C831&lt;='FR_Mantenimiento tasas'!$C$55,'Tabla Ahorro Futuro Reservas'!C831*'FR_Mantenimiento tasas'!$E$55/360,IF(C831&lt;='FR_Mantenimiento tasas'!$C$56,'Tabla Ahorro Futuro Reservas'!C831*'FR_Mantenimiento tasas'!$E$56/360,IF(C831&lt;='FR_Mantenimiento tasas'!$C$57,'Tabla Ahorro Futuro Reservas'!C831*'FR_Mantenimiento tasas'!$E$57/360,""))),5)</f>
        <v>0</v>
      </c>
    </row>
    <row r="832" spans="1:5">
      <c r="A832" s="123">
        <f t="shared" si="24"/>
        <v>830</v>
      </c>
      <c r="B832" s="122">
        <f>IF(DAY(A832)=DAY('F-Ahorro Futuro Reservas'!$H$10),'F-Ahorro Futuro Reservas'!$H$9,0)</f>
        <v>0</v>
      </c>
      <c r="C832" s="122">
        <f t="shared" si="25"/>
        <v>0</v>
      </c>
      <c r="D832" s="121">
        <f>ROUND(IF(C832&lt;='FR_Mantenimiento tasas'!$C$55,'Tabla Ahorro Futuro Reservas'!C832*'FR_Mantenimiento tasas'!$D$55/360,IF(C832&lt;='FR_Mantenimiento tasas'!$C$56,'Tabla Ahorro Futuro Reservas'!C832*'FR_Mantenimiento tasas'!$D$56/360,IF(C832&lt;='FR_Mantenimiento tasas'!$C$57,'Tabla Ahorro Futuro Reservas'!C832*'FR_Mantenimiento tasas'!$D$57/360,""))),5)</f>
        <v>0</v>
      </c>
      <c r="E832" s="121">
        <f>ROUND(IF(C832&lt;='FR_Mantenimiento tasas'!$C$55,'Tabla Ahorro Futuro Reservas'!C832*'FR_Mantenimiento tasas'!$E$55/360,IF(C832&lt;='FR_Mantenimiento tasas'!$C$56,'Tabla Ahorro Futuro Reservas'!C832*'FR_Mantenimiento tasas'!$E$56/360,IF(C832&lt;='FR_Mantenimiento tasas'!$C$57,'Tabla Ahorro Futuro Reservas'!C832*'FR_Mantenimiento tasas'!$E$57/360,""))),5)</f>
        <v>0</v>
      </c>
    </row>
    <row r="833" spans="1:5">
      <c r="A833" s="123">
        <f t="shared" si="24"/>
        <v>831</v>
      </c>
      <c r="B833" s="122">
        <f>IF(DAY(A833)=DAY('F-Ahorro Futuro Reservas'!$H$10),'F-Ahorro Futuro Reservas'!$H$9,0)</f>
        <v>0</v>
      </c>
      <c r="C833" s="122">
        <f t="shared" si="25"/>
        <v>0</v>
      </c>
      <c r="D833" s="121">
        <f>ROUND(IF(C833&lt;='FR_Mantenimiento tasas'!$C$55,'Tabla Ahorro Futuro Reservas'!C833*'FR_Mantenimiento tasas'!$D$55/360,IF(C833&lt;='FR_Mantenimiento tasas'!$C$56,'Tabla Ahorro Futuro Reservas'!C833*'FR_Mantenimiento tasas'!$D$56/360,IF(C833&lt;='FR_Mantenimiento tasas'!$C$57,'Tabla Ahorro Futuro Reservas'!C833*'FR_Mantenimiento tasas'!$D$57/360,""))),5)</f>
        <v>0</v>
      </c>
      <c r="E833" s="121">
        <f>ROUND(IF(C833&lt;='FR_Mantenimiento tasas'!$C$55,'Tabla Ahorro Futuro Reservas'!C833*'FR_Mantenimiento tasas'!$E$55/360,IF(C833&lt;='FR_Mantenimiento tasas'!$C$56,'Tabla Ahorro Futuro Reservas'!C833*'FR_Mantenimiento tasas'!$E$56/360,IF(C833&lt;='FR_Mantenimiento tasas'!$C$57,'Tabla Ahorro Futuro Reservas'!C833*'FR_Mantenimiento tasas'!$E$57/360,""))),5)</f>
        <v>0</v>
      </c>
    </row>
    <row r="834" spans="1:5">
      <c r="A834" s="123">
        <f t="shared" si="24"/>
        <v>832</v>
      </c>
      <c r="B834" s="122">
        <f>IF(DAY(A834)=DAY('F-Ahorro Futuro Reservas'!$H$10),'F-Ahorro Futuro Reservas'!$H$9,0)</f>
        <v>0</v>
      </c>
      <c r="C834" s="122">
        <f t="shared" si="25"/>
        <v>0</v>
      </c>
      <c r="D834" s="121">
        <f>ROUND(IF(C834&lt;='FR_Mantenimiento tasas'!$C$55,'Tabla Ahorro Futuro Reservas'!C834*'FR_Mantenimiento tasas'!$D$55/360,IF(C834&lt;='FR_Mantenimiento tasas'!$C$56,'Tabla Ahorro Futuro Reservas'!C834*'FR_Mantenimiento tasas'!$D$56/360,IF(C834&lt;='FR_Mantenimiento tasas'!$C$57,'Tabla Ahorro Futuro Reservas'!C834*'FR_Mantenimiento tasas'!$D$57/360,""))),5)</f>
        <v>0</v>
      </c>
      <c r="E834" s="121">
        <f>ROUND(IF(C834&lt;='FR_Mantenimiento tasas'!$C$55,'Tabla Ahorro Futuro Reservas'!C834*'FR_Mantenimiento tasas'!$E$55/360,IF(C834&lt;='FR_Mantenimiento tasas'!$C$56,'Tabla Ahorro Futuro Reservas'!C834*'FR_Mantenimiento tasas'!$E$56/360,IF(C834&lt;='FR_Mantenimiento tasas'!$C$57,'Tabla Ahorro Futuro Reservas'!C834*'FR_Mantenimiento tasas'!$E$57/360,""))),5)</f>
        <v>0</v>
      </c>
    </row>
    <row r="835" spans="1:5">
      <c r="A835" s="123">
        <f t="shared" si="24"/>
        <v>833</v>
      </c>
      <c r="B835" s="122">
        <f>IF(DAY(A835)=DAY('F-Ahorro Futuro Reservas'!$H$10),'F-Ahorro Futuro Reservas'!$H$9,0)</f>
        <v>0</v>
      </c>
      <c r="C835" s="122">
        <f t="shared" si="25"/>
        <v>0</v>
      </c>
      <c r="D835" s="121">
        <f>ROUND(IF(C835&lt;='FR_Mantenimiento tasas'!$C$55,'Tabla Ahorro Futuro Reservas'!C835*'FR_Mantenimiento tasas'!$D$55/360,IF(C835&lt;='FR_Mantenimiento tasas'!$C$56,'Tabla Ahorro Futuro Reservas'!C835*'FR_Mantenimiento tasas'!$D$56/360,IF(C835&lt;='FR_Mantenimiento tasas'!$C$57,'Tabla Ahorro Futuro Reservas'!C835*'FR_Mantenimiento tasas'!$D$57/360,""))),5)</f>
        <v>0</v>
      </c>
      <c r="E835" s="121">
        <f>ROUND(IF(C835&lt;='FR_Mantenimiento tasas'!$C$55,'Tabla Ahorro Futuro Reservas'!C835*'FR_Mantenimiento tasas'!$E$55/360,IF(C835&lt;='FR_Mantenimiento tasas'!$C$56,'Tabla Ahorro Futuro Reservas'!C835*'FR_Mantenimiento tasas'!$E$56/360,IF(C835&lt;='FR_Mantenimiento tasas'!$C$57,'Tabla Ahorro Futuro Reservas'!C835*'FR_Mantenimiento tasas'!$E$57/360,""))),5)</f>
        <v>0</v>
      </c>
    </row>
    <row r="836" spans="1:5">
      <c r="A836" s="123">
        <f t="shared" ref="A836:A899" si="26">+A835+1</f>
        <v>834</v>
      </c>
      <c r="B836" s="122">
        <f>IF(DAY(A836)=DAY('F-Ahorro Futuro Reservas'!$H$10),'F-Ahorro Futuro Reservas'!$H$9,0)</f>
        <v>0</v>
      </c>
      <c r="C836" s="122">
        <f t="shared" ref="C836:C899" si="27">+B836+C835+D835</f>
        <v>0</v>
      </c>
      <c r="D836" s="121">
        <f>ROUND(IF(C836&lt;='FR_Mantenimiento tasas'!$C$55,'Tabla Ahorro Futuro Reservas'!C836*'FR_Mantenimiento tasas'!$D$55/360,IF(C836&lt;='FR_Mantenimiento tasas'!$C$56,'Tabla Ahorro Futuro Reservas'!C836*'FR_Mantenimiento tasas'!$D$56/360,IF(C836&lt;='FR_Mantenimiento tasas'!$C$57,'Tabla Ahorro Futuro Reservas'!C836*'FR_Mantenimiento tasas'!$D$57/360,""))),5)</f>
        <v>0</v>
      </c>
      <c r="E836" s="121">
        <f>ROUND(IF(C836&lt;='FR_Mantenimiento tasas'!$C$55,'Tabla Ahorro Futuro Reservas'!C836*'FR_Mantenimiento tasas'!$E$55/360,IF(C836&lt;='FR_Mantenimiento tasas'!$C$56,'Tabla Ahorro Futuro Reservas'!C836*'FR_Mantenimiento tasas'!$E$56/360,IF(C836&lt;='FR_Mantenimiento tasas'!$C$57,'Tabla Ahorro Futuro Reservas'!C836*'FR_Mantenimiento tasas'!$E$57/360,""))),5)</f>
        <v>0</v>
      </c>
    </row>
    <row r="837" spans="1:5">
      <c r="A837" s="123">
        <f t="shared" si="26"/>
        <v>835</v>
      </c>
      <c r="B837" s="122">
        <f>IF(DAY(A837)=DAY('F-Ahorro Futuro Reservas'!$H$10),'F-Ahorro Futuro Reservas'!$H$9,0)</f>
        <v>0</v>
      </c>
      <c r="C837" s="122">
        <f t="shared" si="27"/>
        <v>0</v>
      </c>
      <c r="D837" s="121">
        <f>ROUND(IF(C837&lt;='FR_Mantenimiento tasas'!$C$55,'Tabla Ahorro Futuro Reservas'!C837*'FR_Mantenimiento tasas'!$D$55/360,IF(C837&lt;='FR_Mantenimiento tasas'!$C$56,'Tabla Ahorro Futuro Reservas'!C837*'FR_Mantenimiento tasas'!$D$56/360,IF(C837&lt;='FR_Mantenimiento tasas'!$C$57,'Tabla Ahorro Futuro Reservas'!C837*'FR_Mantenimiento tasas'!$D$57/360,""))),5)</f>
        <v>0</v>
      </c>
      <c r="E837" s="121">
        <f>ROUND(IF(C837&lt;='FR_Mantenimiento tasas'!$C$55,'Tabla Ahorro Futuro Reservas'!C837*'FR_Mantenimiento tasas'!$E$55/360,IF(C837&lt;='FR_Mantenimiento tasas'!$C$56,'Tabla Ahorro Futuro Reservas'!C837*'FR_Mantenimiento tasas'!$E$56/360,IF(C837&lt;='FR_Mantenimiento tasas'!$C$57,'Tabla Ahorro Futuro Reservas'!C837*'FR_Mantenimiento tasas'!$E$57/360,""))),5)</f>
        <v>0</v>
      </c>
    </row>
    <row r="838" spans="1:5">
      <c r="A838" s="123">
        <f t="shared" si="26"/>
        <v>836</v>
      </c>
      <c r="B838" s="122">
        <f>IF(DAY(A838)=DAY('F-Ahorro Futuro Reservas'!$H$10),'F-Ahorro Futuro Reservas'!$H$9,0)</f>
        <v>0</v>
      </c>
      <c r="C838" s="122">
        <f t="shared" si="27"/>
        <v>0</v>
      </c>
      <c r="D838" s="121">
        <f>ROUND(IF(C838&lt;='FR_Mantenimiento tasas'!$C$55,'Tabla Ahorro Futuro Reservas'!C838*'FR_Mantenimiento tasas'!$D$55/360,IF(C838&lt;='FR_Mantenimiento tasas'!$C$56,'Tabla Ahorro Futuro Reservas'!C838*'FR_Mantenimiento tasas'!$D$56/360,IF(C838&lt;='FR_Mantenimiento tasas'!$C$57,'Tabla Ahorro Futuro Reservas'!C838*'FR_Mantenimiento tasas'!$D$57/360,""))),5)</f>
        <v>0</v>
      </c>
      <c r="E838" s="121">
        <f>ROUND(IF(C838&lt;='FR_Mantenimiento tasas'!$C$55,'Tabla Ahorro Futuro Reservas'!C838*'FR_Mantenimiento tasas'!$E$55/360,IF(C838&lt;='FR_Mantenimiento tasas'!$C$56,'Tabla Ahorro Futuro Reservas'!C838*'FR_Mantenimiento tasas'!$E$56/360,IF(C838&lt;='FR_Mantenimiento tasas'!$C$57,'Tabla Ahorro Futuro Reservas'!C838*'FR_Mantenimiento tasas'!$E$57/360,""))),5)</f>
        <v>0</v>
      </c>
    </row>
    <row r="839" spans="1:5">
      <c r="A839" s="123">
        <f t="shared" si="26"/>
        <v>837</v>
      </c>
      <c r="B839" s="122">
        <f>IF(DAY(A839)=DAY('F-Ahorro Futuro Reservas'!$H$10),'F-Ahorro Futuro Reservas'!$H$9,0)</f>
        <v>0</v>
      </c>
      <c r="C839" s="122">
        <f t="shared" si="27"/>
        <v>0</v>
      </c>
      <c r="D839" s="121">
        <f>ROUND(IF(C839&lt;='FR_Mantenimiento tasas'!$C$55,'Tabla Ahorro Futuro Reservas'!C839*'FR_Mantenimiento tasas'!$D$55/360,IF(C839&lt;='FR_Mantenimiento tasas'!$C$56,'Tabla Ahorro Futuro Reservas'!C839*'FR_Mantenimiento tasas'!$D$56/360,IF(C839&lt;='FR_Mantenimiento tasas'!$C$57,'Tabla Ahorro Futuro Reservas'!C839*'FR_Mantenimiento tasas'!$D$57/360,""))),5)</f>
        <v>0</v>
      </c>
      <c r="E839" s="121">
        <f>ROUND(IF(C839&lt;='FR_Mantenimiento tasas'!$C$55,'Tabla Ahorro Futuro Reservas'!C839*'FR_Mantenimiento tasas'!$E$55/360,IF(C839&lt;='FR_Mantenimiento tasas'!$C$56,'Tabla Ahorro Futuro Reservas'!C839*'FR_Mantenimiento tasas'!$E$56/360,IF(C839&lt;='FR_Mantenimiento tasas'!$C$57,'Tabla Ahorro Futuro Reservas'!C839*'FR_Mantenimiento tasas'!$E$57/360,""))),5)</f>
        <v>0</v>
      </c>
    </row>
    <row r="840" spans="1:5">
      <c r="A840" s="123">
        <f t="shared" si="26"/>
        <v>838</v>
      </c>
      <c r="B840" s="122">
        <f>IF(DAY(A840)=DAY('F-Ahorro Futuro Reservas'!$H$10),'F-Ahorro Futuro Reservas'!$H$9,0)</f>
        <v>0</v>
      </c>
      <c r="C840" s="122">
        <f t="shared" si="27"/>
        <v>0</v>
      </c>
      <c r="D840" s="121">
        <f>ROUND(IF(C840&lt;='FR_Mantenimiento tasas'!$C$55,'Tabla Ahorro Futuro Reservas'!C840*'FR_Mantenimiento tasas'!$D$55/360,IF(C840&lt;='FR_Mantenimiento tasas'!$C$56,'Tabla Ahorro Futuro Reservas'!C840*'FR_Mantenimiento tasas'!$D$56/360,IF(C840&lt;='FR_Mantenimiento tasas'!$C$57,'Tabla Ahorro Futuro Reservas'!C840*'FR_Mantenimiento tasas'!$D$57/360,""))),5)</f>
        <v>0</v>
      </c>
      <c r="E840" s="121">
        <f>ROUND(IF(C840&lt;='FR_Mantenimiento tasas'!$C$55,'Tabla Ahorro Futuro Reservas'!C840*'FR_Mantenimiento tasas'!$E$55/360,IF(C840&lt;='FR_Mantenimiento tasas'!$C$56,'Tabla Ahorro Futuro Reservas'!C840*'FR_Mantenimiento tasas'!$E$56/360,IF(C840&lt;='FR_Mantenimiento tasas'!$C$57,'Tabla Ahorro Futuro Reservas'!C840*'FR_Mantenimiento tasas'!$E$57/360,""))),5)</f>
        <v>0</v>
      </c>
    </row>
    <row r="841" spans="1:5">
      <c r="A841" s="123">
        <f t="shared" si="26"/>
        <v>839</v>
      </c>
      <c r="B841" s="122">
        <f>IF(DAY(A841)=DAY('F-Ahorro Futuro Reservas'!$H$10),'F-Ahorro Futuro Reservas'!$H$9,0)</f>
        <v>0</v>
      </c>
      <c r="C841" s="122">
        <f t="shared" si="27"/>
        <v>0</v>
      </c>
      <c r="D841" s="121">
        <f>ROUND(IF(C841&lt;='FR_Mantenimiento tasas'!$C$55,'Tabla Ahorro Futuro Reservas'!C841*'FR_Mantenimiento tasas'!$D$55/360,IF(C841&lt;='FR_Mantenimiento tasas'!$C$56,'Tabla Ahorro Futuro Reservas'!C841*'FR_Mantenimiento tasas'!$D$56/360,IF(C841&lt;='FR_Mantenimiento tasas'!$C$57,'Tabla Ahorro Futuro Reservas'!C841*'FR_Mantenimiento tasas'!$D$57/360,""))),5)</f>
        <v>0</v>
      </c>
      <c r="E841" s="121">
        <f>ROUND(IF(C841&lt;='FR_Mantenimiento tasas'!$C$55,'Tabla Ahorro Futuro Reservas'!C841*'FR_Mantenimiento tasas'!$E$55/360,IF(C841&lt;='FR_Mantenimiento tasas'!$C$56,'Tabla Ahorro Futuro Reservas'!C841*'FR_Mantenimiento tasas'!$E$56/360,IF(C841&lt;='FR_Mantenimiento tasas'!$C$57,'Tabla Ahorro Futuro Reservas'!C841*'FR_Mantenimiento tasas'!$E$57/360,""))),5)</f>
        <v>0</v>
      </c>
    </row>
    <row r="842" spans="1:5">
      <c r="A842" s="123">
        <f t="shared" si="26"/>
        <v>840</v>
      </c>
      <c r="B842" s="122">
        <f>IF(DAY(A842)=DAY('F-Ahorro Futuro Reservas'!$H$10),'F-Ahorro Futuro Reservas'!$H$9,0)</f>
        <v>0</v>
      </c>
      <c r="C842" s="122">
        <f t="shared" si="27"/>
        <v>0</v>
      </c>
      <c r="D842" s="121">
        <f>ROUND(IF(C842&lt;='FR_Mantenimiento tasas'!$C$55,'Tabla Ahorro Futuro Reservas'!C842*'FR_Mantenimiento tasas'!$D$55/360,IF(C842&lt;='FR_Mantenimiento tasas'!$C$56,'Tabla Ahorro Futuro Reservas'!C842*'FR_Mantenimiento tasas'!$D$56/360,IF(C842&lt;='FR_Mantenimiento tasas'!$C$57,'Tabla Ahorro Futuro Reservas'!C842*'FR_Mantenimiento tasas'!$D$57/360,""))),5)</f>
        <v>0</v>
      </c>
      <c r="E842" s="121">
        <f>ROUND(IF(C842&lt;='FR_Mantenimiento tasas'!$C$55,'Tabla Ahorro Futuro Reservas'!C842*'FR_Mantenimiento tasas'!$E$55/360,IF(C842&lt;='FR_Mantenimiento tasas'!$C$56,'Tabla Ahorro Futuro Reservas'!C842*'FR_Mantenimiento tasas'!$E$56/360,IF(C842&lt;='FR_Mantenimiento tasas'!$C$57,'Tabla Ahorro Futuro Reservas'!C842*'FR_Mantenimiento tasas'!$E$57/360,""))),5)</f>
        <v>0</v>
      </c>
    </row>
    <row r="843" spans="1:5">
      <c r="A843" s="123">
        <f t="shared" si="26"/>
        <v>841</v>
      </c>
      <c r="B843" s="122">
        <f>IF(DAY(A843)=DAY('F-Ahorro Futuro Reservas'!$H$10),'F-Ahorro Futuro Reservas'!$H$9,0)</f>
        <v>0</v>
      </c>
      <c r="C843" s="122">
        <f t="shared" si="27"/>
        <v>0</v>
      </c>
      <c r="D843" s="121">
        <f>ROUND(IF(C843&lt;='FR_Mantenimiento tasas'!$C$55,'Tabla Ahorro Futuro Reservas'!C843*'FR_Mantenimiento tasas'!$D$55/360,IF(C843&lt;='FR_Mantenimiento tasas'!$C$56,'Tabla Ahorro Futuro Reservas'!C843*'FR_Mantenimiento tasas'!$D$56/360,IF(C843&lt;='FR_Mantenimiento tasas'!$C$57,'Tabla Ahorro Futuro Reservas'!C843*'FR_Mantenimiento tasas'!$D$57/360,""))),5)</f>
        <v>0</v>
      </c>
      <c r="E843" s="121">
        <f>ROUND(IF(C843&lt;='FR_Mantenimiento tasas'!$C$55,'Tabla Ahorro Futuro Reservas'!C843*'FR_Mantenimiento tasas'!$E$55/360,IF(C843&lt;='FR_Mantenimiento tasas'!$C$56,'Tabla Ahorro Futuro Reservas'!C843*'FR_Mantenimiento tasas'!$E$56/360,IF(C843&lt;='FR_Mantenimiento tasas'!$C$57,'Tabla Ahorro Futuro Reservas'!C843*'FR_Mantenimiento tasas'!$E$57/360,""))),5)</f>
        <v>0</v>
      </c>
    </row>
    <row r="844" spans="1:5">
      <c r="A844" s="123">
        <f t="shared" si="26"/>
        <v>842</v>
      </c>
      <c r="B844" s="122">
        <f>IF(DAY(A844)=DAY('F-Ahorro Futuro Reservas'!$H$10),'F-Ahorro Futuro Reservas'!$H$9,0)</f>
        <v>0</v>
      </c>
      <c r="C844" s="122">
        <f t="shared" si="27"/>
        <v>0</v>
      </c>
      <c r="D844" s="121">
        <f>ROUND(IF(C844&lt;='FR_Mantenimiento tasas'!$C$55,'Tabla Ahorro Futuro Reservas'!C844*'FR_Mantenimiento tasas'!$D$55/360,IF(C844&lt;='FR_Mantenimiento tasas'!$C$56,'Tabla Ahorro Futuro Reservas'!C844*'FR_Mantenimiento tasas'!$D$56/360,IF(C844&lt;='FR_Mantenimiento tasas'!$C$57,'Tabla Ahorro Futuro Reservas'!C844*'FR_Mantenimiento tasas'!$D$57/360,""))),5)</f>
        <v>0</v>
      </c>
      <c r="E844" s="121">
        <f>ROUND(IF(C844&lt;='FR_Mantenimiento tasas'!$C$55,'Tabla Ahorro Futuro Reservas'!C844*'FR_Mantenimiento tasas'!$E$55/360,IF(C844&lt;='FR_Mantenimiento tasas'!$C$56,'Tabla Ahorro Futuro Reservas'!C844*'FR_Mantenimiento tasas'!$E$56/360,IF(C844&lt;='FR_Mantenimiento tasas'!$C$57,'Tabla Ahorro Futuro Reservas'!C844*'FR_Mantenimiento tasas'!$E$57/360,""))),5)</f>
        <v>0</v>
      </c>
    </row>
    <row r="845" spans="1:5">
      <c r="A845" s="123">
        <f t="shared" si="26"/>
        <v>843</v>
      </c>
      <c r="B845" s="122">
        <f>IF(DAY(A845)=DAY('F-Ahorro Futuro Reservas'!$H$10),'F-Ahorro Futuro Reservas'!$H$9,0)</f>
        <v>0</v>
      </c>
      <c r="C845" s="122">
        <f t="shared" si="27"/>
        <v>0</v>
      </c>
      <c r="D845" s="121">
        <f>ROUND(IF(C845&lt;='FR_Mantenimiento tasas'!$C$55,'Tabla Ahorro Futuro Reservas'!C845*'FR_Mantenimiento tasas'!$D$55/360,IF(C845&lt;='FR_Mantenimiento tasas'!$C$56,'Tabla Ahorro Futuro Reservas'!C845*'FR_Mantenimiento tasas'!$D$56/360,IF(C845&lt;='FR_Mantenimiento tasas'!$C$57,'Tabla Ahorro Futuro Reservas'!C845*'FR_Mantenimiento tasas'!$D$57/360,""))),5)</f>
        <v>0</v>
      </c>
      <c r="E845" s="121">
        <f>ROUND(IF(C845&lt;='FR_Mantenimiento tasas'!$C$55,'Tabla Ahorro Futuro Reservas'!C845*'FR_Mantenimiento tasas'!$E$55/360,IF(C845&lt;='FR_Mantenimiento tasas'!$C$56,'Tabla Ahorro Futuro Reservas'!C845*'FR_Mantenimiento tasas'!$E$56/360,IF(C845&lt;='FR_Mantenimiento tasas'!$C$57,'Tabla Ahorro Futuro Reservas'!C845*'FR_Mantenimiento tasas'!$E$57/360,""))),5)</f>
        <v>0</v>
      </c>
    </row>
    <row r="846" spans="1:5">
      <c r="A846" s="123">
        <f t="shared" si="26"/>
        <v>844</v>
      </c>
      <c r="B846" s="122">
        <f>IF(DAY(A846)=DAY('F-Ahorro Futuro Reservas'!$H$10),'F-Ahorro Futuro Reservas'!$H$9,0)</f>
        <v>0</v>
      </c>
      <c r="C846" s="122">
        <f t="shared" si="27"/>
        <v>0</v>
      </c>
      <c r="D846" s="121">
        <f>ROUND(IF(C846&lt;='FR_Mantenimiento tasas'!$C$55,'Tabla Ahorro Futuro Reservas'!C846*'FR_Mantenimiento tasas'!$D$55/360,IF(C846&lt;='FR_Mantenimiento tasas'!$C$56,'Tabla Ahorro Futuro Reservas'!C846*'FR_Mantenimiento tasas'!$D$56/360,IF(C846&lt;='FR_Mantenimiento tasas'!$C$57,'Tabla Ahorro Futuro Reservas'!C846*'FR_Mantenimiento tasas'!$D$57/360,""))),5)</f>
        <v>0</v>
      </c>
      <c r="E846" s="121">
        <f>ROUND(IF(C846&lt;='FR_Mantenimiento tasas'!$C$55,'Tabla Ahorro Futuro Reservas'!C846*'FR_Mantenimiento tasas'!$E$55/360,IF(C846&lt;='FR_Mantenimiento tasas'!$C$56,'Tabla Ahorro Futuro Reservas'!C846*'FR_Mantenimiento tasas'!$E$56/360,IF(C846&lt;='FR_Mantenimiento tasas'!$C$57,'Tabla Ahorro Futuro Reservas'!C846*'FR_Mantenimiento tasas'!$E$57/360,""))),5)</f>
        <v>0</v>
      </c>
    </row>
    <row r="847" spans="1:5">
      <c r="A847" s="123">
        <f t="shared" si="26"/>
        <v>845</v>
      </c>
      <c r="B847" s="122">
        <f>IF(DAY(A847)=DAY('F-Ahorro Futuro Reservas'!$H$10),'F-Ahorro Futuro Reservas'!$H$9,0)</f>
        <v>0</v>
      </c>
      <c r="C847" s="122">
        <f t="shared" si="27"/>
        <v>0</v>
      </c>
      <c r="D847" s="121">
        <f>ROUND(IF(C847&lt;='FR_Mantenimiento tasas'!$C$55,'Tabla Ahorro Futuro Reservas'!C847*'FR_Mantenimiento tasas'!$D$55/360,IF(C847&lt;='FR_Mantenimiento tasas'!$C$56,'Tabla Ahorro Futuro Reservas'!C847*'FR_Mantenimiento tasas'!$D$56/360,IF(C847&lt;='FR_Mantenimiento tasas'!$C$57,'Tabla Ahorro Futuro Reservas'!C847*'FR_Mantenimiento tasas'!$D$57/360,""))),5)</f>
        <v>0</v>
      </c>
      <c r="E847" s="121">
        <f>ROUND(IF(C847&lt;='FR_Mantenimiento tasas'!$C$55,'Tabla Ahorro Futuro Reservas'!C847*'FR_Mantenimiento tasas'!$E$55/360,IF(C847&lt;='FR_Mantenimiento tasas'!$C$56,'Tabla Ahorro Futuro Reservas'!C847*'FR_Mantenimiento tasas'!$E$56/360,IF(C847&lt;='FR_Mantenimiento tasas'!$C$57,'Tabla Ahorro Futuro Reservas'!C847*'FR_Mantenimiento tasas'!$E$57/360,""))),5)</f>
        <v>0</v>
      </c>
    </row>
    <row r="848" spans="1:5">
      <c r="A848" s="123">
        <f t="shared" si="26"/>
        <v>846</v>
      </c>
      <c r="B848" s="122">
        <f>IF(DAY(A848)=DAY('F-Ahorro Futuro Reservas'!$H$10),'F-Ahorro Futuro Reservas'!$H$9,0)</f>
        <v>0</v>
      </c>
      <c r="C848" s="122">
        <f t="shared" si="27"/>
        <v>0</v>
      </c>
      <c r="D848" s="121">
        <f>ROUND(IF(C848&lt;='FR_Mantenimiento tasas'!$C$55,'Tabla Ahorro Futuro Reservas'!C848*'FR_Mantenimiento tasas'!$D$55/360,IF(C848&lt;='FR_Mantenimiento tasas'!$C$56,'Tabla Ahorro Futuro Reservas'!C848*'FR_Mantenimiento tasas'!$D$56/360,IF(C848&lt;='FR_Mantenimiento tasas'!$C$57,'Tabla Ahorro Futuro Reservas'!C848*'FR_Mantenimiento tasas'!$D$57/360,""))),5)</f>
        <v>0</v>
      </c>
      <c r="E848" s="121">
        <f>ROUND(IF(C848&lt;='FR_Mantenimiento tasas'!$C$55,'Tabla Ahorro Futuro Reservas'!C848*'FR_Mantenimiento tasas'!$E$55/360,IF(C848&lt;='FR_Mantenimiento tasas'!$C$56,'Tabla Ahorro Futuro Reservas'!C848*'FR_Mantenimiento tasas'!$E$56/360,IF(C848&lt;='FR_Mantenimiento tasas'!$C$57,'Tabla Ahorro Futuro Reservas'!C848*'FR_Mantenimiento tasas'!$E$57/360,""))),5)</f>
        <v>0</v>
      </c>
    </row>
    <row r="849" spans="1:5">
      <c r="A849" s="123">
        <f t="shared" si="26"/>
        <v>847</v>
      </c>
      <c r="B849" s="122">
        <f>IF(DAY(A849)=DAY('F-Ahorro Futuro Reservas'!$H$10),'F-Ahorro Futuro Reservas'!$H$9,0)</f>
        <v>0</v>
      </c>
      <c r="C849" s="122">
        <f t="shared" si="27"/>
        <v>0</v>
      </c>
      <c r="D849" s="121">
        <f>ROUND(IF(C849&lt;='FR_Mantenimiento tasas'!$C$55,'Tabla Ahorro Futuro Reservas'!C849*'FR_Mantenimiento tasas'!$D$55/360,IF(C849&lt;='FR_Mantenimiento tasas'!$C$56,'Tabla Ahorro Futuro Reservas'!C849*'FR_Mantenimiento tasas'!$D$56/360,IF(C849&lt;='FR_Mantenimiento tasas'!$C$57,'Tabla Ahorro Futuro Reservas'!C849*'FR_Mantenimiento tasas'!$D$57/360,""))),5)</f>
        <v>0</v>
      </c>
      <c r="E849" s="121">
        <f>ROUND(IF(C849&lt;='FR_Mantenimiento tasas'!$C$55,'Tabla Ahorro Futuro Reservas'!C849*'FR_Mantenimiento tasas'!$E$55/360,IF(C849&lt;='FR_Mantenimiento tasas'!$C$56,'Tabla Ahorro Futuro Reservas'!C849*'FR_Mantenimiento tasas'!$E$56/360,IF(C849&lt;='FR_Mantenimiento tasas'!$C$57,'Tabla Ahorro Futuro Reservas'!C849*'FR_Mantenimiento tasas'!$E$57/360,""))),5)</f>
        <v>0</v>
      </c>
    </row>
    <row r="850" spans="1:5">
      <c r="A850" s="123">
        <f t="shared" si="26"/>
        <v>848</v>
      </c>
      <c r="B850" s="122">
        <f>IF(DAY(A850)=DAY('F-Ahorro Futuro Reservas'!$H$10),'F-Ahorro Futuro Reservas'!$H$9,0)</f>
        <v>0</v>
      </c>
      <c r="C850" s="122">
        <f t="shared" si="27"/>
        <v>0</v>
      </c>
      <c r="D850" s="121">
        <f>ROUND(IF(C850&lt;='FR_Mantenimiento tasas'!$C$55,'Tabla Ahorro Futuro Reservas'!C850*'FR_Mantenimiento tasas'!$D$55/360,IF(C850&lt;='FR_Mantenimiento tasas'!$C$56,'Tabla Ahorro Futuro Reservas'!C850*'FR_Mantenimiento tasas'!$D$56/360,IF(C850&lt;='FR_Mantenimiento tasas'!$C$57,'Tabla Ahorro Futuro Reservas'!C850*'FR_Mantenimiento tasas'!$D$57/360,""))),5)</f>
        <v>0</v>
      </c>
      <c r="E850" s="121">
        <f>ROUND(IF(C850&lt;='FR_Mantenimiento tasas'!$C$55,'Tabla Ahorro Futuro Reservas'!C850*'FR_Mantenimiento tasas'!$E$55/360,IF(C850&lt;='FR_Mantenimiento tasas'!$C$56,'Tabla Ahorro Futuro Reservas'!C850*'FR_Mantenimiento tasas'!$E$56/360,IF(C850&lt;='FR_Mantenimiento tasas'!$C$57,'Tabla Ahorro Futuro Reservas'!C850*'FR_Mantenimiento tasas'!$E$57/360,""))),5)</f>
        <v>0</v>
      </c>
    </row>
    <row r="851" spans="1:5">
      <c r="A851" s="123">
        <f t="shared" si="26"/>
        <v>849</v>
      </c>
      <c r="B851" s="122">
        <f>IF(DAY(A851)=DAY('F-Ahorro Futuro Reservas'!$H$10),'F-Ahorro Futuro Reservas'!$H$9,0)</f>
        <v>0</v>
      </c>
      <c r="C851" s="122">
        <f t="shared" si="27"/>
        <v>0</v>
      </c>
      <c r="D851" s="121">
        <f>ROUND(IF(C851&lt;='FR_Mantenimiento tasas'!$C$55,'Tabla Ahorro Futuro Reservas'!C851*'FR_Mantenimiento tasas'!$D$55/360,IF(C851&lt;='FR_Mantenimiento tasas'!$C$56,'Tabla Ahorro Futuro Reservas'!C851*'FR_Mantenimiento tasas'!$D$56/360,IF(C851&lt;='FR_Mantenimiento tasas'!$C$57,'Tabla Ahorro Futuro Reservas'!C851*'FR_Mantenimiento tasas'!$D$57/360,""))),5)</f>
        <v>0</v>
      </c>
      <c r="E851" s="121">
        <f>ROUND(IF(C851&lt;='FR_Mantenimiento tasas'!$C$55,'Tabla Ahorro Futuro Reservas'!C851*'FR_Mantenimiento tasas'!$E$55/360,IF(C851&lt;='FR_Mantenimiento tasas'!$C$56,'Tabla Ahorro Futuro Reservas'!C851*'FR_Mantenimiento tasas'!$E$56/360,IF(C851&lt;='FR_Mantenimiento tasas'!$C$57,'Tabla Ahorro Futuro Reservas'!C851*'FR_Mantenimiento tasas'!$E$57/360,""))),5)</f>
        <v>0</v>
      </c>
    </row>
    <row r="852" spans="1:5">
      <c r="A852" s="123">
        <f t="shared" si="26"/>
        <v>850</v>
      </c>
      <c r="B852" s="122">
        <f>IF(DAY(A852)=DAY('F-Ahorro Futuro Reservas'!$H$10),'F-Ahorro Futuro Reservas'!$H$9,0)</f>
        <v>0</v>
      </c>
      <c r="C852" s="122">
        <f t="shared" si="27"/>
        <v>0</v>
      </c>
      <c r="D852" s="121">
        <f>ROUND(IF(C852&lt;='FR_Mantenimiento tasas'!$C$55,'Tabla Ahorro Futuro Reservas'!C852*'FR_Mantenimiento tasas'!$D$55/360,IF(C852&lt;='FR_Mantenimiento tasas'!$C$56,'Tabla Ahorro Futuro Reservas'!C852*'FR_Mantenimiento tasas'!$D$56/360,IF(C852&lt;='FR_Mantenimiento tasas'!$C$57,'Tabla Ahorro Futuro Reservas'!C852*'FR_Mantenimiento tasas'!$D$57/360,""))),5)</f>
        <v>0</v>
      </c>
      <c r="E852" s="121">
        <f>ROUND(IF(C852&lt;='FR_Mantenimiento tasas'!$C$55,'Tabla Ahorro Futuro Reservas'!C852*'FR_Mantenimiento tasas'!$E$55/360,IF(C852&lt;='FR_Mantenimiento tasas'!$C$56,'Tabla Ahorro Futuro Reservas'!C852*'FR_Mantenimiento tasas'!$E$56/360,IF(C852&lt;='FR_Mantenimiento tasas'!$C$57,'Tabla Ahorro Futuro Reservas'!C852*'FR_Mantenimiento tasas'!$E$57/360,""))),5)</f>
        <v>0</v>
      </c>
    </row>
    <row r="853" spans="1:5">
      <c r="A853" s="123">
        <f t="shared" si="26"/>
        <v>851</v>
      </c>
      <c r="B853" s="122">
        <f>IF(DAY(A853)=DAY('F-Ahorro Futuro Reservas'!$H$10),'F-Ahorro Futuro Reservas'!$H$9,0)</f>
        <v>0</v>
      </c>
      <c r="C853" s="122">
        <f t="shared" si="27"/>
        <v>0</v>
      </c>
      <c r="D853" s="121">
        <f>ROUND(IF(C853&lt;='FR_Mantenimiento tasas'!$C$55,'Tabla Ahorro Futuro Reservas'!C853*'FR_Mantenimiento tasas'!$D$55/360,IF(C853&lt;='FR_Mantenimiento tasas'!$C$56,'Tabla Ahorro Futuro Reservas'!C853*'FR_Mantenimiento tasas'!$D$56/360,IF(C853&lt;='FR_Mantenimiento tasas'!$C$57,'Tabla Ahorro Futuro Reservas'!C853*'FR_Mantenimiento tasas'!$D$57/360,""))),5)</f>
        <v>0</v>
      </c>
      <c r="E853" s="121">
        <f>ROUND(IF(C853&lt;='FR_Mantenimiento tasas'!$C$55,'Tabla Ahorro Futuro Reservas'!C853*'FR_Mantenimiento tasas'!$E$55/360,IF(C853&lt;='FR_Mantenimiento tasas'!$C$56,'Tabla Ahorro Futuro Reservas'!C853*'FR_Mantenimiento tasas'!$E$56/360,IF(C853&lt;='FR_Mantenimiento tasas'!$C$57,'Tabla Ahorro Futuro Reservas'!C853*'FR_Mantenimiento tasas'!$E$57/360,""))),5)</f>
        <v>0</v>
      </c>
    </row>
    <row r="854" spans="1:5">
      <c r="A854" s="123">
        <f t="shared" si="26"/>
        <v>852</v>
      </c>
      <c r="B854" s="122">
        <f>IF(DAY(A854)=DAY('F-Ahorro Futuro Reservas'!$H$10),'F-Ahorro Futuro Reservas'!$H$9,0)</f>
        <v>0</v>
      </c>
      <c r="C854" s="122">
        <f t="shared" si="27"/>
        <v>0</v>
      </c>
      <c r="D854" s="121">
        <f>ROUND(IF(C854&lt;='FR_Mantenimiento tasas'!$C$55,'Tabla Ahorro Futuro Reservas'!C854*'FR_Mantenimiento tasas'!$D$55/360,IF(C854&lt;='FR_Mantenimiento tasas'!$C$56,'Tabla Ahorro Futuro Reservas'!C854*'FR_Mantenimiento tasas'!$D$56/360,IF(C854&lt;='FR_Mantenimiento tasas'!$C$57,'Tabla Ahorro Futuro Reservas'!C854*'FR_Mantenimiento tasas'!$D$57/360,""))),5)</f>
        <v>0</v>
      </c>
      <c r="E854" s="121">
        <f>ROUND(IF(C854&lt;='FR_Mantenimiento tasas'!$C$55,'Tabla Ahorro Futuro Reservas'!C854*'FR_Mantenimiento tasas'!$E$55/360,IF(C854&lt;='FR_Mantenimiento tasas'!$C$56,'Tabla Ahorro Futuro Reservas'!C854*'FR_Mantenimiento tasas'!$E$56/360,IF(C854&lt;='FR_Mantenimiento tasas'!$C$57,'Tabla Ahorro Futuro Reservas'!C854*'FR_Mantenimiento tasas'!$E$57/360,""))),5)</f>
        <v>0</v>
      </c>
    </row>
    <row r="855" spans="1:5">
      <c r="A855" s="123">
        <f t="shared" si="26"/>
        <v>853</v>
      </c>
      <c r="B855" s="122">
        <f>IF(DAY(A855)=DAY('F-Ahorro Futuro Reservas'!$H$10),'F-Ahorro Futuro Reservas'!$H$9,0)</f>
        <v>0</v>
      </c>
      <c r="C855" s="122">
        <f t="shared" si="27"/>
        <v>0</v>
      </c>
      <c r="D855" s="121">
        <f>ROUND(IF(C855&lt;='FR_Mantenimiento tasas'!$C$55,'Tabla Ahorro Futuro Reservas'!C855*'FR_Mantenimiento tasas'!$D$55/360,IF(C855&lt;='FR_Mantenimiento tasas'!$C$56,'Tabla Ahorro Futuro Reservas'!C855*'FR_Mantenimiento tasas'!$D$56/360,IF(C855&lt;='FR_Mantenimiento tasas'!$C$57,'Tabla Ahorro Futuro Reservas'!C855*'FR_Mantenimiento tasas'!$D$57/360,""))),5)</f>
        <v>0</v>
      </c>
      <c r="E855" s="121">
        <f>ROUND(IF(C855&lt;='FR_Mantenimiento tasas'!$C$55,'Tabla Ahorro Futuro Reservas'!C855*'FR_Mantenimiento tasas'!$E$55/360,IF(C855&lt;='FR_Mantenimiento tasas'!$C$56,'Tabla Ahorro Futuro Reservas'!C855*'FR_Mantenimiento tasas'!$E$56/360,IF(C855&lt;='FR_Mantenimiento tasas'!$C$57,'Tabla Ahorro Futuro Reservas'!C855*'FR_Mantenimiento tasas'!$E$57/360,""))),5)</f>
        <v>0</v>
      </c>
    </row>
    <row r="856" spans="1:5">
      <c r="A856" s="123">
        <f t="shared" si="26"/>
        <v>854</v>
      </c>
      <c r="B856" s="122">
        <f>IF(DAY(A856)=DAY('F-Ahorro Futuro Reservas'!$H$10),'F-Ahorro Futuro Reservas'!$H$9,0)</f>
        <v>0</v>
      </c>
      <c r="C856" s="122">
        <f t="shared" si="27"/>
        <v>0</v>
      </c>
      <c r="D856" s="121">
        <f>ROUND(IF(C856&lt;='FR_Mantenimiento tasas'!$C$55,'Tabla Ahorro Futuro Reservas'!C856*'FR_Mantenimiento tasas'!$D$55/360,IF(C856&lt;='FR_Mantenimiento tasas'!$C$56,'Tabla Ahorro Futuro Reservas'!C856*'FR_Mantenimiento tasas'!$D$56/360,IF(C856&lt;='FR_Mantenimiento tasas'!$C$57,'Tabla Ahorro Futuro Reservas'!C856*'FR_Mantenimiento tasas'!$D$57/360,""))),5)</f>
        <v>0</v>
      </c>
      <c r="E856" s="121">
        <f>ROUND(IF(C856&lt;='FR_Mantenimiento tasas'!$C$55,'Tabla Ahorro Futuro Reservas'!C856*'FR_Mantenimiento tasas'!$E$55/360,IF(C856&lt;='FR_Mantenimiento tasas'!$C$56,'Tabla Ahorro Futuro Reservas'!C856*'FR_Mantenimiento tasas'!$E$56/360,IF(C856&lt;='FR_Mantenimiento tasas'!$C$57,'Tabla Ahorro Futuro Reservas'!C856*'FR_Mantenimiento tasas'!$E$57/360,""))),5)</f>
        <v>0</v>
      </c>
    </row>
    <row r="857" spans="1:5">
      <c r="A857" s="123">
        <f t="shared" si="26"/>
        <v>855</v>
      </c>
      <c r="B857" s="122">
        <f>IF(DAY(A857)=DAY('F-Ahorro Futuro Reservas'!$H$10),'F-Ahorro Futuro Reservas'!$H$9,0)</f>
        <v>0</v>
      </c>
      <c r="C857" s="122">
        <f t="shared" si="27"/>
        <v>0</v>
      </c>
      <c r="D857" s="121">
        <f>ROUND(IF(C857&lt;='FR_Mantenimiento tasas'!$C$55,'Tabla Ahorro Futuro Reservas'!C857*'FR_Mantenimiento tasas'!$D$55/360,IF(C857&lt;='FR_Mantenimiento tasas'!$C$56,'Tabla Ahorro Futuro Reservas'!C857*'FR_Mantenimiento tasas'!$D$56/360,IF(C857&lt;='FR_Mantenimiento tasas'!$C$57,'Tabla Ahorro Futuro Reservas'!C857*'FR_Mantenimiento tasas'!$D$57/360,""))),5)</f>
        <v>0</v>
      </c>
      <c r="E857" s="121">
        <f>ROUND(IF(C857&lt;='FR_Mantenimiento tasas'!$C$55,'Tabla Ahorro Futuro Reservas'!C857*'FR_Mantenimiento tasas'!$E$55/360,IF(C857&lt;='FR_Mantenimiento tasas'!$C$56,'Tabla Ahorro Futuro Reservas'!C857*'FR_Mantenimiento tasas'!$E$56/360,IF(C857&lt;='FR_Mantenimiento tasas'!$C$57,'Tabla Ahorro Futuro Reservas'!C857*'FR_Mantenimiento tasas'!$E$57/360,""))),5)</f>
        <v>0</v>
      </c>
    </row>
    <row r="858" spans="1:5">
      <c r="A858" s="123">
        <f t="shared" si="26"/>
        <v>856</v>
      </c>
      <c r="B858" s="122">
        <f>IF(DAY(A858)=DAY('F-Ahorro Futuro Reservas'!$H$10),'F-Ahorro Futuro Reservas'!$H$9,0)</f>
        <v>0</v>
      </c>
      <c r="C858" s="122">
        <f t="shared" si="27"/>
        <v>0</v>
      </c>
      <c r="D858" s="121">
        <f>ROUND(IF(C858&lt;='FR_Mantenimiento tasas'!$C$55,'Tabla Ahorro Futuro Reservas'!C858*'FR_Mantenimiento tasas'!$D$55/360,IF(C858&lt;='FR_Mantenimiento tasas'!$C$56,'Tabla Ahorro Futuro Reservas'!C858*'FR_Mantenimiento tasas'!$D$56/360,IF(C858&lt;='FR_Mantenimiento tasas'!$C$57,'Tabla Ahorro Futuro Reservas'!C858*'FR_Mantenimiento tasas'!$D$57/360,""))),5)</f>
        <v>0</v>
      </c>
      <c r="E858" s="121">
        <f>ROUND(IF(C858&lt;='FR_Mantenimiento tasas'!$C$55,'Tabla Ahorro Futuro Reservas'!C858*'FR_Mantenimiento tasas'!$E$55/360,IF(C858&lt;='FR_Mantenimiento tasas'!$C$56,'Tabla Ahorro Futuro Reservas'!C858*'FR_Mantenimiento tasas'!$E$56/360,IF(C858&lt;='FR_Mantenimiento tasas'!$C$57,'Tabla Ahorro Futuro Reservas'!C858*'FR_Mantenimiento tasas'!$E$57/360,""))),5)</f>
        <v>0</v>
      </c>
    </row>
    <row r="859" spans="1:5">
      <c r="A859" s="123">
        <f t="shared" si="26"/>
        <v>857</v>
      </c>
      <c r="B859" s="122">
        <f>IF(DAY(A859)=DAY('F-Ahorro Futuro Reservas'!$H$10),'F-Ahorro Futuro Reservas'!$H$9,0)</f>
        <v>0</v>
      </c>
      <c r="C859" s="122">
        <f t="shared" si="27"/>
        <v>0</v>
      </c>
      <c r="D859" s="121">
        <f>ROUND(IF(C859&lt;='FR_Mantenimiento tasas'!$C$55,'Tabla Ahorro Futuro Reservas'!C859*'FR_Mantenimiento tasas'!$D$55/360,IF(C859&lt;='FR_Mantenimiento tasas'!$C$56,'Tabla Ahorro Futuro Reservas'!C859*'FR_Mantenimiento tasas'!$D$56/360,IF(C859&lt;='FR_Mantenimiento tasas'!$C$57,'Tabla Ahorro Futuro Reservas'!C859*'FR_Mantenimiento tasas'!$D$57/360,""))),5)</f>
        <v>0</v>
      </c>
      <c r="E859" s="121">
        <f>ROUND(IF(C859&lt;='FR_Mantenimiento tasas'!$C$55,'Tabla Ahorro Futuro Reservas'!C859*'FR_Mantenimiento tasas'!$E$55/360,IF(C859&lt;='FR_Mantenimiento tasas'!$C$56,'Tabla Ahorro Futuro Reservas'!C859*'FR_Mantenimiento tasas'!$E$56/360,IF(C859&lt;='FR_Mantenimiento tasas'!$C$57,'Tabla Ahorro Futuro Reservas'!C859*'FR_Mantenimiento tasas'!$E$57/360,""))),5)</f>
        <v>0</v>
      </c>
    </row>
    <row r="860" spans="1:5">
      <c r="A860" s="123">
        <f t="shared" si="26"/>
        <v>858</v>
      </c>
      <c r="B860" s="122">
        <f>IF(DAY(A860)=DAY('F-Ahorro Futuro Reservas'!$H$10),'F-Ahorro Futuro Reservas'!$H$9,0)</f>
        <v>0</v>
      </c>
      <c r="C860" s="122">
        <f t="shared" si="27"/>
        <v>0</v>
      </c>
      <c r="D860" s="121">
        <f>ROUND(IF(C860&lt;='FR_Mantenimiento tasas'!$C$55,'Tabla Ahorro Futuro Reservas'!C860*'FR_Mantenimiento tasas'!$D$55/360,IF(C860&lt;='FR_Mantenimiento tasas'!$C$56,'Tabla Ahorro Futuro Reservas'!C860*'FR_Mantenimiento tasas'!$D$56/360,IF(C860&lt;='FR_Mantenimiento tasas'!$C$57,'Tabla Ahorro Futuro Reservas'!C860*'FR_Mantenimiento tasas'!$D$57/360,""))),5)</f>
        <v>0</v>
      </c>
      <c r="E860" s="121">
        <f>ROUND(IF(C860&lt;='FR_Mantenimiento tasas'!$C$55,'Tabla Ahorro Futuro Reservas'!C860*'FR_Mantenimiento tasas'!$E$55/360,IF(C860&lt;='FR_Mantenimiento tasas'!$C$56,'Tabla Ahorro Futuro Reservas'!C860*'FR_Mantenimiento tasas'!$E$56/360,IF(C860&lt;='FR_Mantenimiento tasas'!$C$57,'Tabla Ahorro Futuro Reservas'!C860*'FR_Mantenimiento tasas'!$E$57/360,""))),5)</f>
        <v>0</v>
      </c>
    </row>
    <row r="861" spans="1:5">
      <c r="A861" s="123">
        <f t="shared" si="26"/>
        <v>859</v>
      </c>
      <c r="B861" s="122">
        <f>IF(DAY(A861)=DAY('F-Ahorro Futuro Reservas'!$H$10),'F-Ahorro Futuro Reservas'!$H$9,0)</f>
        <v>0</v>
      </c>
      <c r="C861" s="122">
        <f t="shared" si="27"/>
        <v>0</v>
      </c>
      <c r="D861" s="121">
        <f>ROUND(IF(C861&lt;='FR_Mantenimiento tasas'!$C$55,'Tabla Ahorro Futuro Reservas'!C861*'FR_Mantenimiento tasas'!$D$55/360,IF(C861&lt;='FR_Mantenimiento tasas'!$C$56,'Tabla Ahorro Futuro Reservas'!C861*'FR_Mantenimiento tasas'!$D$56/360,IF(C861&lt;='FR_Mantenimiento tasas'!$C$57,'Tabla Ahorro Futuro Reservas'!C861*'FR_Mantenimiento tasas'!$D$57/360,""))),5)</f>
        <v>0</v>
      </c>
      <c r="E861" s="121">
        <f>ROUND(IF(C861&lt;='FR_Mantenimiento tasas'!$C$55,'Tabla Ahorro Futuro Reservas'!C861*'FR_Mantenimiento tasas'!$E$55/360,IF(C861&lt;='FR_Mantenimiento tasas'!$C$56,'Tabla Ahorro Futuro Reservas'!C861*'FR_Mantenimiento tasas'!$E$56/360,IF(C861&lt;='FR_Mantenimiento tasas'!$C$57,'Tabla Ahorro Futuro Reservas'!C861*'FR_Mantenimiento tasas'!$E$57/360,""))),5)</f>
        <v>0</v>
      </c>
    </row>
    <row r="862" spans="1:5">
      <c r="A862" s="123">
        <f t="shared" si="26"/>
        <v>860</v>
      </c>
      <c r="B862" s="122">
        <f>IF(DAY(A862)=DAY('F-Ahorro Futuro Reservas'!$H$10),'F-Ahorro Futuro Reservas'!$H$9,0)</f>
        <v>0</v>
      </c>
      <c r="C862" s="122">
        <f t="shared" si="27"/>
        <v>0</v>
      </c>
      <c r="D862" s="121">
        <f>ROUND(IF(C862&lt;='FR_Mantenimiento tasas'!$C$55,'Tabla Ahorro Futuro Reservas'!C862*'FR_Mantenimiento tasas'!$D$55/360,IF(C862&lt;='FR_Mantenimiento tasas'!$C$56,'Tabla Ahorro Futuro Reservas'!C862*'FR_Mantenimiento tasas'!$D$56/360,IF(C862&lt;='FR_Mantenimiento tasas'!$C$57,'Tabla Ahorro Futuro Reservas'!C862*'FR_Mantenimiento tasas'!$D$57/360,""))),5)</f>
        <v>0</v>
      </c>
      <c r="E862" s="121">
        <f>ROUND(IF(C862&lt;='FR_Mantenimiento tasas'!$C$55,'Tabla Ahorro Futuro Reservas'!C862*'FR_Mantenimiento tasas'!$E$55/360,IF(C862&lt;='FR_Mantenimiento tasas'!$C$56,'Tabla Ahorro Futuro Reservas'!C862*'FR_Mantenimiento tasas'!$E$56/360,IF(C862&lt;='FR_Mantenimiento tasas'!$C$57,'Tabla Ahorro Futuro Reservas'!C862*'FR_Mantenimiento tasas'!$E$57/360,""))),5)</f>
        <v>0</v>
      </c>
    </row>
    <row r="863" spans="1:5">
      <c r="A863" s="123">
        <f t="shared" si="26"/>
        <v>861</v>
      </c>
      <c r="B863" s="122">
        <f>IF(DAY(A863)=DAY('F-Ahorro Futuro Reservas'!$H$10),'F-Ahorro Futuro Reservas'!$H$9,0)</f>
        <v>0</v>
      </c>
      <c r="C863" s="122">
        <f t="shared" si="27"/>
        <v>0</v>
      </c>
      <c r="D863" s="121">
        <f>ROUND(IF(C863&lt;='FR_Mantenimiento tasas'!$C$55,'Tabla Ahorro Futuro Reservas'!C863*'FR_Mantenimiento tasas'!$D$55/360,IF(C863&lt;='FR_Mantenimiento tasas'!$C$56,'Tabla Ahorro Futuro Reservas'!C863*'FR_Mantenimiento tasas'!$D$56/360,IF(C863&lt;='FR_Mantenimiento tasas'!$C$57,'Tabla Ahorro Futuro Reservas'!C863*'FR_Mantenimiento tasas'!$D$57/360,""))),5)</f>
        <v>0</v>
      </c>
      <c r="E863" s="121">
        <f>ROUND(IF(C863&lt;='FR_Mantenimiento tasas'!$C$55,'Tabla Ahorro Futuro Reservas'!C863*'FR_Mantenimiento tasas'!$E$55/360,IF(C863&lt;='FR_Mantenimiento tasas'!$C$56,'Tabla Ahorro Futuro Reservas'!C863*'FR_Mantenimiento tasas'!$E$56/360,IF(C863&lt;='FR_Mantenimiento tasas'!$C$57,'Tabla Ahorro Futuro Reservas'!C863*'FR_Mantenimiento tasas'!$E$57/360,""))),5)</f>
        <v>0</v>
      </c>
    </row>
    <row r="864" spans="1:5">
      <c r="A864" s="123">
        <f t="shared" si="26"/>
        <v>862</v>
      </c>
      <c r="B864" s="122">
        <f>IF(DAY(A864)=DAY('F-Ahorro Futuro Reservas'!$H$10),'F-Ahorro Futuro Reservas'!$H$9,0)</f>
        <v>0</v>
      </c>
      <c r="C864" s="122">
        <f t="shared" si="27"/>
        <v>0</v>
      </c>
      <c r="D864" s="121">
        <f>ROUND(IF(C864&lt;='FR_Mantenimiento tasas'!$C$55,'Tabla Ahorro Futuro Reservas'!C864*'FR_Mantenimiento tasas'!$D$55/360,IF(C864&lt;='FR_Mantenimiento tasas'!$C$56,'Tabla Ahorro Futuro Reservas'!C864*'FR_Mantenimiento tasas'!$D$56/360,IF(C864&lt;='FR_Mantenimiento tasas'!$C$57,'Tabla Ahorro Futuro Reservas'!C864*'FR_Mantenimiento tasas'!$D$57/360,""))),5)</f>
        <v>0</v>
      </c>
      <c r="E864" s="121">
        <f>ROUND(IF(C864&lt;='FR_Mantenimiento tasas'!$C$55,'Tabla Ahorro Futuro Reservas'!C864*'FR_Mantenimiento tasas'!$E$55/360,IF(C864&lt;='FR_Mantenimiento tasas'!$C$56,'Tabla Ahorro Futuro Reservas'!C864*'FR_Mantenimiento tasas'!$E$56/360,IF(C864&lt;='FR_Mantenimiento tasas'!$C$57,'Tabla Ahorro Futuro Reservas'!C864*'FR_Mantenimiento tasas'!$E$57/360,""))),5)</f>
        <v>0</v>
      </c>
    </row>
    <row r="865" spans="1:5">
      <c r="A865" s="123">
        <f t="shared" si="26"/>
        <v>863</v>
      </c>
      <c r="B865" s="122">
        <f>IF(DAY(A865)=DAY('F-Ahorro Futuro Reservas'!$H$10),'F-Ahorro Futuro Reservas'!$H$9,0)</f>
        <v>0</v>
      </c>
      <c r="C865" s="122">
        <f t="shared" si="27"/>
        <v>0</v>
      </c>
      <c r="D865" s="121">
        <f>ROUND(IF(C865&lt;='FR_Mantenimiento tasas'!$C$55,'Tabla Ahorro Futuro Reservas'!C865*'FR_Mantenimiento tasas'!$D$55/360,IF(C865&lt;='FR_Mantenimiento tasas'!$C$56,'Tabla Ahorro Futuro Reservas'!C865*'FR_Mantenimiento tasas'!$D$56/360,IF(C865&lt;='FR_Mantenimiento tasas'!$C$57,'Tabla Ahorro Futuro Reservas'!C865*'FR_Mantenimiento tasas'!$D$57/360,""))),5)</f>
        <v>0</v>
      </c>
      <c r="E865" s="121">
        <f>ROUND(IF(C865&lt;='FR_Mantenimiento tasas'!$C$55,'Tabla Ahorro Futuro Reservas'!C865*'FR_Mantenimiento tasas'!$E$55/360,IF(C865&lt;='FR_Mantenimiento tasas'!$C$56,'Tabla Ahorro Futuro Reservas'!C865*'FR_Mantenimiento tasas'!$E$56/360,IF(C865&lt;='FR_Mantenimiento tasas'!$C$57,'Tabla Ahorro Futuro Reservas'!C865*'FR_Mantenimiento tasas'!$E$57/360,""))),5)</f>
        <v>0</v>
      </c>
    </row>
    <row r="866" spans="1:5">
      <c r="A866" s="123">
        <f t="shared" si="26"/>
        <v>864</v>
      </c>
      <c r="B866" s="122">
        <f>IF(DAY(A866)=DAY('F-Ahorro Futuro Reservas'!$H$10),'F-Ahorro Futuro Reservas'!$H$9,0)</f>
        <v>0</v>
      </c>
      <c r="C866" s="122">
        <f t="shared" si="27"/>
        <v>0</v>
      </c>
      <c r="D866" s="121">
        <f>ROUND(IF(C866&lt;='FR_Mantenimiento tasas'!$C$55,'Tabla Ahorro Futuro Reservas'!C866*'FR_Mantenimiento tasas'!$D$55/360,IF(C866&lt;='FR_Mantenimiento tasas'!$C$56,'Tabla Ahorro Futuro Reservas'!C866*'FR_Mantenimiento tasas'!$D$56/360,IF(C866&lt;='FR_Mantenimiento tasas'!$C$57,'Tabla Ahorro Futuro Reservas'!C866*'FR_Mantenimiento tasas'!$D$57/360,""))),5)</f>
        <v>0</v>
      </c>
      <c r="E866" s="121">
        <f>ROUND(IF(C866&lt;='FR_Mantenimiento tasas'!$C$55,'Tabla Ahorro Futuro Reservas'!C866*'FR_Mantenimiento tasas'!$E$55/360,IF(C866&lt;='FR_Mantenimiento tasas'!$C$56,'Tabla Ahorro Futuro Reservas'!C866*'FR_Mantenimiento tasas'!$E$56/360,IF(C866&lt;='FR_Mantenimiento tasas'!$C$57,'Tabla Ahorro Futuro Reservas'!C866*'FR_Mantenimiento tasas'!$E$57/360,""))),5)</f>
        <v>0</v>
      </c>
    </row>
    <row r="867" spans="1:5">
      <c r="A867" s="123">
        <f t="shared" si="26"/>
        <v>865</v>
      </c>
      <c r="B867" s="122">
        <f>IF(DAY(A867)=DAY('F-Ahorro Futuro Reservas'!$H$10),'F-Ahorro Futuro Reservas'!$H$9,0)</f>
        <v>0</v>
      </c>
      <c r="C867" s="122">
        <f t="shared" si="27"/>
        <v>0</v>
      </c>
      <c r="D867" s="121">
        <f>ROUND(IF(C867&lt;='FR_Mantenimiento tasas'!$C$55,'Tabla Ahorro Futuro Reservas'!C867*'FR_Mantenimiento tasas'!$D$55/360,IF(C867&lt;='FR_Mantenimiento tasas'!$C$56,'Tabla Ahorro Futuro Reservas'!C867*'FR_Mantenimiento tasas'!$D$56/360,IF(C867&lt;='FR_Mantenimiento tasas'!$C$57,'Tabla Ahorro Futuro Reservas'!C867*'FR_Mantenimiento tasas'!$D$57/360,""))),5)</f>
        <v>0</v>
      </c>
      <c r="E867" s="121">
        <f>ROUND(IF(C867&lt;='FR_Mantenimiento tasas'!$C$55,'Tabla Ahorro Futuro Reservas'!C867*'FR_Mantenimiento tasas'!$E$55/360,IF(C867&lt;='FR_Mantenimiento tasas'!$C$56,'Tabla Ahorro Futuro Reservas'!C867*'FR_Mantenimiento tasas'!$E$56/360,IF(C867&lt;='FR_Mantenimiento tasas'!$C$57,'Tabla Ahorro Futuro Reservas'!C867*'FR_Mantenimiento tasas'!$E$57/360,""))),5)</f>
        <v>0</v>
      </c>
    </row>
    <row r="868" spans="1:5">
      <c r="A868" s="123">
        <f t="shared" si="26"/>
        <v>866</v>
      </c>
      <c r="B868" s="122">
        <f>IF(DAY(A868)=DAY('F-Ahorro Futuro Reservas'!$H$10),'F-Ahorro Futuro Reservas'!$H$9,0)</f>
        <v>0</v>
      </c>
      <c r="C868" s="122">
        <f t="shared" si="27"/>
        <v>0</v>
      </c>
      <c r="D868" s="121">
        <f>ROUND(IF(C868&lt;='FR_Mantenimiento tasas'!$C$55,'Tabla Ahorro Futuro Reservas'!C868*'FR_Mantenimiento tasas'!$D$55/360,IF(C868&lt;='FR_Mantenimiento tasas'!$C$56,'Tabla Ahorro Futuro Reservas'!C868*'FR_Mantenimiento tasas'!$D$56/360,IF(C868&lt;='FR_Mantenimiento tasas'!$C$57,'Tabla Ahorro Futuro Reservas'!C868*'FR_Mantenimiento tasas'!$D$57/360,""))),5)</f>
        <v>0</v>
      </c>
      <c r="E868" s="121">
        <f>ROUND(IF(C868&lt;='FR_Mantenimiento tasas'!$C$55,'Tabla Ahorro Futuro Reservas'!C868*'FR_Mantenimiento tasas'!$E$55/360,IF(C868&lt;='FR_Mantenimiento tasas'!$C$56,'Tabla Ahorro Futuro Reservas'!C868*'FR_Mantenimiento tasas'!$E$56/360,IF(C868&lt;='FR_Mantenimiento tasas'!$C$57,'Tabla Ahorro Futuro Reservas'!C868*'FR_Mantenimiento tasas'!$E$57/360,""))),5)</f>
        <v>0</v>
      </c>
    </row>
    <row r="869" spans="1:5">
      <c r="A869" s="123">
        <f t="shared" si="26"/>
        <v>867</v>
      </c>
      <c r="B869" s="122">
        <f>IF(DAY(A869)=DAY('F-Ahorro Futuro Reservas'!$H$10),'F-Ahorro Futuro Reservas'!$H$9,0)</f>
        <v>0</v>
      </c>
      <c r="C869" s="122">
        <f t="shared" si="27"/>
        <v>0</v>
      </c>
      <c r="D869" s="121">
        <f>ROUND(IF(C869&lt;='FR_Mantenimiento tasas'!$C$55,'Tabla Ahorro Futuro Reservas'!C869*'FR_Mantenimiento tasas'!$D$55/360,IF(C869&lt;='FR_Mantenimiento tasas'!$C$56,'Tabla Ahorro Futuro Reservas'!C869*'FR_Mantenimiento tasas'!$D$56/360,IF(C869&lt;='FR_Mantenimiento tasas'!$C$57,'Tabla Ahorro Futuro Reservas'!C869*'FR_Mantenimiento tasas'!$D$57/360,""))),5)</f>
        <v>0</v>
      </c>
      <c r="E869" s="121">
        <f>ROUND(IF(C869&lt;='FR_Mantenimiento tasas'!$C$55,'Tabla Ahorro Futuro Reservas'!C869*'FR_Mantenimiento tasas'!$E$55/360,IF(C869&lt;='FR_Mantenimiento tasas'!$C$56,'Tabla Ahorro Futuro Reservas'!C869*'FR_Mantenimiento tasas'!$E$56/360,IF(C869&lt;='FR_Mantenimiento tasas'!$C$57,'Tabla Ahorro Futuro Reservas'!C869*'FR_Mantenimiento tasas'!$E$57/360,""))),5)</f>
        <v>0</v>
      </c>
    </row>
    <row r="870" spans="1:5">
      <c r="A870" s="123">
        <f t="shared" si="26"/>
        <v>868</v>
      </c>
      <c r="B870" s="122">
        <f>IF(DAY(A870)=DAY('F-Ahorro Futuro Reservas'!$H$10),'F-Ahorro Futuro Reservas'!$H$9,0)</f>
        <v>0</v>
      </c>
      <c r="C870" s="122">
        <f t="shared" si="27"/>
        <v>0</v>
      </c>
      <c r="D870" s="121">
        <f>ROUND(IF(C870&lt;='FR_Mantenimiento tasas'!$C$55,'Tabla Ahorro Futuro Reservas'!C870*'FR_Mantenimiento tasas'!$D$55/360,IF(C870&lt;='FR_Mantenimiento tasas'!$C$56,'Tabla Ahorro Futuro Reservas'!C870*'FR_Mantenimiento tasas'!$D$56/360,IF(C870&lt;='FR_Mantenimiento tasas'!$C$57,'Tabla Ahorro Futuro Reservas'!C870*'FR_Mantenimiento tasas'!$D$57/360,""))),5)</f>
        <v>0</v>
      </c>
      <c r="E870" s="121">
        <f>ROUND(IF(C870&lt;='FR_Mantenimiento tasas'!$C$55,'Tabla Ahorro Futuro Reservas'!C870*'FR_Mantenimiento tasas'!$E$55/360,IF(C870&lt;='FR_Mantenimiento tasas'!$C$56,'Tabla Ahorro Futuro Reservas'!C870*'FR_Mantenimiento tasas'!$E$56/360,IF(C870&lt;='FR_Mantenimiento tasas'!$C$57,'Tabla Ahorro Futuro Reservas'!C870*'FR_Mantenimiento tasas'!$E$57/360,""))),5)</f>
        <v>0</v>
      </c>
    </row>
    <row r="871" spans="1:5">
      <c r="A871" s="123">
        <f t="shared" si="26"/>
        <v>869</v>
      </c>
      <c r="B871" s="122">
        <f>IF(DAY(A871)=DAY('F-Ahorro Futuro Reservas'!$H$10),'F-Ahorro Futuro Reservas'!$H$9,0)</f>
        <v>0</v>
      </c>
      <c r="C871" s="122">
        <f t="shared" si="27"/>
        <v>0</v>
      </c>
      <c r="D871" s="121">
        <f>ROUND(IF(C871&lt;='FR_Mantenimiento tasas'!$C$55,'Tabla Ahorro Futuro Reservas'!C871*'FR_Mantenimiento tasas'!$D$55/360,IF(C871&lt;='FR_Mantenimiento tasas'!$C$56,'Tabla Ahorro Futuro Reservas'!C871*'FR_Mantenimiento tasas'!$D$56/360,IF(C871&lt;='FR_Mantenimiento tasas'!$C$57,'Tabla Ahorro Futuro Reservas'!C871*'FR_Mantenimiento tasas'!$D$57/360,""))),5)</f>
        <v>0</v>
      </c>
      <c r="E871" s="121">
        <f>ROUND(IF(C871&lt;='FR_Mantenimiento tasas'!$C$55,'Tabla Ahorro Futuro Reservas'!C871*'FR_Mantenimiento tasas'!$E$55/360,IF(C871&lt;='FR_Mantenimiento tasas'!$C$56,'Tabla Ahorro Futuro Reservas'!C871*'FR_Mantenimiento tasas'!$E$56/360,IF(C871&lt;='FR_Mantenimiento tasas'!$C$57,'Tabla Ahorro Futuro Reservas'!C871*'FR_Mantenimiento tasas'!$E$57/360,""))),5)</f>
        <v>0</v>
      </c>
    </row>
    <row r="872" spans="1:5">
      <c r="A872" s="123">
        <f t="shared" si="26"/>
        <v>870</v>
      </c>
      <c r="B872" s="122">
        <f>IF(DAY(A872)=DAY('F-Ahorro Futuro Reservas'!$H$10),'F-Ahorro Futuro Reservas'!$H$9,0)</f>
        <v>0</v>
      </c>
      <c r="C872" s="122">
        <f t="shared" si="27"/>
        <v>0</v>
      </c>
      <c r="D872" s="121">
        <f>ROUND(IF(C872&lt;='FR_Mantenimiento tasas'!$C$55,'Tabla Ahorro Futuro Reservas'!C872*'FR_Mantenimiento tasas'!$D$55/360,IF(C872&lt;='FR_Mantenimiento tasas'!$C$56,'Tabla Ahorro Futuro Reservas'!C872*'FR_Mantenimiento tasas'!$D$56/360,IF(C872&lt;='FR_Mantenimiento tasas'!$C$57,'Tabla Ahorro Futuro Reservas'!C872*'FR_Mantenimiento tasas'!$D$57/360,""))),5)</f>
        <v>0</v>
      </c>
      <c r="E872" s="121">
        <f>ROUND(IF(C872&lt;='FR_Mantenimiento tasas'!$C$55,'Tabla Ahorro Futuro Reservas'!C872*'FR_Mantenimiento tasas'!$E$55/360,IF(C872&lt;='FR_Mantenimiento tasas'!$C$56,'Tabla Ahorro Futuro Reservas'!C872*'FR_Mantenimiento tasas'!$E$56/360,IF(C872&lt;='FR_Mantenimiento tasas'!$C$57,'Tabla Ahorro Futuro Reservas'!C872*'FR_Mantenimiento tasas'!$E$57/360,""))),5)</f>
        <v>0</v>
      </c>
    </row>
    <row r="873" spans="1:5">
      <c r="A873" s="123">
        <f t="shared" si="26"/>
        <v>871</v>
      </c>
      <c r="B873" s="122">
        <f>IF(DAY(A873)=DAY('F-Ahorro Futuro Reservas'!$H$10),'F-Ahorro Futuro Reservas'!$H$9,0)</f>
        <v>0</v>
      </c>
      <c r="C873" s="122">
        <f t="shared" si="27"/>
        <v>0</v>
      </c>
      <c r="D873" s="121">
        <f>ROUND(IF(C873&lt;='FR_Mantenimiento tasas'!$C$55,'Tabla Ahorro Futuro Reservas'!C873*'FR_Mantenimiento tasas'!$D$55/360,IF(C873&lt;='FR_Mantenimiento tasas'!$C$56,'Tabla Ahorro Futuro Reservas'!C873*'FR_Mantenimiento tasas'!$D$56/360,IF(C873&lt;='FR_Mantenimiento tasas'!$C$57,'Tabla Ahorro Futuro Reservas'!C873*'FR_Mantenimiento tasas'!$D$57/360,""))),5)</f>
        <v>0</v>
      </c>
      <c r="E873" s="121">
        <f>ROUND(IF(C873&lt;='FR_Mantenimiento tasas'!$C$55,'Tabla Ahorro Futuro Reservas'!C873*'FR_Mantenimiento tasas'!$E$55/360,IF(C873&lt;='FR_Mantenimiento tasas'!$C$56,'Tabla Ahorro Futuro Reservas'!C873*'FR_Mantenimiento tasas'!$E$56/360,IF(C873&lt;='FR_Mantenimiento tasas'!$C$57,'Tabla Ahorro Futuro Reservas'!C873*'FR_Mantenimiento tasas'!$E$57/360,""))),5)</f>
        <v>0</v>
      </c>
    </row>
    <row r="874" spans="1:5">
      <c r="A874" s="123">
        <f t="shared" si="26"/>
        <v>872</v>
      </c>
      <c r="B874" s="122">
        <f>IF(DAY(A874)=DAY('F-Ahorro Futuro Reservas'!$H$10),'F-Ahorro Futuro Reservas'!$H$9,0)</f>
        <v>0</v>
      </c>
      <c r="C874" s="122">
        <f t="shared" si="27"/>
        <v>0</v>
      </c>
      <c r="D874" s="121">
        <f>ROUND(IF(C874&lt;='FR_Mantenimiento tasas'!$C$55,'Tabla Ahorro Futuro Reservas'!C874*'FR_Mantenimiento tasas'!$D$55/360,IF(C874&lt;='FR_Mantenimiento tasas'!$C$56,'Tabla Ahorro Futuro Reservas'!C874*'FR_Mantenimiento tasas'!$D$56/360,IF(C874&lt;='FR_Mantenimiento tasas'!$C$57,'Tabla Ahorro Futuro Reservas'!C874*'FR_Mantenimiento tasas'!$D$57/360,""))),5)</f>
        <v>0</v>
      </c>
      <c r="E874" s="121">
        <f>ROUND(IF(C874&lt;='FR_Mantenimiento tasas'!$C$55,'Tabla Ahorro Futuro Reservas'!C874*'FR_Mantenimiento tasas'!$E$55/360,IF(C874&lt;='FR_Mantenimiento tasas'!$C$56,'Tabla Ahorro Futuro Reservas'!C874*'FR_Mantenimiento tasas'!$E$56/360,IF(C874&lt;='FR_Mantenimiento tasas'!$C$57,'Tabla Ahorro Futuro Reservas'!C874*'FR_Mantenimiento tasas'!$E$57/360,""))),5)</f>
        <v>0</v>
      </c>
    </row>
    <row r="875" spans="1:5">
      <c r="A875" s="123">
        <f t="shared" si="26"/>
        <v>873</v>
      </c>
      <c r="B875" s="122">
        <f>IF(DAY(A875)=DAY('F-Ahorro Futuro Reservas'!$H$10),'F-Ahorro Futuro Reservas'!$H$9,0)</f>
        <v>0</v>
      </c>
      <c r="C875" s="122">
        <f t="shared" si="27"/>
        <v>0</v>
      </c>
      <c r="D875" s="121">
        <f>ROUND(IF(C875&lt;='FR_Mantenimiento tasas'!$C$55,'Tabla Ahorro Futuro Reservas'!C875*'FR_Mantenimiento tasas'!$D$55/360,IF(C875&lt;='FR_Mantenimiento tasas'!$C$56,'Tabla Ahorro Futuro Reservas'!C875*'FR_Mantenimiento tasas'!$D$56/360,IF(C875&lt;='FR_Mantenimiento tasas'!$C$57,'Tabla Ahorro Futuro Reservas'!C875*'FR_Mantenimiento tasas'!$D$57/360,""))),5)</f>
        <v>0</v>
      </c>
      <c r="E875" s="121">
        <f>ROUND(IF(C875&lt;='FR_Mantenimiento tasas'!$C$55,'Tabla Ahorro Futuro Reservas'!C875*'FR_Mantenimiento tasas'!$E$55/360,IF(C875&lt;='FR_Mantenimiento tasas'!$C$56,'Tabla Ahorro Futuro Reservas'!C875*'FR_Mantenimiento tasas'!$E$56/360,IF(C875&lt;='FR_Mantenimiento tasas'!$C$57,'Tabla Ahorro Futuro Reservas'!C875*'FR_Mantenimiento tasas'!$E$57/360,""))),5)</f>
        <v>0</v>
      </c>
    </row>
    <row r="876" spans="1:5">
      <c r="A876" s="123">
        <f t="shared" si="26"/>
        <v>874</v>
      </c>
      <c r="B876" s="122">
        <f>IF(DAY(A876)=DAY('F-Ahorro Futuro Reservas'!$H$10),'F-Ahorro Futuro Reservas'!$H$9,0)</f>
        <v>0</v>
      </c>
      <c r="C876" s="122">
        <f t="shared" si="27"/>
        <v>0</v>
      </c>
      <c r="D876" s="121">
        <f>ROUND(IF(C876&lt;='FR_Mantenimiento tasas'!$C$55,'Tabla Ahorro Futuro Reservas'!C876*'FR_Mantenimiento tasas'!$D$55/360,IF(C876&lt;='FR_Mantenimiento tasas'!$C$56,'Tabla Ahorro Futuro Reservas'!C876*'FR_Mantenimiento tasas'!$D$56/360,IF(C876&lt;='FR_Mantenimiento tasas'!$C$57,'Tabla Ahorro Futuro Reservas'!C876*'FR_Mantenimiento tasas'!$D$57/360,""))),5)</f>
        <v>0</v>
      </c>
      <c r="E876" s="121">
        <f>ROUND(IF(C876&lt;='FR_Mantenimiento tasas'!$C$55,'Tabla Ahorro Futuro Reservas'!C876*'FR_Mantenimiento tasas'!$E$55/360,IF(C876&lt;='FR_Mantenimiento tasas'!$C$56,'Tabla Ahorro Futuro Reservas'!C876*'FR_Mantenimiento tasas'!$E$56/360,IF(C876&lt;='FR_Mantenimiento tasas'!$C$57,'Tabla Ahorro Futuro Reservas'!C876*'FR_Mantenimiento tasas'!$E$57/360,""))),5)</f>
        <v>0</v>
      </c>
    </row>
    <row r="877" spans="1:5">
      <c r="A877" s="123">
        <f t="shared" si="26"/>
        <v>875</v>
      </c>
      <c r="B877" s="122">
        <f>IF(DAY(A877)=DAY('F-Ahorro Futuro Reservas'!$H$10),'F-Ahorro Futuro Reservas'!$H$9,0)</f>
        <v>0</v>
      </c>
      <c r="C877" s="122">
        <f t="shared" si="27"/>
        <v>0</v>
      </c>
      <c r="D877" s="121">
        <f>ROUND(IF(C877&lt;='FR_Mantenimiento tasas'!$C$55,'Tabla Ahorro Futuro Reservas'!C877*'FR_Mantenimiento tasas'!$D$55/360,IF(C877&lt;='FR_Mantenimiento tasas'!$C$56,'Tabla Ahorro Futuro Reservas'!C877*'FR_Mantenimiento tasas'!$D$56/360,IF(C877&lt;='FR_Mantenimiento tasas'!$C$57,'Tabla Ahorro Futuro Reservas'!C877*'FR_Mantenimiento tasas'!$D$57/360,""))),5)</f>
        <v>0</v>
      </c>
      <c r="E877" s="121">
        <f>ROUND(IF(C877&lt;='FR_Mantenimiento tasas'!$C$55,'Tabla Ahorro Futuro Reservas'!C877*'FR_Mantenimiento tasas'!$E$55/360,IF(C877&lt;='FR_Mantenimiento tasas'!$C$56,'Tabla Ahorro Futuro Reservas'!C877*'FR_Mantenimiento tasas'!$E$56/360,IF(C877&lt;='FR_Mantenimiento tasas'!$C$57,'Tabla Ahorro Futuro Reservas'!C877*'FR_Mantenimiento tasas'!$E$57/360,""))),5)</f>
        <v>0</v>
      </c>
    </row>
    <row r="878" spans="1:5">
      <c r="A878" s="123">
        <f t="shared" si="26"/>
        <v>876</v>
      </c>
      <c r="B878" s="122">
        <f>IF(DAY(A878)=DAY('F-Ahorro Futuro Reservas'!$H$10),'F-Ahorro Futuro Reservas'!$H$9,0)</f>
        <v>0</v>
      </c>
      <c r="C878" s="122">
        <f t="shared" si="27"/>
        <v>0</v>
      </c>
      <c r="D878" s="121">
        <f>ROUND(IF(C878&lt;='FR_Mantenimiento tasas'!$C$55,'Tabla Ahorro Futuro Reservas'!C878*'FR_Mantenimiento tasas'!$D$55/360,IF(C878&lt;='FR_Mantenimiento tasas'!$C$56,'Tabla Ahorro Futuro Reservas'!C878*'FR_Mantenimiento tasas'!$D$56/360,IF(C878&lt;='FR_Mantenimiento tasas'!$C$57,'Tabla Ahorro Futuro Reservas'!C878*'FR_Mantenimiento tasas'!$D$57/360,""))),5)</f>
        <v>0</v>
      </c>
      <c r="E878" s="121">
        <f>ROUND(IF(C878&lt;='FR_Mantenimiento tasas'!$C$55,'Tabla Ahorro Futuro Reservas'!C878*'FR_Mantenimiento tasas'!$E$55/360,IF(C878&lt;='FR_Mantenimiento tasas'!$C$56,'Tabla Ahorro Futuro Reservas'!C878*'FR_Mantenimiento tasas'!$E$56/360,IF(C878&lt;='FR_Mantenimiento tasas'!$C$57,'Tabla Ahorro Futuro Reservas'!C878*'FR_Mantenimiento tasas'!$E$57/360,""))),5)</f>
        <v>0</v>
      </c>
    </row>
    <row r="879" spans="1:5">
      <c r="A879" s="123">
        <f t="shared" si="26"/>
        <v>877</v>
      </c>
      <c r="B879" s="122">
        <f>IF(DAY(A879)=DAY('F-Ahorro Futuro Reservas'!$H$10),'F-Ahorro Futuro Reservas'!$H$9,0)</f>
        <v>0</v>
      </c>
      <c r="C879" s="122">
        <f t="shared" si="27"/>
        <v>0</v>
      </c>
      <c r="D879" s="121">
        <f>ROUND(IF(C879&lt;='FR_Mantenimiento tasas'!$C$55,'Tabla Ahorro Futuro Reservas'!C879*'FR_Mantenimiento tasas'!$D$55/360,IF(C879&lt;='FR_Mantenimiento tasas'!$C$56,'Tabla Ahorro Futuro Reservas'!C879*'FR_Mantenimiento tasas'!$D$56/360,IF(C879&lt;='FR_Mantenimiento tasas'!$C$57,'Tabla Ahorro Futuro Reservas'!C879*'FR_Mantenimiento tasas'!$D$57/360,""))),5)</f>
        <v>0</v>
      </c>
      <c r="E879" s="121">
        <f>ROUND(IF(C879&lt;='FR_Mantenimiento tasas'!$C$55,'Tabla Ahorro Futuro Reservas'!C879*'FR_Mantenimiento tasas'!$E$55/360,IF(C879&lt;='FR_Mantenimiento tasas'!$C$56,'Tabla Ahorro Futuro Reservas'!C879*'FR_Mantenimiento tasas'!$E$56/360,IF(C879&lt;='FR_Mantenimiento tasas'!$C$57,'Tabla Ahorro Futuro Reservas'!C879*'FR_Mantenimiento tasas'!$E$57/360,""))),5)</f>
        <v>0</v>
      </c>
    </row>
    <row r="880" spans="1:5">
      <c r="A880" s="123">
        <f t="shared" si="26"/>
        <v>878</v>
      </c>
      <c r="B880" s="122">
        <f>IF(DAY(A880)=DAY('F-Ahorro Futuro Reservas'!$H$10),'F-Ahorro Futuro Reservas'!$H$9,0)</f>
        <v>0</v>
      </c>
      <c r="C880" s="122">
        <f t="shared" si="27"/>
        <v>0</v>
      </c>
      <c r="D880" s="121">
        <f>ROUND(IF(C880&lt;='FR_Mantenimiento tasas'!$C$55,'Tabla Ahorro Futuro Reservas'!C880*'FR_Mantenimiento tasas'!$D$55/360,IF(C880&lt;='FR_Mantenimiento tasas'!$C$56,'Tabla Ahorro Futuro Reservas'!C880*'FR_Mantenimiento tasas'!$D$56/360,IF(C880&lt;='FR_Mantenimiento tasas'!$C$57,'Tabla Ahorro Futuro Reservas'!C880*'FR_Mantenimiento tasas'!$D$57/360,""))),5)</f>
        <v>0</v>
      </c>
      <c r="E880" s="121">
        <f>ROUND(IF(C880&lt;='FR_Mantenimiento tasas'!$C$55,'Tabla Ahorro Futuro Reservas'!C880*'FR_Mantenimiento tasas'!$E$55/360,IF(C880&lt;='FR_Mantenimiento tasas'!$C$56,'Tabla Ahorro Futuro Reservas'!C880*'FR_Mantenimiento tasas'!$E$56/360,IF(C880&lt;='FR_Mantenimiento tasas'!$C$57,'Tabla Ahorro Futuro Reservas'!C880*'FR_Mantenimiento tasas'!$E$57/360,""))),5)</f>
        <v>0</v>
      </c>
    </row>
    <row r="881" spans="1:5">
      <c r="A881" s="123">
        <f t="shared" si="26"/>
        <v>879</v>
      </c>
      <c r="B881" s="122">
        <f>IF(DAY(A881)=DAY('F-Ahorro Futuro Reservas'!$H$10),'F-Ahorro Futuro Reservas'!$H$9,0)</f>
        <v>0</v>
      </c>
      <c r="C881" s="122">
        <f t="shared" si="27"/>
        <v>0</v>
      </c>
      <c r="D881" s="121">
        <f>ROUND(IF(C881&lt;='FR_Mantenimiento tasas'!$C$55,'Tabla Ahorro Futuro Reservas'!C881*'FR_Mantenimiento tasas'!$D$55/360,IF(C881&lt;='FR_Mantenimiento tasas'!$C$56,'Tabla Ahorro Futuro Reservas'!C881*'FR_Mantenimiento tasas'!$D$56/360,IF(C881&lt;='FR_Mantenimiento tasas'!$C$57,'Tabla Ahorro Futuro Reservas'!C881*'FR_Mantenimiento tasas'!$D$57/360,""))),5)</f>
        <v>0</v>
      </c>
      <c r="E881" s="121">
        <f>ROUND(IF(C881&lt;='FR_Mantenimiento tasas'!$C$55,'Tabla Ahorro Futuro Reservas'!C881*'FR_Mantenimiento tasas'!$E$55/360,IF(C881&lt;='FR_Mantenimiento tasas'!$C$56,'Tabla Ahorro Futuro Reservas'!C881*'FR_Mantenimiento tasas'!$E$56/360,IF(C881&lt;='FR_Mantenimiento tasas'!$C$57,'Tabla Ahorro Futuro Reservas'!C881*'FR_Mantenimiento tasas'!$E$57/360,""))),5)</f>
        <v>0</v>
      </c>
    </row>
    <row r="882" spans="1:5">
      <c r="A882" s="123">
        <f t="shared" si="26"/>
        <v>880</v>
      </c>
      <c r="B882" s="122">
        <f>IF(DAY(A882)=DAY('F-Ahorro Futuro Reservas'!$H$10),'F-Ahorro Futuro Reservas'!$H$9,0)</f>
        <v>0</v>
      </c>
      <c r="C882" s="122">
        <f t="shared" si="27"/>
        <v>0</v>
      </c>
      <c r="D882" s="121">
        <f>ROUND(IF(C882&lt;='FR_Mantenimiento tasas'!$C$55,'Tabla Ahorro Futuro Reservas'!C882*'FR_Mantenimiento tasas'!$D$55/360,IF(C882&lt;='FR_Mantenimiento tasas'!$C$56,'Tabla Ahorro Futuro Reservas'!C882*'FR_Mantenimiento tasas'!$D$56/360,IF(C882&lt;='FR_Mantenimiento tasas'!$C$57,'Tabla Ahorro Futuro Reservas'!C882*'FR_Mantenimiento tasas'!$D$57/360,""))),5)</f>
        <v>0</v>
      </c>
      <c r="E882" s="121">
        <f>ROUND(IF(C882&lt;='FR_Mantenimiento tasas'!$C$55,'Tabla Ahorro Futuro Reservas'!C882*'FR_Mantenimiento tasas'!$E$55/360,IF(C882&lt;='FR_Mantenimiento tasas'!$C$56,'Tabla Ahorro Futuro Reservas'!C882*'FR_Mantenimiento tasas'!$E$56/360,IF(C882&lt;='FR_Mantenimiento tasas'!$C$57,'Tabla Ahorro Futuro Reservas'!C882*'FR_Mantenimiento tasas'!$E$57/360,""))),5)</f>
        <v>0</v>
      </c>
    </row>
    <row r="883" spans="1:5">
      <c r="A883" s="123">
        <f t="shared" si="26"/>
        <v>881</v>
      </c>
      <c r="B883" s="122">
        <f>IF(DAY(A883)=DAY('F-Ahorro Futuro Reservas'!$H$10),'F-Ahorro Futuro Reservas'!$H$9,0)</f>
        <v>0</v>
      </c>
      <c r="C883" s="122">
        <f t="shared" si="27"/>
        <v>0</v>
      </c>
      <c r="D883" s="121">
        <f>ROUND(IF(C883&lt;='FR_Mantenimiento tasas'!$C$55,'Tabla Ahorro Futuro Reservas'!C883*'FR_Mantenimiento tasas'!$D$55/360,IF(C883&lt;='FR_Mantenimiento tasas'!$C$56,'Tabla Ahorro Futuro Reservas'!C883*'FR_Mantenimiento tasas'!$D$56/360,IF(C883&lt;='FR_Mantenimiento tasas'!$C$57,'Tabla Ahorro Futuro Reservas'!C883*'FR_Mantenimiento tasas'!$D$57/360,""))),5)</f>
        <v>0</v>
      </c>
      <c r="E883" s="121">
        <f>ROUND(IF(C883&lt;='FR_Mantenimiento tasas'!$C$55,'Tabla Ahorro Futuro Reservas'!C883*'FR_Mantenimiento tasas'!$E$55/360,IF(C883&lt;='FR_Mantenimiento tasas'!$C$56,'Tabla Ahorro Futuro Reservas'!C883*'FR_Mantenimiento tasas'!$E$56/360,IF(C883&lt;='FR_Mantenimiento tasas'!$C$57,'Tabla Ahorro Futuro Reservas'!C883*'FR_Mantenimiento tasas'!$E$57/360,""))),5)</f>
        <v>0</v>
      </c>
    </row>
    <row r="884" spans="1:5">
      <c r="A884" s="123">
        <f t="shared" si="26"/>
        <v>882</v>
      </c>
      <c r="B884" s="122">
        <f>IF(DAY(A884)=DAY('F-Ahorro Futuro Reservas'!$H$10),'F-Ahorro Futuro Reservas'!$H$9,0)</f>
        <v>0</v>
      </c>
      <c r="C884" s="122">
        <f t="shared" si="27"/>
        <v>0</v>
      </c>
      <c r="D884" s="121">
        <f>ROUND(IF(C884&lt;='FR_Mantenimiento tasas'!$C$55,'Tabla Ahorro Futuro Reservas'!C884*'FR_Mantenimiento tasas'!$D$55/360,IF(C884&lt;='FR_Mantenimiento tasas'!$C$56,'Tabla Ahorro Futuro Reservas'!C884*'FR_Mantenimiento tasas'!$D$56/360,IF(C884&lt;='FR_Mantenimiento tasas'!$C$57,'Tabla Ahorro Futuro Reservas'!C884*'FR_Mantenimiento tasas'!$D$57/360,""))),5)</f>
        <v>0</v>
      </c>
      <c r="E884" s="121">
        <f>ROUND(IF(C884&lt;='FR_Mantenimiento tasas'!$C$55,'Tabla Ahorro Futuro Reservas'!C884*'FR_Mantenimiento tasas'!$E$55/360,IF(C884&lt;='FR_Mantenimiento tasas'!$C$56,'Tabla Ahorro Futuro Reservas'!C884*'FR_Mantenimiento tasas'!$E$56/360,IF(C884&lt;='FR_Mantenimiento tasas'!$C$57,'Tabla Ahorro Futuro Reservas'!C884*'FR_Mantenimiento tasas'!$E$57/360,""))),5)</f>
        <v>0</v>
      </c>
    </row>
    <row r="885" spans="1:5">
      <c r="A885" s="123">
        <f t="shared" si="26"/>
        <v>883</v>
      </c>
      <c r="B885" s="122">
        <f>IF(DAY(A885)=DAY('F-Ahorro Futuro Reservas'!$H$10),'F-Ahorro Futuro Reservas'!$H$9,0)</f>
        <v>0</v>
      </c>
      <c r="C885" s="122">
        <f t="shared" si="27"/>
        <v>0</v>
      </c>
      <c r="D885" s="121">
        <f>ROUND(IF(C885&lt;='FR_Mantenimiento tasas'!$C$55,'Tabla Ahorro Futuro Reservas'!C885*'FR_Mantenimiento tasas'!$D$55/360,IF(C885&lt;='FR_Mantenimiento tasas'!$C$56,'Tabla Ahorro Futuro Reservas'!C885*'FR_Mantenimiento tasas'!$D$56/360,IF(C885&lt;='FR_Mantenimiento tasas'!$C$57,'Tabla Ahorro Futuro Reservas'!C885*'FR_Mantenimiento tasas'!$D$57/360,""))),5)</f>
        <v>0</v>
      </c>
      <c r="E885" s="121">
        <f>ROUND(IF(C885&lt;='FR_Mantenimiento tasas'!$C$55,'Tabla Ahorro Futuro Reservas'!C885*'FR_Mantenimiento tasas'!$E$55/360,IF(C885&lt;='FR_Mantenimiento tasas'!$C$56,'Tabla Ahorro Futuro Reservas'!C885*'FR_Mantenimiento tasas'!$E$56/360,IF(C885&lt;='FR_Mantenimiento tasas'!$C$57,'Tabla Ahorro Futuro Reservas'!C885*'FR_Mantenimiento tasas'!$E$57/360,""))),5)</f>
        <v>0</v>
      </c>
    </row>
    <row r="886" spans="1:5">
      <c r="A886" s="123">
        <f t="shared" si="26"/>
        <v>884</v>
      </c>
      <c r="B886" s="122">
        <f>IF(DAY(A886)=DAY('F-Ahorro Futuro Reservas'!$H$10),'F-Ahorro Futuro Reservas'!$H$9,0)</f>
        <v>0</v>
      </c>
      <c r="C886" s="122">
        <f t="shared" si="27"/>
        <v>0</v>
      </c>
      <c r="D886" s="121">
        <f>ROUND(IF(C886&lt;='FR_Mantenimiento tasas'!$C$55,'Tabla Ahorro Futuro Reservas'!C886*'FR_Mantenimiento tasas'!$D$55/360,IF(C886&lt;='FR_Mantenimiento tasas'!$C$56,'Tabla Ahorro Futuro Reservas'!C886*'FR_Mantenimiento tasas'!$D$56/360,IF(C886&lt;='FR_Mantenimiento tasas'!$C$57,'Tabla Ahorro Futuro Reservas'!C886*'FR_Mantenimiento tasas'!$D$57/360,""))),5)</f>
        <v>0</v>
      </c>
      <c r="E886" s="121">
        <f>ROUND(IF(C886&lt;='FR_Mantenimiento tasas'!$C$55,'Tabla Ahorro Futuro Reservas'!C886*'FR_Mantenimiento tasas'!$E$55/360,IF(C886&lt;='FR_Mantenimiento tasas'!$C$56,'Tabla Ahorro Futuro Reservas'!C886*'FR_Mantenimiento tasas'!$E$56/360,IF(C886&lt;='FR_Mantenimiento tasas'!$C$57,'Tabla Ahorro Futuro Reservas'!C886*'FR_Mantenimiento tasas'!$E$57/360,""))),5)</f>
        <v>0</v>
      </c>
    </row>
    <row r="887" spans="1:5">
      <c r="A887" s="123">
        <f t="shared" si="26"/>
        <v>885</v>
      </c>
      <c r="B887" s="122">
        <f>IF(DAY(A887)=DAY('F-Ahorro Futuro Reservas'!$H$10),'F-Ahorro Futuro Reservas'!$H$9,0)</f>
        <v>0</v>
      </c>
      <c r="C887" s="122">
        <f t="shared" si="27"/>
        <v>0</v>
      </c>
      <c r="D887" s="121">
        <f>ROUND(IF(C887&lt;='FR_Mantenimiento tasas'!$C$55,'Tabla Ahorro Futuro Reservas'!C887*'FR_Mantenimiento tasas'!$D$55/360,IF(C887&lt;='FR_Mantenimiento tasas'!$C$56,'Tabla Ahorro Futuro Reservas'!C887*'FR_Mantenimiento tasas'!$D$56/360,IF(C887&lt;='FR_Mantenimiento tasas'!$C$57,'Tabla Ahorro Futuro Reservas'!C887*'FR_Mantenimiento tasas'!$D$57/360,""))),5)</f>
        <v>0</v>
      </c>
      <c r="E887" s="121">
        <f>ROUND(IF(C887&lt;='FR_Mantenimiento tasas'!$C$55,'Tabla Ahorro Futuro Reservas'!C887*'FR_Mantenimiento tasas'!$E$55/360,IF(C887&lt;='FR_Mantenimiento tasas'!$C$56,'Tabla Ahorro Futuro Reservas'!C887*'FR_Mantenimiento tasas'!$E$56/360,IF(C887&lt;='FR_Mantenimiento tasas'!$C$57,'Tabla Ahorro Futuro Reservas'!C887*'FR_Mantenimiento tasas'!$E$57/360,""))),5)</f>
        <v>0</v>
      </c>
    </row>
    <row r="888" spans="1:5">
      <c r="A888" s="123">
        <f t="shared" si="26"/>
        <v>886</v>
      </c>
      <c r="B888" s="122">
        <f>IF(DAY(A888)=DAY('F-Ahorro Futuro Reservas'!$H$10),'F-Ahorro Futuro Reservas'!$H$9,0)</f>
        <v>0</v>
      </c>
      <c r="C888" s="122">
        <f t="shared" si="27"/>
        <v>0</v>
      </c>
      <c r="D888" s="121">
        <f>ROUND(IF(C888&lt;='FR_Mantenimiento tasas'!$C$55,'Tabla Ahorro Futuro Reservas'!C888*'FR_Mantenimiento tasas'!$D$55/360,IF(C888&lt;='FR_Mantenimiento tasas'!$C$56,'Tabla Ahorro Futuro Reservas'!C888*'FR_Mantenimiento tasas'!$D$56/360,IF(C888&lt;='FR_Mantenimiento tasas'!$C$57,'Tabla Ahorro Futuro Reservas'!C888*'FR_Mantenimiento tasas'!$D$57/360,""))),5)</f>
        <v>0</v>
      </c>
      <c r="E888" s="121">
        <f>ROUND(IF(C888&lt;='FR_Mantenimiento tasas'!$C$55,'Tabla Ahorro Futuro Reservas'!C888*'FR_Mantenimiento tasas'!$E$55/360,IF(C888&lt;='FR_Mantenimiento tasas'!$C$56,'Tabla Ahorro Futuro Reservas'!C888*'FR_Mantenimiento tasas'!$E$56/360,IF(C888&lt;='FR_Mantenimiento tasas'!$C$57,'Tabla Ahorro Futuro Reservas'!C888*'FR_Mantenimiento tasas'!$E$57/360,""))),5)</f>
        <v>0</v>
      </c>
    </row>
    <row r="889" spans="1:5">
      <c r="A889" s="123">
        <f t="shared" si="26"/>
        <v>887</v>
      </c>
      <c r="B889" s="122">
        <f>IF(DAY(A889)=DAY('F-Ahorro Futuro Reservas'!$H$10),'F-Ahorro Futuro Reservas'!$H$9,0)</f>
        <v>0</v>
      </c>
      <c r="C889" s="122">
        <f t="shared" si="27"/>
        <v>0</v>
      </c>
      <c r="D889" s="121">
        <f>ROUND(IF(C889&lt;='FR_Mantenimiento tasas'!$C$55,'Tabla Ahorro Futuro Reservas'!C889*'FR_Mantenimiento tasas'!$D$55/360,IF(C889&lt;='FR_Mantenimiento tasas'!$C$56,'Tabla Ahorro Futuro Reservas'!C889*'FR_Mantenimiento tasas'!$D$56/360,IF(C889&lt;='FR_Mantenimiento tasas'!$C$57,'Tabla Ahorro Futuro Reservas'!C889*'FR_Mantenimiento tasas'!$D$57/360,""))),5)</f>
        <v>0</v>
      </c>
      <c r="E889" s="121">
        <f>ROUND(IF(C889&lt;='FR_Mantenimiento tasas'!$C$55,'Tabla Ahorro Futuro Reservas'!C889*'FR_Mantenimiento tasas'!$E$55/360,IF(C889&lt;='FR_Mantenimiento tasas'!$C$56,'Tabla Ahorro Futuro Reservas'!C889*'FR_Mantenimiento tasas'!$E$56/360,IF(C889&lt;='FR_Mantenimiento tasas'!$C$57,'Tabla Ahorro Futuro Reservas'!C889*'FR_Mantenimiento tasas'!$E$57/360,""))),5)</f>
        <v>0</v>
      </c>
    </row>
    <row r="890" spans="1:5">
      <c r="A890" s="123">
        <f t="shared" si="26"/>
        <v>888</v>
      </c>
      <c r="B890" s="122">
        <f>IF(DAY(A890)=DAY('F-Ahorro Futuro Reservas'!$H$10),'F-Ahorro Futuro Reservas'!$H$9,0)</f>
        <v>0</v>
      </c>
      <c r="C890" s="122">
        <f t="shared" si="27"/>
        <v>0</v>
      </c>
      <c r="D890" s="121">
        <f>ROUND(IF(C890&lt;='FR_Mantenimiento tasas'!$C$55,'Tabla Ahorro Futuro Reservas'!C890*'FR_Mantenimiento tasas'!$D$55/360,IF(C890&lt;='FR_Mantenimiento tasas'!$C$56,'Tabla Ahorro Futuro Reservas'!C890*'FR_Mantenimiento tasas'!$D$56/360,IF(C890&lt;='FR_Mantenimiento tasas'!$C$57,'Tabla Ahorro Futuro Reservas'!C890*'FR_Mantenimiento tasas'!$D$57/360,""))),5)</f>
        <v>0</v>
      </c>
      <c r="E890" s="121">
        <f>ROUND(IF(C890&lt;='FR_Mantenimiento tasas'!$C$55,'Tabla Ahorro Futuro Reservas'!C890*'FR_Mantenimiento tasas'!$E$55/360,IF(C890&lt;='FR_Mantenimiento tasas'!$C$56,'Tabla Ahorro Futuro Reservas'!C890*'FR_Mantenimiento tasas'!$E$56/360,IF(C890&lt;='FR_Mantenimiento tasas'!$C$57,'Tabla Ahorro Futuro Reservas'!C890*'FR_Mantenimiento tasas'!$E$57/360,""))),5)</f>
        <v>0</v>
      </c>
    </row>
    <row r="891" spans="1:5">
      <c r="A891" s="123">
        <f t="shared" si="26"/>
        <v>889</v>
      </c>
      <c r="B891" s="122">
        <f>IF(DAY(A891)=DAY('F-Ahorro Futuro Reservas'!$H$10),'F-Ahorro Futuro Reservas'!$H$9,0)</f>
        <v>0</v>
      </c>
      <c r="C891" s="122">
        <f t="shared" si="27"/>
        <v>0</v>
      </c>
      <c r="D891" s="121">
        <f>ROUND(IF(C891&lt;='FR_Mantenimiento tasas'!$C$55,'Tabla Ahorro Futuro Reservas'!C891*'FR_Mantenimiento tasas'!$D$55/360,IF(C891&lt;='FR_Mantenimiento tasas'!$C$56,'Tabla Ahorro Futuro Reservas'!C891*'FR_Mantenimiento tasas'!$D$56/360,IF(C891&lt;='FR_Mantenimiento tasas'!$C$57,'Tabla Ahorro Futuro Reservas'!C891*'FR_Mantenimiento tasas'!$D$57/360,""))),5)</f>
        <v>0</v>
      </c>
      <c r="E891" s="121">
        <f>ROUND(IF(C891&lt;='FR_Mantenimiento tasas'!$C$55,'Tabla Ahorro Futuro Reservas'!C891*'FR_Mantenimiento tasas'!$E$55/360,IF(C891&lt;='FR_Mantenimiento tasas'!$C$56,'Tabla Ahorro Futuro Reservas'!C891*'FR_Mantenimiento tasas'!$E$56/360,IF(C891&lt;='FR_Mantenimiento tasas'!$C$57,'Tabla Ahorro Futuro Reservas'!C891*'FR_Mantenimiento tasas'!$E$57/360,""))),5)</f>
        <v>0</v>
      </c>
    </row>
    <row r="892" spans="1:5">
      <c r="A892" s="123">
        <f t="shared" si="26"/>
        <v>890</v>
      </c>
      <c r="B892" s="122">
        <f>IF(DAY(A892)=DAY('F-Ahorro Futuro Reservas'!$H$10),'F-Ahorro Futuro Reservas'!$H$9,0)</f>
        <v>0</v>
      </c>
      <c r="C892" s="122">
        <f t="shared" si="27"/>
        <v>0</v>
      </c>
      <c r="D892" s="121">
        <f>ROUND(IF(C892&lt;='FR_Mantenimiento tasas'!$C$55,'Tabla Ahorro Futuro Reservas'!C892*'FR_Mantenimiento tasas'!$D$55/360,IF(C892&lt;='FR_Mantenimiento tasas'!$C$56,'Tabla Ahorro Futuro Reservas'!C892*'FR_Mantenimiento tasas'!$D$56/360,IF(C892&lt;='FR_Mantenimiento tasas'!$C$57,'Tabla Ahorro Futuro Reservas'!C892*'FR_Mantenimiento tasas'!$D$57/360,""))),5)</f>
        <v>0</v>
      </c>
      <c r="E892" s="121">
        <f>ROUND(IF(C892&lt;='FR_Mantenimiento tasas'!$C$55,'Tabla Ahorro Futuro Reservas'!C892*'FR_Mantenimiento tasas'!$E$55/360,IF(C892&lt;='FR_Mantenimiento tasas'!$C$56,'Tabla Ahorro Futuro Reservas'!C892*'FR_Mantenimiento tasas'!$E$56/360,IF(C892&lt;='FR_Mantenimiento tasas'!$C$57,'Tabla Ahorro Futuro Reservas'!C892*'FR_Mantenimiento tasas'!$E$57/360,""))),5)</f>
        <v>0</v>
      </c>
    </row>
    <row r="893" spans="1:5">
      <c r="A893" s="123">
        <f t="shared" si="26"/>
        <v>891</v>
      </c>
      <c r="B893" s="122">
        <f>IF(DAY(A893)=DAY('F-Ahorro Futuro Reservas'!$H$10),'F-Ahorro Futuro Reservas'!$H$9,0)</f>
        <v>0</v>
      </c>
      <c r="C893" s="122">
        <f t="shared" si="27"/>
        <v>0</v>
      </c>
      <c r="D893" s="121">
        <f>ROUND(IF(C893&lt;='FR_Mantenimiento tasas'!$C$55,'Tabla Ahorro Futuro Reservas'!C893*'FR_Mantenimiento tasas'!$D$55/360,IF(C893&lt;='FR_Mantenimiento tasas'!$C$56,'Tabla Ahorro Futuro Reservas'!C893*'FR_Mantenimiento tasas'!$D$56/360,IF(C893&lt;='FR_Mantenimiento tasas'!$C$57,'Tabla Ahorro Futuro Reservas'!C893*'FR_Mantenimiento tasas'!$D$57/360,""))),5)</f>
        <v>0</v>
      </c>
      <c r="E893" s="121">
        <f>ROUND(IF(C893&lt;='FR_Mantenimiento tasas'!$C$55,'Tabla Ahorro Futuro Reservas'!C893*'FR_Mantenimiento tasas'!$E$55/360,IF(C893&lt;='FR_Mantenimiento tasas'!$C$56,'Tabla Ahorro Futuro Reservas'!C893*'FR_Mantenimiento tasas'!$E$56/360,IF(C893&lt;='FR_Mantenimiento tasas'!$C$57,'Tabla Ahorro Futuro Reservas'!C893*'FR_Mantenimiento tasas'!$E$57/360,""))),5)</f>
        <v>0</v>
      </c>
    </row>
    <row r="894" spans="1:5">
      <c r="A894" s="123">
        <f t="shared" si="26"/>
        <v>892</v>
      </c>
      <c r="B894" s="122">
        <f>IF(DAY(A894)=DAY('F-Ahorro Futuro Reservas'!$H$10),'F-Ahorro Futuro Reservas'!$H$9,0)</f>
        <v>0</v>
      </c>
      <c r="C894" s="122">
        <f t="shared" si="27"/>
        <v>0</v>
      </c>
      <c r="D894" s="121">
        <f>ROUND(IF(C894&lt;='FR_Mantenimiento tasas'!$C$55,'Tabla Ahorro Futuro Reservas'!C894*'FR_Mantenimiento tasas'!$D$55/360,IF(C894&lt;='FR_Mantenimiento tasas'!$C$56,'Tabla Ahorro Futuro Reservas'!C894*'FR_Mantenimiento tasas'!$D$56/360,IF(C894&lt;='FR_Mantenimiento tasas'!$C$57,'Tabla Ahorro Futuro Reservas'!C894*'FR_Mantenimiento tasas'!$D$57/360,""))),5)</f>
        <v>0</v>
      </c>
      <c r="E894" s="121">
        <f>ROUND(IF(C894&lt;='FR_Mantenimiento tasas'!$C$55,'Tabla Ahorro Futuro Reservas'!C894*'FR_Mantenimiento tasas'!$E$55/360,IF(C894&lt;='FR_Mantenimiento tasas'!$C$56,'Tabla Ahorro Futuro Reservas'!C894*'FR_Mantenimiento tasas'!$E$56/360,IF(C894&lt;='FR_Mantenimiento tasas'!$C$57,'Tabla Ahorro Futuro Reservas'!C894*'FR_Mantenimiento tasas'!$E$57/360,""))),5)</f>
        <v>0</v>
      </c>
    </row>
    <row r="895" spans="1:5">
      <c r="A895" s="123">
        <f t="shared" si="26"/>
        <v>893</v>
      </c>
      <c r="B895" s="122">
        <f>IF(DAY(A895)=DAY('F-Ahorro Futuro Reservas'!$H$10),'F-Ahorro Futuro Reservas'!$H$9,0)</f>
        <v>0</v>
      </c>
      <c r="C895" s="122">
        <f t="shared" si="27"/>
        <v>0</v>
      </c>
      <c r="D895" s="121">
        <f>ROUND(IF(C895&lt;='FR_Mantenimiento tasas'!$C$55,'Tabla Ahorro Futuro Reservas'!C895*'FR_Mantenimiento tasas'!$D$55/360,IF(C895&lt;='FR_Mantenimiento tasas'!$C$56,'Tabla Ahorro Futuro Reservas'!C895*'FR_Mantenimiento tasas'!$D$56/360,IF(C895&lt;='FR_Mantenimiento tasas'!$C$57,'Tabla Ahorro Futuro Reservas'!C895*'FR_Mantenimiento tasas'!$D$57/360,""))),5)</f>
        <v>0</v>
      </c>
      <c r="E895" s="121">
        <f>ROUND(IF(C895&lt;='FR_Mantenimiento tasas'!$C$55,'Tabla Ahorro Futuro Reservas'!C895*'FR_Mantenimiento tasas'!$E$55/360,IF(C895&lt;='FR_Mantenimiento tasas'!$C$56,'Tabla Ahorro Futuro Reservas'!C895*'FR_Mantenimiento tasas'!$E$56/360,IF(C895&lt;='FR_Mantenimiento tasas'!$C$57,'Tabla Ahorro Futuro Reservas'!C895*'FR_Mantenimiento tasas'!$E$57/360,""))),5)</f>
        <v>0</v>
      </c>
    </row>
    <row r="896" spans="1:5">
      <c r="A896" s="123">
        <f t="shared" si="26"/>
        <v>894</v>
      </c>
      <c r="B896" s="122">
        <f>IF(DAY(A896)=DAY('F-Ahorro Futuro Reservas'!$H$10),'F-Ahorro Futuro Reservas'!$H$9,0)</f>
        <v>0</v>
      </c>
      <c r="C896" s="122">
        <f t="shared" si="27"/>
        <v>0</v>
      </c>
      <c r="D896" s="121">
        <f>ROUND(IF(C896&lt;='FR_Mantenimiento tasas'!$C$55,'Tabla Ahorro Futuro Reservas'!C896*'FR_Mantenimiento tasas'!$D$55/360,IF(C896&lt;='FR_Mantenimiento tasas'!$C$56,'Tabla Ahorro Futuro Reservas'!C896*'FR_Mantenimiento tasas'!$D$56/360,IF(C896&lt;='FR_Mantenimiento tasas'!$C$57,'Tabla Ahorro Futuro Reservas'!C896*'FR_Mantenimiento tasas'!$D$57/360,""))),5)</f>
        <v>0</v>
      </c>
      <c r="E896" s="121">
        <f>ROUND(IF(C896&lt;='FR_Mantenimiento tasas'!$C$55,'Tabla Ahorro Futuro Reservas'!C896*'FR_Mantenimiento tasas'!$E$55/360,IF(C896&lt;='FR_Mantenimiento tasas'!$C$56,'Tabla Ahorro Futuro Reservas'!C896*'FR_Mantenimiento tasas'!$E$56/360,IF(C896&lt;='FR_Mantenimiento tasas'!$C$57,'Tabla Ahorro Futuro Reservas'!C896*'FR_Mantenimiento tasas'!$E$57/360,""))),5)</f>
        <v>0</v>
      </c>
    </row>
    <row r="897" spans="1:5">
      <c r="A897" s="123">
        <f t="shared" si="26"/>
        <v>895</v>
      </c>
      <c r="B897" s="122">
        <f>IF(DAY(A897)=DAY('F-Ahorro Futuro Reservas'!$H$10),'F-Ahorro Futuro Reservas'!$H$9,0)</f>
        <v>0</v>
      </c>
      <c r="C897" s="122">
        <f t="shared" si="27"/>
        <v>0</v>
      </c>
      <c r="D897" s="121">
        <f>ROUND(IF(C897&lt;='FR_Mantenimiento tasas'!$C$55,'Tabla Ahorro Futuro Reservas'!C897*'FR_Mantenimiento tasas'!$D$55/360,IF(C897&lt;='FR_Mantenimiento tasas'!$C$56,'Tabla Ahorro Futuro Reservas'!C897*'FR_Mantenimiento tasas'!$D$56/360,IF(C897&lt;='FR_Mantenimiento tasas'!$C$57,'Tabla Ahorro Futuro Reservas'!C897*'FR_Mantenimiento tasas'!$D$57/360,""))),5)</f>
        <v>0</v>
      </c>
      <c r="E897" s="121">
        <f>ROUND(IF(C897&lt;='FR_Mantenimiento tasas'!$C$55,'Tabla Ahorro Futuro Reservas'!C897*'FR_Mantenimiento tasas'!$E$55/360,IF(C897&lt;='FR_Mantenimiento tasas'!$C$56,'Tabla Ahorro Futuro Reservas'!C897*'FR_Mantenimiento tasas'!$E$56/360,IF(C897&lt;='FR_Mantenimiento tasas'!$C$57,'Tabla Ahorro Futuro Reservas'!C897*'FR_Mantenimiento tasas'!$E$57/360,""))),5)</f>
        <v>0</v>
      </c>
    </row>
    <row r="898" spans="1:5">
      <c r="A898" s="123">
        <f t="shared" si="26"/>
        <v>896</v>
      </c>
      <c r="B898" s="122">
        <f>IF(DAY(A898)=DAY('F-Ahorro Futuro Reservas'!$H$10),'F-Ahorro Futuro Reservas'!$H$9,0)</f>
        <v>0</v>
      </c>
      <c r="C898" s="122">
        <f t="shared" si="27"/>
        <v>0</v>
      </c>
      <c r="D898" s="121">
        <f>ROUND(IF(C898&lt;='FR_Mantenimiento tasas'!$C$55,'Tabla Ahorro Futuro Reservas'!C898*'FR_Mantenimiento tasas'!$D$55/360,IF(C898&lt;='FR_Mantenimiento tasas'!$C$56,'Tabla Ahorro Futuro Reservas'!C898*'FR_Mantenimiento tasas'!$D$56/360,IF(C898&lt;='FR_Mantenimiento tasas'!$C$57,'Tabla Ahorro Futuro Reservas'!C898*'FR_Mantenimiento tasas'!$D$57/360,""))),5)</f>
        <v>0</v>
      </c>
      <c r="E898" s="121">
        <f>ROUND(IF(C898&lt;='FR_Mantenimiento tasas'!$C$55,'Tabla Ahorro Futuro Reservas'!C898*'FR_Mantenimiento tasas'!$E$55/360,IF(C898&lt;='FR_Mantenimiento tasas'!$C$56,'Tabla Ahorro Futuro Reservas'!C898*'FR_Mantenimiento tasas'!$E$56/360,IF(C898&lt;='FR_Mantenimiento tasas'!$C$57,'Tabla Ahorro Futuro Reservas'!C898*'FR_Mantenimiento tasas'!$E$57/360,""))),5)</f>
        <v>0</v>
      </c>
    </row>
    <row r="899" spans="1:5">
      <c r="A899" s="123">
        <f t="shared" si="26"/>
        <v>897</v>
      </c>
      <c r="B899" s="122">
        <f>IF(DAY(A899)=DAY('F-Ahorro Futuro Reservas'!$H$10),'F-Ahorro Futuro Reservas'!$H$9,0)</f>
        <v>0</v>
      </c>
      <c r="C899" s="122">
        <f t="shared" si="27"/>
        <v>0</v>
      </c>
      <c r="D899" s="121">
        <f>ROUND(IF(C899&lt;='FR_Mantenimiento tasas'!$C$55,'Tabla Ahorro Futuro Reservas'!C899*'FR_Mantenimiento tasas'!$D$55/360,IF(C899&lt;='FR_Mantenimiento tasas'!$C$56,'Tabla Ahorro Futuro Reservas'!C899*'FR_Mantenimiento tasas'!$D$56/360,IF(C899&lt;='FR_Mantenimiento tasas'!$C$57,'Tabla Ahorro Futuro Reservas'!C899*'FR_Mantenimiento tasas'!$D$57/360,""))),5)</f>
        <v>0</v>
      </c>
      <c r="E899" s="121">
        <f>ROUND(IF(C899&lt;='FR_Mantenimiento tasas'!$C$55,'Tabla Ahorro Futuro Reservas'!C899*'FR_Mantenimiento tasas'!$E$55/360,IF(C899&lt;='FR_Mantenimiento tasas'!$C$56,'Tabla Ahorro Futuro Reservas'!C899*'FR_Mantenimiento tasas'!$E$56/360,IF(C899&lt;='FR_Mantenimiento tasas'!$C$57,'Tabla Ahorro Futuro Reservas'!C899*'FR_Mantenimiento tasas'!$E$57/360,""))),5)</f>
        <v>0</v>
      </c>
    </row>
    <row r="900" spans="1:5">
      <c r="A900" s="123">
        <f t="shared" ref="A900:A963" si="28">+A899+1</f>
        <v>898</v>
      </c>
      <c r="B900" s="122">
        <f>IF(DAY(A900)=DAY('F-Ahorro Futuro Reservas'!$H$10),'F-Ahorro Futuro Reservas'!$H$9,0)</f>
        <v>0</v>
      </c>
      <c r="C900" s="122">
        <f t="shared" ref="C900:C963" si="29">+B900+C899+D899</f>
        <v>0</v>
      </c>
      <c r="D900" s="121">
        <f>ROUND(IF(C900&lt;='FR_Mantenimiento tasas'!$C$55,'Tabla Ahorro Futuro Reservas'!C900*'FR_Mantenimiento tasas'!$D$55/360,IF(C900&lt;='FR_Mantenimiento tasas'!$C$56,'Tabla Ahorro Futuro Reservas'!C900*'FR_Mantenimiento tasas'!$D$56/360,IF(C900&lt;='FR_Mantenimiento tasas'!$C$57,'Tabla Ahorro Futuro Reservas'!C900*'FR_Mantenimiento tasas'!$D$57/360,""))),5)</f>
        <v>0</v>
      </c>
      <c r="E900" s="121">
        <f>ROUND(IF(C900&lt;='FR_Mantenimiento tasas'!$C$55,'Tabla Ahorro Futuro Reservas'!C900*'FR_Mantenimiento tasas'!$E$55/360,IF(C900&lt;='FR_Mantenimiento tasas'!$C$56,'Tabla Ahorro Futuro Reservas'!C900*'FR_Mantenimiento tasas'!$E$56/360,IF(C900&lt;='FR_Mantenimiento tasas'!$C$57,'Tabla Ahorro Futuro Reservas'!C900*'FR_Mantenimiento tasas'!$E$57/360,""))),5)</f>
        <v>0</v>
      </c>
    </row>
    <row r="901" spans="1:5">
      <c r="A901" s="123">
        <f t="shared" si="28"/>
        <v>899</v>
      </c>
      <c r="B901" s="122">
        <f>IF(DAY(A901)=DAY('F-Ahorro Futuro Reservas'!$H$10),'F-Ahorro Futuro Reservas'!$H$9,0)</f>
        <v>0</v>
      </c>
      <c r="C901" s="122">
        <f t="shared" si="29"/>
        <v>0</v>
      </c>
      <c r="D901" s="121">
        <f>ROUND(IF(C901&lt;='FR_Mantenimiento tasas'!$C$55,'Tabla Ahorro Futuro Reservas'!C901*'FR_Mantenimiento tasas'!$D$55/360,IF(C901&lt;='FR_Mantenimiento tasas'!$C$56,'Tabla Ahorro Futuro Reservas'!C901*'FR_Mantenimiento tasas'!$D$56/360,IF(C901&lt;='FR_Mantenimiento tasas'!$C$57,'Tabla Ahorro Futuro Reservas'!C901*'FR_Mantenimiento tasas'!$D$57/360,""))),5)</f>
        <v>0</v>
      </c>
      <c r="E901" s="121">
        <f>ROUND(IF(C901&lt;='FR_Mantenimiento tasas'!$C$55,'Tabla Ahorro Futuro Reservas'!C901*'FR_Mantenimiento tasas'!$E$55/360,IF(C901&lt;='FR_Mantenimiento tasas'!$C$56,'Tabla Ahorro Futuro Reservas'!C901*'FR_Mantenimiento tasas'!$E$56/360,IF(C901&lt;='FR_Mantenimiento tasas'!$C$57,'Tabla Ahorro Futuro Reservas'!C901*'FR_Mantenimiento tasas'!$E$57/360,""))),5)</f>
        <v>0</v>
      </c>
    </row>
    <row r="902" spans="1:5">
      <c r="A902" s="123">
        <f t="shared" si="28"/>
        <v>900</v>
      </c>
      <c r="B902" s="122">
        <f>IF(DAY(A902)=DAY('F-Ahorro Futuro Reservas'!$H$10),'F-Ahorro Futuro Reservas'!$H$9,0)</f>
        <v>0</v>
      </c>
      <c r="C902" s="122">
        <f t="shared" si="29"/>
        <v>0</v>
      </c>
      <c r="D902" s="121">
        <f>ROUND(IF(C902&lt;='FR_Mantenimiento tasas'!$C$55,'Tabla Ahorro Futuro Reservas'!C902*'FR_Mantenimiento tasas'!$D$55/360,IF(C902&lt;='FR_Mantenimiento tasas'!$C$56,'Tabla Ahorro Futuro Reservas'!C902*'FR_Mantenimiento tasas'!$D$56/360,IF(C902&lt;='FR_Mantenimiento tasas'!$C$57,'Tabla Ahorro Futuro Reservas'!C902*'FR_Mantenimiento tasas'!$D$57/360,""))),5)</f>
        <v>0</v>
      </c>
      <c r="E902" s="121">
        <f>ROUND(IF(C902&lt;='FR_Mantenimiento tasas'!$C$55,'Tabla Ahorro Futuro Reservas'!C902*'FR_Mantenimiento tasas'!$E$55/360,IF(C902&lt;='FR_Mantenimiento tasas'!$C$56,'Tabla Ahorro Futuro Reservas'!C902*'FR_Mantenimiento tasas'!$E$56/360,IF(C902&lt;='FR_Mantenimiento tasas'!$C$57,'Tabla Ahorro Futuro Reservas'!C902*'FR_Mantenimiento tasas'!$E$57/360,""))),5)</f>
        <v>0</v>
      </c>
    </row>
    <row r="903" spans="1:5">
      <c r="A903" s="123">
        <f t="shared" si="28"/>
        <v>901</v>
      </c>
      <c r="B903" s="122">
        <f>IF(DAY(A903)=DAY('F-Ahorro Futuro Reservas'!$H$10),'F-Ahorro Futuro Reservas'!$H$9,0)</f>
        <v>0</v>
      </c>
      <c r="C903" s="122">
        <f t="shared" si="29"/>
        <v>0</v>
      </c>
      <c r="D903" s="121">
        <f>ROUND(IF(C903&lt;='FR_Mantenimiento tasas'!$C$55,'Tabla Ahorro Futuro Reservas'!C903*'FR_Mantenimiento tasas'!$D$55/360,IF(C903&lt;='FR_Mantenimiento tasas'!$C$56,'Tabla Ahorro Futuro Reservas'!C903*'FR_Mantenimiento tasas'!$D$56/360,IF(C903&lt;='FR_Mantenimiento tasas'!$C$57,'Tabla Ahorro Futuro Reservas'!C903*'FR_Mantenimiento tasas'!$D$57/360,""))),5)</f>
        <v>0</v>
      </c>
      <c r="E903" s="121">
        <f>ROUND(IF(C903&lt;='FR_Mantenimiento tasas'!$C$55,'Tabla Ahorro Futuro Reservas'!C903*'FR_Mantenimiento tasas'!$E$55/360,IF(C903&lt;='FR_Mantenimiento tasas'!$C$56,'Tabla Ahorro Futuro Reservas'!C903*'FR_Mantenimiento tasas'!$E$56/360,IF(C903&lt;='FR_Mantenimiento tasas'!$C$57,'Tabla Ahorro Futuro Reservas'!C903*'FR_Mantenimiento tasas'!$E$57/360,""))),5)</f>
        <v>0</v>
      </c>
    </row>
    <row r="904" spans="1:5">
      <c r="A904" s="123">
        <f t="shared" si="28"/>
        <v>902</v>
      </c>
      <c r="B904" s="122">
        <f>IF(DAY(A904)=DAY('F-Ahorro Futuro Reservas'!$H$10),'F-Ahorro Futuro Reservas'!$H$9,0)</f>
        <v>0</v>
      </c>
      <c r="C904" s="122">
        <f t="shared" si="29"/>
        <v>0</v>
      </c>
      <c r="D904" s="121">
        <f>ROUND(IF(C904&lt;='FR_Mantenimiento tasas'!$C$55,'Tabla Ahorro Futuro Reservas'!C904*'FR_Mantenimiento tasas'!$D$55/360,IF(C904&lt;='FR_Mantenimiento tasas'!$C$56,'Tabla Ahorro Futuro Reservas'!C904*'FR_Mantenimiento tasas'!$D$56/360,IF(C904&lt;='FR_Mantenimiento tasas'!$C$57,'Tabla Ahorro Futuro Reservas'!C904*'FR_Mantenimiento tasas'!$D$57/360,""))),5)</f>
        <v>0</v>
      </c>
      <c r="E904" s="121">
        <f>ROUND(IF(C904&lt;='FR_Mantenimiento tasas'!$C$55,'Tabla Ahorro Futuro Reservas'!C904*'FR_Mantenimiento tasas'!$E$55/360,IF(C904&lt;='FR_Mantenimiento tasas'!$C$56,'Tabla Ahorro Futuro Reservas'!C904*'FR_Mantenimiento tasas'!$E$56/360,IF(C904&lt;='FR_Mantenimiento tasas'!$C$57,'Tabla Ahorro Futuro Reservas'!C904*'FR_Mantenimiento tasas'!$E$57/360,""))),5)</f>
        <v>0</v>
      </c>
    </row>
    <row r="905" spans="1:5">
      <c r="A905" s="123">
        <f t="shared" si="28"/>
        <v>903</v>
      </c>
      <c r="B905" s="122">
        <f>IF(DAY(A905)=DAY('F-Ahorro Futuro Reservas'!$H$10),'F-Ahorro Futuro Reservas'!$H$9,0)</f>
        <v>0</v>
      </c>
      <c r="C905" s="122">
        <f t="shared" si="29"/>
        <v>0</v>
      </c>
      <c r="D905" s="121">
        <f>ROUND(IF(C905&lt;='FR_Mantenimiento tasas'!$C$55,'Tabla Ahorro Futuro Reservas'!C905*'FR_Mantenimiento tasas'!$D$55/360,IF(C905&lt;='FR_Mantenimiento tasas'!$C$56,'Tabla Ahorro Futuro Reservas'!C905*'FR_Mantenimiento tasas'!$D$56/360,IF(C905&lt;='FR_Mantenimiento tasas'!$C$57,'Tabla Ahorro Futuro Reservas'!C905*'FR_Mantenimiento tasas'!$D$57/360,""))),5)</f>
        <v>0</v>
      </c>
      <c r="E905" s="121">
        <f>ROUND(IF(C905&lt;='FR_Mantenimiento tasas'!$C$55,'Tabla Ahorro Futuro Reservas'!C905*'FR_Mantenimiento tasas'!$E$55/360,IF(C905&lt;='FR_Mantenimiento tasas'!$C$56,'Tabla Ahorro Futuro Reservas'!C905*'FR_Mantenimiento tasas'!$E$56/360,IF(C905&lt;='FR_Mantenimiento tasas'!$C$57,'Tabla Ahorro Futuro Reservas'!C905*'FR_Mantenimiento tasas'!$E$57/360,""))),5)</f>
        <v>0</v>
      </c>
    </row>
    <row r="906" spans="1:5">
      <c r="A906" s="123">
        <f t="shared" si="28"/>
        <v>904</v>
      </c>
      <c r="B906" s="122">
        <f>IF(DAY(A906)=DAY('F-Ahorro Futuro Reservas'!$H$10),'F-Ahorro Futuro Reservas'!$H$9,0)</f>
        <v>0</v>
      </c>
      <c r="C906" s="122">
        <f t="shared" si="29"/>
        <v>0</v>
      </c>
      <c r="D906" s="121">
        <f>ROUND(IF(C906&lt;='FR_Mantenimiento tasas'!$C$55,'Tabla Ahorro Futuro Reservas'!C906*'FR_Mantenimiento tasas'!$D$55/360,IF(C906&lt;='FR_Mantenimiento tasas'!$C$56,'Tabla Ahorro Futuro Reservas'!C906*'FR_Mantenimiento tasas'!$D$56/360,IF(C906&lt;='FR_Mantenimiento tasas'!$C$57,'Tabla Ahorro Futuro Reservas'!C906*'FR_Mantenimiento tasas'!$D$57/360,""))),5)</f>
        <v>0</v>
      </c>
      <c r="E906" s="121">
        <f>ROUND(IF(C906&lt;='FR_Mantenimiento tasas'!$C$55,'Tabla Ahorro Futuro Reservas'!C906*'FR_Mantenimiento tasas'!$E$55/360,IF(C906&lt;='FR_Mantenimiento tasas'!$C$56,'Tabla Ahorro Futuro Reservas'!C906*'FR_Mantenimiento tasas'!$E$56/360,IF(C906&lt;='FR_Mantenimiento tasas'!$C$57,'Tabla Ahorro Futuro Reservas'!C906*'FR_Mantenimiento tasas'!$E$57/360,""))),5)</f>
        <v>0</v>
      </c>
    </row>
    <row r="907" spans="1:5">
      <c r="A907" s="123">
        <f t="shared" si="28"/>
        <v>905</v>
      </c>
      <c r="B907" s="122">
        <f>IF(DAY(A907)=DAY('F-Ahorro Futuro Reservas'!$H$10),'F-Ahorro Futuro Reservas'!$H$9,0)</f>
        <v>0</v>
      </c>
      <c r="C907" s="122">
        <f t="shared" si="29"/>
        <v>0</v>
      </c>
      <c r="D907" s="121">
        <f>ROUND(IF(C907&lt;='FR_Mantenimiento tasas'!$C$55,'Tabla Ahorro Futuro Reservas'!C907*'FR_Mantenimiento tasas'!$D$55/360,IF(C907&lt;='FR_Mantenimiento tasas'!$C$56,'Tabla Ahorro Futuro Reservas'!C907*'FR_Mantenimiento tasas'!$D$56/360,IF(C907&lt;='FR_Mantenimiento tasas'!$C$57,'Tabla Ahorro Futuro Reservas'!C907*'FR_Mantenimiento tasas'!$D$57/360,""))),5)</f>
        <v>0</v>
      </c>
      <c r="E907" s="121">
        <f>ROUND(IF(C907&lt;='FR_Mantenimiento tasas'!$C$55,'Tabla Ahorro Futuro Reservas'!C907*'FR_Mantenimiento tasas'!$E$55/360,IF(C907&lt;='FR_Mantenimiento tasas'!$C$56,'Tabla Ahorro Futuro Reservas'!C907*'FR_Mantenimiento tasas'!$E$56/360,IF(C907&lt;='FR_Mantenimiento tasas'!$C$57,'Tabla Ahorro Futuro Reservas'!C907*'FR_Mantenimiento tasas'!$E$57/360,""))),5)</f>
        <v>0</v>
      </c>
    </row>
    <row r="908" spans="1:5">
      <c r="A908" s="123">
        <f t="shared" si="28"/>
        <v>906</v>
      </c>
      <c r="B908" s="122">
        <f>IF(DAY(A908)=DAY('F-Ahorro Futuro Reservas'!$H$10),'F-Ahorro Futuro Reservas'!$H$9,0)</f>
        <v>0</v>
      </c>
      <c r="C908" s="122">
        <f t="shared" si="29"/>
        <v>0</v>
      </c>
      <c r="D908" s="121">
        <f>ROUND(IF(C908&lt;='FR_Mantenimiento tasas'!$C$55,'Tabla Ahorro Futuro Reservas'!C908*'FR_Mantenimiento tasas'!$D$55/360,IF(C908&lt;='FR_Mantenimiento tasas'!$C$56,'Tabla Ahorro Futuro Reservas'!C908*'FR_Mantenimiento tasas'!$D$56/360,IF(C908&lt;='FR_Mantenimiento tasas'!$C$57,'Tabla Ahorro Futuro Reservas'!C908*'FR_Mantenimiento tasas'!$D$57/360,""))),5)</f>
        <v>0</v>
      </c>
      <c r="E908" s="121">
        <f>ROUND(IF(C908&lt;='FR_Mantenimiento tasas'!$C$55,'Tabla Ahorro Futuro Reservas'!C908*'FR_Mantenimiento tasas'!$E$55/360,IF(C908&lt;='FR_Mantenimiento tasas'!$C$56,'Tabla Ahorro Futuro Reservas'!C908*'FR_Mantenimiento tasas'!$E$56/360,IF(C908&lt;='FR_Mantenimiento tasas'!$C$57,'Tabla Ahorro Futuro Reservas'!C908*'FR_Mantenimiento tasas'!$E$57/360,""))),5)</f>
        <v>0</v>
      </c>
    </row>
    <row r="909" spans="1:5">
      <c r="A909" s="123">
        <f t="shared" si="28"/>
        <v>907</v>
      </c>
      <c r="B909" s="122">
        <f>IF(DAY(A909)=DAY('F-Ahorro Futuro Reservas'!$H$10),'F-Ahorro Futuro Reservas'!$H$9,0)</f>
        <v>0</v>
      </c>
      <c r="C909" s="122">
        <f t="shared" si="29"/>
        <v>0</v>
      </c>
      <c r="D909" s="121">
        <f>ROUND(IF(C909&lt;='FR_Mantenimiento tasas'!$C$55,'Tabla Ahorro Futuro Reservas'!C909*'FR_Mantenimiento tasas'!$D$55/360,IF(C909&lt;='FR_Mantenimiento tasas'!$C$56,'Tabla Ahorro Futuro Reservas'!C909*'FR_Mantenimiento tasas'!$D$56/360,IF(C909&lt;='FR_Mantenimiento tasas'!$C$57,'Tabla Ahorro Futuro Reservas'!C909*'FR_Mantenimiento tasas'!$D$57/360,""))),5)</f>
        <v>0</v>
      </c>
      <c r="E909" s="121">
        <f>ROUND(IF(C909&lt;='FR_Mantenimiento tasas'!$C$55,'Tabla Ahorro Futuro Reservas'!C909*'FR_Mantenimiento tasas'!$E$55/360,IF(C909&lt;='FR_Mantenimiento tasas'!$C$56,'Tabla Ahorro Futuro Reservas'!C909*'FR_Mantenimiento tasas'!$E$56/360,IF(C909&lt;='FR_Mantenimiento tasas'!$C$57,'Tabla Ahorro Futuro Reservas'!C909*'FR_Mantenimiento tasas'!$E$57/360,""))),5)</f>
        <v>0</v>
      </c>
    </row>
    <row r="910" spans="1:5">
      <c r="A910" s="123">
        <f t="shared" si="28"/>
        <v>908</v>
      </c>
      <c r="B910" s="122">
        <f>IF(DAY(A910)=DAY('F-Ahorro Futuro Reservas'!$H$10),'F-Ahorro Futuro Reservas'!$H$9,0)</f>
        <v>0</v>
      </c>
      <c r="C910" s="122">
        <f t="shared" si="29"/>
        <v>0</v>
      </c>
      <c r="D910" s="121">
        <f>ROUND(IF(C910&lt;='FR_Mantenimiento tasas'!$C$55,'Tabla Ahorro Futuro Reservas'!C910*'FR_Mantenimiento tasas'!$D$55/360,IF(C910&lt;='FR_Mantenimiento tasas'!$C$56,'Tabla Ahorro Futuro Reservas'!C910*'FR_Mantenimiento tasas'!$D$56/360,IF(C910&lt;='FR_Mantenimiento tasas'!$C$57,'Tabla Ahorro Futuro Reservas'!C910*'FR_Mantenimiento tasas'!$D$57/360,""))),5)</f>
        <v>0</v>
      </c>
      <c r="E910" s="121">
        <f>ROUND(IF(C910&lt;='FR_Mantenimiento tasas'!$C$55,'Tabla Ahorro Futuro Reservas'!C910*'FR_Mantenimiento tasas'!$E$55/360,IF(C910&lt;='FR_Mantenimiento tasas'!$C$56,'Tabla Ahorro Futuro Reservas'!C910*'FR_Mantenimiento tasas'!$E$56/360,IF(C910&lt;='FR_Mantenimiento tasas'!$C$57,'Tabla Ahorro Futuro Reservas'!C910*'FR_Mantenimiento tasas'!$E$57/360,""))),5)</f>
        <v>0</v>
      </c>
    </row>
    <row r="911" spans="1:5">
      <c r="A911" s="123">
        <f t="shared" si="28"/>
        <v>909</v>
      </c>
      <c r="B911" s="122">
        <f>IF(DAY(A911)=DAY('F-Ahorro Futuro Reservas'!$H$10),'F-Ahorro Futuro Reservas'!$H$9,0)</f>
        <v>0</v>
      </c>
      <c r="C911" s="122">
        <f t="shared" si="29"/>
        <v>0</v>
      </c>
      <c r="D911" s="121">
        <f>ROUND(IF(C911&lt;='FR_Mantenimiento tasas'!$C$55,'Tabla Ahorro Futuro Reservas'!C911*'FR_Mantenimiento tasas'!$D$55/360,IF(C911&lt;='FR_Mantenimiento tasas'!$C$56,'Tabla Ahorro Futuro Reservas'!C911*'FR_Mantenimiento tasas'!$D$56/360,IF(C911&lt;='FR_Mantenimiento tasas'!$C$57,'Tabla Ahorro Futuro Reservas'!C911*'FR_Mantenimiento tasas'!$D$57/360,""))),5)</f>
        <v>0</v>
      </c>
      <c r="E911" s="121">
        <f>ROUND(IF(C911&lt;='FR_Mantenimiento tasas'!$C$55,'Tabla Ahorro Futuro Reservas'!C911*'FR_Mantenimiento tasas'!$E$55/360,IF(C911&lt;='FR_Mantenimiento tasas'!$C$56,'Tabla Ahorro Futuro Reservas'!C911*'FR_Mantenimiento tasas'!$E$56/360,IF(C911&lt;='FR_Mantenimiento tasas'!$C$57,'Tabla Ahorro Futuro Reservas'!C911*'FR_Mantenimiento tasas'!$E$57/360,""))),5)</f>
        <v>0</v>
      </c>
    </row>
    <row r="912" spans="1:5">
      <c r="A912" s="123">
        <f t="shared" si="28"/>
        <v>910</v>
      </c>
      <c r="B912" s="122">
        <f>IF(DAY(A912)=DAY('F-Ahorro Futuro Reservas'!$H$10),'F-Ahorro Futuro Reservas'!$H$9,0)</f>
        <v>0</v>
      </c>
      <c r="C912" s="122">
        <f t="shared" si="29"/>
        <v>0</v>
      </c>
      <c r="D912" s="121">
        <f>ROUND(IF(C912&lt;='FR_Mantenimiento tasas'!$C$55,'Tabla Ahorro Futuro Reservas'!C912*'FR_Mantenimiento tasas'!$D$55/360,IF(C912&lt;='FR_Mantenimiento tasas'!$C$56,'Tabla Ahorro Futuro Reservas'!C912*'FR_Mantenimiento tasas'!$D$56/360,IF(C912&lt;='FR_Mantenimiento tasas'!$C$57,'Tabla Ahorro Futuro Reservas'!C912*'FR_Mantenimiento tasas'!$D$57/360,""))),5)</f>
        <v>0</v>
      </c>
      <c r="E912" s="121">
        <f>ROUND(IF(C912&lt;='FR_Mantenimiento tasas'!$C$55,'Tabla Ahorro Futuro Reservas'!C912*'FR_Mantenimiento tasas'!$E$55/360,IF(C912&lt;='FR_Mantenimiento tasas'!$C$56,'Tabla Ahorro Futuro Reservas'!C912*'FR_Mantenimiento tasas'!$E$56/360,IF(C912&lt;='FR_Mantenimiento tasas'!$C$57,'Tabla Ahorro Futuro Reservas'!C912*'FR_Mantenimiento tasas'!$E$57/360,""))),5)</f>
        <v>0</v>
      </c>
    </row>
    <row r="913" spans="1:5">
      <c r="A913" s="123">
        <f t="shared" si="28"/>
        <v>911</v>
      </c>
      <c r="B913" s="122">
        <f>IF(DAY(A913)=DAY('F-Ahorro Futuro Reservas'!$H$10),'F-Ahorro Futuro Reservas'!$H$9,0)</f>
        <v>0</v>
      </c>
      <c r="C913" s="122">
        <f t="shared" si="29"/>
        <v>0</v>
      </c>
      <c r="D913" s="121">
        <f>ROUND(IF(C913&lt;='FR_Mantenimiento tasas'!$C$55,'Tabla Ahorro Futuro Reservas'!C913*'FR_Mantenimiento tasas'!$D$55/360,IF(C913&lt;='FR_Mantenimiento tasas'!$C$56,'Tabla Ahorro Futuro Reservas'!C913*'FR_Mantenimiento tasas'!$D$56/360,IF(C913&lt;='FR_Mantenimiento tasas'!$C$57,'Tabla Ahorro Futuro Reservas'!C913*'FR_Mantenimiento tasas'!$D$57/360,""))),5)</f>
        <v>0</v>
      </c>
      <c r="E913" s="121">
        <f>ROUND(IF(C913&lt;='FR_Mantenimiento tasas'!$C$55,'Tabla Ahorro Futuro Reservas'!C913*'FR_Mantenimiento tasas'!$E$55/360,IF(C913&lt;='FR_Mantenimiento tasas'!$C$56,'Tabla Ahorro Futuro Reservas'!C913*'FR_Mantenimiento tasas'!$E$56/360,IF(C913&lt;='FR_Mantenimiento tasas'!$C$57,'Tabla Ahorro Futuro Reservas'!C913*'FR_Mantenimiento tasas'!$E$57/360,""))),5)</f>
        <v>0</v>
      </c>
    </row>
    <row r="914" spans="1:5">
      <c r="A914" s="123">
        <f t="shared" si="28"/>
        <v>912</v>
      </c>
      <c r="B914" s="122">
        <f>IF(DAY(A914)=DAY('F-Ahorro Futuro Reservas'!$H$10),'F-Ahorro Futuro Reservas'!$H$9,0)</f>
        <v>0</v>
      </c>
      <c r="C914" s="122">
        <f t="shared" si="29"/>
        <v>0</v>
      </c>
      <c r="D914" s="121">
        <f>ROUND(IF(C914&lt;='FR_Mantenimiento tasas'!$C$55,'Tabla Ahorro Futuro Reservas'!C914*'FR_Mantenimiento tasas'!$D$55/360,IF(C914&lt;='FR_Mantenimiento tasas'!$C$56,'Tabla Ahorro Futuro Reservas'!C914*'FR_Mantenimiento tasas'!$D$56/360,IF(C914&lt;='FR_Mantenimiento tasas'!$C$57,'Tabla Ahorro Futuro Reservas'!C914*'FR_Mantenimiento tasas'!$D$57/360,""))),5)</f>
        <v>0</v>
      </c>
      <c r="E914" s="121">
        <f>ROUND(IF(C914&lt;='FR_Mantenimiento tasas'!$C$55,'Tabla Ahorro Futuro Reservas'!C914*'FR_Mantenimiento tasas'!$E$55/360,IF(C914&lt;='FR_Mantenimiento tasas'!$C$56,'Tabla Ahorro Futuro Reservas'!C914*'FR_Mantenimiento tasas'!$E$56/360,IF(C914&lt;='FR_Mantenimiento tasas'!$C$57,'Tabla Ahorro Futuro Reservas'!C914*'FR_Mantenimiento tasas'!$E$57/360,""))),5)</f>
        <v>0</v>
      </c>
    </row>
    <row r="915" spans="1:5">
      <c r="A915" s="123">
        <f t="shared" si="28"/>
        <v>913</v>
      </c>
      <c r="B915" s="122">
        <f>IF(DAY(A915)=DAY('F-Ahorro Futuro Reservas'!$H$10),'F-Ahorro Futuro Reservas'!$H$9,0)</f>
        <v>0</v>
      </c>
      <c r="C915" s="122">
        <f t="shared" si="29"/>
        <v>0</v>
      </c>
      <c r="D915" s="121">
        <f>ROUND(IF(C915&lt;='FR_Mantenimiento tasas'!$C$55,'Tabla Ahorro Futuro Reservas'!C915*'FR_Mantenimiento tasas'!$D$55/360,IF(C915&lt;='FR_Mantenimiento tasas'!$C$56,'Tabla Ahorro Futuro Reservas'!C915*'FR_Mantenimiento tasas'!$D$56/360,IF(C915&lt;='FR_Mantenimiento tasas'!$C$57,'Tabla Ahorro Futuro Reservas'!C915*'FR_Mantenimiento tasas'!$D$57/360,""))),5)</f>
        <v>0</v>
      </c>
      <c r="E915" s="121">
        <f>ROUND(IF(C915&lt;='FR_Mantenimiento tasas'!$C$55,'Tabla Ahorro Futuro Reservas'!C915*'FR_Mantenimiento tasas'!$E$55/360,IF(C915&lt;='FR_Mantenimiento tasas'!$C$56,'Tabla Ahorro Futuro Reservas'!C915*'FR_Mantenimiento tasas'!$E$56/360,IF(C915&lt;='FR_Mantenimiento tasas'!$C$57,'Tabla Ahorro Futuro Reservas'!C915*'FR_Mantenimiento tasas'!$E$57/360,""))),5)</f>
        <v>0</v>
      </c>
    </row>
    <row r="916" spans="1:5">
      <c r="A916" s="123">
        <f t="shared" si="28"/>
        <v>914</v>
      </c>
      <c r="B916" s="122">
        <f>IF(DAY(A916)=DAY('F-Ahorro Futuro Reservas'!$H$10),'F-Ahorro Futuro Reservas'!$H$9,0)</f>
        <v>0</v>
      </c>
      <c r="C916" s="122">
        <f t="shared" si="29"/>
        <v>0</v>
      </c>
      <c r="D916" s="121">
        <f>ROUND(IF(C916&lt;='FR_Mantenimiento tasas'!$C$55,'Tabla Ahorro Futuro Reservas'!C916*'FR_Mantenimiento tasas'!$D$55/360,IF(C916&lt;='FR_Mantenimiento tasas'!$C$56,'Tabla Ahorro Futuro Reservas'!C916*'FR_Mantenimiento tasas'!$D$56/360,IF(C916&lt;='FR_Mantenimiento tasas'!$C$57,'Tabla Ahorro Futuro Reservas'!C916*'FR_Mantenimiento tasas'!$D$57/360,""))),5)</f>
        <v>0</v>
      </c>
      <c r="E916" s="121">
        <f>ROUND(IF(C916&lt;='FR_Mantenimiento tasas'!$C$55,'Tabla Ahorro Futuro Reservas'!C916*'FR_Mantenimiento tasas'!$E$55/360,IF(C916&lt;='FR_Mantenimiento tasas'!$C$56,'Tabla Ahorro Futuro Reservas'!C916*'FR_Mantenimiento tasas'!$E$56/360,IF(C916&lt;='FR_Mantenimiento tasas'!$C$57,'Tabla Ahorro Futuro Reservas'!C916*'FR_Mantenimiento tasas'!$E$57/360,""))),5)</f>
        <v>0</v>
      </c>
    </row>
    <row r="917" spans="1:5">
      <c r="A917" s="123">
        <f t="shared" si="28"/>
        <v>915</v>
      </c>
      <c r="B917" s="122">
        <f>IF(DAY(A917)=DAY('F-Ahorro Futuro Reservas'!$H$10),'F-Ahorro Futuro Reservas'!$H$9,0)</f>
        <v>0</v>
      </c>
      <c r="C917" s="122">
        <f t="shared" si="29"/>
        <v>0</v>
      </c>
      <c r="D917" s="121">
        <f>ROUND(IF(C917&lt;='FR_Mantenimiento tasas'!$C$55,'Tabla Ahorro Futuro Reservas'!C917*'FR_Mantenimiento tasas'!$D$55/360,IF(C917&lt;='FR_Mantenimiento tasas'!$C$56,'Tabla Ahorro Futuro Reservas'!C917*'FR_Mantenimiento tasas'!$D$56/360,IF(C917&lt;='FR_Mantenimiento tasas'!$C$57,'Tabla Ahorro Futuro Reservas'!C917*'FR_Mantenimiento tasas'!$D$57/360,""))),5)</f>
        <v>0</v>
      </c>
      <c r="E917" s="121">
        <f>ROUND(IF(C917&lt;='FR_Mantenimiento tasas'!$C$55,'Tabla Ahorro Futuro Reservas'!C917*'FR_Mantenimiento tasas'!$E$55/360,IF(C917&lt;='FR_Mantenimiento tasas'!$C$56,'Tabla Ahorro Futuro Reservas'!C917*'FR_Mantenimiento tasas'!$E$56/360,IF(C917&lt;='FR_Mantenimiento tasas'!$C$57,'Tabla Ahorro Futuro Reservas'!C917*'FR_Mantenimiento tasas'!$E$57/360,""))),5)</f>
        <v>0</v>
      </c>
    </row>
    <row r="918" spans="1:5">
      <c r="A918" s="123">
        <f t="shared" si="28"/>
        <v>916</v>
      </c>
      <c r="B918" s="122">
        <f>IF(DAY(A918)=DAY('F-Ahorro Futuro Reservas'!$H$10),'F-Ahorro Futuro Reservas'!$H$9,0)</f>
        <v>0</v>
      </c>
      <c r="C918" s="122">
        <f t="shared" si="29"/>
        <v>0</v>
      </c>
      <c r="D918" s="121">
        <f>ROUND(IF(C918&lt;='FR_Mantenimiento tasas'!$C$55,'Tabla Ahorro Futuro Reservas'!C918*'FR_Mantenimiento tasas'!$D$55/360,IF(C918&lt;='FR_Mantenimiento tasas'!$C$56,'Tabla Ahorro Futuro Reservas'!C918*'FR_Mantenimiento tasas'!$D$56/360,IF(C918&lt;='FR_Mantenimiento tasas'!$C$57,'Tabla Ahorro Futuro Reservas'!C918*'FR_Mantenimiento tasas'!$D$57/360,""))),5)</f>
        <v>0</v>
      </c>
      <c r="E918" s="121">
        <f>ROUND(IF(C918&lt;='FR_Mantenimiento tasas'!$C$55,'Tabla Ahorro Futuro Reservas'!C918*'FR_Mantenimiento tasas'!$E$55/360,IF(C918&lt;='FR_Mantenimiento tasas'!$C$56,'Tabla Ahorro Futuro Reservas'!C918*'FR_Mantenimiento tasas'!$E$56/360,IF(C918&lt;='FR_Mantenimiento tasas'!$C$57,'Tabla Ahorro Futuro Reservas'!C918*'FR_Mantenimiento tasas'!$E$57/360,""))),5)</f>
        <v>0</v>
      </c>
    </row>
    <row r="919" spans="1:5">
      <c r="A919" s="123">
        <f t="shared" si="28"/>
        <v>917</v>
      </c>
      <c r="B919" s="122">
        <f>IF(DAY(A919)=DAY('F-Ahorro Futuro Reservas'!$H$10),'F-Ahorro Futuro Reservas'!$H$9,0)</f>
        <v>0</v>
      </c>
      <c r="C919" s="122">
        <f t="shared" si="29"/>
        <v>0</v>
      </c>
      <c r="D919" s="121">
        <f>ROUND(IF(C919&lt;='FR_Mantenimiento tasas'!$C$55,'Tabla Ahorro Futuro Reservas'!C919*'FR_Mantenimiento tasas'!$D$55/360,IF(C919&lt;='FR_Mantenimiento tasas'!$C$56,'Tabla Ahorro Futuro Reservas'!C919*'FR_Mantenimiento tasas'!$D$56/360,IF(C919&lt;='FR_Mantenimiento tasas'!$C$57,'Tabla Ahorro Futuro Reservas'!C919*'FR_Mantenimiento tasas'!$D$57/360,""))),5)</f>
        <v>0</v>
      </c>
      <c r="E919" s="121">
        <f>ROUND(IF(C919&lt;='FR_Mantenimiento tasas'!$C$55,'Tabla Ahorro Futuro Reservas'!C919*'FR_Mantenimiento tasas'!$E$55/360,IF(C919&lt;='FR_Mantenimiento tasas'!$C$56,'Tabla Ahorro Futuro Reservas'!C919*'FR_Mantenimiento tasas'!$E$56/360,IF(C919&lt;='FR_Mantenimiento tasas'!$C$57,'Tabla Ahorro Futuro Reservas'!C919*'FR_Mantenimiento tasas'!$E$57/360,""))),5)</f>
        <v>0</v>
      </c>
    </row>
    <row r="920" spans="1:5">
      <c r="A920" s="123">
        <f t="shared" si="28"/>
        <v>918</v>
      </c>
      <c r="B920" s="122">
        <f>IF(DAY(A920)=DAY('F-Ahorro Futuro Reservas'!$H$10),'F-Ahorro Futuro Reservas'!$H$9,0)</f>
        <v>0</v>
      </c>
      <c r="C920" s="122">
        <f t="shared" si="29"/>
        <v>0</v>
      </c>
      <c r="D920" s="121">
        <f>ROUND(IF(C920&lt;='FR_Mantenimiento tasas'!$C$55,'Tabla Ahorro Futuro Reservas'!C920*'FR_Mantenimiento tasas'!$D$55/360,IF(C920&lt;='FR_Mantenimiento tasas'!$C$56,'Tabla Ahorro Futuro Reservas'!C920*'FR_Mantenimiento tasas'!$D$56/360,IF(C920&lt;='FR_Mantenimiento tasas'!$C$57,'Tabla Ahorro Futuro Reservas'!C920*'FR_Mantenimiento tasas'!$D$57/360,""))),5)</f>
        <v>0</v>
      </c>
      <c r="E920" s="121">
        <f>ROUND(IF(C920&lt;='FR_Mantenimiento tasas'!$C$55,'Tabla Ahorro Futuro Reservas'!C920*'FR_Mantenimiento tasas'!$E$55/360,IF(C920&lt;='FR_Mantenimiento tasas'!$C$56,'Tabla Ahorro Futuro Reservas'!C920*'FR_Mantenimiento tasas'!$E$56/360,IF(C920&lt;='FR_Mantenimiento tasas'!$C$57,'Tabla Ahorro Futuro Reservas'!C920*'FR_Mantenimiento tasas'!$E$57/360,""))),5)</f>
        <v>0</v>
      </c>
    </row>
    <row r="921" spans="1:5">
      <c r="A921" s="123">
        <f t="shared" si="28"/>
        <v>919</v>
      </c>
      <c r="B921" s="122">
        <f>IF(DAY(A921)=DAY('F-Ahorro Futuro Reservas'!$H$10),'F-Ahorro Futuro Reservas'!$H$9,0)</f>
        <v>0</v>
      </c>
      <c r="C921" s="122">
        <f t="shared" si="29"/>
        <v>0</v>
      </c>
      <c r="D921" s="121">
        <f>ROUND(IF(C921&lt;='FR_Mantenimiento tasas'!$C$55,'Tabla Ahorro Futuro Reservas'!C921*'FR_Mantenimiento tasas'!$D$55/360,IF(C921&lt;='FR_Mantenimiento tasas'!$C$56,'Tabla Ahorro Futuro Reservas'!C921*'FR_Mantenimiento tasas'!$D$56/360,IF(C921&lt;='FR_Mantenimiento tasas'!$C$57,'Tabla Ahorro Futuro Reservas'!C921*'FR_Mantenimiento tasas'!$D$57/360,""))),5)</f>
        <v>0</v>
      </c>
      <c r="E921" s="121">
        <f>ROUND(IF(C921&lt;='FR_Mantenimiento tasas'!$C$55,'Tabla Ahorro Futuro Reservas'!C921*'FR_Mantenimiento tasas'!$E$55/360,IF(C921&lt;='FR_Mantenimiento tasas'!$C$56,'Tabla Ahorro Futuro Reservas'!C921*'FR_Mantenimiento tasas'!$E$56/360,IF(C921&lt;='FR_Mantenimiento tasas'!$C$57,'Tabla Ahorro Futuro Reservas'!C921*'FR_Mantenimiento tasas'!$E$57/360,""))),5)</f>
        <v>0</v>
      </c>
    </row>
    <row r="922" spans="1:5">
      <c r="A922" s="123">
        <f t="shared" si="28"/>
        <v>920</v>
      </c>
      <c r="B922" s="122">
        <f>IF(DAY(A922)=DAY('F-Ahorro Futuro Reservas'!$H$10),'F-Ahorro Futuro Reservas'!$H$9,0)</f>
        <v>0</v>
      </c>
      <c r="C922" s="122">
        <f t="shared" si="29"/>
        <v>0</v>
      </c>
      <c r="D922" s="121">
        <f>ROUND(IF(C922&lt;='FR_Mantenimiento tasas'!$C$55,'Tabla Ahorro Futuro Reservas'!C922*'FR_Mantenimiento tasas'!$D$55/360,IF(C922&lt;='FR_Mantenimiento tasas'!$C$56,'Tabla Ahorro Futuro Reservas'!C922*'FR_Mantenimiento tasas'!$D$56/360,IF(C922&lt;='FR_Mantenimiento tasas'!$C$57,'Tabla Ahorro Futuro Reservas'!C922*'FR_Mantenimiento tasas'!$D$57/360,""))),5)</f>
        <v>0</v>
      </c>
      <c r="E922" s="121">
        <f>ROUND(IF(C922&lt;='FR_Mantenimiento tasas'!$C$55,'Tabla Ahorro Futuro Reservas'!C922*'FR_Mantenimiento tasas'!$E$55/360,IF(C922&lt;='FR_Mantenimiento tasas'!$C$56,'Tabla Ahorro Futuro Reservas'!C922*'FR_Mantenimiento tasas'!$E$56/360,IF(C922&lt;='FR_Mantenimiento tasas'!$C$57,'Tabla Ahorro Futuro Reservas'!C922*'FR_Mantenimiento tasas'!$E$57/360,""))),5)</f>
        <v>0</v>
      </c>
    </row>
    <row r="923" spans="1:5">
      <c r="A923" s="123">
        <f t="shared" si="28"/>
        <v>921</v>
      </c>
      <c r="B923" s="122">
        <f>IF(DAY(A923)=DAY('F-Ahorro Futuro Reservas'!$H$10),'F-Ahorro Futuro Reservas'!$H$9,0)</f>
        <v>0</v>
      </c>
      <c r="C923" s="122">
        <f t="shared" si="29"/>
        <v>0</v>
      </c>
      <c r="D923" s="121">
        <f>ROUND(IF(C923&lt;='FR_Mantenimiento tasas'!$C$55,'Tabla Ahorro Futuro Reservas'!C923*'FR_Mantenimiento tasas'!$D$55/360,IF(C923&lt;='FR_Mantenimiento tasas'!$C$56,'Tabla Ahorro Futuro Reservas'!C923*'FR_Mantenimiento tasas'!$D$56/360,IF(C923&lt;='FR_Mantenimiento tasas'!$C$57,'Tabla Ahorro Futuro Reservas'!C923*'FR_Mantenimiento tasas'!$D$57/360,""))),5)</f>
        <v>0</v>
      </c>
      <c r="E923" s="121">
        <f>ROUND(IF(C923&lt;='FR_Mantenimiento tasas'!$C$55,'Tabla Ahorro Futuro Reservas'!C923*'FR_Mantenimiento tasas'!$E$55/360,IF(C923&lt;='FR_Mantenimiento tasas'!$C$56,'Tabla Ahorro Futuro Reservas'!C923*'FR_Mantenimiento tasas'!$E$56/360,IF(C923&lt;='FR_Mantenimiento tasas'!$C$57,'Tabla Ahorro Futuro Reservas'!C923*'FR_Mantenimiento tasas'!$E$57/360,""))),5)</f>
        <v>0</v>
      </c>
    </row>
    <row r="924" spans="1:5">
      <c r="A924" s="123">
        <f t="shared" si="28"/>
        <v>922</v>
      </c>
      <c r="B924" s="122">
        <f>IF(DAY(A924)=DAY('F-Ahorro Futuro Reservas'!$H$10),'F-Ahorro Futuro Reservas'!$H$9,0)</f>
        <v>0</v>
      </c>
      <c r="C924" s="122">
        <f t="shared" si="29"/>
        <v>0</v>
      </c>
      <c r="D924" s="121">
        <f>ROUND(IF(C924&lt;='FR_Mantenimiento tasas'!$C$55,'Tabla Ahorro Futuro Reservas'!C924*'FR_Mantenimiento tasas'!$D$55/360,IF(C924&lt;='FR_Mantenimiento tasas'!$C$56,'Tabla Ahorro Futuro Reservas'!C924*'FR_Mantenimiento tasas'!$D$56/360,IF(C924&lt;='FR_Mantenimiento tasas'!$C$57,'Tabla Ahorro Futuro Reservas'!C924*'FR_Mantenimiento tasas'!$D$57/360,""))),5)</f>
        <v>0</v>
      </c>
      <c r="E924" s="121">
        <f>ROUND(IF(C924&lt;='FR_Mantenimiento tasas'!$C$55,'Tabla Ahorro Futuro Reservas'!C924*'FR_Mantenimiento tasas'!$E$55/360,IF(C924&lt;='FR_Mantenimiento tasas'!$C$56,'Tabla Ahorro Futuro Reservas'!C924*'FR_Mantenimiento tasas'!$E$56/360,IF(C924&lt;='FR_Mantenimiento tasas'!$C$57,'Tabla Ahorro Futuro Reservas'!C924*'FR_Mantenimiento tasas'!$E$57/360,""))),5)</f>
        <v>0</v>
      </c>
    </row>
    <row r="925" spans="1:5">
      <c r="A925" s="123">
        <f t="shared" si="28"/>
        <v>923</v>
      </c>
      <c r="B925" s="122">
        <f>IF(DAY(A925)=DAY('F-Ahorro Futuro Reservas'!$H$10),'F-Ahorro Futuro Reservas'!$H$9,0)</f>
        <v>0</v>
      </c>
      <c r="C925" s="122">
        <f t="shared" si="29"/>
        <v>0</v>
      </c>
      <c r="D925" s="121">
        <f>ROUND(IF(C925&lt;='FR_Mantenimiento tasas'!$C$55,'Tabla Ahorro Futuro Reservas'!C925*'FR_Mantenimiento tasas'!$D$55/360,IF(C925&lt;='FR_Mantenimiento tasas'!$C$56,'Tabla Ahorro Futuro Reservas'!C925*'FR_Mantenimiento tasas'!$D$56/360,IF(C925&lt;='FR_Mantenimiento tasas'!$C$57,'Tabla Ahorro Futuro Reservas'!C925*'FR_Mantenimiento tasas'!$D$57/360,""))),5)</f>
        <v>0</v>
      </c>
      <c r="E925" s="121">
        <f>ROUND(IF(C925&lt;='FR_Mantenimiento tasas'!$C$55,'Tabla Ahorro Futuro Reservas'!C925*'FR_Mantenimiento tasas'!$E$55/360,IF(C925&lt;='FR_Mantenimiento tasas'!$C$56,'Tabla Ahorro Futuro Reservas'!C925*'FR_Mantenimiento tasas'!$E$56/360,IF(C925&lt;='FR_Mantenimiento tasas'!$C$57,'Tabla Ahorro Futuro Reservas'!C925*'FR_Mantenimiento tasas'!$E$57/360,""))),5)</f>
        <v>0</v>
      </c>
    </row>
    <row r="926" spans="1:5">
      <c r="A926" s="123">
        <f t="shared" si="28"/>
        <v>924</v>
      </c>
      <c r="B926" s="122">
        <f>IF(DAY(A926)=DAY('F-Ahorro Futuro Reservas'!$H$10),'F-Ahorro Futuro Reservas'!$H$9,0)</f>
        <v>0</v>
      </c>
      <c r="C926" s="122">
        <f t="shared" si="29"/>
        <v>0</v>
      </c>
      <c r="D926" s="121">
        <f>ROUND(IF(C926&lt;='FR_Mantenimiento tasas'!$C$55,'Tabla Ahorro Futuro Reservas'!C926*'FR_Mantenimiento tasas'!$D$55/360,IF(C926&lt;='FR_Mantenimiento tasas'!$C$56,'Tabla Ahorro Futuro Reservas'!C926*'FR_Mantenimiento tasas'!$D$56/360,IF(C926&lt;='FR_Mantenimiento tasas'!$C$57,'Tabla Ahorro Futuro Reservas'!C926*'FR_Mantenimiento tasas'!$D$57/360,""))),5)</f>
        <v>0</v>
      </c>
      <c r="E926" s="121">
        <f>ROUND(IF(C926&lt;='FR_Mantenimiento tasas'!$C$55,'Tabla Ahorro Futuro Reservas'!C926*'FR_Mantenimiento tasas'!$E$55/360,IF(C926&lt;='FR_Mantenimiento tasas'!$C$56,'Tabla Ahorro Futuro Reservas'!C926*'FR_Mantenimiento tasas'!$E$56/360,IF(C926&lt;='FR_Mantenimiento tasas'!$C$57,'Tabla Ahorro Futuro Reservas'!C926*'FR_Mantenimiento tasas'!$E$57/360,""))),5)</f>
        <v>0</v>
      </c>
    </row>
    <row r="927" spans="1:5">
      <c r="A927" s="123">
        <f t="shared" si="28"/>
        <v>925</v>
      </c>
      <c r="B927" s="122">
        <f>IF(DAY(A927)=DAY('F-Ahorro Futuro Reservas'!$H$10),'F-Ahorro Futuro Reservas'!$H$9,0)</f>
        <v>0</v>
      </c>
      <c r="C927" s="122">
        <f t="shared" si="29"/>
        <v>0</v>
      </c>
      <c r="D927" s="121">
        <f>ROUND(IF(C927&lt;='FR_Mantenimiento tasas'!$C$55,'Tabla Ahorro Futuro Reservas'!C927*'FR_Mantenimiento tasas'!$D$55/360,IF(C927&lt;='FR_Mantenimiento tasas'!$C$56,'Tabla Ahorro Futuro Reservas'!C927*'FR_Mantenimiento tasas'!$D$56/360,IF(C927&lt;='FR_Mantenimiento tasas'!$C$57,'Tabla Ahorro Futuro Reservas'!C927*'FR_Mantenimiento tasas'!$D$57/360,""))),5)</f>
        <v>0</v>
      </c>
      <c r="E927" s="121">
        <f>ROUND(IF(C927&lt;='FR_Mantenimiento tasas'!$C$55,'Tabla Ahorro Futuro Reservas'!C927*'FR_Mantenimiento tasas'!$E$55/360,IF(C927&lt;='FR_Mantenimiento tasas'!$C$56,'Tabla Ahorro Futuro Reservas'!C927*'FR_Mantenimiento tasas'!$E$56/360,IF(C927&lt;='FR_Mantenimiento tasas'!$C$57,'Tabla Ahorro Futuro Reservas'!C927*'FR_Mantenimiento tasas'!$E$57/360,""))),5)</f>
        <v>0</v>
      </c>
    </row>
    <row r="928" spans="1:5">
      <c r="A928" s="123">
        <f t="shared" si="28"/>
        <v>926</v>
      </c>
      <c r="B928" s="122">
        <f>IF(DAY(A928)=DAY('F-Ahorro Futuro Reservas'!$H$10),'F-Ahorro Futuro Reservas'!$H$9,0)</f>
        <v>0</v>
      </c>
      <c r="C928" s="122">
        <f t="shared" si="29"/>
        <v>0</v>
      </c>
      <c r="D928" s="121">
        <f>ROUND(IF(C928&lt;='FR_Mantenimiento tasas'!$C$55,'Tabla Ahorro Futuro Reservas'!C928*'FR_Mantenimiento tasas'!$D$55/360,IF(C928&lt;='FR_Mantenimiento tasas'!$C$56,'Tabla Ahorro Futuro Reservas'!C928*'FR_Mantenimiento tasas'!$D$56/360,IF(C928&lt;='FR_Mantenimiento tasas'!$C$57,'Tabla Ahorro Futuro Reservas'!C928*'FR_Mantenimiento tasas'!$D$57/360,""))),5)</f>
        <v>0</v>
      </c>
      <c r="E928" s="121">
        <f>ROUND(IF(C928&lt;='FR_Mantenimiento tasas'!$C$55,'Tabla Ahorro Futuro Reservas'!C928*'FR_Mantenimiento tasas'!$E$55/360,IF(C928&lt;='FR_Mantenimiento tasas'!$C$56,'Tabla Ahorro Futuro Reservas'!C928*'FR_Mantenimiento tasas'!$E$56/360,IF(C928&lt;='FR_Mantenimiento tasas'!$C$57,'Tabla Ahorro Futuro Reservas'!C928*'FR_Mantenimiento tasas'!$E$57/360,""))),5)</f>
        <v>0</v>
      </c>
    </row>
    <row r="929" spans="1:5">
      <c r="A929" s="123">
        <f t="shared" si="28"/>
        <v>927</v>
      </c>
      <c r="B929" s="122">
        <f>IF(DAY(A929)=DAY('F-Ahorro Futuro Reservas'!$H$10),'F-Ahorro Futuro Reservas'!$H$9,0)</f>
        <v>0</v>
      </c>
      <c r="C929" s="122">
        <f t="shared" si="29"/>
        <v>0</v>
      </c>
      <c r="D929" s="121">
        <f>ROUND(IF(C929&lt;='FR_Mantenimiento tasas'!$C$55,'Tabla Ahorro Futuro Reservas'!C929*'FR_Mantenimiento tasas'!$D$55/360,IF(C929&lt;='FR_Mantenimiento tasas'!$C$56,'Tabla Ahorro Futuro Reservas'!C929*'FR_Mantenimiento tasas'!$D$56/360,IF(C929&lt;='FR_Mantenimiento tasas'!$C$57,'Tabla Ahorro Futuro Reservas'!C929*'FR_Mantenimiento tasas'!$D$57/360,""))),5)</f>
        <v>0</v>
      </c>
      <c r="E929" s="121">
        <f>ROUND(IF(C929&lt;='FR_Mantenimiento tasas'!$C$55,'Tabla Ahorro Futuro Reservas'!C929*'FR_Mantenimiento tasas'!$E$55/360,IF(C929&lt;='FR_Mantenimiento tasas'!$C$56,'Tabla Ahorro Futuro Reservas'!C929*'FR_Mantenimiento tasas'!$E$56/360,IF(C929&lt;='FR_Mantenimiento tasas'!$C$57,'Tabla Ahorro Futuro Reservas'!C929*'FR_Mantenimiento tasas'!$E$57/360,""))),5)</f>
        <v>0</v>
      </c>
    </row>
    <row r="930" spans="1:5">
      <c r="A930" s="123">
        <f t="shared" si="28"/>
        <v>928</v>
      </c>
      <c r="B930" s="122">
        <f>IF(DAY(A930)=DAY('F-Ahorro Futuro Reservas'!$H$10),'F-Ahorro Futuro Reservas'!$H$9,0)</f>
        <v>0</v>
      </c>
      <c r="C930" s="122">
        <f t="shared" si="29"/>
        <v>0</v>
      </c>
      <c r="D930" s="121">
        <f>ROUND(IF(C930&lt;='FR_Mantenimiento tasas'!$C$55,'Tabla Ahorro Futuro Reservas'!C930*'FR_Mantenimiento tasas'!$D$55/360,IF(C930&lt;='FR_Mantenimiento tasas'!$C$56,'Tabla Ahorro Futuro Reservas'!C930*'FR_Mantenimiento tasas'!$D$56/360,IF(C930&lt;='FR_Mantenimiento tasas'!$C$57,'Tabla Ahorro Futuro Reservas'!C930*'FR_Mantenimiento tasas'!$D$57/360,""))),5)</f>
        <v>0</v>
      </c>
      <c r="E930" s="121">
        <f>ROUND(IF(C930&lt;='FR_Mantenimiento tasas'!$C$55,'Tabla Ahorro Futuro Reservas'!C930*'FR_Mantenimiento tasas'!$E$55/360,IF(C930&lt;='FR_Mantenimiento tasas'!$C$56,'Tabla Ahorro Futuro Reservas'!C930*'FR_Mantenimiento tasas'!$E$56/360,IF(C930&lt;='FR_Mantenimiento tasas'!$C$57,'Tabla Ahorro Futuro Reservas'!C930*'FR_Mantenimiento tasas'!$E$57/360,""))),5)</f>
        <v>0</v>
      </c>
    </row>
    <row r="931" spans="1:5">
      <c r="A931" s="123">
        <f t="shared" si="28"/>
        <v>929</v>
      </c>
      <c r="B931" s="122">
        <f>IF(DAY(A931)=DAY('F-Ahorro Futuro Reservas'!$H$10),'F-Ahorro Futuro Reservas'!$H$9,0)</f>
        <v>0</v>
      </c>
      <c r="C931" s="122">
        <f t="shared" si="29"/>
        <v>0</v>
      </c>
      <c r="D931" s="121">
        <f>ROUND(IF(C931&lt;='FR_Mantenimiento tasas'!$C$55,'Tabla Ahorro Futuro Reservas'!C931*'FR_Mantenimiento tasas'!$D$55/360,IF(C931&lt;='FR_Mantenimiento tasas'!$C$56,'Tabla Ahorro Futuro Reservas'!C931*'FR_Mantenimiento tasas'!$D$56/360,IF(C931&lt;='FR_Mantenimiento tasas'!$C$57,'Tabla Ahorro Futuro Reservas'!C931*'FR_Mantenimiento tasas'!$D$57/360,""))),5)</f>
        <v>0</v>
      </c>
      <c r="E931" s="121">
        <f>ROUND(IF(C931&lt;='FR_Mantenimiento tasas'!$C$55,'Tabla Ahorro Futuro Reservas'!C931*'FR_Mantenimiento tasas'!$E$55/360,IF(C931&lt;='FR_Mantenimiento tasas'!$C$56,'Tabla Ahorro Futuro Reservas'!C931*'FR_Mantenimiento tasas'!$E$56/360,IF(C931&lt;='FR_Mantenimiento tasas'!$C$57,'Tabla Ahorro Futuro Reservas'!C931*'FR_Mantenimiento tasas'!$E$57/360,""))),5)</f>
        <v>0</v>
      </c>
    </row>
    <row r="932" spans="1:5">
      <c r="A932" s="123">
        <f t="shared" si="28"/>
        <v>930</v>
      </c>
      <c r="B932" s="122">
        <f>IF(DAY(A932)=DAY('F-Ahorro Futuro Reservas'!$H$10),'F-Ahorro Futuro Reservas'!$H$9,0)</f>
        <v>0</v>
      </c>
      <c r="C932" s="122">
        <f t="shared" si="29"/>
        <v>0</v>
      </c>
      <c r="D932" s="121">
        <f>ROUND(IF(C932&lt;='FR_Mantenimiento tasas'!$C$55,'Tabla Ahorro Futuro Reservas'!C932*'FR_Mantenimiento tasas'!$D$55/360,IF(C932&lt;='FR_Mantenimiento tasas'!$C$56,'Tabla Ahorro Futuro Reservas'!C932*'FR_Mantenimiento tasas'!$D$56/360,IF(C932&lt;='FR_Mantenimiento tasas'!$C$57,'Tabla Ahorro Futuro Reservas'!C932*'FR_Mantenimiento tasas'!$D$57/360,""))),5)</f>
        <v>0</v>
      </c>
      <c r="E932" s="121">
        <f>ROUND(IF(C932&lt;='FR_Mantenimiento tasas'!$C$55,'Tabla Ahorro Futuro Reservas'!C932*'FR_Mantenimiento tasas'!$E$55/360,IF(C932&lt;='FR_Mantenimiento tasas'!$C$56,'Tabla Ahorro Futuro Reservas'!C932*'FR_Mantenimiento tasas'!$E$56/360,IF(C932&lt;='FR_Mantenimiento tasas'!$C$57,'Tabla Ahorro Futuro Reservas'!C932*'FR_Mantenimiento tasas'!$E$57/360,""))),5)</f>
        <v>0</v>
      </c>
    </row>
    <row r="933" spans="1:5">
      <c r="A933" s="123">
        <f t="shared" si="28"/>
        <v>931</v>
      </c>
      <c r="B933" s="122">
        <f>IF(DAY(A933)=DAY('F-Ahorro Futuro Reservas'!$H$10),'F-Ahorro Futuro Reservas'!$H$9,0)</f>
        <v>0</v>
      </c>
      <c r="C933" s="122">
        <f t="shared" si="29"/>
        <v>0</v>
      </c>
      <c r="D933" s="121">
        <f>ROUND(IF(C933&lt;='FR_Mantenimiento tasas'!$C$55,'Tabla Ahorro Futuro Reservas'!C933*'FR_Mantenimiento tasas'!$D$55/360,IF(C933&lt;='FR_Mantenimiento tasas'!$C$56,'Tabla Ahorro Futuro Reservas'!C933*'FR_Mantenimiento tasas'!$D$56/360,IF(C933&lt;='FR_Mantenimiento tasas'!$C$57,'Tabla Ahorro Futuro Reservas'!C933*'FR_Mantenimiento tasas'!$D$57/360,""))),5)</f>
        <v>0</v>
      </c>
      <c r="E933" s="121">
        <f>ROUND(IF(C933&lt;='FR_Mantenimiento tasas'!$C$55,'Tabla Ahorro Futuro Reservas'!C933*'FR_Mantenimiento tasas'!$E$55/360,IF(C933&lt;='FR_Mantenimiento tasas'!$C$56,'Tabla Ahorro Futuro Reservas'!C933*'FR_Mantenimiento tasas'!$E$56/360,IF(C933&lt;='FR_Mantenimiento tasas'!$C$57,'Tabla Ahorro Futuro Reservas'!C933*'FR_Mantenimiento tasas'!$E$57/360,""))),5)</f>
        <v>0</v>
      </c>
    </row>
    <row r="934" spans="1:5">
      <c r="A934" s="123">
        <f t="shared" si="28"/>
        <v>932</v>
      </c>
      <c r="B934" s="122">
        <f>IF(DAY(A934)=DAY('F-Ahorro Futuro Reservas'!$H$10),'F-Ahorro Futuro Reservas'!$H$9,0)</f>
        <v>0</v>
      </c>
      <c r="C934" s="122">
        <f t="shared" si="29"/>
        <v>0</v>
      </c>
      <c r="D934" s="121">
        <f>ROUND(IF(C934&lt;='FR_Mantenimiento tasas'!$C$55,'Tabla Ahorro Futuro Reservas'!C934*'FR_Mantenimiento tasas'!$D$55/360,IF(C934&lt;='FR_Mantenimiento tasas'!$C$56,'Tabla Ahorro Futuro Reservas'!C934*'FR_Mantenimiento tasas'!$D$56/360,IF(C934&lt;='FR_Mantenimiento tasas'!$C$57,'Tabla Ahorro Futuro Reservas'!C934*'FR_Mantenimiento tasas'!$D$57/360,""))),5)</f>
        <v>0</v>
      </c>
      <c r="E934" s="121">
        <f>ROUND(IF(C934&lt;='FR_Mantenimiento tasas'!$C$55,'Tabla Ahorro Futuro Reservas'!C934*'FR_Mantenimiento tasas'!$E$55/360,IF(C934&lt;='FR_Mantenimiento tasas'!$C$56,'Tabla Ahorro Futuro Reservas'!C934*'FR_Mantenimiento tasas'!$E$56/360,IF(C934&lt;='FR_Mantenimiento tasas'!$C$57,'Tabla Ahorro Futuro Reservas'!C934*'FR_Mantenimiento tasas'!$E$57/360,""))),5)</f>
        <v>0</v>
      </c>
    </row>
    <row r="935" spans="1:5">
      <c r="A935" s="123">
        <f t="shared" si="28"/>
        <v>933</v>
      </c>
      <c r="B935" s="122">
        <f>IF(DAY(A935)=DAY('F-Ahorro Futuro Reservas'!$H$10),'F-Ahorro Futuro Reservas'!$H$9,0)</f>
        <v>0</v>
      </c>
      <c r="C935" s="122">
        <f t="shared" si="29"/>
        <v>0</v>
      </c>
      <c r="D935" s="121">
        <f>ROUND(IF(C935&lt;='FR_Mantenimiento tasas'!$C$55,'Tabla Ahorro Futuro Reservas'!C935*'FR_Mantenimiento tasas'!$D$55/360,IF(C935&lt;='FR_Mantenimiento tasas'!$C$56,'Tabla Ahorro Futuro Reservas'!C935*'FR_Mantenimiento tasas'!$D$56/360,IF(C935&lt;='FR_Mantenimiento tasas'!$C$57,'Tabla Ahorro Futuro Reservas'!C935*'FR_Mantenimiento tasas'!$D$57/360,""))),5)</f>
        <v>0</v>
      </c>
      <c r="E935" s="121">
        <f>ROUND(IF(C935&lt;='FR_Mantenimiento tasas'!$C$55,'Tabla Ahorro Futuro Reservas'!C935*'FR_Mantenimiento tasas'!$E$55/360,IF(C935&lt;='FR_Mantenimiento tasas'!$C$56,'Tabla Ahorro Futuro Reservas'!C935*'FR_Mantenimiento tasas'!$E$56/360,IF(C935&lt;='FR_Mantenimiento tasas'!$C$57,'Tabla Ahorro Futuro Reservas'!C935*'FR_Mantenimiento tasas'!$E$57/360,""))),5)</f>
        <v>0</v>
      </c>
    </row>
    <row r="936" spans="1:5">
      <c r="A936" s="123">
        <f t="shared" si="28"/>
        <v>934</v>
      </c>
      <c r="B936" s="122">
        <f>IF(DAY(A936)=DAY('F-Ahorro Futuro Reservas'!$H$10),'F-Ahorro Futuro Reservas'!$H$9,0)</f>
        <v>0</v>
      </c>
      <c r="C936" s="122">
        <f t="shared" si="29"/>
        <v>0</v>
      </c>
      <c r="D936" s="121">
        <f>ROUND(IF(C936&lt;='FR_Mantenimiento tasas'!$C$55,'Tabla Ahorro Futuro Reservas'!C936*'FR_Mantenimiento tasas'!$D$55/360,IF(C936&lt;='FR_Mantenimiento tasas'!$C$56,'Tabla Ahorro Futuro Reservas'!C936*'FR_Mantenimiento tasas'!$D$56/360,IF(C936&lt;='FR_Mantenimiento tasas'!$C$57,'Tabla Ahorro Futuro Reservas'!C936*'FR_Mantenimiento tasas'!$D$57/360,""))),5)</f>
        <v>0</v>
      </c>
      <c r="E936" s="121">
        <f>ROUND(IF(C936&lt;='FR_Mantenimiento tasas'!$C$55,'Tabla Ahorro Futuro Reservas'!C936*'FR_Mantenimiento tasas'!$E$55/360,IF(C936&lt;='FR_Mantenimiento tasas'!$C$56,'Tabla Ahorro Futuro Reservas'!C936*'FR_Mantenimiento tasas'!$E$56/360,IF(C936&lt;='FR_Mantenimiento tasas'!$C$57,'Tabla Ahorro Futuro Reservas'!C936*'FR_Mantenimiento tasas'!$E$57/360,""))),5)</f>
        <v>0</v>
      </c>
    </row>
    <row r="937" spans="1:5">
      <c r="A937" s="123">
        <f t="shared" si="28"/>
        <v>935</v>
      </c>
      <c r="B937" s="122">
        <f>IF(DAY(A937)=DAY('F-Ahorro Futuro Reservas'!$H$10),'F-Ahorro Futuro Reservas'!$H$9,0)</f>
        <v>0</v>
      </c>
      <c r="C937" s="122">
        <f t="shared" si="29"/>
        <v>0</v>
      </c>
      <c r="D937" s="121">
        <f>ROUND(IF(C937&lt;='FR_Mantenimiento tasas'!$C$55,'Tabla Ahorro Futuro Reservas'!C937*'FR_Mantenimiento tasas'!$D$55/360,IF(C937&lt;='FR_Mantenimiento tasas'!$C$56,'Tabla Ahorro Futuro Reservas'!C937*'FR_Mantenimiento tasas'!$D$56/360,IF(C937&lt;='FR_Mantenimiento tasas'!$C$57,'Tabla Ahorro Futuro Reservas'!C937*'FR_Mantenimiento tasas'!$D$57/360,""))),5)</f>
        <v>0</v>
      </c>
      <c r="E937" s="121">
        <f>ROUND(IF(C937&lt;='FR_Mantenimiento tasas'!$C$55,'Tabla Ahorro Futuro Reservas'!C937*'FR_Mantenimiento tasas'!$E$55/360,IF(C937&lt;='FR_Mantenimiento tasas'!$C$56,'Tabla Ahorro Futuro Reservas'!C937*'FR_Mantenimiento tasas'!$E$56/360,IF(C937&lt;='FR_Mantenimiento tasas'!$C$57,'Tabla Ahorro Futuro Reservas'!C937*'FR_Mantenimiento tasas'!$E$57/360,""))),5)</f>
        <v>0</v>
      </c>
    </row>
    <row r="938" spans="1:5">
      <c r="A938" s="123">
        <f t="shared" si="28"/>
        <v>936</v>
      </c>
      <c r="B938" s="122">
        <f>IF(DAY(A938)=DAY('F-Ahorro Futuro Reservas'!$H$10),'F-Ahorro Futuro Reservas'!$H$9,0)</f>
        <v>0</v>
      </c>
      <c r="C938" s="122">
        <f t="shared" si="29"/>
        <v>0</v>
      </c>
      <c r="D938" s="121">
        <f>ROUND(IF(C938&lt;='FR_Mantenimiento tasas'!$C$55,'Tabla Ahorro Futuro Reservas'!C938*'FR_Mantenimiento tasas'!$D$55/360,IF(C938&lt;='FR_Mantenimiento tasas'!$C$56,'Tabla Ahorro Futuro Reservas'!C938*'FR_Mantenimiento tasas'!$D$56/360,IF(C938&lt;='FR_Mantenimiento tasas'!$C$57,'Tabla Ahorro Futuro Reservas'!C938*'FR_Mantenimiento tasas'!$D$57/360,""))),5)</f>
        <v>0</v>
      </c>
      <c r="E938" s="121">
        <f>ROUND(IF(C938&lt;='FR_Mantenimiento tasas'!$C$55,'Tabla Ahorro Futuro Reservas'!C938*'FR_Mantenimiento tasas'!$E$55/360,IF(C938&lt;='FR_Mantenimiento tasas'!$C$56,'Tabla Ahorro Futuro Reservas'!C938*'FR_Mantenimiento tasas'!$E$56/360,IF(C938&lt;='FR_Mantenimiento tasas'!$C$57,'Tabla Ahorro Futuro Reservas'!C938*'FR_Mantenimiento tasas'!$E$57/360,""))),5)</f>
        <v>0</v>
      </c>
    </row>
    <row r="939" spans="1:5">
      <c r="A939" s="123">
        <f t="shared" si="28"/>
        <v>937</v>
      </c>
      <c r="B939" s="122">
        <f>IF(DAY(A939)=DAY('F-Ahorro Futuro Reservas'!$H$10),'F-Ahorro Futuro Reservas'!$H$9,0)</f>
        <v>0</v>
      </c>
      <c r="C939" s="122">
        <f t="shared" si="29"/>
        <v>0</v>
      </c>
      <c r="D939" s="121">
        <f>ROUND(IF(C939&lt;='FR_Mantenimiento tasas'!$C$55,'Tabla Ahorro Futuro Reservas'!C939*'FR_Mantenimiento tasas'!$D$55/360,IF(C939&lt;='FR_Mantenimiento tasas'!$C$56,'Tabla Ahorro Futuro Reservas'!C939*'FR_Mantenimiento tasas'!$D$56/360,IF(C939&lt;='FR_Mantenimiento tasas'!$C$57,'Tabla Ahorro Futuro Reservas'!C939*'FR_Mantenimiento tasas'!$D$57/360,""))),5)</f>
        <v>0</v>
      </c>
      <c r="E939" s="121">
        <f>ROUND(IF(C939&lt;='FR_Mantenimiento tasas'!$C$55,'Tabla Ahorro Futuro Reservas'!C939*'FR_Mantenimiento tasas'!$E$55/360,IF(C939&lt;='FR_Mantenimiento tasas'!$C$56,'Tabla Ahorro Futuro Reservas'!C939*'FR_Mantenimiento tasas'!$E$56/360,IF(C939&lt;='FR_Mantenimiento tasas'!$C$57,'Tabla Ahorro Futuro Reservas'!C939*'FR_Mantenimiento tasas'!$E$57/360,""))),5)</f>
        <v>0</v>
      </c>
    </row>
    <row r="940" spans="1:5">
      <c r="A940" s="123">
        <f t="shared" si="28"/>
        <v>938</v>
      </c>
      <c r="B940" s="122">
        <f>IF(DAY(A940)=DAY('F-Ahorro Futuro Reservas'!$H$10),'F-Ahorro Futuro Reservas'!$H$9,0)</f>
        <v>0</v>
      </c>
      <c r="C940" s="122">
        <f t="shared" si="29"/>
        <v>0</v>
      </c>
      <c r="D940" s="121">
        <f>ROUND(IF(C940&lt;='FR_Mantenimiento tasas'!$C$55,'Tabla Ahorro Futuro Reservas'!C940*'FR_Mantenimiento tasas'!$D$55/360,IF(C940&lt;='FR_Mantenimiento tasas'!$C$56,'Tabla Ahorro Futuro Reservas'!C940*'FR_Mantenimiento tasas'!$D$56/360,IF(C940&lt;='FR_Mantenimiento tasas'!$C$57,'Tabla Ahorro Futuro Reservas'!C940*'FR_Mantenimiento tasas'!$D$57/360,""))),5)</f>
        <v>0</v>
      </c>
      <c r="E940" s="121">
        <f>ROUND(IF(C940&lt;='FR_Mantenimiento tasas'!$C$55,'Tabla Ahorro Futuro Reservas'!C940*'FR_Mantenimiento tasas'!$E$55/360,IF(C940&lt;='FR_Mantenimiento tasas'!$C$56,'Tabla Ahorro Futuro Reservas'!C940*'FR_Mantenimiento tasas'!$E$56/360,IF(C940&lt;='FR_Mantenimiento tasas'!$C$57,'Tabla Ahorro Futuro Reservas'!C940*'FR_Mantenimiento tasas'!$E$57/360,""))),5)</f>
        <v>0</v>
      </c>
    </row>
    <row r="941" spans="1:5">
      <c r="A941" s="123">
        <f t="shared" si="28"/>
        <v>939</v>
      </c>
      <c r="B941" s="122">
        <f>IF(DAY(A941)=DAY('F-Ahorro Futuro Reservas'!$H$10),'F-Ahorro Futuro Reservas'!$H$9,0)</f>
        <v>0</v>
      </c>
      <c r="C941" s="122">
        <f t="shared" si="29"/>
        <v>0</v>
      </c>
      <c r="D941" s="121">
        <f>ROUND(IF(C941&lt;='FR_Mantenimiento tasas'!$C$55,'Tabla Ahorro Futuro Reservas'!C941*'FR_Mantenimiento tasas'!$D$55/360,IF(C941&lt;='FR_Mantenimiento tasas'!$C$56,'Tabla Ahorro Futuro Reservas'!C941*'FR_Mantenimiento tasas'!$D$56/360,IF(C941&lt;='FR_Mantenimiento tasas'!$C$57,'Tabla Ahorro Futuro Reservas'!C941*'FR_Mantenimiento tasas'!$D$57/360,""))),5)</f>
        <v>0</v>
      </c>
      <c r="E941" s="121">
        <f>ROUND(IF(C941&lt;='FR_Mantenimiento tasas'!$C$55,'Tabla Ahorro Futuro Reservas'!C941*'FR_Mantenimiento tasas'!$E$55/360,IF(C941&lt;='FR_Mantenimiento tasas'!$C$56,'Tabla Ahorro Futuro Reservas'!C941*'FR_Mantenimiento tasas'!$E$56/360,IF(C941&lt;='FR_Mantenimiento tasas'!$C$57,'Tabla Ahorro Futuro Reservas'!C941*'FR_Mantenimiento tasas'!$E$57/360,""))),5)</f>
        <v>0</v>
      </c>
    </row>
    <row r="942" spans="1:5">
      <c r="A942" s="123">
        <f t="shared" si="28"/>
        <v>940</v>
      </c>
      <c r="B942" s="122">
        <f>IF(DAY(A942)=DAY('F-Ahorro Futuro Reservas'!$H$10),'F-Ahorro Futuro Reservas'!$H$9,0)</f>
        <v>0</v>
      </c>
      <c r="C942" s="122">
        <f t="shared" si="29"/>
        <v>0</v>
      </c>
      <c r="D942" s="121">
        <f>ROUND(IF(C942&lt;='FR_Mantenimiento tasas'!$C$55,'Tabla Ahorro Futuro Reservas'!C942*'FR_Mantenimiento tasas'!$D$55/360,IF(C942&lt;='FR_Mantenimiento tasas'!$C$56,'Tabla Ahorro Futuro Reservas'!C942*'FR_Mantenimiento tasas'!$D$56/360,IF(C942&lt;='FR_Mantenimiento tasas'!$C$57,'Tabla Ahorro Futuro Reservas'!C942*'FR_Mantenimiento tasas'!$D$57/360,""))),5)</f>
        <v>0</v>
      </c>
      <c r="E942" s="121">
        <f>ROUND(IF(C942&lt;='FR_Mantenimiento tasas'!$C$55,'Tabla Ahorro Futuro Reservas'!C942*'FR_Mantenimiento tasas'!$E$55/360,IF(C942&lt;='FR_Mantenimiento tasas'!$C$56,'Tabla Ahorro Futuro Reservas'!C942*'FR_Mantenimiento tasas'!$E$56/360,IF(C942&lt;='FR_Mantenimiento tasas'!$C$57,'Tabla Ahorro Futuro Reservas'!C942*'FR_Mantenimiento tasas'!$E$57/360,""))),5)</f>
        <v>0</v>
      </c>
    </row>
    <row r="943" spans="1:5">
      <c r="A943" s="123">
        <f t="shared" si="28"/>
        <v>941</v>
      </c>
      <c r="B943" s="122">
        <f>IF(DAY(A943)=DAY('F-Ahorro Futuro Reservas'!$H$10),'F-Ahorro Futuro Reservas'!$H$9,0)</f>
        <v>0</v>
      </c>
      <c r="C943" s="122">
        <f t="shared" si="29"/>
        <v>0</v>
      </c>
      <c r="D943" s="121">
        <f>ROUND(IF(C943&lt;='FR_Mantenimiento tasas'!$C$55,'Tabla Ahorro Futuro Reservas'!C943*'FR_Mantenimiento tasas'!$D$55/360,IF(C943&lt;='FR_Mantenimiento tasas'!$C$56,'Tabla Ahorro Futuro Reservas'!C943*'FR_Mantenimiento tasas'!$D$56/360,IF(C943&lt;='FR_Mantenimiento tasas'!$C$57,'Tabla Ahorro Futuro Reservas'!C943*'FR_Mantenimiento tasas'!$D$57/360,""))),5)</f>
        <v>0</v>
      </c>
      <c r="E943" s="121">
        <f>ROUND(IF(C943&lt;='FR_Mantenimiento tasas'!$C$55,'Tabla Ahorro Futuro Reservas'!C943*'FR_Mantenimiento tasas'!$E$55/360,IF(C943&lt;='FR_Mantenimiento tasas'!$C$56,'Tabla Ahorro Futuro Reservas'!C943*'FR_Mantenimiento tasas'!$E$56/360,IF(C943&lt;='FR_Mantenimiento tasas'!$C$57,'Tabla Ahorro Futuro Reservas'!C943*'FR_Mantenimiento tasas'!$E$57/360,""))),5)</f>
        <v>0</v>
      </c>
    </row>
    <row r="944" spans="1:5">
      <c r="A944" s="123">
        <f t="shared" si="28"/>
        <v>942</v>
      </c>
      <c r="B944" s="122">
        <f>IF(DAY(A944)=DAY('F-Ahorro Futuro Reservas'!$H$10),'F-Ahorro Futuro Reservas'!$H$9,0)</f>
        <v>0</v>
      </c>
      <c r="C944" s="122">
        <f t="shared" si="29"/>
        <v>0</v>
      </c>
      <c r="D944" s="121">
        <f>ROUND(IF(C944&lt;='FR_Mantenimiento tasas'!$C$55,'Tabla Ahorro Futuro Reservas'!C944*'FR_Mantenimiento tasas'!$D$55/360,IF(C944&lt;='FR_Mantenimiento tasas'!$C$56,'Tabla Ahorro Futuro Reservas'!C944*'FR_Mantenimiento tasas'!$D$56/360,IF(C944&lt;='FR_Mantenimiento tasas'!$C$57,'Tabla Ahorro Futuro Reservas'!C944*'FR_Mantenimiento tasas'!$D$57/360,""))),5)</f>
        <v>0</v>
      </c>
      <c r="E944" s="121">
        <f>ROUND(IF(C944&lt;='FR_Mantenimiento tasas'!$C$55,'Tabla Ahorro Futuro Reservas'!C944*'FR_Mantenimiento tasas'!$E$55/360,IF(C944&lt;='FR_Mantenimiento tasas'!$C$56,'Tabla Ahorro Futuro Reservas'!C944*'FR_Mantenimiento tasas'!$E$56/360,IF(C944&lt;='FR_Mantenimiento tasas'!$C$57,'Tabla Ahorro Futuro Reservas'!C944*'FR_Mantenimiento tasas'!$E$57/360,""))),5)</f>
        <v>0</v>
      </c>
    </row>
    <row r="945" spans="1:5">
      <c r="A945" s="123">
        <f t="shared" si="28"/>
        <v>943</v>
      </c>
      <c r="B945" s="122">
        <f>IF(DAY(A945)=DAY('F-Ahorro Futuro Reservas'!$H$10),'F-Ahorro Futuro Reservas'!$H$9,0)</f>
        <v>0</v>
      </c>
      <c r="C945" s="122">
        <f t="shared" si="29"/>
        <v>0</v>
      </c>
      <c r="D945" s="121">
        <f>ROUND(IF(C945&lt;='FR_Mantenimiento tasas'!$C$55,'Tabla Ahorro Futuro Reservas'!C945*'FR_Mantenimiento tasas'!$D$55/360,IF(C945&lt;='FR_Mantenimiento tasas'!$C$56,'Tabla Ahorro Futuro Reservas'!C945*'FR_Mantenimiento tasas'!$D$56/360,IF(C945&lt;='FR_Mantenimiento tasas'!$C$57,'Tabla Ahorro Futuro Reservas'!C945*'FR_Mantenimiento tasas'!$D$57/360,""))),5)</f>
        <v>0</v>
      </c>
      <c r="E945" s="121">
        <f>ROUND(IF(C945&lt;='FR_Mantenimiento tasas'!$C$55,'Tabla Ahorro Futuro Reservas'!C945*'FR_Mantenimiento tasas'!$E$55/360,IF(C945&lt;='FR_Mantenimiento tasas'!$C$56,'Tabla Ahorro Futuro Reservas'!C945*'FR_Mantenimiento tasas'!$E$56/360,IF(C945&lt;='FR_Mantenimiento tasas'!$C$57,'Tabla Ahorro Futuro Reservas'!C945*'FR_Mantenimiento tasas'!$E$57/360,""))),5)</f>
        <v>0</v>
      </c>
    </row>
    <row r="946" spans="1:5">
      <c r="A946" s="123">
        <f t="shared" si="28"/>
        <v>944</v>
      </c>
      <c r="B946" s="122">
        <f>IF(DAY(A946)=DAY('F-Ahorro Futuro Reservas'!$H$10),'F-Ahorro Futuro Reservas'!$H$9,0)</f>
        <v>0</v>
      </c>
      <c r="C946" s="122">
        <f t="shared" si="29"/>
        <v>0</v>
      </c>
      <c r="D946" s="121">
        <f>ROUND(IF(C946&lt;='FR_Mantenimiento tasas'!$C$55,'Tabla Ahorro Futuro Reservas'!C946*'FR_Mantenimiento tasas'!$D$55/360,IF(C946&lt;='FR_Mantenimiento tasas'!$C$56,'Tabla Ahorro Futuro Reservas'!C946*'FR_Mantenimiento tasas'!$D$56/360,IF(C946&lt;='FR_Mantenimiento tasas'!$C$57,'Tabla Ahorro Futuro Reservas'!C946*'FR_Mantenimiento tasas'!$D$57/360,""))),5)</f>
        <v>0</v>
      </c>
      <c r="E946" s="121">
        <f>ROUND(IF(C946&lt;='FR_Mantenimiento tasas'!$C$55,'Tabla Ahorro Futuro Reservas'!C946*'FR_Mantenimiento tasas'!$E$55/360,IF(C946&lt;='FR_Mantenimiento tasas'!$C$56,'Tabla Ahorro Futuro Reservas'!C946*'FR_Mantenimiento tasas'!$E$56/360,IF(C946&lt;='FR_Mantenimiento tasas'!$C$57,'Tabla Ahorro Futuro Reservas'!C946*'FR_Mantenimiento tasas'!$E$57/360,""))),5)</f>
        <v>0</v>
      </c>
    </row>
    <row r="947" spans="1:5">
      <c r="A947" s="123">
        <f t="shared" si="28"/>
        <v>945</v>
      </c>
      <c r="B947" s="122">
        <f>IF(DAY(A947)=DAY('F-Ahorro Futuro Reservas'!$H$10),'F-Ahorro Futuro Reservas'!$H$9,0)</f>
        <v>0</v>
      </c>
      <c r="C947" s="122">
        <f t="shared" si="29"/>
        <v>0</v>
      </c>
      <c r="D947" s="121">
        <f>ROUND(IF(C947&lt;='FR_Mantenimiento tasas'!$C$55,'Tabla Ahorro Futuro Reservas'!C947*'FR_Mantenimiento tasas'!$D$55/360,IF(C947&lt;='FR_Mantenimiento tasas'!$C$56,'Tabla Ahorro Futuro Reservas'!C947*'FR_Mantenimiento tasas'!$D$56/360,IF(C947&lt;='FR_Mantenimiento tasas'!$C$57,'Tabla Ahorro Futuro Reservas'!C947*'FR_Mantenimiento tasas'!$D$57/360,""))),5)</f>
        <v>0</v>
      </c>
      <c r="E947" s="121">
        <f>ROUND(IF(C947&lt;='FR_Mantenimiento tasas'!$C$55,'Tabla Ahorro Futuro Reservas'!C947*'FR_Mantenimiento tasas'!$E$55/360,IF(C947&lt;='FR_Mantenimiento tasas'!$C$56,'Tabla Ahorro Futuro Reservas'!C947*'FR_Mantenimiento tasas'!$E$56/360,IF(C947&lt;='FR_Mantenimiento tasas'!$C$57,'Tabla Ahorro Futuro Reservas'!C947*'FR_Mantenimiento tasas'!$E$57/360,""))),5)</f>
        <v>0</v>
      </c>
    </row>
    <row r="948" spans="1:5">
      <c r="A948" s="123">
        <f t="shared" si="28"/>
        <v>946</v>
      </c>
      <c r="B948" s="122">
        <f>IF(DAY(A948)=DAY('F-Ahorro Futuro Reservas'!$H$10),'F-Ahorro Futuro Reservas'!$H$9,0)</f>
        <v>0</v>
      </c>
      <c r="C948" s="122">
        <f t="shared" si="29"/>
        <v>0</v>
      </c>
      <c r="D948" s="121">
        <f>ROUND(IF(C948&lt;='FR_Mantenimiento tasas'!$C$55,'Tabla Ahorro Futuro Reservas'!C948*'FR_Mantenimiento tasas'!$D$55/360,IF(C948&lt;='FR_Mantenimiento tasas'!$C$56,'Tabla Ahorro Futuro Reservas'!C948*'FR_Mantenimiento tasas'!$D$56/360,IF(C948&lt;='FR_Mantenimiento tasas'!$C$57,'Tabla Ahorro Futuro Reservas'!C948*'FR_Mantenimiento tasas'!$D$57/360,""))),5)</f>
        <v>0</v>
      </c>
      <c r="E948" s="121">
        <f>ROUND(IF(C948&lt;='FR_Mantenimiento tasas'!$C$55,'Tabla Ahorro Futuro Reservas'!C948*'FR_Mantenimiento tasas'!$E$55/360,IF(C948&lt;='FR_Mantenimiento tasas'!$C$56,'Tabla Ahorro Futuro Reservas'!C948*'FR_Mantenimiento tasas'!$E$56/360,IF(C948&lt;='FR_Mantenimiento tasas'!$C$57,'Tabla Ahorro Futuro Reservas'!C948*'FR_Mantenimiento tasas'!$E$57/360,""))),5)</f>
        <v>0</v>
      </c>
    </row>
    <row r="949" spans="1:5">
      <c r="A949" s="123">
        <f t="shared" si="28"/>
        <v>947</v>
      </c>
      <c r="B949" s="122">
        <f>IF(DAY(A949)=DAY('F-Ahorro Futuro Reservas'!$H$10),'F-Ahorro Futuro Reservas'!$H$9,0)</f>
        <v>0</v>
      </c>
      <c r="C949" s="122">
        <f t="shared" si="29"/>
        <v>0</v>
      </c>
      <c r="D949" s="121">
        <f>ROUND(IF(C949&lt;='FR_Mantenimiento tasas'!$C$55,'Tabla Ahorro Futuro Reservas'!C949*'FR_Mantenimiento tasas'!$D$55/360,IF(C949&lt;='FR_Mantenimiento tasas'!$C$56,'Tabla Ahorro Futuro Reservas'!C949*'FR_Mantenimiento tasas'!$D$56/360,IF(C949&lt;='FR_Mantenimiento tasas'!$C$57,'Tabla Ahorro Futuro Reservas'!C949*'FR_Mantenimiento tasas'!$D$57/360,""))),5)</f>
        <v>0</v>
      </c>
      <c r="E949" s="121">
        <f>ROUND(IF(C949&lt;='FR_Mantenimiento tasas'!$C$55,'Tabla Ahorro Futuro Reservas'!C949*'FR_Mantenimiento tasas'!$E$55/360,IF(C949&lt;='FR_Mantenimiento tasas'!$C$56,'Tabla Ahorro Futuro Reservas'!C949*'FR_Mantenimiento tasas'!$E$56/360,IF(C949&lt;='FR_Mantenimiento tasas'!$C$57,'Tabla Ahorro Futuro Reservas'!C949*'FR_Mantenimiento tasas'!$E$57/360,""))),5)</f>
        <v>0</v>
      </c>
    </row>
    <row r="950" spans="1:5">
      <c r="A950" s="123">
        <f t="shared" si="28"/>
        <v>948</v>
      </c>
      <c r="B950" s="122">
        <f>IF(DAY(A950)=DAY('F-Ahorro Futuro Reservas'!$H$10),'F-Ahorro Futuro Reservas'!$H$9,0)</f>
        <v>0</v>
      </c>
      <c r="C950" s="122">
        <f t="shared" si="29"/>
        <v>0</v>
      </c>
      <c r="D950" s="121">
        <f>ROUND(IF(C950&lt;='FR_Mantenimiento tasas'!$C$55,'Tabla Ahorro Futuro Reservas'!C950*'FR_Mantenimiento tasas'!$D$55/360,IF(C950&lt;='FR_Mantenimiento tasas'!$C$56,'Tabla Ahorro Futuro Reservas'!C950*'FR_Mantenimiento tasas'!$D$56/360,IF(C950&lt;='FR_Mantenimiento tasas'!$C$57,'Tabla Ahorro Futuro Reservas'!C950*'FR_Mantenimiento tasas'!$D$57/360,""))),5)</f>
        <v>0</v>
      </c>
      <c r="E950" s="121">
        <f>ROUND(IF(C950&lt;='FR_Mantenimiento tasas'!$C$55,'Tabla Ahorro Futuro Reservas'!C950*'FR_Mantenimiento tasas'!$E$55/360,IF(C950&lt;='FR_Mantenimiento tasas'!$C$56,'Tabla Ahorro Futuro Reservas'!C950*'FR_Mantenimiento tasas'!$E$56/360,IF(C950&lt;='FR_Mantenimiento tasas'!$C$57,'Tabla Ahorro Futuro Reservas'!C950*'FR_Mantenimiento tasas'!$E$57/360,""))),5)</f>
        <v>0</v>
      </c>
    </row>
    <row r="951" spans="1:5">
      <c r="A951" s="123">
        <f t="shared" si="28"/>
        <v>949</v>
      </c>
      <c r="B951" s="122">
        <f>IF(DAY(A951)=DAY('F-Ahorro Futuro Reservas'!$H$10),'F-Ahorro Futuro Reservas'!$H$9,0)</f>
        <v>0</v>
      </c>
      <c r="C951" s="122">
        <f t="shared" si="29"/>
        <v>0</v>
      </c>
      <c r="D951" s="121">
        <f>ROUND(IF(C951&lt;='FR_Mantenimiento tasas'!$C$55,'Tabla Ahorro Futuro Reservas'!C951*'FR_Mantenimiento tasas'!$D$55/360,IF(C951&lt;='FR_Mantenimiento tasas'!$C$56,'Tabla Ahorro Futuro Reservas'!C951*'FR_Mantenimiento tasas'!$D$56/360,IF(C951&lt;='FR_Mantenimiento tasas'!$C$57,'Tabla Ahorro Futuro Reservas'!C951*'FR_Mantenimiento tasas'!$D$57/360,""))),5)</f>
        <v>0</v>
      </c>
      <c r="E951" s="121">
        <f>ROUND(IF(C951&lt;='FR_Mantenimiento tasas'!$C$55,'Tabla Ahorro Futuro Reservas'!C951*'FR_Mantenimiento tasas'!$E$55/360,IF(C951&lt;='FR_Mantenimiento tasas'!$C$56,'Tabla Ahorro Futuro Reservas'!C951*'FR_Mantenimiento tasas'!$E$56/360,IF(C951&lt;='FR_Mantenimiento tasas'!$C$57,'Tabla Ahorro Futuro Reservas'!C951*'FR_Mantenimiento tasas'!$E$57/360,""))),5)</f>
        <v>0</v>
      </c>
    </row>
    <row r="952" spans="1:5">
      <c r="A952" s="123">
        <f t="shared" si="28"/>
        <v>950</v>
      </c>
      <c r="B952" s="122">
        <f>IF(DAY(A952)=DAY('F-Ahorro Futuro Reservas'!$H$10),'F-Ahorro Futuro Reservas'!$H$9,0)</f>
        <v>0</v>
      </c>
      <c r="C952" s="122">
        <f t="shared" si="29"/>
        <v>0</v>
      </c>
      <c r="D952" s="121">
        <f>ROUND(IF(C952&lt;='FR_Mantenimiento tasas'!$C$55,'Tabla Ahorro Futuro Reservas'!C952*'FR_Mantenimiento tasas'!$D$55/360,IF(C952&lt;='FR_Mantenimiento tasas'!$C$56,'Tabla Ahorro Futuro Reservas'!C952*'FR_Mantenimiento tasas'!$D$56/360,IF(C952&lt;='FR_Mantenimiento tasas'!$C$57,'Tabla Ahorro Futuro Reservas'!C952*'FR_Mantenimiento tasas'!$D$57/360,""))),5)</f>
        <v>0</v>
      </c>
      <c r="E952" s="121">
        <f>ROUND(IF(C952&lt;='FR_Mantenimiento tasas'!$C$55,'Tabla Ahorro Futuro Reservas'!C952*'FR_Mantenimiento tasas'!$E$55/360,IF(C952&lt;='FR_Mantenimiento tasas'!$C$56,'Tabla Ahorro Futuro Reservas'!C952*'FR_Mantenimiento tasas'!$E$56/360,IF(C952&lt;='FR_Mantenimiento tasas'!$C$57,'Tabla Ahorro Futuro Reservas'!C952*'FR_Mantenimiento tasas'!$E$57/360,""))),5)</f>
        <v>0</v>
      </c>
    </row>
    <row r="953" spans="1:5">
      <c r="A953" s="123">
        <f t="shared" si="28"/>
        <v>951</v>
      </c>
      <c r="B953" s="122">
        <f>IF(DAY(A953)=DAY('F-Ahorro Futuro Reservas'!$H$10),'F-Ahorro Futuro Reservas'!$H$9,0)</f>
        <v>0</v>
      </c>
      <c r="C953" s="122">
        <f t="shared" si="29"/>
        <v>0</v>
      </c>
      <c r="D953" s="121">
        <f>ROUND(IF(C953&lt;='FR_Mantenimiento tasas'!$C$55,'Tabla Ahorro Futuro Reservas'!C953*'FR_Mantenimiento tasas'!$D$55/360,IF(C953&lt;='FR_Mantenimiento tasas'!$C$56,'Tabla Ahorro Futuro Reservas'!C953*'FR_Mantenimiento tasas'!$D$56/360,IF(C953&lt;='FR_Mantenimiento tasas'!$C$57,'Tabla Ahorro Futuro Reservas'!C953*'FR_Mantenimiento tasas'!$D$57/360,""))),5)</f>
        <v>0</v>
      </c>
      <c r="E953" s="121">
        <f>ROUND(IF(C953&lt;='FR_Mantenimiento tasas'!$C$55,'Tabla Ahorro Futuro Reservas'!C953*'FR_Mantenimiento tasas'!$E$55/360,IF(C953&lt;='FR_Mantenimiento tasas'!$C$56,'Tabla Ahorro Futuro Reservas'!C953*'FR_Mantenimiento tasas'!$E$56/360,IF(C953&lt;='FR_Mantenimiento tasas'!$C$57,'Tabla Ahorro Futuro Reservas'!C953*'FR_Mantenimiento tasas'!$E$57/360,""))),5)</f>
        <v>0</v>
      </c>
    </row>
    <row r="954" spans="1:5">
      <c r="A954" s="123">
        <f t="shared" si="28"/>
        <v>952</v>
      </c>
      <c r="B954" s="122">
        <f>IF(DAY(A954)=DAY('F-Ahorro Futuro Reservas'!$H$10),'F-Ahorro Futuro Reservas'!$H$9,0)</f>
        <v>0</v>
      </c>
      <c r="C954" s="122">
        <f t="shared" si="29"/>
        <v>0</v>
      </c>
      <c r="D954" s="121">
        <f>ROUND(IF(C954&lt;='FR_Mantenimiento tasas'!$C$55,'Tabla Ahorro Futuro Reservas'!C954*'FR_Mantenimiento tasas'!$D$55/360,IF(C954&lt;='FR_Mantenimiento tasas'!$C$56,'Tabla Ahorro Futuro Reservas'!C954*'FR_Mantenimiento tasas'!$D$56/360,IF(C954&lt;='FR_Mantenimiento tasas'!$C$57,'Tabla Ahorro Futuro Reservas'!C954*'FR_Mantenimiento tasas'!$D$57/360,""))),5)</f>
        <v>0</v>
      </c>
      <c r="E954" s="121">
        <f>ROUND(IF(C954&lt;='FR_Mantenimiento tasas'!$C$55,'Tabla Ahorro Futuro Reservas'!C954*'FR_Mantenimiento tasas'!$E$55/360,IF(C954&lt;='FR_Mantenimiento tasas'!$C$56,'Tabla Ahorro Futuro Reservas'!C954*'FR_Mantenimiento tasas'!$E$56/360,IF(C954&lt;='FR_Mantenimiento tasas'!$C$57,'Tabla Ahorro Futuro Reservas'!C954*'FR_Mantenimiento tasas'!$E$57/360,""))),5)</f>
        <v>0</v>
      </c>
    </row>
    <row r="955" spans="1:5">
      <c r="A955" s="123">
        <f t="shared" si="28"/>
        <v>953</v>
      </c>
      <c r="B955" s="122">
        <f>IF(DAY(A955)=DAY('F-Ahorro Futuro Reservas'!$H$10),'F-Ahorro Futuro Reservas'!$H$9,0)</f>
        <v>0</v>
      </c>
      <c r="C955" s="122">
        <f t="shared" si="29"/>
        <v>0</v>
      </c>
      <c r="D955" s="121">
        <f>ROUND(IF(C955&lt;='FR_Mantenimiento tasas'!$C$55,'Tabla Ahorro Futuro Reservas'!C955*'FR_Mantenimiento tasas'!$D$55/360,IF(C955&lt;='FR_Mantenimiento tasas'!$C$56,'Tabla Ahorro Futuro Reservas'!C955*'FR_Mantenimiento tasas'!$D$56/360,IF(C955&lt;='FR_Mantenimiento tasas'!$C$57,'Tabla Ahorro Futuro Reservas'!C955*'FR_Mantenimiento tasas'!$D$57/360,""))),5)</f>
        <v>0</v>
      </c>
      <c r="E955" s="121">
        <f>ROUND(IF(C955&lt;='FR_Mantenimiento tasas'!$C$55,'Tabla Ahorro Futuro Reservas'!C955*'FR_Mantenimiento tasas'!$E$55/360,IF(C955&lt;='FR_Mantenimiento tasas'!$C$56,'Tabla Ahorro Futuro Reservas'!C955*'FR_Mantenimiento tasas'!$E$56/360,IF(C955&lt;='FR_Mantenimiento tasas'!$C$57,'Tabla Ahorro Futuro Reservas'!C955*'FR_Mantenimiento tasas'!$E$57/360,""))),5)</f>
        <v>0</v>
      </c>
    </row>
    <row r="956" spans="1:5">
      <c r="A956" s="123">
        <f t="shared" si="28"/>
        <v>954</v>
      </c>
      <c r="B956" s="122">
        <f>IF(DAY(A956)=DAY('F-Ahorro Futuro Reservas'!$H$10),'F-Ahorro Futuro Reservas'!$H$9,0)</f>
        <v>0</v>
      </c>
      <c r="C956" s="122">
        <f t="shared" si="29"/>
        <v>0</v>
      </c>
      <c r="D956" s="121">
        <f>ROUND(IF(C956&lt;='FR_Mantenimiento tasas'!$C$55,'Tabla Ahorro Futuro Reservas'!C956*'FR_Mantenimiento tasas'!$D$55/360,IF(C956&lt;='FR_Mantenimiento tasas'!$C$56,'Tabla Ahorro Futuro Reservas'!C956*'FR_Mantenimiento tasas'!$D$56/360,IF(C956&lt;='FR_Mantenimiento tasas'!$C$57,'Tabla Ahorro Futuro Reservas'!C956*'FR_Mantenimiento tasas'!$D$57/360,""))),5)</f>
        <v>0</v>
      </c>
      <c r="E956" s="121">
        <f>ROUND(IF(C956&lt;='FR_Mantenimiento tasas'!$C$55,'Tabla Ahorro Futuro Reservas'!C956*'FR_Mantenimiento tasas'!$E$55/360,IF(C956&lt;='FR_Mantenimiento tasas'!$C$56,'Tabla Ahorro Futuro Reservas'!C956*'FR_Mantenimiento tasas'!$E$56/360,IF(C956&lt;='FR_Mantenimiento tasas'!$C$57,'Tabla Ahorro Futuro Reservas'!C956*'FR_Mantenimiento tasas'!$E$57/360,""))),5)</f>
        <v>0</v>
      </c>
    </row>
    <row r="957" spans="1:5">
      <c r="A957" s="123">
        <f t="shared" si="28"/>
        <v>955</v>
      </c>
      <c r="B957" s="122">
        <f>IF(DAY(A957)=DAY('F-Ahorro Futuro Reservas'!$H$10),'F-Ahorro Futuro Reservas'!$H$9,0)</f>
        <v>0</v>
      </c>
      <c r="C957" s="122">
        <f t="shared" si="29"/>
        <v>0</v>
      </c>
      <c r="D957" s="121">
        <f>ROUND(IF(C957&lt;='FR_Mantenimiento tasas'!$C$55,'Tabla Ahorro Futuro Reservas'!C957*'FR_Mantenimiento tasas'!$D$55/360,IF(C957&lt;='FR_Mantenimiento tasas'!$C$56,'Tabla Ahorro Futuro Reservas'!C957*'FR_Mantenimiento tasas'!$D$56/360,IF(C957&lt;='FR_Mantenimiento tasas'!$C$57,'Tabla Ahorro Futuro Reservas'!C957*'FR_Mantenimiento tasas'!$D$57/360,""))),5)</f>
        <v>0</v>
      </c>
      <c r="E957" s="121">
        <f>ROUND(IF(C957&lt;='FR_Mantenimiento tasas'!$C$55,'Tabla Ahorro Futuro Reservas'!C957*'FR_Mantenimiento tasas'!$E$55/360,IF(C957&lt;='FR_Mantenimiento tasas'!$C$56,'Tabla Ahorro Futuro Reservas'!C957*'FR_Mantenimiento tasas'!$E$56/360,IF(C957&lt;='FR_Mantenimiento tasas'!$C$57,'Tabla Ahorro Futuro Reservas'!C957*'FR_Mantenimiento tasas'!$E$57/360,""))),5)</f>
        <v>0</v>
      </c>
    </row>
    <row r="958" spans="1:5">
      <c r="A958" s="123">
        <f t="shared" si="28"/>
        <v>956</v>
      </c>
      <c r="B958" s="122">
        <f>IF(DAY(A958)=DAY('F-Ahorro Futuro Reservas'!$H$10),'F-Ahorro Futuro Reservas'!$H$9,0)</f>
        <v>0</v>
      </c>
      <c r="C958" s="122">
        <f t="shared" si="29"/>
        <v>0</v>
      </c>
      <c r="D958" s="121">
        <f>ROUND(IF(C958&lt;='FR_Mantenimiento tasas'!$C$55,'Tabla Ahorro Futuro Reservas'!C958*'FR_Mantenimiento tasas'!$D$55/360,IF(C958&lt;='FR_Mantenimiento tasas'!$C$56,'Tabla Ahorro Futuro Reservas'!C958*'FR_Mantenimiento tasas'!$D$56/360,IF(C958&lt;='FR_Mantenimiento tasas'!$C$57,'Tabla Ahorro Futuro Reservas'!C958*'FR_Mantenimiento tasas'!$D$57/360,""))),5)</f>
        <v>0</v>
      </c>
      <c r="E958" s="121">
        <f>ROUND(IF(C958&lt;='FR_Mantenimiento tasas'!$C$55,'Tabla Ahorro Futuro Reservas'!C958*'FR_Mantenimiento tasas'!$E$55/360,IF(C958&lt;='FR_Mantenimiento tasas'!$C$56,'Tabla Ahorro Futuro Reservas'!C958*'FR_Mantenimiento tasas'!$E$56/360,IF(C958&lt;='FR_Mantenimiento tasas'!$C$57,'Tabla Ahorro Futuro Reservas'!C958*'FR_Mantenimiento tasas'!$E$57/360,""))),5)</f>
        <v>0</v>
      </c>
    </row>
    <row r="959" spans="1:5">
      <c r="A959" s="123">
        <f t="shared" si="28"/>
        <v>957</v>
      </c>
      <c r="B959" s="122">
        <f>IF(DAY(A959)=DAY('F-Ahorro Futuro Reservas'!$H$10),'F-Ahorro Futuro Reservas'!$H$9,0)</f>
        <v>0</v>
      </c>
      <c r="C959" s="122">
        <f t="shared" si="29"/>
        <v>0</v>
      </c>
      <c r="D959" s="121">
        <f>ROUND(IF(C959&lt;='FR_Mantenimiento tasas'!$C$55,'Tabla Ahorro Futuro Reservas'!C959*'FR_Mantenimiento tasas'!$D$55/360,IF(C959&lt;='FR_Mantenimiento tasas'!$C$56,'Tabla Ahorro Futuro Reservas'!C959*'FR_Mantenimiento tasas'!$D$56/360,IF(C959&lt;='FR_Mantenimiento tasas'!$C$57,'Tabla Ahorro Futuro Reservas'!C959*'FR_Mantenimiento tasas'!$D$57/360,""))),5)</f>
        <v>0</v>
      </c>
      <c r="E959" s="121">
        <f>ROUND(IF(C959&lt;='FR_Mantenimiento tasas'!$C$55,'Tabla Ahorro Futuro Reservas'!C959*'FR_Mantenimiento tasas'!$E$55/360,IF(C959&lt;='FR_Mantenimiento tasas'!$C$56,'Tabla Ahorro Futuro Reservas'!C959*'FR_Mantenimiento tasas'!$E$56/360,IF(C959&lt;='FR_Mantenimiento tasas'!$C$57,'Tabla Ahorro Futuro Reservas'!C959*'FR_Mantenimiento tasas'!$E$57/360,""))),5)</f>
        <v>0</v>
      </c>
    </row>
    <row r="960" spans="1:5">
      <c r="A960" s="123">
        <f t="shared" si="28"/>
        <v>958</v>
      </c>
      <c r="B960" s="122">
        <f>IF(DAY(A960)=DAY('F-Ahorro Futuro Reservas'!$H$10),'F-Ahorro Futuro Reservas'!$H$9,0)</f>
        <v>0</v>
      </c>
      <c r="C960" s="122">
        <f t="shared" si="29"/>
        <v>0</v>
      </c>
      <c r="D960" s="121">
        <f>ROUND(IF(C960&lt;='FR_Mantenimiento tasas'!$C$55,'Tabla Ahorro Futuro Reservas'!C960*'FR_Mantenimiento tasas'!$D$55/360,IF(C960&lt;='FR_Mantenimiento tasas'!$C$56,'Tabla Ahorro Futuro Reservas'!C960*'FR_Mantenimiento tasas'!$D$56/360,IF(C960&lt;='FR_Mantenimiento tasas'!$C$57,'Tabla Ahorro Futuro Reservas'!C960*'FR_Mantenimiento tasas'!$D$57/360,""))),5)</f>
        <v>0</v>
      </c>
      <c r="E960" s="121">
        <f>ROUND(IF(C960&lt;='FR_Mantenimiento tasas'!$C$55,'Tabla Ahorro Futuro Reservas'!C960*'FR_Mantenimiento tasas'!$E$55/360,IF(C960&lt;='FR_Mantenimiento tasas'!$C$56,'Tabla Ahorro Futuro Reservas'!C960*'FR_Mantenimiento tasas'!$E$56/360,IF(C960&lt;='FR_Mantenimiento tasas'!$C$57,'Tabla Ahorro Futuro Reservas'!C960*'FR_Mantenimiento tasas'!$E$57/360,""))),5)</f>
        <v>0</v>
      </c>
    </row>
    <row r="961" spans="1:5">
      <c r="A961" s="123">
        <f t="shared" si="28"/>
        <v>959</v>
      </c>
      <c r="B961" s="122">
        <f>IF(DAY(A961)=DAY('F-Ahorro Futuro Reservas'!$H$10),'F-Ahorro Futuro Reservas'!$H$9,0)</f>
        <v>0</v>
      </c>
      <c r="C961" s="122">
        <f t="shared" si="29"/>
        <v>0</v>
      </c>
      <c r="D961" s="121">
        <f>ROUND(IF(C961&lt;='FR_Mantenimiento tasas'!$C$55,'Tabla Ahorro Futuro Reservas'!C961*'FR_Mantenimiento tasas'!$D$55/360,IF(C961&lt;='FR_Mantenimiento tasas'!$C$56,'Tabla Ahorro Futuro Reservas'!C961*'FR_Mantenimiento tasas'!$D$56/360,IF(C961&lt;='FR_Mantenimiento tasas'!$C$57,'Tabla Ahorro Futuro Reservas'!C961*'FR_Mantenimiento tasas'!$D$57/360,""))),5)</f>
        <v>0</v>
      </c>
      <c r="E961" s="121">
        <f>ROUND(IF(C961&lt;='FR_Mantenimiento tasas'!$C$55,'Tabla Ahorro Futuro Reservas'!C961*'FR_Mantenimiento tasas'!$E$55/360,IF(C961&lt;='FR_Mantenimiento tasas'!$C$56,'Tabla Ahorro Futuro Reservas'!C961*'FR_Mantenimiento tasas'!$E$56/360,IF(C961&lt;='FR_Mantenimiento tasas'!$C$57,'Tabla Ahorro Futuro Reservas'!C961*'FR_Mantenimiento tasas'!$E$57/360,""))),5)</f>
        <v>0</v>
      </c>
    </row>
    <row r="962" spans="1:5">
      <c r="A962" s="123">
        <f t="shared" si="28"/>
        <v>960</v>
      </c>
      <c r="B962" s="122">
        <f>IF(DAY(A962)=DAY('F-Ahorro Futuro Reservas'!$H$10),'F-Ahorro Futuro Reservas'!$H$9,0)</f>
        <v>0</v>
      </c>
      <c r="C962" s="122">
        <f t="shared" si="29"/>
        <v>0</v>
      </c>
      <c r="D962" s="121">
        <f>ROUND(IF(C962&lt;='FR_Mantenimiento tasas'!$C$55,'Tabla Ahorro Futuro Reservas'!C962*'FR_Mantenimiento tasas'!$D$55/360,IF(C962&lt;='FR_Mantenimiento tasas'!$C$56,'Tabla Ahorro Futuro Reservas'!C962*'FR_Mantenimiento tasas'!$D$56/360,IF(C962&lt;='FR_Mantenimiento tasas'!$C$57,'Tabla Ahorro Futuro Reservas'!C962*'FR_Mantenimiento tasas'!$D$57/360,""))),5)</f>
        <v>0</v>
      </c>
      <c r="E962" s="121">
        <f>ROUND(IF(C962&lt;='FR_Mantenimiento tasas'!$C$55,'Tabla Ahorro Futuro Reservas'!C962*'FR_Mantenimiento tasas'!$E$55/360,IF(C962&lt;='FR_Mantenimiento tasas'!$C$56,'Tabla Ahorro Futuro Reservas'!C962*'FR_Mantenimiento tasas'!$E$56/360,IF(C962&lt;='FR_Mantenimiento tasas'!$C$57,'Tabla Ahorro Futuro Reservas'!C962*'FR_Mantenimiento tasas'!$E$57/360,""))),5)</f>
        <v>0</v>
      </c>
    </row>
    <row r="963" spans="1:5">
      <c r="A963" s="123">
        <f t="shared" si="28"/>
        <v>961</v>
      </c>
      <c r="B963" s="122">
        <f>IF(DAY(A963)=DAY('F-Ahorro Futuro Reservas'!$H$10),'F-Ahorro Futuro Reservas'!$H$9,0)</f>
        <v>0</v>
      </c>
      <c r="C963" s="122">
        <f t="shared" si="29"/>
        <v>0</v>
      </c>
      <c r="D963" s="121">
        <f>ROUND(IF(C963&lt;='FR_Mantenimiento tasas'!$C$55,'Tabla Ahorro Futuro Reservas'!C963*'FR_Mantenimiento tasas'!$D$55/360,IF(C963&lt;='FR_Mantenimiento tasas'!$C$56,'Tabla Ahorro Futuro Reservas'!C963*'FR_Mantenimiento tasas'!$D$56/360,IF(C963&lt;='FR_Mantenimiento tasas'!$C$57,'Tabla Ahorro Futuro Reservas'!C963*'FR_Mantenimiento tasas'!$D$57/360,""))),5)</f>
        <v>0</v>
      </c>
      <c r="E963" s="121">
        <f>ROUND(IF(C963&lt;='FR_Mantenimiento tasas'!$C$55,'Tabla Ahorro Futuro Reservas'!C963*'FR_Mantenimiento tasas'!$E$55/360,IF(C963&lt;='FR_Mantenimiento tasas'!$C$56,'Tabla Ahorro Futuro Reservas'!C963*'FR_Mantenimiento tasas'!$E$56/360,IF(C963&lt;='FR_Mantenimiento tasas'!$C$57,'Tabla Ahorro Futuro Reservas'!C963*'FR_Mantenimiento tasas'!$E$57/360,""))),5)</f>
        <v>0</v>
      </c>
    </row>
    <row r="964" spans="1:5">
      <c r="A964" s="123">
        <f t="shared" ref="A964:A1027" si="30">+A963+1</f>
        <v>962</v>
      </c>
      <c r="B964" s="122">
        <f>IF(DAY(A964)=DAY('F-Ahorro Futuro Reservas'!$H$10),'F-Ahorro Futuro Reservas'!$H$9,0)</f>
        <v>0</v>
      </c>
      <c r="C964" s="122">
        <f t="shared" ref="C964:C1027" si="31">+B964+C963+D963</f>
        <v>0</v>
      </c>
      <c r="D964" s="121">
        <f>ROUND(IF(C964&lt;='FR_Mantenimiento tasas'!$C$55,'Tabla Ahorro Futuro Reservas'!C964*'FR_Mantenimiento tasas'!$D$55/360,IF(C964&lt;='FR_Mantenimiento tasas'!$C$56,'Tabla Ahorro Futuro Reservas'!C964*'FR_Mantenimiento tasas'!$D$56/360,IF(C964&lt;='FR_Mantenimiento tasas'!$C$57,'Tabla Ahorro Futuro Reservas'!C964*'FR_Mantenimiento tasas'!$D$57/360,""))),5)</f>
        <v>0</v>
      </c>
      <c r="E964" s="121">
        <f>ROUND(IF(C964&lt;='FR_Mantenimiento tasas'!$C$55,'Tabla Ahorro Futuro Reservas'!C964*'FR_Mantenimiento tasas'!$E$55/360,IF(C964&lt;='FR_Mantenimiento tasas'!$C$56,'Tabla Ahorro Futuro Reservas'!C964*'FR_Mantenimiento tasas'!$E$56/360,IF(C964&lt;='FR_Mantenimiento tasas'!$C$57,'Tabla Ahorro Futuro Reservas'!C964*'FR_Mantenimiento tasas'!$E$57/360,""))),5)</f>
        <v>0</v>
      </c>
    </row>
    <row r="965" spans="1:5">
      <c r="A965" s="123">
        <f t="shared" si="30"/>
        <v>963</v>
      </c>
      <c r="B965" s="122">
        <f>IF(DAY(A965)=DAY('F-Ahorro Futuro Reservas'!$H$10),'F-Ahorro Futuro Reservas'!$H$9,0)</f>
        <v>0</v>
      </c>
      <c r="C965" s="122">
        <f t="shared" si="31"/>
        <v>0</v>
      </c>
      <c r="D965" s="121">
        <f>ROUND(IF(C965&lt;='FR_Mantenimiento tasas'!$C$55,'Tabla Ahorro Futuro Reservas'!C965*'FR_Mantenimiento tasas'!$D$55/360,IF(C965&lt;='FR_Mantenimiento tasas'!$C$56,'Tabla Ahorro Futuro Reservas'!C965*'FR_Mantenimiento tasas'!$D$56/360,IF(C965&lt;='FR_Mantenimiento tasas'!$C$57,'Tabla Ahorro Futuro Reservas'!C965*'FR_Mantenimiento tasas'!$D$57/360,""))),5)</f>
        <v>0</v>
      </c>
      <c r="E965" s="121">
        <f>ROUND(IF(C965&lt;='FR_Mantenimiento tasas'!$C$55,'Tabla Ahorro Futuro Reservas'!C965*'FR_Mantenimiento tasas'!$E$55/360,IF(C965&lt;='FR_Mantenimiento tasas'!$C$56,'Tabla Ahorro Futuro Reservas'!C965*'FR_Mantenimiento tasas'!$E$56/360,IF(C965&lt;='FR_Mantenimiento tasas'!$C$57,'Tabla Ahorro Futuro Reservas'!C965*'FR_Mantenimiento tasas'!$E$57/360,""))),5)</f>
        <v>0</v>
      </c>
    </row>
    <row r="966" spans="1:5">
      <c r="A966" s="123">
        <f t="shared" si="30"/>
        <v>964</v>
      </c>
      <c r="B966" s="122">
        <f>IF(DAY(A966)=DAY('F-Ahorro Futuro Reservas'!$H$10),'F-Ahorro Futuro Reservas'!$H$9,0)</f>
        <v>0</v>
      </c>
      <c r="C966" s="122">
        <f t="shared" si="31"/>
        <v>0</v>
      </c>
      <c r="D966" s="121">
        <f>ROUND(IF(C966&lt;='FR_Mantenimiento tasas'!$C$55,'Tabla Ahorro Futuro Reservas'!C966*'FR_Mantenimiento tasas'!$D$55/360,IF(C966&lt;='FR_Mantenimiento tasas'!$C$56,'Tabla Ahorro Futuro Reservas'!C966*'FR_Mantenimiento tasas'!$D$56/360,IF(C966&lt;='FR_Mantenimiento tasas'!$C$57,'Tabla Ahorro Futuro Reservas'!C966*'FR_Mantenimiento tasas'!$D$57/360,""))),5)</f>
        <v>0</v>
      </c>
      <c r="E966" s="121">
        <f>ROUND(IF(C966&lt;='FR_Mantenimiento tasas'!$C$55,'Tabla Ahorro Futuro Reservas'!C966*'FR_Mantenimiento tasas'!$E$55/360,IF(C966&lt;='FR_Mantenimiento tasas'!$C$56,'Tabla Ahorro Futuro Reservas'!C966*'FR_Mantenimiento tasas'!$E$56/360,IF(C966&lt;='FR_Mantenimiento tasas'!$C$57,'Tabla Ahorro Futuro Reservas'!C966*'FR_Mantenimiento tasas'!$E$57/360,""))),5)</f>
        <v>0</v>
      </c>
    </row>
    <row r="967" spans="1:5">
      <c r="A967" s="123">
        <f t="shared" si="30"/>
        <v>965</v>
      </c>
      <c r="B967" s="122">
        <f>IF(DAY(A967)=DAY('F-Ahorro Futuro Reservas'!$H$10),'F-Ahorro Futuro Reservas'!$H$9,0)</f>
        <v>0</v>
      </c>
      <c r="C967" s="122">
        <f t="shared" si="31"/>
        <v>0</v>
      </c>
      <c r="D967" s="121">
        <f>ROUND(IF(C967&lt;='FR_Mantenimiento tasas'!$C$55,'Tabla Ahorro Futuro Reservas'!C967*'FR_Mantenimiento tasas'!$D$55/360,IF(C967&lt;='FR_Mantenimiento tasas'!$C$56,'Tabla Ahorro Futuro Reservas'!C967*'FR_Mantenimiento tasas'!$D$56/360,IF(C967&lt;='FR_Mantenimiento tasas'!$C$57,'Tabla Ahorro Futuro Reservas'!C967*'FR_Mantenimiento tasas'!$D$57/360,""))),5)</f>
        <v>0</v>
      </c>
      <c r="E967" s="121">
        <f>ROUND(IF(C967&lt;='FR_Mantenimiento tasas'!$C$55,'Tabla Ahorro Futuro Reservas'!C967*'FR_Mantenimiento tasas'!$E$55/360,IF(C967&lt;='FR_Mantenimiento tasas'!$C$56,'Tabla Ahorro Futuro Reservas'!C967*'FR_Mantenimiento tasas'!$E$56/360,IF(C967&lt;='FR_Mantenimiento tasas'!$C$57,'Tabla Ahorro Futuro Reservas'!C967*'FR_Mantenimiento tasas'!$E$57/360,""))),5)</f>
        <v>0</v>
      </c>
    </row>
    <row r="968" spans="1:5">
      <c r="A968" s="123">
        <f t="shared" si="30"/>
        <v>966</v>
      </c>
      <c r="B968" s="122">
        <f>IF(DAY(A968)=DAY('F-Ahorro Futuro Reservas'!$H$10),'F-Ahorro Futuro Reservas'!$H$9,0)</f>
        <v>0</v>
      </c>
      <c r="C968" s="122">
        <f t="shared" si="31"/>
        <v>0</v>
      </c>
      <c r="D968" s="121">
        <f>ROUND(IF(C968&lt;='FR_Mantenimiento tasas'!$C$55,'Tabla Ahorro Futuro Reservas'!C968*'FR_Mantenimiento tasas'!$D$55/360,IF(C968&lt;='FR_Mantenimiento tasas'!$C$56,'Tabla Ahorro Futuro Reservas'!C968*'FR_Mantenimiento tasas'!$D$56/360,IF(C968&lt;='FR_Mantenimiento tasas'!$C$57,'Tabla Ahorro Futuro Reservas'!C968*'FR_Mantenimiento tasas'!$D$57/360,""))),5)</f>
        <v>0</v>
      </c>
      <c r="E968" s="121">
        <f>ROUND(IF(C968&lt;='FR_Mantenimiento tasas'!$C$55,'Tabla Ahorro Futuro Reservas'!C968*'FR_Mantenimiento tasas'!$E$55/360,IF(C968&lt;='FR_Mantenimiento tasas'!$C$56,'Tabla Ahorro Futuro Reservas'!C968*'FR_Mantenimiento tasas'!$E$56/360,IF(C968&lt;='FR_Mantenimiento tasas'!$C$57,'Tabla Ahorro Futuro Reservas'!C968*'FR_Mantenimiento tasas'!$E$57/360,""))),5)</f>
        <v>0</v>
      </c>
    </row>
    <row r="969" spans="1:5">
      <c r="A969" s="123">
        <f t="shared" si="30"/>
        <v>967</v>
      </c>
      <c r="B969" s="122">
        <f>IF(DAY(A969)=DAY('F-Ahorro Futuro Reservas'!$H$10),'F-Ahorro Futuro Reservas'!$H$9,0)</f>
        <v>0</v>
      </c>
      <c r="C969" s="122">
        <f t="shared" si="31"/>
        <v>0</v>
      </c>
      <c r="D969" s="121">
        <f>ROUND(IF(C969&lt;='FR_Mantenimiento tasas'!$C$55,'Tabla Ahorro Futuro Reservas'!C969*'FR_Mantenimiento tasas'!$D$55/360,IF(C969&lt;='FR_Mantenimiento tasas'!$C$56,'Tabla Ahorro Futuro Reservas'!C969*'FR_Mantenimiento tasas'!$D$56/360,IF(C969&lt;='FR_Mantenimiento tasas'!$C$57,'Tabla Ahorro Futuro Reservas'!C969*'FR_Mantenimiento tasas'!$D$57/360,""))),5)</f>
        <v>0</v>
      </c>
      <c r="E969" s="121">
        <f>ROUND(IF(C969&lt;='FR_Mantenimiento tasas'!$C$55,'Tabla Ahorro Futuro Reservas'!C969*'FR_Mantenimiento tasas'!$E$55/360,IF(C969&lt;='FR_Mantenimiento tasas'!$C$56,'Tabla Ahorro Futuro Reservas'!C969*'FR_Mantenimiento tasas'!$E$56/360,IF(C969&lt;='FR_Mantenimiento tasas'!$C$57,'Tabla Ahorro Futuro Reservas'!C969*'FR_Mantenimiento tasas'!$E$57/360,""))),5)</f>
        <v>0</v>
      </c>
    </row>
    <row r="970" spans="1:5">
      <c r="A970" s="123">
        <f t="shared" si="30"/>
        <v>968</v>
      </c>
      <c r="B970" s="122">
        <f>IF(DAY(A970)=DAY('F-Ahorro Futuro Reservas'!$H$10),'F-Ahorro Futuro Reservas'!$H$9,0)</f>
        <v>0</v>
      </c>
      <c r="C970" s="122">
        <f t="shared" si="31"/>
        <v>0</v>
      </c>
      <c r="D970" s="121">
        <f>ROUND(IF(C970&lt;='FR_Mantenimiento tasas'!$C$55,'Tabla Ahorro Futuro Reservas'!C970*'FR_Mantenimiento tasas'!$D$55/360,IF(C970&lt;='FR_Mantenimiento tasas'!$C$56,'Tabla Ahorro Futuro Reservas'!C970*'FR_Mantenimiento tasas'!$D$56/360,IF(C970&lt;='FR_Mantenimiento tasas'!$C$57,'Tabla Ahorro Futuro Reservas'!C970*'FR_Mantenimiento tasas'!$D$57/360,""))),5)</f>
        <v>0</v>
      </c>
      <c r="E970" s="121">
        <f>ROUND(IF(C970&lt;='FR_Mantenimiento tasas'!$C$55,'Tabla Ahorro Futuro Reservas'!C970*'FR_Mantenimiento tasas'!$E$55/360,IF(C970&lt;='FR_Mantenimiento tasas'!$C$56,'Tabla Ahorro Futuro Reservas'!C970*'FR_Mantenimiento tasas'!$E$56/360,IF(C970&lt;='FR_Mantenimiento tasas'!$C$57,'Tabla Ahorro Futuro Reservas'!C970*'FR_Mantenimiento tasas'!$E$57/360,""))),5)</f>
        <v>0</v>
      </c>
    </row>
    <row r="971" spans="1:5">
      <c r="A971" s="123">
        <f t="shared" si="30"/>
        <v>969</v>
      </c>
      <c r="B971" s="122">
        <f>IF(DAY(A971)=DAY('F-Ahorro Futuro Reservas'!$H$10),'F-Ahorro Futuro Reservas'!$H$9,0)</f>
        <v>0</v>
      </c>
      <c r="C971" s="122">
        <f t="shared" si="31"/>
        <v>0</v>
      </c>
      <c r="D971" s="121">
        <f>ROUND(IF(C971&lt;='FR_Mantenimiento tasas'!$C$55,'Tabla Ahorro Futuro Reservas'!C971*'FR_Mantenimiento tasas'!$D$55/360,IF(C971&lt;='FR_Mantenimiento tasas'!$C$56,'Tabla Ahorro Futuro Reservas'!C971*'FR_Mantenimiento tasas'!$D$56/360,IF(C971&lt;='FR_Mantenimiento tasas'!$C$57,'Tabla Ahorro Futuro Reservas'!C971*'FR_Mantenimiento tasas'!$D$57/360,""))),5)</f>
        <v>0</v>
      </c>
      <c r="E971" s="121">
        <f>ROUND(IF(C971&lt;='FR_Mantenimiento tasas'!$C$55,'Tabla Ahorro Futuro Reservas'!C971*'FR_Mantenimiento tasas'!$E$55/360,IF(C971&lt;='FR_Mantenimiento tasas'!$C$56,'Tabla Ahorro Futuro Reservas'!C971*'FR_Mantenimiento tasas'!$E$56/360,IF(C971&lt;='FR_Mantenimiento tasas'!$C$57,'Tabla Ahorro Futuro Reservas'!C971*'FR_Mantenimiento tasas'!$E$57/360,""))),5)</f>
        <v>0</v>
      </c>
    </row>
    <row r="972" spans="1:5">
      <c r="A972" s="123">
        <f t="shared" si="30"/>
        <v>970</v>
      </c>
      <c r="B972" s="122">
        <f>IF(DAY(A972)=DAY('F-Ahorro Futuro Reservas'!$H$10),'F-Ahorro Futuro Reservas'!$H$9,0)</f>
        <v>0</v>
      </c>
      <c r="C972" s="122">
        <f t="shared" si="31"/>
        <v>0</v>
      </c>
      <c r="D972" s="121">
        <f>ROUND(IF(C972&lt;='FR_Mantenimiento tasas'!$C$55,'Tabla Ahorro Futuro Reservas'!C972*'FR_Mantenimiento tasas'!$D$55/360,IF(C972&lt;='FR_Mantenimiento tasas'!$C$56,'Tabla Ahorro Futuro Reservas'!C972*'FR_Mantenimiento tasas'!$D$56/360,IF(C972&lt;='FR_Mantenimiento tasas'!$C$57,'Tabla Ahorro Futuro Reservas'!C972*'FR_Mantenimiento tasas'!$D$57/360,""))),5)</f>
        <v>0</v>
      </c>
      <c r="E972" s="121">
        <f>ROUND(IF(C972&lt;='FR_Mantenimiento tasas'!$C$55,'Tabla Ahorro Futuro Reservas'!C972*'FR_Mantenimiento tasas'!$E$55/360,IF(C972&lt;='FR_Mantenimiento tasas'!$C$56,'Tabla Ahorro Futuro Reservas'!C972*'FR_Mantenimiento tasas'!$E$56/360,IF(C972&lt;='FR_Mantenimiento tasas'!$C$57,'Tabla Ahorro Futuro Reservas'!C972*'FR_Mantenimiento tasas'!$E$57/360,""))),5)</f>
        <v>0</v>
      </c>
    </row>
    <row r="973" spans="1:5">
      <c r="A973" s="123">
        <f t="shared" si="30"/>
        <v>971</v>
      </c>
      <c r="B973" s="122">
        <f>IF(DAY(A973)=DAY('F-Ahorro Futuro Reservas'!$H$10),'F-Ahorro Futuro Reservas'!$H$9,0)</f>
        <v>0</v>
      </c>
      <c r="C973" s="122">
        <f t="shared" si="31"/>
        <v>0</v>
      </c>
      <c r="D973" s="121">
        <f>ROUND(IF(C973&lt;='FR_Mantenimiento tasas'!$C$55,'Tabla Ahorro Futuro Reservas'!C973*'FR_Mantenimiento tasas'!$D$55/360,IF(C973&lt;='FR_Mantenimiento tasas'!$C$56,'Tabla Ahorro Futuro Reservas'!C973*'FR_Mantenimiento tasas'!$D$56/360,IF(C973&lt;='FR_Mantenimiento tasas'!$C$57,'Tabla Ahorro Futuro Reservas'!C973*'FR_Mantenimiento tasas'!$D$57/360,""))),5)</f>
        <v>0</v>
      </c>
      <c r="E973" s="121">
        <f>ROUND(IF(C973&lt;='FR_Mantenimiento tasas'!$C$55,'Tabla Ahorro Futuro Reservas'!C973*'FR_Mantenimiento tasas'!$E$55/360,IF(C973&lt;='FR_Mantenimiento tasas'!$C$56,'Tabla Ahorro Futuro Reservas'!C973*'FR_Mantenimiento tasas'!$E$56/360,IF(C973&lt;='FR_Mantenimiento tasas'!$C$57,'Tabla Ahorro Futuro Reservas'!C973*'FR_Mantenimiento tasas'!$E$57/360,""))),5)</f>
        <v>0</v>
      </c>
    </row>
    <row r="974" spans="1:5">
      <c r="A974" s="123">
        <f t="shared" si="30"/>
        <v>972</v>
      </c>
      <c r="B974" s="122">
        <f>IF(DAY(A974)=DAY('F-Ahorro Futuro Reservas'!$H$10),'F-Ahorro Futuro Reservas'!$H$9,0)</f>
        <v>0</v>
      </c>
      <c r="C974" s="122">
        <f t="shared" si="31"/>
        <v>0</v>
      </c>
      <c r="D974" s="121">
        <f>ROUND(IF(C974&lt;='FR_Mantenimiento tasas'!$C$55,'Tabla Ahorro Futuro Reservas'!C974*'FR_Mantenimiento tasas'!$D$55/360,IF(C974&lt;='FR_Mantenimiento tasas'!$C$56,'Tabla Ahorro Futuro Reservas'!C974*'FR_Mantenimiento tasas'!$D$56/360,IF(C974&lt;='FR_Mantenimiento tasas'!$C$57,'Tabla Ahorro Futuro Reservas'!C974*'FR_Mantenimiento tasas'!$D$57/360,""))),5)</f>
        <v>0</v>
      </c>
      <c r="E974" s="121">
        <f>ROUND(IF(C974&lt;='FR_Mantenimiento tasas'!$C$55,'Tabla Ahorro Futuro Reservas'!C974*'FR_Mantenimiento tasas'!$E$55/360,IF(C974&lt;='FR_Mantenimiento tasas'!$C$56,'Tabla Ahorro Futuro Reservas'!C974*'FR_Mantenimiento tasas'!$E$56/360,IF(C974&lt;='FR_Mantenimiento tasas'!$C$57,'Tabla Ahorro Futuro Reservas'!C974*'FR_Mantenimiento tasas'!$E$57/360,""))),5)</f>
        <v>0</v>
      </c>
    </row>
    <row r="975" spans="1:5">
      <c r="A975" s="123">
        <f t="shared" si="30"/>
        <v>973</v>
      </c>
      <c r="B975" s="122">
        <f>IF(DAY(A975)=DAY('F-Ahorro Futuro Reservas'!$H$10),'F-Ahorro Futuro Reservas'!$H$9,0)</f>
        <v>0</v>
      </c>
      <c r="C975" s="122">
        <f t="shared" si="31"/>
        <v>0</v>
      </c>
      <c r="D975" s="121">
        <f>ROUND(IF(C975&lt;='FR_Mantenimiento tasas'!$C$55,'Tabla Ahorro Futuro Reservas'!C975*'FR_Mantenimiento tasas'!$D$55/360,IF(C975&lt;='FR_Mantenimiento tasas'!$C$56,'Tabla Ahorro Futuro Reservas'!C975*'FR_Mantenimiento tasas'!$D$56/360,IF(C975&lt;='FR_Mantenimiento tasas'!$C$57,'Tabla Ahorro Futuro Reservas'!C975*'FR_Mantenimiento tasas'!$D$57/360,""))),5)</f>
        <v>0</v>
      </c>
      <c r="E975" s="121">
        <f>ROUND(IF(C975&lt;='FR_Mantenimiento tasas'!$C$55,'Tabla Ahorro Futuro Reservas'!C975*'FR_Mantenimiento tasas'!$E$55/360,IF(C975&lt;='FR_Mantenimiento tasas'!$C$56,'Tabla Ahorro Futuro Reservas'!C975*'FR_Mantenimiento tasas'!$E$56/360,IF(C975&lt;='FR_Mantenimiento tasas'!$C$57,'Tabla Ahorro Futuro Reservas'!C975*'FR_Mantenimiento tasas'!$E$57/360,""))),5)</f>
        <v>0</v>
      </c>
    </row>
    <row r="976" spans="1:5">
      <c r="A976" s="123">
        <f t="shared" si="30"/>
        <v>974</v>
      </c>
      <c r="B976" s="122">
        <f>IF(DAY(A976)=DAY('F-Ahorro Futuro Reservas'!$H$10),'F-Ahorro Futuro Reservas'!$H$9,0)</f>
        <v>0</v>
      </c>
      <c r="C976" s="122">
        <f t="shared" si="31"/>
        <v>0</v>
      </c>
      <c r="D976" s="121">
        <f>ROUND(IF(C976&lt;='FR_Mantenimiento tasas'!$C$55,'Tabla Ahorro Futuro Reservas'!C976*'FR_Mantenimiento tasas'!$D$55/360,IF(C976&lt;='FR_Mantenimiento tasas'!$C$56,'Tabla Ahorro Futuro Reservas'!C976*'FR_Mantenimiento tasas'!$D$56/360,IF(C976&lt;='FR_Mantenimiento tasas'!$C$57,'Tabla Ahorro Futuro Reservas'!C976*'FR_Mantenimiento tasas'!$D$57/360,""))),5)</f>
        <v>0</v>
      </c>
      <c r="E976" s="121">
        <f>ROUND(IF(C976&lt;='FR_Mantenimiento tasas'!$C$55,'Tabla Ahorro Futuro Reservas'!C976*'FR_Mantenimiento tasas'!$E$55/360,IF(C976&lt;='FR_Mantenimiento tasas'!$C$56,'Tabla Ahorro Futuro Reservas'!C976*'FR_Mantenimiento tasas'!$E$56/360,IF(C976&lt;='FR_Mantenimiento tasas'!$C$57,'Tabla Ahorro Futuro Reservas'!C976*'FR_Mantenimiento tasas'!$E$57/360,""))),5)</f>
        <v>0</v>
      </c>
    </row>
    <row r="977" spans="1:5">
      <c r="A977" s="123">
        <f t="shared" si="30"/>
        <v>975</v>
      </c>
      <c r="B977" s="122">
        <f>IF(DAY(A977)=DAY('F-Ahorro Futuro Reservas'!$H$10),'F-Ahorro Futuro Reservas'!$H$9,0)</f>
        <v>0</v>
      </c>
      <c r="C977" s="122">
        <f t="shared" si="31"/>
        <v>0</v>
      </c>
      <c r="D977" s="121">
        <f>ROUND(IF(C977&lt;='FR_Mantenimiento tasas'!$C$55,'Tabla Ahorro Futuro Reservas'!C977*'FR_Mantenimiento tasas'!$D$55/360,IF(C977&lt;='FR_Mantenimiento tasas'!$C$56,'Tabla Ahorro Futuro Reservas'!C977*'FR_Mantenimiento tasas'!$D$56/360,IF(C977&lt;='FR_Mantenimiento tasas'!$C$57,'Tabla Ahorro Futuro Reservas'!C977*'FR_Mantenimiento tasas'!$D$57/360,""))),5)</f>
        <v>0</v>
      </c>
      <c r="E977" s="121">
        <f>ROUND(IF(C977&lt;='FR_Mantenimiento tasas'!$C$55,'Tabla Ahorro Futuro Reservas'!C977*'FR_Mantenimiento tasas'!$E$55/360,IF(C977&lt;='FR_Mantenimiento tasas'!$C$56,'Tabla Ahorro Futuro Reservas'!C977*'FR_Mantenimiento tasas'!$E$56/360,IF(C977&lt;='FR_Mantenimiento tasas'!$C$57,'Tabla Ahorro Futuro Reservas'!C977*'FR_Mantenimiento tasas'!$E$57/360,""))),5)</f>
        <v>0</v>
      </c>
    </row>
    <row r="978" spans="1:5">
      <c r="A978" s="123">
        <f t="shared" si="30"/>
        <v>976</v>
      </c>
      <c r="B978" s="122">
        <f>IF(DAY(A978)=DAY('F-Ahorro Futuro Reservas'!$H$10),'F-Ahorro Futuro Reservas'!$H$9,0)</f>
        <v>0</v>
      </c>
      <c r="C978" s="122">
        <f t="shared" si="31"/>
        <v>0</v>
      </c>
      <c r="D978" s="121">
        <f>ROUND(IF(C978&lt;='FR_Mantenimiento tasas'!$C$55,'Tabla Ahorro Futuro Reservas'!C978*'FR_Mantenimiento tasas'!$D$55/360,IF(C978&lt;='FR_Mantenimiento tasas'!$C$56,'Tabla Ahorro Futuro Reservas'!C978*'FR_Mantenimiento tasas'!$D$56/360,IF(C978&lt;='FR_Mantenimiento tasas'!$C$57,'Tabla Ahorro Futuro Reservas'!C978*'FR_Mantenimiento tasas'!$D$57/360,""))),5)</f>
        <v>0</v>
      </c>
      <c r="E978" s="121">
        <f>ROUND(IF(C978&lt;='FR_Mantenimiento tasas'!$C$55,'Tabla Ahorro Futuro Reservas'!C978*'FR_Mantenimiento tasas'!$E$55/360,IF(C978&lt;='FR_Mantenimiento tasas'!$C$56,'Tabla Ahorro Futuro Reservas'!C978*'FR_Mantenimiento tasas'!$E$56/360,IF(C978&lt;='FR_Mantenimiento tasas'!$C$57,'Tabla Ahorro Futuro Reservas'!C978*'FR_Mantenimiento tasas'!$E$57/360,""))),5)</f>
        <v>0</v>
      </c>
    </row>
    <row r="979" spans="1:5">
      <c r="A979" s="123">
        <f t="shared" si="30"/>
        <v>977</v>
      </c>
      <c r="B979" s="122">
        <f>IF(DAY(A979)=DAY('F-Ahorro Futuro Reservas'!$H$10),'F-Ahorro Futuro Reservas'!$H$9,0)</f>
        <v>0</v>
      </c>
      <c r="C979" s="122">
        <f t="shared" si="31"/>
        <v>0</v>
      </c>
      <c r="D979" s="121">
        <f>ROUND(IF(C979&lt;='FR_Mantenimiento tasas'!$C$55,'Tabla Ahorro Futuro Reservas'!C979*'FR_Mantenimiento tasas'!$D$55/360,IF(C979&lt;='FR_Mantenimiento tasas'!$C$56,'Tabla Ahorro Futuro Reservas'!C979*'FR_Mantenimiento tasas'!$D$56/360,IF(C979&lt;='FR_Mantenimiento tasas'!$C$57,'Tabla Ahorro Futuro Reservas'!C979*'FR_Mantenimiento tasas'!$D$57/360,""))),5)</f>
        <v>0</v>
      </c>
      <c r="E979" s="121">
        <f>ROUND(IF(C979&lt;='FR_Mantenimiento tasas'!$C$55,'Tabla Ahorro Futuro Reservas'!C979*'FR_Mantenimiento tasas'!$E$55/360,IF(C979&lt;='FR_Mantenimiento tasas'!$C$56,'Tabla Ahorro Futuro Reservas'!C979*'FR_Mantenimiento tasas'!$E$56/360,IF(C979&lt;='FR_Mantenimiento tasas'!$C$57,'Tabla Ahorro Futuro Reservas'!C979*'FR_Mantenimiento tasas'!$E$57/360,""))),5)</f>
        <v>0</v>
      </c>
    </row>
    <row r="980" spans="1:5">
      <c r="A980" s="123">
        <f t="shared" si="30"/>
        <v>978</v>
      </c>
      <c r="B980" s="122">
        <f>IF(DAY(A980)=DAY('F-Ahorro Futuro Reservas'!$H$10),'F-Ahorro Futuro Reservas'!$H$9,0)</f>
        <v>0</v>
      </c>
      <c r="C980" s="122">
        <f t="shared" si="31"/>
        <v>0</v>
      </c>
      <c r="D980" s="121">
        <f>ROUND(IF(C980&lt;='FR_Mantenimiento tasas'!$C$55,'Tabla Ahorro Futuro Reservas'!C980*'FR_Mantenimiento tasas'!$D$55/360,IF(C980&lt;='FR_Mantenimiento tasas'!$C$56,'Tabla Ahorro Futuro Reservas'!C980*'FR_Mantenimiento tasas'!$D$56/360,IF(C980&lt;='FR_Mantenimiento tasas'!$C$57,'Tabla Ahorro Futuro Reservas'!C980*'FR_Mantenimiento tasas'!$D$57/360,""))),5)</f>
        <v>0</v>
      </c>
      <c r="E980" s="121">
        <f>ROUND(IF(C980&lt;='FR_Mantenimiento tasas'!$C$55,'Tabla Ahorro Futuro Reservas'!C980*'FR_Mantenimiento tasas'!$E$55/360,IF(C980&lt;='FR_Mantenimiento tasas'!$C$56,'Tabla Ahorro Futuro Reservas'!C980*'FR_Mantenimiento tasas'!$E$56/360,IF(C980&lt;='FR_Mantenimiento tasas'!$C$57,'Tabla Ahorro Futuro Reservas'!C980*'FR_Mantenimiento tasas'!$E$57/360,""))),5)</f>
        <v>0</v>
      </c>
    </row>
    <row r="981" spans="1:5">
      <c r="A981" s="123">
        <f t="shared" si="30"/>
        <v>979</v>
      </c>
      <c r="B981" s="122">
        <f>IF(DAY(A981)=DAY('F-Ahorro Futuro Reservas'!$H$10),'F-Ahorro Futuro Reservas'!$H$9,0)</f>
        <v>0</v>
      </c>
      <c r="C981" s="122">
        <f t="shared" si="31"/>
        <v>0</v>
      </c>
      <c r="D981" s="121">
        <f>ROUND(IF(C981&lt;='FR_Mantenimiento tasas'!$C$55,'Tabla Ahorro Futuro Reservas'!C981*'FR_Mantenimiento tasas'!$D$55/360,IF(C981&lt;='FR_Mantenimiento tasas'!$C$56,'Tabla Ahorro Futuro Reservas'!C981*'FR_Mantenimiento tasas'!$D$56/360,IF(C981&lt;='FR_Mantenimiento tasas'!$C$57,'Tabla Ahorro Futuro Reservas'!C981*'FR_Mantenimiento tasas'!$D$57/360,""))),5)</f>
        <v>0</v>
      </c>
      <c r="E981" s="121">
        <f>ROUND(IF(C981&lt;='FR_Mantenimiento tasas'!$C$55,'Tabla Ahorro Futuro Reservas'!C981*'FR_Mantenimiento tasas'!$E$55/360,IF(C981&lt;='FR_Mantenimiento tasas'!$C$56,'Tabla Ahorro Futuro Reservas'!C981*'FR_Mantenimiento tasas'!$E$56/360,IF(C981&lt;='FR_Mantenimiento tasas'!$C$57,'Tabla Ahorro Futuro Reservas'!C981*'FR_Mantenimiento tasas'!$E$57/360,""))),5)</f>
        <v>0</v>
      </c>
    </row>
    <row r="982" spans="1:5">
      <c r="A982" s="123">
        <f t="shared" si="30"/>
        <v>980</v>
      </c>
      <c r="B982" s="122">
        <f>IF(DAY(A982)=DAY('F-Ahorro Futuro Reservas'!$H$10),'F-Ahorro Futuro Reservas'!$H$9,0)</f>
        <v>0</v>
      </c>
      <c r="C982" s="122">
        <f t="shared" si="31"/>
        <v>0</v>
      </c>
      <c r="D982" s="121">
        <f>ROUND(IF(C982&lt;='FR_Mantenimiento tasas'!$C$55,'Tabla Ahorro Futuro Reservas'!C982*'FR_Mantenimiento tasas'!$D$55/360,IF(C982&lt;='FR_Mantenimiento tasas'!$C$56,'Tabla Ahorro Futuro Reservas'!C982*'FR_Mantenimiento tasas'!$D$56/360,IF(C982&lt;='FR_Mantenimiento tasas'!$C$57,'Tabla Ahorro Futuro Reservas'!C982*'FR_Mantenimiento tasas'!$D$57/360,""))),5)</f>
        <v>0</v>
      </c>
      <c r="E982" s="121">
        <f>ROUND(IF(C982&lt;='FR_Mantenimiento tasas'!$C$55,'Tabla Ahorro Futuro Reservas'!C982*'FR_Mantenimiento tasas'!$E$55/360,IF(C982&lt;='FR_Mantenimiento tasas'!$C$56,'Tabla Ahorro Futuro Reservas'!C982*'FR_Mantenimiento tasas'!$E$56/360,IF(C982&lt;='FR_Mantenimiento tasas'!$C$57,'Tabla Ahorro Futuro Reservas'!C982*'FR_Mantenimiento tasas'!$E$57/360,""))),5)</f>
        <v>0</v>
      </c>
    </row>
    <row r="983" spans="1:5">
      <c r="A983" s="123">
        <f t="shared" si="30"/>
        <v>981</v>
      </c>
      <c r="B983" s="122">
        <f>IF(DAY(A983)=DAY('F-Ahorro Futuro Reservas'!$H$10),'F-Ahorro Futuro Reservas'!$H$9,0)</f>
        <v>0</v>
      </c>
      <c r="C983" s="122">
        <f t="shared" si="31"/>
        <v>0</v>
      </c>
      <c r="D983" s="121">
        <f>ROUND(IF(C983&lt;='FR_Mantenimiento tasas'!$C$55,'Tabla Ahorro Futuro Reservas'!C983*'FR_Mantenimiento tasas'!$D$55/360,IF(C983&lt;='FR_Mantenimiento tasas'!$C$56,'Tabla Ahorro Futuro Reservas'!C983*'FR_Mantenimiento tasas'!$D$56/360,IF(C983&lt;='FR_Mantenimiento tasas'!$C$57,'Tabla Ahorro Futuro Reservas'!C983*'FR_Mantenimiento tasas'!$D$57/360,""))),5)</f>
        <v>0</v>
      </c>
      <c r="E983" s="121">
        <f>ROUND(IF(C983&lt;='FR_Mantenimiento tasas'!$C$55,'Tabla Ahorro Futuro Reservas'!C983*'FR_Mantenimiento tasas'!$E$55/360,IF(C983&lt;='FR_Mantenimiento tasas'!$C$56,'Tabla Ahorro Futuro Reservas'!C983*'FR_Mantenimiento tasas'!$E$56/360,IF(C983&lt;='FR_Mantenimiento tasas'!$C$57,'Tabla Ahorro Futuro Reservas'!C983*'FR_Mantenimiento tasas'!$E$57/360,""))),5)</f>
        <v>0</v>
      </c>
    </row>
    <row r="984" spans="1:5">
      <c r="A984" s="123">
        <f t="shared" si="30"/>
        <v>982</v>
      </c>
      <c r="B984" s="122">
        <f>IF(DAY(A984)=DAY('F-Ahorro Futuro Reservas'!$H$10),'F-Ahorro Futuro Reservas'!$H$9,0)</f>
        <v>0</v>
      </c>
      <c r="C984" s="122">
        <f t="shared" si="31"/>
        <v>0</v>
      </c>
      <c r="D984" s="121">
        <f>ROUND(IF(C984&lt;='FR_Mantenimiento tasas'!$C$55,'Tabla Ahorro Futuro Reservas'!C984*'FR_Mantenimiento tasas'!$D$55/360,IF(C984&lt;='FR_Mantenimiento tasas'!$C$56,'Tabla Ahorro Futuro Reservas'!C984*'FR_Mantenimiento tasas'!$D$56/360,IF(C984&lt;='FR_Mantenimiento tasas'!$C$57,'Tabla Ahorro Futuro Reservas'!C984*'FR_Mantenimiento tasas'!$D$57/360,""))),5)</f>
        <v>0</v>
      </c>
      <c r="E984" s="121">
        <f>ROUND(IF(C984&lt;='FR_Mantenimiento tasas'!$C$55,'Tabla Ahorro Futuro Reservas'!C984*'FR_Mantenimiento tasas'!$E$55/360,IF(C984&lt;='FR_Mantenimiento tasas'!$C$56,'Tabla Ahorro Futuro Reservas'!C984*'FR_Mantenimiento tasas'!$E$56/360,IF(C984&lt;='FR_Mantenimiento tasas'!$C$57,'Tabla Ahorro Futuro Reservas'!C984*'FR_Mantenimiento tasas'!$E$57/360,""))),5)</f>
        <v>0</v>
      </c>
    </row>
    <row r="985" spans="1:5">
      <c r="A985" s="123">
        <f t="shared" si="30"/>
        <v>983</v>
      </c>
      <c r="B985" s="122">
        <f>IF(DAY(A985)=DAY('F-Ahorro Futuro Reservas'!$H$10),'F-Ahorro Futuro Reservas'!$H$9,0)</f>
        <v>0</v>
      </c>
      <c r="C985" s="122">
        <f t="shared" si="31"/>
        <v>0</v>
      </c>
      <c r="D985" s="121">
        <f>ROUND(IF(C985&lt;='FR_Mantenimiento tasas'!$C$55,'Tabla Ahorro Futuro Reservas'!C985*'FR_Mantenimiento tasas'!$D$55/360,IF(C985&lt;='FR_Mantenimiento tasas'!$C$56,'Tabla Ahorro Futuro Reservas'!C985*'FR_Mantenimiento tasas'!$D$56/360,IF(C985&lt;='FR_Mantenimiento tasas'!$C$57,'Tabla Ahorro Futuro Reservas'!C985*'FR_Mantenimiento tasas'!$D$57/360,""))),5)</f>
        <v>0</v>
      </c>
      <c r="E985" s="121">
        <f>ROUND(IF(C985&lt;='FR_Mantenimiento tasas'!$C$55,'Tabla Ahorro Futuro Reservas'!C985*'FR_Mantenimiento tasas'!$E$55/360,IF(C985&lt;='FR_Mantenimiento tasas'!$C$56,'Tabla Ahorro Futuro Reservas'!C985*'FR_Mantenimiento tasas'!$E$56/360,IF(C985&lt;='FR_Mantenimiento tasas'!$C$57,'Tabla Ahorro Futuro Reservas'!C985*'FR_Mantenimiento tasas'!$E$57/360,""))),5)</f>
        <v>0</v>
      </c>
    </row>
    <row r="986" spans="1:5">
      <c r="A986" s="123">
        <f t="shared" si="30"/>
        <v>984</v>
      </c>
      <c r="B986" s="122">
        <f>IF(DAY(A986)=DAY('F-Ahorro Futuro Reservas'!$H$10),'F-Ahorro Futuro Reservas'!$H$9,0)</f>
        <v>0</v>
      </c>
      <c r="C986" s="122">
        <f t="shared" si="31"/>
        <v>0</v>
      </c>
      <c r="D986" s="121">
        <f>ROUND(IF(C986&lt;='FR_Mantenimiento tasas'!$C$55,'Tabla Ahorro Futuro Reservas'!C986*'FR_Mantenimiento tasas'!$D$55/360,IF(C986&lt;='FR_Mantenimiento tasas'!$C$56,'Tabla Ahorro Futuro Reservas'!C986*'FR_Mantenimiento tasas'!$D$56/360,IF(C986&lt;='FR_Mantenimiento tasas'!$C$57,'Tabla Ahorro Futuro Reservas'!C986*'FR_Mantenimiento tasas'!$D$57/360,""))),5)</f>
        <v>0</v>
      </c>
      <c r="E986" s="121">
        <f>ROUND(IF(C986&lt;='FR_Mantenimiento tasas'!$C$55,'Tabla Ahorro Futuro Reservas'!C986*'FR_Mantenimiento tasas'!$E$55/360,IF(C986&lt;='FR_Mantenimiento tasas'!$C$56,'Tabla Ahorro Futuro Reservas'!C986*'FR_Mantenimiento tasas'!$E$56/360,IF(C986&lt;='FR_Mantenimiento tasas'!$C$57,'Tabla Ahorro Futuro Reservas'!C986*'FR_Mantenimiento tasas'!$E$57/360,""))),5)</f>
        <v>0</v>
      </c>
    </row>
    <row r="987" spans="1:5">
      <c r="A987" s="123">
        <f t="shared" si="30"/>
        <v>985</v>
      </c>
      <c r="B987" s="122">
        <f>IF(DAY(A987)=DAY('F-Ahorro Futuro Reservas'!$H$10),'F-Ahorro Futuro Reservas'!$H$9,0)</f>
        <v>0</v>
      </c>
      <c r="C987" s="122">
        <f t="shared" si="31"/>
        <v>0</v>
      </c>
      <c r="D987" s="121">
        <f>ROUND(IF(C987&lt;='FR_Mantenimiento tasas'!$C$55,'Tabla Ahorro Futuro Reservas'!C987*'FR_Mantenimiento tasas'!$D$55/360,IF(C987&lt;='FR_Mantenimiento tasas'!$C$56,'Tabla Ahorro Futuro Reservas'!C987*'FR_Mantenimiento tasas'!$D$56/360,IF(C987&lt;='FR_Mantenimiento tasas'!$C$57,'Tabla Ahorro Futuro Reservas'!C987*'FR_Mantenimiento tasas'!$D$57/360,""))),5)</f>
        <v>0</v>
      </c>
      <c r="E987" s="121">
        <f>ROUND(IF(C987&lt;='FR_Mantenimiento tasas'!$C$55,'Tabla Ahorro Futuro Reservas'!C987*'FR_Mantenimiento tasas'!$E$55/360,IF(C987&lt;='FR_Mantenimiento tasas'!$C$56,'Tabla Ahorro Futuro Reservas'!C987*'FR_Mantenimiento tasas'!$E$56/360,IF(C987&lt;='FR_Mantenimiento tasas'!$C$57,'Tabla Ahorro Futuro Reservas'!C987*'FR_Mantenimiento tasas'!$E$57/360,""))),5)</f>
        <v>0</v>
      </c>
    </row>
    <row r="988" spans="1:5">
      <c r="A988" s="123">
        <f t="shared" si="30"/>
        <v>986</v>
      </c>
      <c r="B988" s="122">
        <f>IF(DAY(A988)=DAY('F-Ahorro Futuro Reservas'!$H$10),'F-Ahorro Futuro Reservas'!$H$9,0)</f>
        <v>0</v>
      </c>
      <c r="C988" s="122">
        <f t="shared" si="31"/>
        <v>0</v>
      </c>
      <c r="D988" s="121">
        <f>ROUND(IF(C988&lt;='FR_Mantenimiento tasas'!$C$55,'Tabla Ahorro Futuro Reservas'!C988*'FR_Mantenimiento tasas'!$D$55/360,IF(C988&lt;='FR_Mantenimiento tasas'!$C$56,'Tabla Ahorro Futuro Reservas'!C988*'FR_Mantenimiento tasas'!$D$56/360,IF(C988&lt;='FR_Mantenimiento tasas'!$C$57,'Tabla Ahorro Futuro Reservas'!C988*'FR_Mantenimiento tasas'!$D$57/360,""))),5)</f>
        <v>0</v>
      </c>
      <c r="E988" s="121">
        <f>ROUND(IF(C988&lt;='FR_Mantenimiento tasas'!$C$55,'Tabla Ahorro Futuro Reservas'!C988*'FR_Mantenimiento tasas'!$E$55/360,IF(C988&lt;='FR_Mantenimiento tasas'!$C$56,'Tabla Ahorro Futuro Reservas'!C988*'FR_Mantenimiento tasas'!$E$56/360,IF(C988&lt;='FR_Mantenimiento tasas'!$C$57,'Tabla Ahorro Futuro Reservas'!C988*'FR_Mantenimiento tasas'!$E$57/360,""))),5)</f>
        <v>0</v>
      </c>
    </row>
    <row r="989" spans="1:5">
      <c r="A989" s="123">
        <f t="shared" si="30"/>
        <v>987</v>
      </c>
      <c r="B989" s="122">
        <f>IF(DAY(A989)=DAY('F-Ahorro Futuro Reservas'!$H$10),'F-Ahorro Futuro Reservas'!$H$9,0)</f>
        <v>0</v>
      </c>
      <c r="C989" s="122">
        <f t="shared" si="31"/>
        <v>0</v>
      </c>
      <c r="D989" s="121">
        <f>ROUND(IF(C989&lt;='FR_Mantenimiento tasas'!$C$55,'Tabla Ahorro Futuro Reservas'!C989*'FR_Mantenimiento tasas'!$D$55/360,IF(C989&lt;='FR_Mantenimiento tasas'!$C$56,'Tabla Ahorro Futuro Reservas'!C989*'FR_Mantenimiento tasas'!$D$56/360,IF(C989&lt;='FR_Mantenimiento tasas'!$C$57,'Tabla Ahorro Futuro Reservas'!C989*'FR_Mantenimiento tasas'!$D$57/360,""))),5)</f>
        <v>0</v>
      </c>
      <c r="E989" s="121">
        <f>ROUND(IF(C989&lt;='FR_Mantenimiento tasas'!$C$55,'Tabla Ahorro Futuro Reservas'!C989*'FR_Mantenimiento tasas'!$E$55/360,IF(C989&lt;='FR_Mantenimiento tasas'!$C$56,'Tabla Ahorro Futuro Reservas'!C989*'FR_Mantenimiento tasas'!$E$56/360,IF(C989&lt;='FR_Mantenimiento tasas'!$C$57,'Tabla Ahorro Futuro Reservas'!C989*'FR_Mantenimiento tasas'!$E$57/360,""))),5)</f>
        <v>0</v>
      </c>
    </row>
    <row r="990" spans="1:5">
      <c r="A990" s="123">
        <f t="shared" si="30"/>
        <v>988</v>
      </c>
      <c r="B990" s="122">
        <f>IF(DAY(A990)=DAY('F-Ahorro Futuro Reservas'!$H$10),'F-Ahorro Futuro Reservas'!$H$9,0)</f>
        <v>0</v>
      </c>
      <c r="C990" s="122">
        <f t="shared" si="31"/>
        <v>0</v>
      </c>
      <c r="D990" s="121">
        <f>ROUND(IF(C990&lt;='FR_Mantenimiento tasas'!$C$55,'Tabla Ahorro Futuro Reservas'!C990*'FR_Mantenimiento tasas'!$D$55/360,IF(C990&lt;='FR_Mantenimiento tasas'!$C$56,'Tabla Ahorro Futuro Reservas'!C990*'FR_Mantenimiento tasas'!$D$56/360,IF(C990&lt;='FR_Mantenimiento tasas'!$C$57,'Tabla Ahorro Futuro Reservas'!C990*'FR_Mantenimiento tasas'!$D$57/360,""))),5)</f>
        <v>0</v>
      </c>
      <c r="E990" s="121">
        <f>ROUND(IF(C990&lt;='FR_Mantenimiento tasas'!$C$55,'Tabla Ahorro Futuro Reservas'!C990*'FR_Mantenimiento tasas'!$E$55/360,IF(C990&lt;='FR_Mantenimiento tasas'!$C$56,'Tabla Ahorro Futuro Reservas'!C990*'FR_Mantenimiento tasas'!$E$56/360,IF(C990&lt;='FR_Mantenimiento tasas'!$C$57,'Tabla Ahorro Futuro Reservas'!C990*'FR_Mantenimiento tasas'!$E$57/360,""))),5)</f>
        <v>0</v>
      </c>
    </row>
    <row r="991" spans="1:5">
      <c r="A991" s="123">
        <f t="shared" si="30"/>
        <v>989</v>
      </c>
      <c r="B991" s="122">
        <f>IF(DAY(A991)=DAY('F-Ahorro Futuro Reservas'!$H$10),'F-Ahorro Futuro Reservas'!$H$9,0)</f>
        <v>0</v>
      </c>
      <c r="C991" s="122">
        <f t="shared" si="31"/>
        <v>0</v>
      </c>
      <c r="D991" s="121">
        <f>ROUND(IF(C991&lt;='FR_Mantenimiento tasas'!$C$55,'Tabla Ahorro Futuro Reservas'!C991*'FR_Mantenimiento tasas'!$D$55/360,IF(C991&lt;='FR_Mantenimiento tasas'!$C$56,'Tabla Ahorro Futuro Reservas'!C991*'FR_Mantenimiento tasas'!$D$56/360,IF(C991&lt;='FR_Mantenimiento tasas'!$C$57,'Tabla Ahorro Futuro Reservas'!C991*'FR_Mantenimiento tasas'!$D$57/360,""))),5)</f>
        <v>0</v>
      </c>
      <c r="E991" s="121">
        <f>ROUND(IF(C991&lt;='FR_Mantenimiento tasas'!$C$55,'Tabla Ahorro Futuro Reservas'!C991*'FR_Mantenimiento tasas'!$E$55/360,IF(C991&lt;='FR_Mantenimiento tasas'!$C$56,'Tabla Ahorro Futuro Reservas'!C991*'FR_Mantenimiento tasas'!$E$56/360,IF(C991&lt;='FR_Mantenimiento tasas'!$C$57,'Tabla Ahorro Futuro Reservas'!C991*'FR_Mantenimiento tasas'!$E$57/360,""))),5)</f>
        <v>0</v>
      </c>
    </row>
    <row r="992" spans="1:5">
      <c r="A992" s="123">
        <f t="shared" si="30"/>
        <v>990</v>
      </c>
      <c r="B992" s="122">
        <f>IF(DAY(A992)=DAY('F-Ahorro Futuro Reservas'!$H$10),'F-Ahorro Futuro Reservas'!$H$9,0)</f>
        <v>0</v>
      </c>
      <c r="C992" s="122">
        <f t="shared" si="31"/>
        <v>0</v>
      </c>
      <c r="D992" s="121">
        <f>ROUND(IF(C992&lt;='FR_Mantenimiento tasas'!$C$55,'Tabla Ahorro Futuro Reservas'!C992*'FR_Mantenimiento tasas'!$D$55/360,IF(C992&lt;='FR_Mantenimiento tasas'!$C$56,'Tabla Ahorro Futuro Reservas'!C992*'FR_Mantenimiento tasas'!$D$56/360,IF(C992&lt;='FR_Mantenimiento tasas'!$C$57,'Tabla Ahorro Futuro Reservas'!C992*'FR_Mantenimiento tasas'!$D$57/360,""))),5)</f>
        <v>0</v>
      </c>
      <c r="E992" s="121">
        <f>ROUND(IF(C992&lt;='FR_Mantenimiento tasas'!$C$55,'Tabla Ahorro Futuro Reservas'!C992*'FR_Mantenimiento tasas'!$E$55/360,IF(C992&lt;='FR_Mantenimiento tasas'!$C$56,'Tabla Ahorro Futuro Reservas'!C992*'FR_Mantenimiento tasas'!$E$56/360,IF(C992&lt;='FR_Mantenimiento tasas'!$C$57,'Tabla Ahorro Futuro Reservas'!C992*'FR_Mantenimiento tasas'!$E$57/360,""))),5)</f>
        <v>0</v>
      </c>
    </row>
    <row r="993" spans="1:5">
      <c r="A993" s="123">
        <f t="shared" si="30"/>
        <v>991</v>
      </c>
      <c r="B993" s="122">
        <f>IF(DAY(A993)=DAY('F-Ahorro Futuro Reservas'!$H$10),'F-Ahorro Futuro Reservas'!$H$9,0)</f>
        <v>0</v>
      </c>
      <c r="C993" s="122">
        <f t="shared" si="31"/>
        <v>0</v>
      </c>
      <c r="D993" s="121">
        <f>ROUND(IF(C993&lt;='FR_Mantenimiento tasas'!$C$55,'Tabla Ahorro Futuro Reservas'!C993*'FR_Mantenimiento tasas'!$D$55/360,IF(C993&lt;='FR_Mantenimiento tasas'!$C$56,'Tabla Ahorro Futuro Reservas'!C993*'FR_Mantenimiento tasas'!$D$56/360,IF(C993&lt;='FR_Mantenimiento tasas'!$C$57,'Tabla Ahorro Futuro Reservas'!C993*'FR_Mantenimiento tasas'!$D$57/360,""))),5)</f>
        <v>0</v>
      </c>
      <c r="E993" s="121">
        <f>ROUND(IF(C993&lt;='FR_Mantenimiento tasas'!$C$55,'Tabla Ahorro Futuro Reservas'!C993*'FR_Mantenimiento tasas'!$E$55/360,IF(C993&lt;='FR_Mantenimiento tasas'!$C$56,'Tabla Ahorro Futuro Reservas'!C993*'FR_Mantenimiento tasas'!$E$56/360,IF(C993&lt;='FR_Mantenimiento tasas'!$C$57,'Tabla Ahorro Futuro Reservas'!C993*'FR_Mantenimiento tasas'!$E$57/360,""))),5)</f>
        <v>0</v>
      </c>
    </row>
    <row r="994" spans="1:5">
      <c r="A994" s="123">
        <f t="shared" si="30"/>
        <v>992</v>
      </c>
      <c r="B994" s="122">
        <f>IF(DAY(A994)=DAY('F-Ahorro Futuro Reservas'!$H$10),'F-Ahorro Futuro Reservas'!$H$9,0)</f>
        <v>0</v>
      </c>
      <c r="C994" s="122">
        <f t="shared" si="31"/>
        <v>0</v>
      </c>
      <c r="D994" s="121">
        <f>ROUND(IF(C994&lt;='FR_Mantenimiento tasas'!$C$55,'Tabla Ahorro Futuro Reservas'!C994*'FR_Mantenimiento tasas'!$D$55/360,IF(C994&lt;='FR_Mantenimiento tasas'!$C$56,'Tabla Ahorro Futuro Reservas'!C994*'FR_Mantenimiento tasas'!$D$56/360,IF(C994&lt;='FR_Mantenimiento tasas'!$C$57,'Tabla Ahorro Futuro Reservas'!C994*'FR_Mantenimiento tasas'!$D$57/360,""))),5)</f>
        <v>0</v>
      </c>
      <c r="E994" s="121">
        <f>ROUND(IF(C994&lt;='FR_Mantenimiento tasas'!$C$55,'Tabla Ahorro Futuro Reservas'!C994*'FR_Mantenimiento tasas'!$E$55/360,IF(C994&lt;='FR_Mantenimiento tasas'!$C$56,'Tabla Ahorro Futuro Reservas'!C994*'FR_Mantenimiento tasas'!$E$56/360,IF(C994&lt;='FR_Mantenimiento tasas'!$C$57,'Tabla Ahorro Futuro Reservas'!C994*'FR_Mantenimiento tasas'!$E$57/360,""))),5)</f>
        <v>0</v>
      </c>
    </row>
    <row r="995" spans="1:5">
      <c r="A995" s="123">
        <f t="shared" si="30"/>
        <v>993</v>
      </c>
      <c r="B995" s="122">
        <f>IF(DAY(A995)=DAY('F-Ahorro Futuro Reservas'!$H$10),'F-Ahorro Futuro Reservas'!$H$9,0)</f>
        <v>0</v>
      </c>
      <c r="C995" s="122">
        <f t="shared" si="31"/>
        <v>0</v>
      </c>
      <c r="D995" s="121">
        <f>ROUND(IF(C995&lt;='FR_Mantenimiento tasas'!$C$55,'Tabla Ahorro Futuro Reservas'!C995*'FR_Mantenimiento tasas'!$D$55/360,IF(C995&lt;='FR_Mantenimiento tasas'!$C$56,'Tabla Ahorro Futuro Reservas'!C995*'FR_Mantenimiento tasas'!$D$56/360,IF(C995&lt;='FR_Mantenimiento tasas'!$C$57,'Tabla Ahorro Futuro Reservas'!C995*'FR_Mantenimiento tasas'!$D$57/360,""))),5)</f>
        <v>0</v>
      </c>
      <c r="E995" s="121">
        <f>ROUND(IF(C995&lt;='FR_Mantenimiento tasas'!$C$55,'Tabla Ahorro Futuro Reservas'!C995*'FR_Mantenimiento tasas'!$E$55/360,IF(C995&lt;='FR_Mantenimiento tasas'!$C$56,'Tabla Ahorro Futuro Reservas'!C995*'FR_Mantenimiento tasas'!$E$56/360,IF(C995&lt;='FR_Mantenimiento tasas'!$C$57,'Tabla Ahorro Futuro Reservas'!C995*'FR_Mantenimiento tasas'!$E$57/360,""))),5)</f>
        <v>0</v>
      </c>
    </row>
    <row r="996" spans="1:5">
      <c r="A996" s="123">
        <f t="shared" si="30"/>
        <v>994</v>
      </c>
      <c r="B996" s="122">
        <f>IF(DAY(A996)=DAY('F-Ahorro Futuro Reservas'!$H$10),'F-Ahorro Futuro Reservas'!$H$9,0)</f>
        <v>0</v>
      </c>
      <c r="C996" s="122">
        <f t="shared" si="31"/>
        <v>0</v>
      </c>
      <c r="D996" s="121">
        <f>ROUND(IF(C996&lt;='FR_Mantenimiento tasas'!$C$55,'Tabla Ahorro Futuro Reservas'!C996*'FR_Mantenimiento tasas'!$D$55/360,IF(C996&lt;='FR_Mantenimiento tasas'!$C$56,'Tabla Ahorro Futuro Reservas'!C996*'FR_Mantenimiento tasas'!$D$56/360,IF(C996&lt;='FR_Mantenimiento tasas'!$C$57,'Tabla Ahorro Futuro Reservas'!C996*'FR_Mantenimiento tasas'!$D$57/360,""))),5)</f>
        <v>0</v>
      </c>
      <c r="E996" s="121">
        <f>ROUND(IF(C996&lt;='FR_Mantenimiento tasas'!$C$55,'Tabla Ahorro Futuro Reservas'!C996*'FR_Mantenimiento tasas'!$E$55/360,IF(C996&lt;='FR_Mantenimiento tasas'!$C$56,'Tabla Ahorro Futuro Reservas'!C996*'FR_Mantenimiento tasas'!$E$56/360,IF(C996&lt;='FR_Mantenimiento tasas'!$C$57,'Tabla Ahorro Futuro Reservas'!C996*'FR_Mantenimiento tasas'!$E$57/360,""))),5)</f>
        <v>0</v>
      </c>
    </row>
    <row r="997" spans="1:5">
      <c r="A997" s="123">
        <f t="shared" si="30"/>
        <v>995</v>
      </c>
      <c r="B997" s="122">
        <f>IF(DAY(A997)=DAY('F-Ahorro Futuro Reservas'!$H$10),'F-Ahorro Futuro Reservas'!$H$9,0)</f>
        <v>0</v>
      </c>
      <c r="C997" s="122">
        <f t="shared" si="31"/>
        <v>0</v>
      </c>
      <c r="D997" s="121">
        <f>ROUND(IF(C997&lt;='FR_Mantenimiento tasas'!$C$55,'Tabla Ahorro Futuro Reservas'!C997*'FR_Mantenimiento tasas'!$D$55/360,IF(C997&lt;='FR_Mantenimiento tasas'!$C$56,'Tabla Ahorro Futuro Reservas'!C997*'FR_Mantenimiento tasas'!$D$56/360,IF(C997&lt;='FR_Mantenimiento tasas'!$C$57,'Tabla Ahorro Futuro Reservas'!C997*'FR_Mantenimiento tasas'!$D$57/360,""))),5)</f>
        <v>0</v>
      </c>
      <c r="E997" s="121">
        <f>ROUND(IF(C997&lt;='FR_Mantenimiento tasas'!$C$55,'Tabla Ahorro Futuro Reservas'!C997*'FR_Mantenimiento tasas'!$E$55/360,IF(C997&lt;='FR_Mantenimiento tasas'!$C$56,'Tabla Ahorro Futuro Reservas'!C997*'FR_Mantenimiento tasas'!$E$56/360,IF(C997&lt;='FR_Mantenimiento tasas'!$C$57,'Tabla Ahorro Futuro Reservas'!C997*'FR_Mantenimiento tasas'!$E$57/360,""))),5)</f>
        <v>0</v>
      </c>
    </row>
    <row r="998" spans="1:5">
      <c r="A998" s="123">
        <f t="shared" si="30"/>
        <v>996</v>
      </c>
      <c r="B998" s="122">
        <f>IF(DAY(A998)=DAY('F-Ahorro Futuro Reservas'!$H$10),'F-Ahorro Futuro Reservas'!$H$9,0)</f>
        <v>0</v>
      </c>
      <c r="C998" s="122">
        <f t="shared" si="31"/>
        <v>0</v>
      </c>
      <c r="D998" s="121">
        <f>ROUND(IF(C998&lt;='FR_Mantenimiento tasas'!$C$55,'Tabla Ahorro Futuro Reservas'!C998*'FR_Mantenimiento tasas'!$D$55/360,IF(C998&lt;='FR_Mantenimiento tasas'!$C$56,'Tabla Ahorro Futuro Reservas'!C998*'FR_Mantenimiento tasas'!$D$56/360,IF(C998&lt;='FR_Mantenimiento tasas'!$C$57,'Tabla Ahorro Futuro Reservas'!C998*'FR_Mantenimiento tasas'!$D$57/360,""))),5)</f>
        <v>0</v>
      </c>
      <c r="E998" s="121">
        <f>ROUND(IF(C998&lt;='FR_Mantenimiento tasas'!$C$55,'Tabla Ahorro Futuro Reservas'!C998*'FR_Mantenimiento tasas'!$E$55/360,IF(C998&lt;='FR_Mantenimiento tasas'!$C$56,'Tabla Ahorro Futuro Reservas'!C998*'FR_Mantenimiento tasas'!$E$56/360,IF(C998&lt;='FR_Mantenimiento tasas'!$C$57,'Tabla Ahorro Futuro Reservas'!C998*'FR_Mantenimiento tasas'!$E$57/360,""))),5)</f>
        <v>0</v>
      </c>
    </row>
    <row r="999" spans="1:5">
      <c r="A999" s="123">
        <f t="shared" si="30"/>
        <v>997</v>
      </c>
      <c r="B999" s="122">
        <f>IF(DAY(A999)=DAY('F-Ahorro Futuro Reservas'!$H$10),'F-Ahorro Futuro Reservas'!$H$9,0)</f>
        <v>0</v>
      </c>
      <c r="C999" s="122">
        <f t="shared" si="31"/>
        <v>0</v>
      </c>
      <c r="D999" s="121">
        <f>ROUND(IF(C999&lt;='FR_Mantenimiento tasas'!$C$55,'Tabla Ahorro Futuro Reservas'!C999*'FR_Mantenimiento tasas'!$D$55/360,IF(C999&lt;='FR_Mantenimiento tasas'!$C$56,'Tabla Ahorro Futuro Reservas'!C999*'FR_Mantenimiento tasas'!$D$56/360,IF(C999&lt;='FR_Mantenimiento tasas'!$C$57,'Tabla Ahorro Futuro Reservas'!C999*'FR_Mantenimiento tasas'!$D$57/360,""))),5)</f>
        <v>0</v>
      </c>
      <c r="E999" s="121">
        <f>ROUND(IF(C999&lt;='FR_Mantenimiento tasas'!$C$55,'Tabla Ahorro Futuro Reservas'!C999*'FR_Mantenimiento tasas'!$E$55/360,IF(C999&lt;='FR_Mantenimiento tasas'!$C$56,'Tabla Ahorro Futuro Reservas'!C999*'FR_Mantenimiento tasas'!$E$56/360,IF(C999&lt;='FR_Mantenimiento tasas'!$C$57,'Tabla Ahorro Futuro Reservas'!C999*'FR_Mantenimiento tasas'!$E$57/360,""))),5)</f>
        <v>0</v>
      </c>
    </row>
    <row r="1000" spans="1:5">
      <c r="A1000" s="123">
        <f t="shared" si="30"/>
        <v>998</v>
      </c>
      <c r="B1000" s="122">
        <f>IF(DAY(A1000)=DAY('F-Ahorro Futuro Reservas'!$H$10),'F-Ahorro Futuro Reservas'!$H$9,0)</f>
        <v>0</v>
      </c>
      <c r="C1000" s="122">
        <f t="shared" si="31"/>
        <v>0</v>
      </c>
      <c r="D1000" s="121">
        <f>ROUND(IF(C1000&lt;='FR_Mantenimiento tasas'!$C$55,'Tabla Ahorro Futuro Reservas'!C1000*'FR_Mantenimiento tasas'!$D$55/360,IF(C1000&lt;='FR_Mantenimiento tasas'!$C$56,'Tabla Ahorro Futuro Reservas'!C1000*'FR_Mantenimiento tasas'!$D$56/360,IF(C1000&lt;='FR_Mantenimiento tasas'!$C$57,'Tabla Ahorro Futuro Reservas'!C1000*'FR_Mantenimiento tasas'!$D$57/360,""))),5)</f>
        <v>0</v>
      </c>
      <c r="E1000" s="121">
        <f>ROUND(IF(C1000&lt;='FR_Mantenimiento tasas'!$C$55,'Tabla Ahorro Futuro Reservas'!C1000*'FR_Mantenimiento tasas'!$E$55/360,IF(C1000&lt;='FR_Mantenimiento tasas'!$C$56,'Tabla Ahorro Futuro Reservas'!C1000*'FR_Mantenimiento tasas'!$E$56/360,IF(C1000&lt;='FR_Mantenimiento tasas'!$C$57,'Tabla Ahorro Futuro Reservas'!C1000*'FR_Mantenimiento tasas'!$E$57/360,""))),5)</f>
        <v>0</v>
      </c>
    </row>
    <row r="1001" spans="1:5">
      <c r="A1001" s="123">
        <f t="shared" si="30"/>
        <v>999</v>
      </c>
      <c r="B1001" s="122">
        <f>IF(DAY(A1001)=DAY('F-Ahorro Futuro Reservas'!$H$10),'F-Ahorro Futuro Reservas'!$H$9,0)</f>
        <v>0</v>
      </c>
      <c r="C1001" s="122">
        <f t="shared" si="31"/>
        <v>0</v>
      </c>
      <c r="D1001" s="121">
        <f>ROUND(IF(C1001&lt;='FR_Mantenimiento tasas'!$C$55,'Tabla Ahorro Futuro Reservas'!C1001*'FR_Mantenimiento tasas'!$D$55/360,IF(C1001&lt;='FR_Mantenimiento tasas'!$C$56,'Tabla Ahorro Futuro Reservas'!C1001*'FR_Mantenimiento tasas'!$D$56/360,IF(C1001&lt;='FR_Mantenimiento tasas'!$C$57,'Tabla Ahorro Futuro Reservas'!C1001*'FR_Mantenimiento tasas'!$D$57/360,""))),5)</f>
        <v>0</v>
      </c>
      <c r="E1001" s="121">
        <f>ROUND(IF(C1001&lt;='FR_Mantenimiento tasas'!$C$55,'Tabla Ahorro Futuro Reservas'!C1001*'FR_Mantenimiento tasas'!$E$55/360,IF(C1001&lt;='FR_Mantenimiento tasas'!$C$56,'Tabla Ahorro Futuro Reservas'!C1001*'FR_Mantenimiento tasas'!$E$56/360,IF(C1001&lt;='FR_Mantenimiento tasas'!$C$57,'Tabla Ahorro Futuro Reservas'!C1001*'FR_Mantenimiento tasas'!$E$57/360,""))),5)</f>
        <v>0</v>
      </c>
    </row>
    <row r="1002" spans="1:5">
      <c r="A1002" s="123">
        <f t="shared" si="30"/>
        <v>1000</v>
      </c>
      <c r="B1002" s="122">
        <f>IF(DAY(A1002)=DAY('F-Ahorro Futuro Reservas'!$H$10),'F-Ahorro Futuro Reservas'!$H$9,0)</f>
        <v>0</v>
      </c>
      <c r="C1002" s="122">
        <f t="shared" si="31"/>
        <v>0</v>
      </c>
      <c r="D1002" s="121">
        <f>ROUND(IF(C1002&lt;='FR_Mantenimiento tasas'!$C$55,'Tabla Ahorro Futuro Reservas'!C1002*'FR_Mantenimiento tasas'!$D$55/360,IF(C1002&lt;='FR_Mantenimiento tasas'!$C$56,'Tabla Ahorro Futuro Reservas'!C1002*'FR_Mantenimiento tasas'!$D$56/360,IF(C1002&lt;='FR_Mantenimiento tasas'!$C$57,'Tabla Ahorro Futuro Reservas'!C1002*'FR_Mantenimiento tasas'!$D$57/360,""))),5)</f>
        <v>0</v>
      </c>
      <c r="E1002" s="121">
        <f>ROUND(IF(C1002&lt;='FR_Mantenimiento tasas'!$C$55,'Tabla Ahorro Futuro Reservas'!C1002*'FR_Mantenimiento tasas'!$E$55/360,IF(C1002&lt;='FR_Mantenimiento tasas'!$C$56,'Tabla Ahorro Futuro Reservas'!C1002*'FR_Mantenimiento tasas'!$E$56/360,IF(C1002&lt;='FR_Mantenimiento tasas'!$C$57,'Tabla Ahorro Futuro Reservas'!C1002*'FR_Mantenimiento tasas'!$E$57/360,""))),5)</f>
        <v>0</v>
      </c>
    </row>
    <row r="1003" spans="1:5">
      <c r="A1003" s="123">
        <f t="shared" si="30"/>
        <v>1001</v>
      </c>
      <c r="B1003" s="122">
        <f>IF(DAY(A1003)=DAY('F-Ahorro Futuro Reservas'!$H$10),'F-Ahorro Futuro Reservas'!$H$9,0)</f>
        <v>0</v>
      </c>
      <c r="C1003" s="122">
        <f t="shared" si="31"/>
        <v>0</v>
      </c>
      <c r="D1003" s="121">
        <f>ROUND(IF(C1003&lt;='FR_Mantenimiento tasas'!$C$55,'Tabla Ahorro Futuro Reservas'!C1003*'FR_Mantenimiento tasas'!$D$55/360,IF(C1003&lt;='FR_Mantenimiento tasas'!$C$56,'Tabla Ahorro Futuro Reservas'!C1003*'FR_Mantenimiento tasas'!$D$56/360,IF(C1003&lt;='FR_Mantenimiento tasas'!$C$57,'Tabla Ahorro Futuro Reservas'!C1003*'FR_Mantenimiento tasas'!$D$57/360,""))),5)</f>
        <v>0</v>
      </c>
      <c r="E1003" s="121">
        <f>ROUND(IF(C1003&lt;='FR_Mantenimiento tasas'!$C$55,'Tabla Ahorro Futuro Reservas'!C1003*'FR_Mantenimiento tasas'!$E$55/360,IF(C1003&lt;='FR_Mantenimiento tasas'!$C$56,'Tabla Ahorro Futuro Reservas'!C1003*'FR_Mantenimiento tasas'!$E$56/360,IF(C1003&lt;='FR_Mantenimiento tasas'!$C$57,'Tabla Ahorro Futuro Reservas'!C1003*'FR_Mantenimiento tasas'!$E$57/360,""))),5)</f>
        <v>0</v>
      </c>
    </row>
    <row r="1004" spans="1:5">
      <c r="A1004" s="123">
        <f t="shared" si="30"/>
        <v>1002</v>
      </c>
      <c r="B1004" s="122">
        <f>IF(DAY(A1004)=DAY('F-Ahorro Futuro Reservas'!$H$10),'F-Ahorro Futuro Reservas'!$H$9,0)</f>
        <v>0</v>
      </c>
      <c r="C1004" s="122">
        <f t="shared" si="31"/>
        <v>0</v>
      </c>
      <c r="D1004" s="121">
        <f>ROUND(IF(C1004&lt;='FR_Mantenimiento tasas'!$C$55,'Tabla Ahorro Futuro Reservas'!C1004*'FR_Mantenimiento tasas'!$D$55/360,IF(C1004&lt;='FR_Mantenimiento tasas'!$C$56,'Tabla Ahorro Futuro Reservas'!C1004*'FR_Mantenimiento tasas'!$D$56/360,IF(C1004&lt;='FR_Mantenimiento tasas'!$C$57,'Tabla Ahorro Futuro Reservas'!C1004*'FR_Mantenimiento tasas'!$D$57/360,""))),5)</f>
        <v>0</v>
      </c>
      <c r="E1004" s="121">
        <f>ROUND(IF(C1004&lt;='FR_Mantenimiento tasas'!$C$55,'Tabla Ahorro Futuro Reservas'!C1004*'FR_Mantenimiento tasas'!$E$55/360,IF(C1004&lt;='FR_Mantenimiento tasas'!$C$56,'Tabla Ahorro Futuro Reservas'!C1004*'FR_Mantenimiento tasas'!$E$56/360,IF(C1004&lt;='FR_Mantenimiento tasas'!$C$57,'Tabla Ahorro Futuro Reservas'!C1004*'FR_Mantenimiento tasas'!$E$57/360,""))),5)</f>
        <v>0</v>
      </c>
    </row>
    <row r="1005" spans="1:5">
      <c r="A1005" s="123">
        <f t="shared" si="30"/>
        <v>1003</v>
      </c>
      <c r="B1005" s="122">
        <f>IF(DAY(A1005)=DAY('F-Ahorro Futuro Reservas'!$H$10),'F-Ahorro Futuro Reservas'!$H$9,0)</f>
        <v>0</v>
      </c>
      <c r="C1005" s="122">
        <f t="shared" si="31"/>
        <v>0</v>
      </c>
      <c r="D1005" s="121">
        <f>ROUND(IF(C1005&lt;='FR_Mantenimiento tasas'!$C$55,'Tabla Ahorro Futuro Reservas'!C1005*'FR_Mantenimiento tasas'!$D$55/360,IF(C1005&lt;='FR_Mantenimiento tasas'!$C$56,'Tabla Ahorro Futuro Reservas'!C1005*'FR_Mantenimiento tasas'!$D$56/360,IF(C1005&lt;='FR_Mantenimiento tasas'!$C$57,'Tabla Ahorro Futuro Reservas'!C1005*'FR_Mantenimiento tasas'!$D$57/360,""))),5)</f>
        <v>0</v>
      </c>
      <c r="E1005" s="121">
        <f>ROUND(IF(C1005&lt;='FR_Mantenimiento tasas'!$C$55,'Tabla Ahorro Futuro Reservas'!C1005*'FR_Mantenimiento tasas'!$E$55/360,IF(C1005&lt;='FR_Mantenimiento tasas'!$C$56,'Tabla Ahorro Futuro Reservas'!C1005*'FR_Mantenimiento tasas'!$E$56/360,IF(C1005&lt;='FR_Mantenimiento tasas'!$C$57,'Tabla Ahorro Futuro Reservas'!C1005*'FR_Mantenimiento tasas'!$E$57/360,""))),5)</f>
        <v>0</v>
      </c>
    </row>
    <row r="1006" spans="1:5">
      <c r="A1006" s="123">
        <f t="shared" si="30"/>
        <v>1004</v>
      </c>
      <c r="B1006" s="122">
        <f>IF(DAY(A1006)=DAY('F-Ahorro Futuro Reservas'!$H$10),'F-Ahorro Futuro Reservas'!$H$9,0)</f>
        <v>0</v>
      </c>
      <c r="C1006" s="122">
        <f t="shared" si="31"/>
        <v>0</v>
      </c>
      <c r="D1006" s="121">
        <f>ROUND(IF(C1006&lt;='FR_Mantenimiento tasas'!$C$55,'Tabla Ahorro Futuro Reservas'!C1006*'FR_Mantenimiento tasas'!$D$55/360,IF(C1006&lt;='FR_Mantenimiento tasas'!$C$56,'Tabla Ahorro Futuro Reservas'!C1006*'FR_Mantenimiento tasas'!$D$56/360,IF(C1006&lt;='FR_Mantenimiento tasas'!$C$57,'Tabla Ahorro Futuro Reservas'!C1006*'FR_Mantenimiento tasas'!$D$57/360,""))),5)</f>
        <v>0</v>
      </c>
      <c r="E1006" s="121">
        <f>ROUND(IF(C1006&lt;='FR_Mantenimiento tasas'!$C$55,'Tabla Ahorro Futuro Reservas'!C1006*'FR_Mantenimiento tasas'!$E$55/360,IF(C1006&lt;='FR_Mantenimiento tasas'!$C$56,'Tabla Ahorro Futuro Reservas'!C1006*'FR_Mantenimiento tasas'!$E$56/360,IF(C1006&lt;='FR_Mantenimiento tasas'!$C$57,'Tabla Ahorro Futuro Reservas'!C1006*'FR_Mantenimiento tasas'!$E$57/360,""))),5)</f>
        <v>0</v>
      </c>
    </row>
    <row r="1007" spans="1:5">
      <c r="A1007" s="123">
        <f t="shared" si="30"/>
        <v>1005</v>
      </c>
      <c r="B1007" s="122">
        <f>IF(DAY(A1007)=DAY('F-Ahorro Futuro Reservas'!$H$10),'F-Ahorro Futuro Reservas'!$H$9,0)</f>
        <v>0</v>
      </c>
      <c r="C1007" s="122">
        <f t="shared" si="31"/>
        <v>0</v>
      </c>
      <c r="D1007" s="121">
        <f>ROUND(IF(C1007&lt;='FR_Mantenimiento tasas'!$C$55,'Tabla Ahorro Futuro Reservas'!C1007*'FR_Mantenimiento tasas'!$D$55/360,IF(C1007&lt;='FR_Mantenimiento tasas'!$C$56,'Tabla Ahorro Futuro Reservas'!C1007*'FR_Mantenimiento tasas'!$D$56/360,IF(C1007&lt;='FR_Mantenimiento tasas'!$C$57,'Tabla Ahorro Futuro Reservas'!C1007*'FR_Mantenimiento tasas'!$D$57/360,""))),5)</f>
        <v>0</v>
      </c>
      <c r="E1007" s="121">
        <f>ROUND(IF(C1007&lt;='FR_Mantenimiento tasas'!$C$55,'Tabla Ahorro Futuro Reservas'!C1007*'FR_Mantenimiento tasas'!$E$55/360,IF(C1007&lt;='FR_Mantenimiento tasas'!$C$56,'Tabla Ahorro Futuro Reservas'!C1007*'FR_Mantenimiento tasas'!$E$56/360,IF(C1007&lt;='FR_Mantenimiento tasas'!$C$57,'Tabla Ahorro Futuro Reservas'!C1007*'FR_Mantenimiento tasas'!$E$57/360,""))),5)</f>
        <v>0</v>
      </c>
    </row>
    <row r="1008" spans="1:5">
      <c r="A1008" s="123">
        <f t="shared" si="30"/>
        <v>1006</v>
      </c>
      <c r="B1008" s="122">
        <f>IF(DAY(A1008)=DAY('F-Ahorro Futuro Reservas'!$H$10),'F-Ahorro Futuro Reservas'!$H$9,0)</f>
        <v>0</v>
      </c>
      <c r="C1008" s="122">
        <f t="shared" si="31"/>
        <v>0</v>
      </c>
      <c r="D1008" s="121">
        <f>ROUND(IF(C1008&lt;='FR_Mantenimiento tasas'!$C$55,'Tabla Ahorro Futuro Reservas'!C1008*'FR_Mantenimiento tasas'!$D$55/360,IF(C1008&lt;='FR_Mantenimiento tasas'!$C$56,'Tabla Ahorro Futuro Reservas'!C1008*'FR_Mantenimiento tasas'!$D$56/360,IF(C1008&lt;='FR_Mantenimiento tasas'!$C$57,'Tabla Ahorro Futuro Reservas'!C1008*'FR_Mantenimiento tasas'!$D$57/360,""))),5)</f>
        <v>0</v>
      </c>
      <c r="E1008" s="121">
        <f>ROUND(IF(C1008&lt;='FR_Mantenimiento tasas'!$C$55,'Tabla Ahorro Futuro Reservas'!C1008*'FR_Mantenimiento tasas'!$E$55/360,IF(C1008&lt;='FR_Mantenimiento tasas'!$C$56,'Tabla Ahorro Futuro Reservas'!C1008*'FR_Mantenimiento tasas'!$E$56/360,IF(C1008&lt;='FR_Mantenimiento tasas'!$C$57,'Tabla Ahorro Futuro Reservas'!C1008*'FR_Mantenimiento tasas'!$E$57/360,""))),5)</f>
        <v>0</v>
      </c>
    </row>
    <row r="1009" spans="1:5">
      <c r="A1009" s="123">
        <f t="shared" si="30"/>
        <v>1007</v>
      </c>
      <c r="B1009" s="122">
        <f>IF(DAY(A1009)=DAY('F-Ahorro Futuro Reservas'!$H$10),'F-Ahorro Futuro Reservas'!$H$9,0)</f>
        <v>0</v>
      </c>
      <c r="C1009" s="122">
        <f t="shared" si="31"/>
        <v>0</v>
      </c>
      <c r="D1009" s="121">
        <f>ROUND(IF(C1009&lt;='FR_Mantenimiento tasas'!$C$55,'Tabla Ahorro Futuro Reservas'!C1009*'FR_Mantenimiento tasas'!$D$55/360,IF(C1009&lt;='FR_Mantenimiento tasas'!$C$56,'Tabla Ahorro Futuro Reservas'!C1009*'FR_Mantenimiento tasas'!$D$56/360,IF(C1009&lt;='FR_Mantenimiento tasas'!$C$57,'Tabla Ahorro Futuro Reservas'!C1009*'FR_Mantenimiento tasas'!$D$57/360,""))),5)</f>
        <v>0</v>
      </c>
      <c r="E1009" s="121">
        <f>ROUND(IF(C1009&lt;='FR_Mantenimiento tasas'!$C$55,'Tabla Ahorro Futuro Reservas'!C1009*'FR_Mantenimiento tasas'!$E$55/360,IF(C1009&lt;='FR_Mantenimiento tasas'!$C$56,'Tabla Ahorro Futuro Reservas'!C1009*'FR_Mantenimiento tasas'!$E$56/360,IF(C1009&lt;='FR_Mantenimiento tasas'!$C$57,'Tabla Ahorro Futuro Reservas'!C1009*'FR_Mantenimiento tasas'!$E$57/360,""))),5)</f>
        <v>0</v>
      </c>
    </row>
    <row r="1010" spans="1:5">
      <c r="A1010" s="123">
        <f t="shared" si="30"/>
        <v>1008</v>
      </c>
      <c r="B1010" s="122">
        <f>IF(DAY(A1010)=DAY('F-Ahorro Futuro Reservas'!$H$10),'F-Ahorro Futuro Reservas'!$H$9,0)</f>
        <v>0</v>
      </c>
      <c r="C1010" s="122">
        <f t="shared" si="31"/>
        <v>0</v>
      </c>
      <c r="D1010" s="121">
        <f>ROUND(IF(C1010&lt;='FR_Mantenimiento tasas'!$C$55,'Tabla Ahorro Futuro Reservas'!C1010*'FR_Mantenimiento tasas'!$D$55/360,IF(C1010&lt;='FR_Mantenimiento tasas'!$C$56,'Tabla Ahorro Futuro Reservas'!C1010*'FR_Mantenimiento tasas'!$D$56/360,IF(C1010&lt;='FR_Mantenimiento tasas'!$C$57,'Tabla Ahorro Futuro Reservas'!C1010*'FR_Mantenimiento tasas'!$D$57/360,""))),5)</f>
        <v>0</v>
      </c>
      <c r="E1010" s="121">
        <f>ROUND(IF(C1010&lt;='FR_Mantenimiento tasas'!$C$55,'Tabla Ahorro Futuro Reservas'!C1010*'FR_Mantenimiento tasas'!$E$55/360,IF(C1010&lt;='FR_Mantenimiento tasas'!$C$56,'Tabla Ahorro Futuro Reservas'!C1010*'FR_Mantenimiento tasas'!$E$56/360,IF(C1010&lt;='FR_Mantenimiento tasas'!$C$57,'Tabla Ahorro Futuro Reservas'!C1010*'FR_Mantenimiento tasas'!$E$57/360,""))),5)</f>
        <v>0</v>
      </c>
    </row>
    <row r="1011" spans="1:5">
      <c r="A1011" s="123">
        <f t="shared" si="30"/>
        <v>1009</v>
      </c>
      <c r="B1011" s="122">
        <f>IF(DAY(A1011)=DAY('F-Ahorro Futuro Reservas'!$H$10),'F-Ahorro Futuro Reservas'!$H$9,0)</f>
        <v>0</v>
      </c>
      <c r="C1011" s="122">
        <f t="shared" si="31"/>
        <v>0</v>
      </c>
      <c r="D1011" s="121">
        <f>ROUND(IF(C1011&lt;='FR_Mantenimiento tasas'!$C$55,'Tabla Ahorro Futuro Reservas'!C1011*'FR_Mantenimiento tasas'!$D$55/360,IF(C1011&lt;='FR_Mantenimiento tasas'!$C$56,'Tabla Ahorro Futuro Reservas'!C1011*'FR_Mantenimiento tasas'!$D$56/360,IF(C1011&lt;='FR_Mantenimiento tasas'!$C$57,'Tabla Ahorro Futuro Reservas'!C1011*'FR_Mantenimiento tasas'!$D$57/360,""))),5)</f>
        <v>0</v>
      </c>
      <c r="E1011" s="121">
        <f>ROUND(IF(C1011&lt;='FR_Mantenimiento tasas'!$C$55,'Tabla Ahorro Futuro Reservas'!C1011*'FR_Mantenimiento tasas'!$E$55/360,IF(C1011&lt;='FR_Mantenimiento tasas'!$C$56,'Tabla Ahorro Futuro Reservas'!C1011*'FR_Mantenimiento tasas'!$E$56/360,IF(C1011&lt;='FR_Mantenimiento tasas'!$C$57,'Tabla Ahorro Futuro Reservas'!C1011*'FR_Mantenimiento tasas'!$E$57/360,""))),5)</f>
        <v>0</v>
      </c>
    </row>
    <row r="1012" spans="1:5">
      <c r="A1012" s="123">
        <f t="shared" si="30"/>
        <v>1010</v>
      </c>
      <c r="B1012" s="122">
        <f>IF(DAY(A1012)=DAY('F-Ahorro Futuro Reservas'!$H$10),'F-Ahorro Futuro Reservas'!$H$9,0)</f>
        <v>0</v>
      </c>
      <c r="C1012" s="122">
        <f t="shared" si="31"/>
        <v>0</v>
      </c>
      <c r="D1012" s="121">
        <f>ROUND(IF(C1012&lt;='FR_Mantenimiento tasas'!$C$55,'Tabla Ahorro Futuro Reservas'!C1012*'FR_Mantenimiento tasas'!$D$55/360,IF(C1012&lt;='FR_Mantenimiento tasas'!$C$56,'Tabla Ahorro Futuro Reservas'!C1012*'FR_Mantenimiento tasas'!$D$56/360,IF(C1012&lt;='FR_Mantenimiento tasas'!$C$57,'Tabla Ahorro Futuro Reservas'!C1012*'FR_Mantenimiento tasas'!$D$57/360,""))),5)</f>
        <v>0</v>
      </c>
      <c r="E1012" s="121">
        <f>ROUND(IF(C1012&lt;='FR_Mantenimiento tasas'!$C$55,'Tabla Ahorro Futuro Reservas'!C1012*'FR_Mantenimiento tasas'!$E$55/360,IF(C1012&lt;='FR_Mantenimiento tasas'!$C$56,'Tabla Ahorro Futuro Reservas'!C1012*'FR_Mantenimiento tasas'!$E$56/360,IF(C1012&lt;='FR_Mantenimiento tasas'!$C$57,'Tabla Ahorro Futuro Reservas'!C1012*'FR_Mantenimiento tasas'!$E$57/360,""))),5)</f>
        <v>0</v>
      </c>
    </row>
    <row r="1013" spans="1:5">
      <c r="A1013" s="123">
        <f t="shared" si="30"/>
        <v>1011</v>
      </c>
      <c r="B1013" s="122">
        <f>IF(DAY(A1013)=DAY('F-Ahorro Futuro Reservas'!$H$10),'F-Ahorro Futuro Reservas'!$H$9,0)</f>
        <v>0</v>
      </c>
      <c r="C1013" s="122">
        <f t="shared" si="31"/>
        <v>0</v>
      </c>
      <c r="D1013" s="121">
        <f>ROUND(IF(C1013&lt;='FR_Mantenimiento tasas'!$C$55,'Tabla Ahorro Futuro Reservas'!C1013*'FR_Mantenimiento tasas'!$D$55/360,IF(C1013&lt;='FR_Mantenimiento tasas'!$C$56,'Tabla Ahorro Futuro Reservas'!C1013*'FR_Mantenimiento tasas'!$D$56/360,IF(C1013&lt;='FR_Mantenimiento tasas'!$C$57,'Tabla Ahorro Futuro Reservas'!C1013*'FR_Mantenimiento tasas'!$D$57/360,""))),5)</f>
        <v>0</v>
      </c>
      <c r="E1013" s="121">
        <f>ROUND(IF(C1013&lt;='FR_Mantenimiento tasas'!$C$55,'Tabla Ahorro Futuro Reservas'!C1013*'FR_Mantenimiento tasas'!$E$55/360,IF(C1013&lt;='FR_Mantenimiento tasas'!$C$56,'Tabla Ahorro Futuro Reservas'!C1013*'FR_Mantenimiento tasas'!$E$56/360,IF(C1013&lt;='FR_Mantenimiento tasas'!$C$57,'Tabla Ahorro Futuro Reservas'!C1013*'FR_Mantenimiento tasas'!$E$57/360,""))),5)</f>
        <v>0</v>
      </c>
    </row>
    <row r="1014" spans="1:5">
      <c r="A1014" s="123">
        <f t="shared" si="30"/>
        <v>1012</v>
      </c>
      <c r="B1014" s="122">
        <f>IF(DAY(A1014)=DAY('F-Ahorro Futuro Reservas'!$H$10),'F-Ahorro Futuro Reservas'!$H$9,0)</f>
        <v>0</v>
      </c>
      <c r="C1014" s="122">
        <f t="shared" si="31"/>
        <v>0</v>
      </c>
      <c r="D1014" s="121">
        <f>ROUND(IF(C1014&lt;='FR_Mantenimiento tasas'!$C$55,'Tabla Ahorro Futuro Reservas'!C1014*'FR_Mantenimiento tasas'!$D$55/360,IF(C1014&lt;='FR_Mantenimiento tasas'!$C$56,'Tabla Ahorro Futuro Reservas'!C1014*'FR_Mantenimiento tasas'!$D$56/360,IF(C1014&lt;='FR_Mantenimiento tasas'!$C$57,'Tabla Ahorro Futuro Reservas'!C1014*'FR_Mantenimiento tasas'!$D$57/360,""))),5)</f>
        <v>0</v>
      </c>
      <c r="E1014" s="121">
        <f>ROUND(IF(C1014&lt;='FR_Mantenimiento tasas'!$C$55,'Tabla Ahorro Futuro Reservas'!C1014*'FR_Mantenimiento tasas'!$E$55/360,IF(C1014&lt;='FR_Mantenimiento tasas'!$C$56,'Tabla Ahorro Futuro Reservas'!C1014*'FR_Mantenimiento tasas'!$E$56/360,IF(C1014&lt;='FR_Mantenimiento tasas'!$C$57,'Tabla Ahorro Futuro Reservas'!C1014*'FR_Mantenimiento tasas'!$E$57/360,""))),5)</f>
        <v>0</v>
      </c>
    </row>
    <row r="1015" spans="1:5">
      <c r="A1015" s="123">
        <f t="shared" si="30"/>
        <v>1013</v>
      </c>
      <c r="B1015" s="122">
        <f>IF(DAY(A1015)=DAY('F-Ahorro Futuro Reservas'!$H$10),'F-Ahorro Futuro Reservas'!$H$9,0)</f>
        <v>0</v>
      </c>
      <c r="C1015" s="122">
        <f t="shared" si="31"/>
        <v>0</v>
      </c>
      <c r="D1015" s="121">
        <f>ROUND(IF(C1015&lt;='FR_Mantenimiento tasas'!$C$55,'Tabla Ahorro Futuro Reservas'!C1015*'FR_Mantenimiento tasas'!$D$55/360,IF(C1015&lt;='FR_Mantenimiento tasas'!$C$56,'Tabla Ahorro Futuro Reservas'!C1015*'FR_Mantenimiento tasas'!$D$56/360,IF(C1015&lt;='FR_Mantenimiento tasas'!$C$57,'Tabla Ahorro Futuro Reservas'!C1015*'FR_Mantenimiento tasas'!$D$57/360,""))),5)</f>
        <v>0</v>
      </c>
      <c r="E1015" s="121">
        <f>ROUND(IF(C1015&lt;='FR_Mantenimiento tasas'!$C$55,'Tabla Ahorro Futuro Reservas'!C1015*'FR_Mantenimiento tasas'!$E$55/360,IF(C1015&lt;='FR_Mantenimiento tasas'!$C$56,'Tabla Ahorro Futuro Reservas'!C1015*'FR_Mantenimiento tasas'!$E$56/360,IF(C1015&lt;='FR_Mantenimiento tasas'!$C$57,'Tabla Ahorro Futuro Reservas'!C1015*'FR_Mantenimiento tasas'!$E$57/360,""))),5)</f>
        <v>0</v>
      </c>
    </row>
    <row r="1016" spans="1:5">
      <c r="A1016" s="123">
        <f t="shared" si="30"/>
        <v>1014</v>
      </c>
      <c r="B1016" s="122">
        <f>IF(DAY(A1016)=DAY('F-Ahorro Futuro Reservas'!$H$10),'F-Ahorro Futuro Reservas'!$H$9,0)</f>
        <v>0</v>
      </c>
      <c r="C1016" s="122">
        <f t="shared" si="31"/>
        <v>0</v>
      </c>
      <c r="D1016" s="121">
        <f>ROUND(IF(C1016&lt;='FR_Mantenimiento tasas'!$C$55,'Tabla Ahorro Futuro Reservas'!C1016*'FR_Mantenimiento tasas'!$D$55/360,IF(C1016&lt;='FR_Mantenimiento tasas'!$C$56,'Tabla Ahorro Futuro Reservas'!C1016*'FR_Mantenimiento tasas'!$D$56/360,IF(C1016&lt;='FR_Mantenimiento tasas'!$C$57,'Tabla Ahorro Futuro Reservas'!C1016*'FR_Mantenimiento tasas'!$D$57/360,""))),5)</f>
        <v>0</v>
      </c>
      <c r="E1016" s="121">
        <f>ROUND(IF(C1016&lt;='FR_Mantenimiento tasas'!$C$55,'Tabla Ahorro Futuro Reservas'!C1016*'FR_Mantenimiento tasas'!$E$55/360,IF(C1016&lt;='FR_Mantenimiento tasas'!$C$56,'Tabla Ahorro Futuro Reservas'!C1016*'FR_Mantenimiento tasas'!$E$56/360,IF(C1016&lt;='FR_Mantenimiento tasas'!$C$57,'Tabla Ahorro Futuro Reservas'!C1016*'FR_Mantenimiento tasas'!$E$57/360,""))),5)</f>
        <v>0</v>
      </c>
    </row>
    <row r="1017" spans="1:5">
      <c r="A1017" s="123">
        <f t="shared" si="30"/>
        <v>1015</v>
      </c>
      <c r="B1017" s="122">
        <f>IF(DAY(A1017)=DAY('F-Ahorro Futuro Reservas'!$H$10),'F-Ahorro Futuro Reservas'!$H$9,0)</f>
        <v>0</v>
      </c>
      <c r="C1017" s="122">
        <f t="shared" si="31"/>
        <v>0</v>
      </c>
      <c r="D1017" s="121">
        <f>ROUND(IF(C1017&lt;='FR_Mantenimiento tasas'!$C$55,'Tabla Ahorro Futuro Reservas'!C1017*'FR_Mantenimiento tasas'!$D$55/360,IF(C1017&lt;='FR_Mantenimiento tasas'!$C$56,'Tabla Ahorro Futuro Reservas'!C1017*'FR_Mantenimiento tasas'!$D$56/360,IF(C1017&lt;='FR_Mantenimiento tasas'!$C$57,'Tabla Ahorro Futuro Reservas'!C1017*'FR_Mantenimiento tasas'!$D$57/360,""))),5)</f>
        <v>0</v>
      </c>
      <c r="E1017" s="121">
        <f>ROUND(IF(C1017&lt;='FR_Mantenimiento tasas'!$C$55,'Tabla Ahorro Futuro Reservas'!C1017*'FR_Mantenimiento tasas'!$E$55/360,IF(C1017&lt;='FR_Mantenimiento tasas'!$C$56,'Tabla Ahorro Futuro Reservas'!C1017*'FR_Mantenimiento tasas'!$E$56/360,IF(C1017&lt;='FR_Mantenimiento tasas'!$C$57,'Tabla Ahorro Futuro Reservas'!C1017*'FR_Mantenimiento tasas'!$E$57/360,""))),5)</f>
        <v>0</v>
      </c>
    </row>
    <row r="1018" spans="1:5">
      <c r="A1018" s="123">
        <f t="shared" si="30"/>
        <v>1016</v>
      </c>
      <c r="B1018" s="122">
        <f>IF(DAY(A1018)=DAY('F-Ahorro Futuro Reservas'!$H$10),'F-Ahorro Futuro Reservas'!$H$9,0)</f>
        <v>0</v>
      </c>
      <c r="C1018" s="122">
        <f t="shared" si="31"/>
        <v>0</v>
      </c>
      <c r="D1018" s="121">
        <f>ROUND(IF(C1018&lt;='FR_Mantenimiento tasas'!$C$55,'Tabla Ahorro Futuro Reservas'!C1018*'FR_Mantenimiento tasas'!$D$55/360,IF(C1018&lt;='FR_Mantenimiento tasas'!$C$56,'Tabla Ahorro Futuro Reservas'!C1018*'FR_Mantenimiento tasas'!$D$56/360,IF(C1018&lt;='FR_Mantenimiento tasas'!$C$57,'Tabla Ahorro Futuro Reservas'!C1018*'FR_Mantenimiento tasas'!$D$57/360,""))),5)</f>
        <v>0</v>
      </c>
      <c r="E1018" s="121">
        <f>ROUND(IF(C1018&lt;='FR_Mantenimiento tasas'!$C$55,'Tabla Ahorro Futuro Reservas'!C1018*'FR_Mantenimiento tasas'!$E$55/360,IF(C1018&lt;='FR_Mantenimiento tasas'!$C$56,'Tabla Ahorro Futuro Reservas'!C1018*'FR_Mantenimiento tasas'!$E$56/360,IF(C1018&lt;='FR_Mantenimiento tasas'!$C$57,'Tabla Ahorro Futuro Reservas'!C1018*'FR_Mantenimiento tasas'!$E$57/360,""))),5)</f>
        <v>0</v>
      </c>
    </row>
    <row r="1019" spans="1:5">
      <c r="A1019" s="123">
        <f t="shared" si="30"/>
        <v>1017</v>
      </c>
      <c r="B1019" s="122">
        <f>IF(DAY(A1019)=DAY('F-Ahorro Futuro Reservas'!$H$10),'F-Ahorro Futuro Reservas'!$H$9,0)</f>
        <v>0</v>
      </c>
      <c r="C1019" s="122">
        <f t="shared" si="31"/>
        <v>0</v>
      </c>
      <c r="D1019" s="121">
        <f>ROUND(IF(C1019&lt;='FR_Mantenimiento tasas'!$C$55,'Tabla Ahorro Futuro Reservas'!C1019*'FR_Mantenimiento tasas'!$D$55/360,IF(C1019&lt;='FR_Mantenimiento tasas'!$C$56,'Tabla Ahorro Futuro Reservas'!C1019*'FR_Mantenimiento tasas'!$D$56/360,IF(C1019&lt;='FR_Mantenimiento tasas'!$C$57,'Tabla Ahorro Futuro Reservas'!C1019*'FR_Mantenimiento tasas'!$D$57/360,""))),5)</f>
        <v>0</v>
      </c>
      <c r="E1019" s="121">
        <f>ROUND(IF(C1019&lt;='FR_Mantenimiento tasas'!$C$55,'Tabla Ahorro Futuro Reservas'!C1019*'FR_Mantenimiento tasas'!$E$55/360,IF(C1019&lt;='FR_Mantenimiento tasas'!$C$56,'Tabla Ahorro Futuro Reservas'!C1019*'FR_Mantenimiento tasas'!$E$56/360,IF(C1019&lt;='FR_Mantenimiento tasas'!$C$57,'Tabla Ahorro Futuro Reservas'!C1019*'FR_Mantenimiento tasas'!$E$57/360,""))),5)</f>
        <v>0</v>
      </c>
    </row>
    <row r="1020" spans="1:5">
      <c r="A1020" s="123">
        <f t="shared" si="30"/>
        <v>1018</v>
      </c>
      <c r="B1020" s="122">
        <f>IF(DAY(A1020)=DAY('F-Ahorro Futuro Reservas'!$H$10),'F-Ahorro Futuro Reservas'!$H$9,0)</f>
        <v>0</v>
      </c>
      <c r="C1020" s="122">
        <f t="shared" si="31"/>
        <v>0</v>
      </c>
      <c r="D1020" s="121">
        <f>ROUND(IF(C1020&lt;='FR_Mantenimiento tasas'!$C$55,'Tabla Ahorro Futuro Reservas'!C1020*'FR_Mantenimiento tasas'!$D$55/360,IF(C1020&lt;='FR_Mantenimiento tasas'!$C$56,'Tabla Ahorro Futuro Reservas'!C1020*'FR_Mantenimiento tasas'!$D$56/360,IF(C1020&lt;='FR_Mantenimiento tasas'!$C$57,'Tabla Ahorro Futuro Reservas'!C1020*'FR_Mantenimiento tasas'!$D$57/360,""))),5)</f>
        <v>0</v>
      </c>
      <c r="E1020" s="121">
        <f>ROUND(IF(C1020&lt;='FR_Mantenimiento tasas'!$C$55,'Tabla Ahorro Futuro Reservas'!C1020*'FR_Mantenimiento tasas'!$E$55/360,IF(C1020&lt;='FR_Mantenimiento tasas'!$C$56,'Tabla Ahorro Futuro Reservas'!C1020*'FR_Mantenimiento tasas'!$E$56/360,IF(C1020&lt;='FR_Mantenimiento tasas'!$C$57,'Tabla Ahorro Futuro Reservas'!C1020*'FR_Mantenimiento tasas'!$E$57/360,""))),5)</f>
        <v>0</v>
      </c>
    </row>
    <row r="1021" spans="1:5">
      <c r="A1021" s="123">
        <f t="shared" si="30"/>
        <v>1019</v>
      </c>
      <c r="B1021" s="122">
        <f>IF(DAY(A1021)=DAY('F-Ahorro Futuro Reservas'!$H$10),'F-Ahorro Futuro Reservas'!$H$9,0)</f>
        <v>0</v>
      </c>
      <c r="C1021" s="122">
        <f t="shared" si="31"/>
        <v>0</v>
      </c>
      <c r="D1021" s="121">
        <f>ROUND(IF(C1021&lt;='FR_Mantenimiento tasas'!$C$55,'Tabla Ahorro Futuro Reservas'!C1021*'FR_Mantenimiento tasas'!$D$55/360,IF(C1021&lt;='FR_Mantenimiento tasas'!$C$56,'Tabla Ahorro Futuro Reservas'!C1021*'FR_Mantenimiento tasas'!$D$56/360,IF(C1021&lt;='FR_Mantenimiento tasas'!$C$57,'Tabla Ahorro Futuro Reservas'!C1021*'FR_Mantenimiento tasas'!$D$57/360,""))),5)</f>
        <v>0</v>
      </c>
      <c r="E1021" s="121">
        <f>ROUND(IF(C1021&lt;='FR_Mantenimiento tasas'!$C$55,'Tabla Ahorro Futuro Reservas'!C1021*'FR_Mantenimiento tasas'!$E$55/360,IF(C1021&lt;='FR_Mantenimiento tasas'!$C$56,'Tabla Ahorro Futuro Reservas'!C1021*'FR_Mantenimiento tasas'!$E$56/360,IF(C1021&lt;='FR_Mantenimiento tasas'!$C$57,'Tabla Ahorro Futuro Reservas'!C1021*'FR_Mantenimiento tasas'!$E$57/360,""))),5)</f>
        <v>0</v>
      </c>
    </row>
    <row r="1022" spans="1:5">
      <c r="A1022" s="123">
        <f t="shared" si="30"/>
        <v>1020</v>
      </c>
      <c r="B1022" s="122">
        <f>IF(DAY(A1022)=DAY('F-Ahorro Futuro Reservas'!$H$10),'F-Ahorro Futuro Reservas'!$H$9,0)</f>
        <v>0</v>
      </c>
      <c r="C1022" s="122">
        <f t="shared" si="31"/>
        <v>0</v>
      </c>
      <c r="D1022" s="121">
        <f>ROUND(IF(C1022&lt;='FR_Mantenimiento tasas'!$C$55,'Tabla Ahorro Futuro Reservas'!C1022*'FR_Mantenimiento tasas'!$D$55/360,IF(C1022&lt;='FR_Mantenimiento tasas'!$C$56,'Tabla Ahorro Futuro Reservas'!C1022*'FR_Mantenimiento tasas'!$D$56/360,IF(C1022&lt;='FR_Mantenimiento tasas'!$C$57,'Tabla Ahorro Futuro Reservas'!C1022*'FR_Mantenimiento tasas'!$D$57/360,""))),5)</f>
        <v>0</v>
      </c>
      <c r="E1022" s="121">
        <f>ROUND(IF(C1022&lt;='FR_Mantenimiento tasas'!$C$55,'Tabla Ahorro Futuro Reservas'!C1022*'FR_Mantenimiento tasas'!$E$55/360,IF(C1022&lt;='FR_Mantenimiento tasas'!$C$56,'Tabla Ahorro Futuro Reservas'!C1022*'FR_Mantenimiento tasas'!$E$56/360,IF(C1022&lt;='FR_Mantenimiento tasas'!$C$57,'Tabla Ahorro Futuro Reservas'!C1022*'FR_Mantenimiento tasas'!$E$57/360,""))),5)</f>
        <v>0</v>
      </c>
    </row>
    <row r="1023" spans="1:5">
      <c r="A1023" s="123">
        <f t="shared" si="30"/>
        <v>1021</v>
      </c>
      <c r="B1023" s="122">
        <f>IF(DAY(A1023)=DAY('F-Ahorro Futuro Reservas'!$H$10),'F-Ahorro Futuro Reservas'!$H$9,0)</f>
        <v>0</v>
      </c>
      <c r="C1023" s="122">
        <f t="shared" si="31"/>
        <v>0</v>
      </c>
      <c r="D1023" s="121">
        <f>ROUND(IF(C1023&lt;='FR_Mantenimiento tasas'!$C$55,'Tabla Ahorro Futuro Reservas'!C1023*'FR_Mantenimiento tasas'!$D$55/360,IF(C1023&lt;='FR_Mantenimiento tasas'!$C$56,'Tabla Ahorro Futuro Reservas'!C1023*'FR_Mantenimiento tasas'!$D$56/360,IF(C1023&lt;='FR_Mantenimiento tasas'!$C$57,'Tabla Ahorro Futuro Reservas'!C1023*'FR_Mantenimiento tasas'!$D$57/360,""))),5)</f>
        <v>0</v>
      </c>
      <c r="E1023" s="121">
        <f>ROUND(IF(C1023&lt;='FR_Mantenimiento tasas'!$C$55,'Tabla Ahorro Futuro Reservas'!C1023*'FR_Mantenimiento tasas'!$E$55/360,IF(C1023&lt;='FR_Mantenimiento tasas'!$C$56,'Tabla Ahorro Futuro Reservas'!C1023*'FR_Mantenimiento tasas'!$E$56/360,IF(C1023&lt;='FR_Mantenimiento tasas'!$C$57,'Tabla Ahorro Futuro Reservas'!C1023*'FR_Mantenimiento tasas'!$E$57/360,""))),5)</f>
        <v>0</v>
      </c>
    </row>
    <row r="1024" spans="1:5">
      <c r="A1024" s="123">
        <f t="shared" si="30"/>
        <v>1022</v>
      </c>
      <c r="B1024" s="122">
        <f>IF(DAY(A1024)=DAY('F-Ahorro Futuro Reservas'!$H$10),'F-Ahorro Futuro Reservas'!$H$9,0)</f>
        <v>0</v>
      </c>
      <c r="C1024" s="122">
        <f t="shared" si="31"/>
        <v>0</v>
      </c>
      <c r="D1024" s="121">
        <f>ROUND(IF(C1024&lt;='FR_Mantenimiento tasas'!$C$55,'Tabla Ahorro Futuro Reservas'!C1024*'FR_Mantenimiento tasas'!$D$55/360,IF(C1024&lt;='FR_Mantenimiento tasas'!$C$56,'Tabla Ahorro Futuro Reservas'!C1024*'FR_Mantenimiento tasas'!$D$56/360,IF(C1024&lt;='FR_Mantenimiento tasas'!$C$57,'Tabla Ahorro Futuro Reservas'!C1024*'FR_Mantenimiento tasas'!$D$57/360,""))),5)</f>
        <v>0</v>
      </c>
      <c r="E1024" s="121">
        <f>ROUND(IF(C1024&lt;='FR_Mantenimiento tasas'!$C$55,'Tabla Ahorro Futuro Reservas'!C1024*'FR_Mantenimiento tasas'!$E$55/360,IF(C1024&lt;='FR_Mantenimiento tasas'!$C$56,'Tabla Ahorro Futuro Reservas'!C1024*'FR_Mantenimiento tasas'!$E$56/360,IF(C1024&lt;='FR_Mantenimiento tasas'!$C$57,'Tabla Ahorro Futuro Reservas'!C1024*'FR_Mantenimiento tasas'!$E$57/360,""))),5)</f>
        <v>0</v>
      </c>
    </row>
    <row r="1025" spans="1:5">
      <c r="A1025" s="123">
        <f t="shared" si="30"/>
        <v>1023</v>
      </c>
      <c r="B1025" s="122">
        <f>IF(DAY(A1025)=DAY('F-Ahorro Futuro Reservas'!$H$10),'F-Ahorro Futuro Reservas'!$H$9,0)</f>
        <v>0</v>
      </c>
      <c r="C1025" s="122">
        <f t="shared" si="31"/>
        <v>0</v>
      </c>
      <c r="D1025" s="121">
        <f>ROUND(IF(C1025&lt;='FR_Mantenimiento tasas'!$C$55,'Tabla Ahorro Futuro Reservas'!C1025*'FR_Mantenimiento tasas'!$D$55/360,IF(C1025&lt;='FR_Mantenimiento tasas'!$C$56,'Tabla Ahorro Futuro Reservas'!C1025*'FR_Mantenimiento tasas'!$D$56/360,IF(C1025&lt;='FR_Mantenimiento tasas'!$C$57,'Tabla Ahorro Futuro Reservas'!C1025*'FR_Mantenimiento tasas'!$D$57/360,""))),5)</f>
        <v>0</v>
      </c>
      <c r="E1025" s="121">
        <f>ROUND(IF(C1025&lt;='FR_Mantenimiento tasas'!$C$55,'Tabla Ahorro Futuro Reservas'!C1025*'FR_Mantenimiento tasas'!$E$55/360,IF(C1025&lt;='FR_Mantenimiento tasas'!$C$56,'Tabla Ahorro Futuro Reservas'!C1025*'FR_Mantenimiento tasas'!$E$56/360,IF(C1025&lt;='FR_Mantenimiento tasas'!$C$57,'Tabla Ahorro Futuro Reservas'!C1025*'FR_Mantenimiento tasas'!$E$57/360,""))),5)</f>
        <v>0</v>
      </c>
    </row>
    <row r="1026" spans="1:5">
      <c r="A1026" s="123">
        <f t="shared" si="30"/>
        <v>1024</v>
      </c>
      <c r="B1026" s="122">
        <f>IF(DAY(A1026)=DAY('F-Ahorro Futuro Reservas'!$H$10),'F-Ahorro Futuro Reservas'!$H$9,0)</f>
        <v>0</v>
      </c>
      <c r="C1026" s="122">
        <f t="shared" si="31"/>
        <v>0</v>
      </c>
      <c r="D1026" s="121">
        <f>ROUND(IF(C1026&lt;='FR_Mantenimiento tasas'!$C$55,'Tabla Ahorro Futuro Reservas'!C1026*'FR_Mantenimiento tasas'!$D$55/360,IF(C1026&lt;='FR_Mantenimiento tasas'!$C$56,'Tabla Ahorro Futuro Reservas'!C1026*'FR_Mantenimiento tasas'!$D$56/360,IF(C1026&lt;='FR_Mantenimiento tasas'!$C$57,'Tabla Ahorro Futuro Reservas'!C1026*'FR_Mantenimiento tasas'!$D$57/360,""))),5)</f>
        <v>0</v>
      </c>
      <c r="E1026" s="121">
        <f>ROUND(IF(C1026&lt;='FR_Mantenimiento tasas'!$C$55,'Tabla Ahorro Futuro Reservas'!C1026*'FR_Mantenimiento tasas'!$E$55/360,IF(C1026&lt;='FR_Mantenimiento tasas'!$C$56,'Tabla Ahorro Futuro Reservas'!C1026*'FR_Mantenimiento tasas'!$E$56/360,IF(C1026&lt;='FR_Mantenimiento tasas'!$C$57,'Tabla Ahorro Futuro Reservas'!C1026*'FR_Mantenimiento tasas'!$E$57/360,""))),5)</f>
        <v>0</v>
      </c>
    </row>
    <row r="1027" spans="1:5">
      <c r="A1027" s="123">
        <f t="shared" si="30"/>
        <v>1025</v>
      </c>
      <c r="B1027" s="122">
        <f>IF(DAY(A1027)=DAY('F-Ahorro Futuro Reservas'!$H$10),'F-Ahorro Futuro Reservas'!$H$9,0)</f>
        <v>0</v>
      </c>
      <c r="C1027" s="122">
        <f t="shared" si="31"/>
        <v>0</v>
      </c>
      <c r="D1027" s="121">
        <f>ROUND(IF(C1027&lt;='FR_Mantenimiento tasas'!$C$55,'Tabla Ahorro Futuro Reservas'!C1027*'FR_Mantenimiento tasas'!$D$55/360,IF(C1027&lt;='FR_Mantenimiento tasas'!$C$56,'Tabla Ahorro Futuro Reservas'!C1027*'FR_Mantenimiento tasas'!$D$56/360,IF(C1027&lt;='FR_Mantenimiento tasas'!$C$57,'Tabla Ahorro Futuro Reservas'!C1027*'FR_Mantenimiento tasas'!$D$57/360,""))),5)</f>
        <v>0</v>
      </c>
      <c r="E1027" s="121">
        <f>ROUND(IF(C1027&lt;='FR_Mantenimiento tasas'!$C$55,'Tabla Ahorro Futuro Reservas'!C1027*'FR_Mantenimiento tasas'!$E$55/360,IF(C1027&lt;='FR_Mantenimiento tasas'!$C$56,'Tabla Ahorro Futuro Reservas'!C1027*'FR_Mantenimiento tasas'!$E$56/360,IF(C1027&lt;='FR_Mantenimiento tasas'!$C$57,'Tabla Ahorro Futuro Reservas'!C1027*'FR_Mantenimiento tasas'!$E$57/360,""))),5)</f>
        <v>0</v>
      </c>
    </row>
    <row r="1028" spans="1:5">
      <c r="A1028" s="123">
        <f t="shared" ref="A1028:A1091" si="32">+A1027+1</f>
        <v>1026</v>
      </c>
      <c r="B1028" s="122">
        <f>IF(DAY(A1028)=DAY('F-Ahorro Futuro Reservas'!$H$10),'F-Ahorro Futuro Reservas'!$H$9,0)</f>
        <v>0</v>
      </c>
      <c r="C1028" s="122">
        <f t="shared" ref="C1028:C1091" si="33">+B1028+C1027+D1027</f>
        <v>0</v>
      </c>
      <c r="D1028" s="121">
        <f>ROUND(IF(C1028&lt;='FR_Mantenimiento tasas'!$C$55,'Tabla Ahorro Futuro Reservas'!C1028*'FR_Mantenimiento tasas'!$D$55/360,IF(C1028&lt;='FR_Mantenimiento tasas'!$C$56,'Tabla Ahorro Futuro Reservas'!C1028*'FR_Mantenimiento tasas'!$D$56/360,IF(C1028&lt;='FR_Mantenimiento tasas'!$C$57,'Tabla Ahorro Futuro Reservas'!C1028*'FR_Mantenimiento tasas'!$D$57/360,""))),5)</f>
        <v>0</v>
      </c>
      <c r="E1028" s="121">
        <f>ROUND(IF(C1028&lt;='FR_Mantenimiento tasas'!$C$55,'Tabla Ahorro Futuro Reservas'!C1028*'FR_Mantenimiento tasas'!$E$55/360,IF(C1028&lt;='FR_Mantenimiento tasas'!$C$56,'Tabla Ahorro Futuro Reservas'!C1028*'FR_Mantenimiento tasas'!$E$56/360,IF(C1028&lt;='FR_Mantenimiento tasas'!$C$57,'Tabla Ahorro Futuro Reservas'!C1028*'FR_Mantenimiento tasas'!$E$57/360,""))),5)</f>
        <v>0</v>
      </c>
    </row>
    <row r="1029" spans="1:5">
      <c r="A1029" s="123">
        <f t="shared" si="32"/>
        <v>1027</v>
      </c>
      <c r="B1029" s="122">
        <f>IF(DAY(A1029)=DAY('F-Ahorro Futuro Reservas'!$H$10),'F-Ahorro Futuro Reservas'!$H$9,0)</f>
        <v>0</v>
      </c>
      <c r="C1029" s="122">
        <f t="shared" si="33"/>
        <v>0</v>
      </c>
      <c r="D1029" s="121">
        <f>ROUND(IF(C1029&lt;='FR_Mantenimiento tasas'!$C$55,'Tabla Ahorro Futuro Reservas'!C1029*'FR_Mantenimiento tasas'!$D$55/360,IF(C1029&lt;='FR_Mantenimiento tasas'!$C$56,'Tabla Ahorro Futuro Reservas'!C1029*'FR_Mantenimiento tasas'!$D$56/360,IF(C1029&lt;='FR_Mantenimiento tasas'!$C$57,'Tabla Ahorro Futuro Reservas'!C1029*'FR_Mantenimiento tasas'!$D$57/360,""))),5)</f>
        <v>0</v>
      </c>
      <c r="E1029" s="121">
        <f>ROUND(IF(C1029&lt;='FR_Mantenimiento tasas'!$C$55,'Tabla Ahorro Futuro Reservas'!C1029*'FR_Mantenimiento tasas'!$E$55/360,IF(C1029&lt;='FR_Mantenimiento tasas'!$C$56,'Tabla Ahorro Futuro Reservas'!C1029*'FR_Mantenimiento tasas'!$E$56/360,IF(C1029&lt;='FR_Mantenimiento tasas'!$C$57,'Tabla Ahorro Futuro Reservas'!C1029*'FR_Mantenimiento tasas'!$E$57/360,""))),5)</f>
        <v>0</v>
      </c>
    </row>
    <row r="1030" spans="1:5">
      <c r="A1030" s="123">
        <f t="shared" si="32"/>
        <v>1028</v>
      </c>
      <c r="B1030" s="122">
        <f>IF(DAY(A1030)=DAY('F-Ahorro Futuro Reservas'!$H$10),'F-Ahorro Futuro Reservas'!$H$9,0)</f>
        <v>0</v>
      </c>
      <c r="C1030" s="122">
        <f t="shared" si="33"/>
        <v>0</v>
      </c>
      <c r="D1030" s="121">
        <f>ROUND(IF(C1030&lt;='FR_Mantenimiento tasas'!$C$55,'Tabla Ahorro Futuro Reservas'!C1030*'FR_Mantenimiento tasas'!$D$55/360,IF(C1030&lt;='FR_Mantenimiento tasas'!$C$56,'Tabla Ahorro Futuro Reservas'!C1030*'FR_Mantenimiento tasas'!$D$56/360,IF(C1030&lt;='FR_Mantenimiento tasas'!$C$57,'Tabla Ahorro Futuro Reservas'!C1030*'FR_Mantenimiento tasas'!$D$57/360,""))),5)</f>
        <v>0</v>
      </c>
      <c r="E1030" s="121">
        <f>ROUND(IF(C1030&lt;='FR_Mantenimiento tasas'!$C$55,'Tabla Ahorro Futuro Reservas'!C1030*'FR_Mantenimiento tasas'!$E$55/360,IF(C1030&lt;='FR_Mantenimiento tasas'!$C$56,'Tabla Ahorro Futuro Reservas'!C1030*'FR_Mantenimiento tasas'!$E$56/360,IF(C1030&lt;='FR_Mantenimiento tasas'!$C$57,'Tabla Ahorro Futuro Reservas'!C1030*'FR_Mantenimiento tasas'!$E$57/360,""))),5)</f>
        <v>0</v>
      </c>
    </row>
    <row r="1031" spans="1:5">
      <c r="A1031" s="123">
        <f t="shared" si="32"/>
        <v>1029</v>
      </c>
      <c r="B1031" s="122">
        <f>IF(DAY(A1031)=DAY('F-Ahorro Futuro Reservas'!$H$10),'F-Ahorro Futuro Reservas'!$H$9,0)</f>
        <v>0</v>
      </c>
      <c r="C1031" s="122">
        <f t="shared" si="33"/>
        <v>0</v>
      </c>
      <c r="D1031" s="121">
        <f>ROUND(IF(C1031&lt;='FR_Mantenimiento tasas'!$C$55,'Tabla Ahorro Futuro Reservas'!C1031*'FR_Mantenimiento tasas'!$D$55/360,IF(C1031&lt;='FR_Mantenimiento tasas'!$C$56,'Tabla Ahorro Futuro Reservas'!C1031*'FR_Mantenimiento tasas'!$D$56/360,IF(C1031&lt;='FR_Mantenimiento tasas'!$C$57,'Tabla Ahorro Futuro Reservas'!C1031*'FR_Mantenimiento tasas'!$D$57/360,""))),5)</f>
        <v>0</v>
      </c>
      <c r="E1031" s="121">
        <f>ROUND(IF(C1031&lt;='FR_Mantenimiento tasas'!$C$55,'Tabla Ahorro Futuro Reservas'!C1031*'FR_Mantenimiento tasas'!$E$55/360,IF(C1031&lt;='FR_Mantenimiento tasas'!$C$56,'Tabla Ahorro Futuro Reservas'!C1031*'FR_Mantenimiento tasas'!$E$56/360,IF(C1031&lt;='FR_Mantenimiento tasas'!$C$57,'Tabla Ahorro Futuro Reservas'!C1031*'FR_Mantenimiento tasas'!$E$57/360,""))),5)</f>
        <v>0</v>
      </c>
    </row>
    <row r="1032" spans="1:5">
      <c r="A1032" s="123">
        <f t="shared" si="32"/>
        <v>1030</v>
      </c>
      <c r="B1032" s="122">
        <f>IF(DAY(A1032)=DAY('F-Ahorro Futuro Reservas'!$H$10),'F-Ahorro Futuro Reservas'!$H$9,0)</f>
        <v>0</v>
      </c>
      <c r="C1032" s="122">
        <f t="shared" si="33"/>
        <v>0</v>
      </c>
      <c r="D1032" s="121">
        <f>ROUND(IF(C1032&lt;='FR_Mantenimiento tasas'!$C$55,'Tabla Ahorro Futuro Reservas'!C1032*'FR_Mantenimiento tasas'!$D$55/360,IF(C1032&lt;='FR_Mantenimiento tasas'!$C$56,'Tabla Ahorro Futuro Reservas'!C1032*'FR_Mantenimiento tasas'!$D$56/360,IF(C1032&lt;='FR_Mantenimiento tasas'!$C$57,'Tabla Ahorro Futuro Reservas'!C1032*'FR_Mantenimiento tasas'!$D$57/360,""))),5)</f>
        <v>0</v>
      </c>
      <c r="E1032" s="121">
        <f>ROUND(IF(C1032&lt;='FR_Mantenimiento tasas'!$C$55,'Tabla Ahorro Futuro Reservas'!C1032*'FR_Mantenimiento tasas'!$E$55/360,IF(C1032&lt;='FR_Mantenimiento tasas'!$C$56,'Tabla Ahorro Futuro Reservas'!C1032*'FR_Mantenimiento tasas'!$E$56/360,IF(C1032&lt;='FR_Mantenimiento tasas'!$C$57,'Tabla Ahorro Futuro Reservas'!C1032*'FR_Mantenimiento tasas'!$E$57/360,""))),5)</f>
        <v>0</v>
      </c>
    </row>
    <row r="1033" spans="1:5">
      <c r="A1033" s="123">
        <f t="shared" si="32"/>
        <v>1031</v>
      </c>
      <c r="B1033" s="122">
        <f>IF(DAY(A1033)=DAY('F-Ahorro Futuro Reservas'!$H$10),'F-Ahorro Futuro Reservas'!$H$9,0)</f>
        <v>0</v>
      </c>
      <c r="C1033" s="122">
        <f t="shared" si="33"/>
        <v>0</v>
      </c>
      <c r="D1033" s="121">
        <f>ROUND(IF(C1033&lt;='FR_Mantenimiento tasas'!$C$55,'Tabla Ahorro Futuro Reservas'!C1033*'FR_Mantenimiento tasas'!$D$55/360,IF(C1033&lt;='FR_Mantenimiento tasas'!$C$56,'Tabla Ahorro Futuro Reservas'!C1033*'FR_Mantenimiento tasas'!$D$56/360,IF(C1033&lt;='FR_Mantenimiento tasas'!$C$57,'Tabla Ahorro Futuro Reservas'!C1033*'FR_Mantenimiento tasas'!$D$57/360,""))),5)</f>
        <v>0</v>
      </c>
      <c r="E1033" s="121">
        <f>ROUND(IF(C1033&lt;='FR_Mantenimiento tasas'!$C$55,'Tabla Ahorro Futuro Reservas'!C1033*'FR_Mantenimiento tasas'!$E$55/360,IF(C1033&lt;='FR_Mantenimiento tasas'!$C$56,'Tabla Ahorro Futuro Reservas'!C1033*'FR_Mantenimiento tasas'!$E$56/360,IF(C1033&lt;='FR_Mantenimiento tasas'!$C$57,'Tabla Ahorro Futuro Reservas'!C1033*'FR_Mantenimiento tasas'!$E$57/360,""))),5)</f>
        <v>0</v>
      </c>
    </row>
    <row r="1034" spans="1:5">
      <c r="A1034" s="123">
        <f t="shared" si="32"/>
        <v>1032</v>
      </c>
      <c r="B1034" s="122">
        <f>IF(DAY(A1034)=DAY('F-Ahorro Futuro Reservas'!$H$10),'F-Ahorro Futuro Reservas'!$H$9,0)</f>
        <v>0</v>
      </c>
      <c r="C1034" s="122">
        <f t="shared" si="33"/>
        <v>0</v>
      </c>
      <c r="D1034" s="121">
        <f>ROUND(IF(C1034&lt;='FR_Mantenimiento tasas'!$C$55,'Tabla Ahorro Futuro Reservas'!C1034*'FR_Mantenimiento tasas'!$D$55/360,IF(C1034&lt;='FR_Mantenimiento tasas'!$C$56,'Tabla Ahorro Futuro Reservas'!C1034*'FR_Mantenimiento tasas'!$D$56/360,IF(C1034&lt;='FR_Mantenimiento tasas'!$C$57,'Tabla Ahorro Futuro Reservas'!C1034*'FR_Mantenimiento tasas'!$D$57/360,""))),5)</f>
        <v>0</v>
      </c>
      <c r="E1034" s="121">
        <f>ROUND(IF(C1034&lt;='FR_Mantenimiento tasas'!$C$55,'Tabla Ahorro Futuro Reservas'!C1034*'FR_Mantenimiento tasas'!$E$55/360,IF(C1034&lt;='FR_Mantenimiento tasas'!$C$56,'Tabla Ahorro Futuro Reservas'!C1034*'FR_Mantenimiento tasas'!$E$56/360,IF(C1034&lt;='FR_Mantenimiento tasas'!$C$57,'Tabla Ahorro Futuro Reservas'!C1034*'FR_Mantenimiento tasas'!$E$57/360,""))),5)</f>
        <v>0</v>
      </c>
    </row>
    <row r="1035" spans="1:5">
      <c r="A1035" s="123">
        <f t="shared" si="32"/>
        <v>1033</v>
      </c>
      <c r="B1035" s="122">
        <f>IF(DAY(A1035)=DAY('F-Ahorro Futuro Reservas'!$H$10),'F-Ahorro Futuro Reservas'!$H$9,0)</f>
        <v>0</v>
      </c>
      <c r="C1035" s="122">
        <f t="shared" si="33"/>
        <v>0</v>
      </c>
      <c r="D1035" s="121">
        <f>ROUND(IF(C1035&lt;='FR_Mantenimiento tasas'!$C$55,'Tabla Ahorro Futuro Reservas'!C1035*'FR_Mantenimiento tasas'!$D$55/360,IF(C1035&lt;='FR_Mantenimiento tasas'!$C$56,'Tabla Ahorro Futuro Reservas'!C1035*'FR_Mantenimiento tasas'!$D$56/360,IF(C1035&lt;='FR_Mantenimiento tasas'!$C$57,'Tabla Ahorro Futuro Reservas'!C1035*'FR_Mantenimiento tasas'!$D$57/360,""))),5)</f>
        <v>0</v>
      </c>
      <c r="E1035" s="121">
        <f>ROUND(IF(C1035&lt;='FR_Mantenimiento tasas'!$C$55,'Tabla Ahorro Futuro Reservas'!C1035*'FR_Mantenimiento tasas'!$E$55/360,IF(C1035&lt;='FR_Mantenimiento tasas'!$C$56,'Tabla Ahorro Futuro Reservas'!C1035*'FR_Mantenimiento tasas'!$E$56/360,IF(C1035&lt;='FR_Mantenimiento tasas'!$C$57,'Tabla Ahorro Futuro Reservas'!C1035*'FR_Mantenimiento tasas'!$E$57/360,""))),5)</f>
        <v>0</v>
      </c>
    </row>
    <row r="1036" spans="1:5">
      <c r="A1036" s="123">
        <f t="shared" si="32"/>
        <v>1034</v>
      </c>
      <c r="B1036" s="122">
        <f>IF(DAY(A1036)=DAY('F-Ahorro Futuro Reservas'!$H$10),'F-Ahorro Futuro Reservas'!$H$9,0)</f>
        <v>0</v>
      </c>
      <c r="C1036" s="122">
        <f t="shared" si="33"/>
        <v>0</v>
      </c>
      <c r="D1036" s="121">
        <f>ROUND(IF(C1036&lt;='FR_Mantenimiento tasas'!$C$55,'Tabla Ahorro Futuro Reservas'!C1036*'FR_Mantenimiento tasas'!$D$55/360,IF(C1036&lt;='FR_Mantenimiento tasas'!$C$56,'Tabla Ahorro Futuro Reservas'!C1036*'FR_Mantenimiento tasas'!$D$56/360,IF(C1036&lt;='FR_Mantenimiento tasas'!$C$57,'Tabla Ahorro Futuro Reservas'!C1036*'FR_Mantenimiento tasas'!$D$57/360,""))),5)</f>
        <v>0</v>
      </c>
      <c r="E1036" s="121">
        <f>ROUND(IF(C1036&lt;='FR_Mantenimiento tasas'!$C$55,'Tabla Ahorro Futuro Reservas'!C1036*'FR_Mantenimiento tasas'!$E$55/360,IF(C1036&lt;='FR_Mantenimiento tasas'!$C$56,'Tabla Ahorro Futuro Reservas'!C1036*'FR_Mantenimiento tasas'!$E$56/360,IF(C1036&lt;='FR_Mantenimiento tasas'!$C$57,'Tabla Ahorro Futuro Reservas'!C1036*'FR_Mantenimiento tasas'!$E$57/360,""))),5)</f>
        <v>0</v>
      </c>
    </row>
    <row r="1037" spans="1:5">
      <c r="A1037" s="123">
        <f t="shared" si="32"/>
        <v>1035</v>
      </c>
      <c r="B1037" s="122">
        <f>IF(DAY(A1037)=DAY('F-Ahorro Futuro Reservas'!$H$10),'F-Ahorro Futuro Reservas'!$H$9,0)</f>
        <v>0</v>
      </c>
      <c r="C1037" s="122">
        <f t="shared" si="33"/>
        <v>0</v>
      </c>
      <c r="D1037" s="121">
        <f>ROUND(IF(C1037&lt;='FR_Mantenimiento tasas'!$C$55,'Tabla Ahorro Futuro Reservas'!C1037*'FR_Mantenimiento tasas'!$D$55/360,IF(C1037&lt;='FR_Mantenimiento tasas'!$C$56,'Tabla Ahorro Futuro Reservas'!C1037*'FR_Mantenimiento tasas'!$D$56/360,IF(C1037&lt;='FR_Mantenimiento tasas'!$C$57,'Tabla Ahorro Futuro Reservas'!C1037*'FR_Mantenimiento tasas'!$D$57/360,""))),5)</f>
        <v>0</v>
      </c>
      <c r="E1037" s="121">
        <f>ROUND(IF(C1037&lt;='FR_Mantenimiento tasas'!$C$55,'Tabla Ahorro Futuro Reservas'!C1037*'FR_Mantenimiento tasas'!$E$55/360,IF(C1037&lt;='FR_Mantenimiento tasas'!$C$56,'Tabla Ahorro Futuro Reservas'!C1037*'FR_Mantenimiento tasas'!$E$56/360,IF(C1037&lt;='FR_Mantenimiento tasas'!$C$57,'Tabla Ahorro Futuro Reservas'!C1037*'FR_Mantenimiento tasas'!$E$57/360,""))),5)</f>
        <v>0</v>
      </c>
    </row>
    <row r="1038" spans="1:5">
      <c r="A1038" s="123">
        <f t="shared" si="32"/>
        <v>1036</v>
      </c>
      <c r="B1038" s="122">
        <f>IF(DAY(A1038)=DAY('F-Ahorro Futuro Reservas'!$H$10),'F-Ahorro Futuro Reservas'!$H$9,0)</f>
        <v>0</v>
      </c>
      <c r="C1038" s="122">
        <f t="shared" si="33"/>
        <v>0</v>
      </c>
      <c r="D1038" s="121">
        <f>ROUND(IF(C1038&lt;='FR_Mantenimiento tasas'!$C$55,'Tabla Ahorro Futuro Reservas'!C1038*'FR_Mantenimiento tasas'!$D$55/360,IF(C1038&lt;='FR_Mantenimiento tasas'!$C$56,'Tabla Ahorro Futuro Reservas'!C1038*'FR_Mantenimiento tasas'!$D$56/360,IF(C1038&lt;='FR_Mantenimiento tasas'!$C$57,'Tabla Ahorro Futuro Reservas'!C1038*'FR_Mantenimiento tasas'!$D$57/360,""))),5)</f>
        <v>0</v>
      </c>
      <c r="E1038" s="121">
        <f>ROUND(IF(C1038&lt;='FR_Mantenimiento tasas'!$C$55,'Tabla Ahorro Futuro Reservas'!C1038*'FR_Mantenimiento tasas'!$E$55/360,IF(C1038&lt;='FR_Mantenimiento tasas'!$C$56,'Tabla Ahorro Futuro Reservas'!C1038*'FR_Mantenimiento tasas'!$E$56/360,IF(C1038&lt;='FR_Mantenimiento tasas'!$C$57,'Tabla Ahorro Futuro Reservas'!C1038*'FR_Mantenimiento tasas'!$E$57/360,""))),5)</f>
        <v>0</v>
      </c>
    </row>
    <row r="1039" spans="1:5">
      <c r="A1039" s="123">
        <f t="shared" si="32"/>
        <v>1037</v>
      </c>
      <c r="B1039" s="122">
        <f>IF(DAY(A1039)=DAY('F-Ahorro Futuro Reservas'!$H$10),'F-Ahorro Futuro Reservas'!$H$9,0)</f>
        <v>0</v>
      </c>
      <c r="C1039" s="122">
        <f t="shared" si="33"/>
        <v>0</v>
      </c>
      <c r="D1039" s="121">
        <f>ROUND(IF(C1039&lt;='FR_Mantenimiento tasas'!$C$55,'Tabla Ahorro Futuro Reservas'!C1039*'FR_Mantenimiento tasas'!$D$55/360,IF(C1039&lt;='FR_Mantenimiento tasas'!$C$56,'Tabla Ahorro Futuro Reservas'!C1039*'FR_Mantenimiento tasas'!$D$56/360,IF(C1039&lt;='FR_Mantenimiento tasas'!$C$57,'Tabla Ahorro Futuro Reservas'!C1039*'FR_Mantenimiento tasas'!$D$57/360,""))),5)</f>
        <v>0</v>
      </c>
      <c r="E1039" s="121">
        <f>ROUND(IF(C1039&lt;='FR_Mantenimiento tasas'!$C$55,'Tabla Ahorro Futuro Reservas'!C1039*'FR_Mantenimiento tasas'!$E$55/360,IF(C1039&lt;='FR_Mantenimiento tasas'!$C$56,'Tabla Ahorro Futuro Reservas'!C1039*'FR_Mantenimiento tasas'!$E$56/360,IF(C1039&lt;='FR_Mantenimiento tasas'!$C$57,'Tabla Ahorro Futuro Reservas'!C1039*'FR_Mantenimiento tasas'!$E$57/360,""))),5)</f>
        <v>0</v>
      </c>
    </row>
    <row r="1040" spans="1:5">
      <c r="A1040" s="123">
        <f t="shared" si="32"/>
        <v>1038</v>
      </c>
      <c r="B1040" s="122">
        <f>IF(DAY(A1040)=DAY('F-Ahorro Futuro Reservas'!$H$10),'F-Ahorro Futuro Reservas'!$H$9,0)</f>
        <v>0</v>
      </c>
      <c r="C1040" s="122">
        <f t="shared" si="33"/>
        <v>0</v>
      </c>
      <c r="D1040" s="121">
        <f>ROUND(IF(C1040&lt;='FR_Mantenimiento tasas'!$C$55,'Tabla Ahorro Futuro Reservas'!C1040*'FR_Mantenimiento tasas'!$D$55/360,IF(C1040&lt;='FR_Mantenimiento tasas'!$C$56,'Tabla Ahorro Futuro Reservas'!C1040*'FR_Mantenimiento tasas'!$D$56/360,IF(C1040&lt;='FR_Mantenimiento tasas'!$C$57,'Tabla Ahorro Futuro Reservas'!C1040*'FR_Mantenimiento tasas'!$D$57/360,""))),5)</f>
        <v>0</v>
      </c>
      <c r="E1040" s="121">
        <f>ROUND(IF(C1040&lt;='FR_Mantenimiento tasas'!$C$55,'Tabla Ahorro Futuro Reservas'!C1040*'FR_Mantenimiento tasas'!$E$55/360,IF(C1040&lt;='FR_Mantenimiento tasas'!$C$56,'Tabla Ahorro Futuro Reservas'!C1040*'FR_Mantenimiento tasas'!$E$56/360,IF(C1040&lt;='FR_Mantenimiento tasas'!$C$57,'Tabla Ahorro Futuro Reservas'!C1040*'FR_Mantenimiento tasas'!$E$57/360,""))),5)</f>
        <v>0</v>
      </c>
    </row>
    <row r="1041" spans="1:5">
      <c r="A1041" s="123">
        <f t="shared" si="32"/>
        <v>1039</v>
      </c>
      <c r="B1041" s="122">
        <f>IF(DAY(A1041)=DAY('F-Ahorro Futuro Reservas'!$H$10),'F-Ahorro Futuro Reservas'!$H$9,0)</f>
        <v>0</v>
      </c>
      <c r="C1041" s="122">
        <f t="shared" si="33"/>
        <v>0</v>
      </c>
      <c r="D1041" s="121">
        <f>ROUND(IF(C1041&lt;='FR_Mantenimiento tasas'!$C$55,'Tabla Ahorro Futuro Reservas'!C1041*'FR_Mantenimiento tasas'!$D$55/360,IF(C1041&lt;='FR_Mantenimiento tasas'!$C$56,'Tabla Ahorro Futuro Reservas'!C1041*'FR_Mantenimiento tasas'!$D$56/360,IF(C1041&lt;='FR_Mantenimiento tasas'!$C$57,'Tabla Ahorro Futuro Reservas'!C1041*'FR_Mantenimiento tasas'!$D$57/360,""))),5)</f>
        <v>0</v>
      </c>
      <c r="E1041" s="121">
        <f>ROUND(IF(C1041&lt;='FR_Mantenimiento tasas'!$C$55,'Tabla Ahorro Futuro Reservas'!C1041*'FR_Mantenimiento tasas'!$E$55/360,IF(C1041&lt;='FR_Mantenimiento tasas'!$C$56,'Tabla Ahorro Futuro Reservas'!C1041*'FR_Mantenimiento tasas'!$E$56/360,IF(C1041&lt;='FR_Mantenimiento tasas'!$C$57,'Tabla Ahorro Futuro Reservas'!C1041*'FR_Mantenimiento tasas'!$E$57/360,""))),5)</f>
        <v>0</v>
      </c>
    </row>
    <row r="1042" spans="1:5">
      <c r="A1042" s="123">
        <f t="shared" si="32"/>
        <v>1040</v>
      </c>
      <c r="B1042" s="122">
        <f>IF(DAY(A1042)=DAY('F-Ahorro Futuro Reservas'!$H$10),'F-Ahorro Futuro Reservas'!$H$9,0)</f>
        <v>0</v>
      </c>
      <c r="C1042" s="122">
        <f t="shared" si="33"/>
        <v>0</v>
      </c>
      <c r="D1042" s="121">
        <f>ROUND(IF(C1042&lt;='FR_Mantenimiento tasas'!$C$55,'Tabla Ahorro Futuro Reservas'!C1042*'FR_Mantenimiento tasas'!$D$55/360,IF(C1042&lt;='FR_Mantenimiento tasas'!$C$56,'Tabla Ahorro Futuro Reservas'!C1042*'FR_Mantenimiento tasas'!$D$56/360,IF(C1042&lt;='FR_Mantenimiento tasas'!$C$57,'Tabla Ahorro Futuro Reservas'!C1042*'FR_Mantenimiento tasas'!$D$57/360,""))),5)</f>
        <v>0</v>
      </c>
      <c r="E1042" s="121">
        <f>ROUND(IF(C1042&lt;='FR_Mantenimiento tasas'!$C$55,'Tabla Ahorro Futuro Reservas'!C1042*'FR_Mantenimiento tasas'!$E$55/360,IF(C1042&lt;='FR_Mantenimiento tasas'!$C$56,'Tabla Ahorro Futuro Reservas'!C1042*'FR_Mantenimiento tasas'!$E$56/360,IF(C1042&lt;='FR_Mantenimiento tasas'!$C$57,'Tabla Ahorro Futuro Reservas'!C1042*'FR_Mantenimiento tasas'!$E$57/360,""))),5)</f>
        <v>0</v>
      </c>
    </row>
    <row r="1043" spans="1:5">
      <c r="A1043" s="123">
        <f t="shared" si="32"/>
        <v>1041</v>
      </c>
      <c r="B1043" s="122">
        <f>IF(DAY(A1043)=DAY('F-Ahorro Futuro Reservas'!$H$10),'F-Ahorro Futuro Reservas'!$H$9,0)</f>
        <v>0</v>
      </c>
      <c r="C1043" s="122">
        <f t="shared" si="33"/>
        <v>0</v>
      </c>
      <c r="D1043" s="121">
        <f>ROUND(IF(C1043&lt;='FR_Mantenimiento tasas'!$C$55,'Tabla Ahorro Futuro Reservas'!C1043*'FR_Mantenimiento tasas'!$D$55/360,IF(C1043&lt;='FR_Mantenimiento tasas'!$C$56,'Tabla Ahorro Futuro Reservas'!C1043*'FR_Mantenimiento tasas'!$D$56/360,IF(C1043&lt;='FR_Mantenimiento tasas'!$C$57,'Tabla Ahorro Futuro Reservas'!C1043*'FR_Mantenimiento tasas'!$D$57/360,""))),5)</f>
        <v>0</v>
      </c>
      <c r="E1043" s="121">
        <f>ROUND(IF(C1043&lt;='FR_Mantenimiento tasas'!$C$55,'Tabla Ahorro Futuro Reservas'!C1043*'FR_Mantenimiento tasas'!$E$55/360,IF(C1043&lt;='FR_Mantenimiento tasas'!$C$56,'Tabla Ahorro Futuro Reservas'!C1043*'FR_Mantenimiento tasas'!$E$56/360,IF(C1043&lt;='FR_Mantenimiento tasas'!$C$57,'Tabla Ahorro Futuro Reservas'!C1043*'FR_Mantenimiento tasas'!$E$57/360,""))),5)</f>
        <v>0</v>
      </c>
    </row>
    <row r="1044" spans="1:5">
      <c r="A1044" s="123">
        <f t="shared" si="32"/>
        <v>1042</v>
      </c>
      <c r="B1044" s="122">
        <f>IF(DAY(A1044)=DAY('F-Ahorro Futuro Reservas'!$H$10),'F-Ahorro Futuro Reservas'!$H$9,0)</f>
        <v>0</v>
      </c>
      <c r="C1044" s="122">
        <f t="shared" si="33"/>
        <v>0</v>
      </c>
      <c r="D1044" s="121">
        <f>ROUND(IF(C1044&lt;='FR_Mantenimiento tasas'!$C$55,'Tabla Ahorro Futuro Reservas'!C1044*'FR_Mantenimiento tasas'!$D$55/360,IF(C1044&lt;='FR_Mantenimiento tasas'!$C$56,'Tabla Ahorro Futuro Reservas'!C1044*'FR_Mantenimiento tasas'!$D$56/360,IF(C1044&lt;='FR_Mantenimiento tasas'!$C$57,'Tabla Ahorro Futuro Reservas'!C1044*'FR_Mantenimiento tasas'!$D$57/360,""))),5)</f>
        <v>0</v>
      </c>
      <c r="E1044" s="121">
        <f>ROUND(IF(C1044&lt;='FR_Mantenimiento tasas'!$C$55,'Tabla Ahorro Futuro Reservas'!C1044*'FR_Mantenimiento tasas'!$E$55/360,IF(C1044&lt;='FR_Mantenimiento tasas'!$C$56,'Tabla Ahorro Futuro Reservas'!C1044*'FR_Mantenimiento tasas'!$E$56/360,IF(C1044&lt;='FR_Mantenimiento tasas'!$C$57,'Tabla Ahorro Futuro Reservas'!C1044*'FR_Mantenimiento tasas'!$E$57/360,""))),5)</f>
        <v>0</v>
      </c>
    </row>
    <row r="1045" spans="1:5">
      <c r="A1045" s="123">
        <f t="shared" si="32"/>
        <v>1043</v>
      </c>
      <c r="B1045" s="122">
        <f>IF(DAY(A1045)=DAY('F-Ahorro Futuro Reservas'!$H$10),'F-Ahorro Futuro Reservas'!$H$9,0)</f>
        <v>0</v>
      </c>
      <c r="C1045" s="122">
        <f t="shared" si="33"/>
        <v>0</v>
      </c>
      <c r="D1045" s="121">
        <f>ROUND(IF(C1045&lt;='FR_Mantenimiento tasas'!$C$55,'Tabla Ahorro Futuro Reservas'!C1045*'FR_Mantenimiento tasas'!$D$55/360,IF(C1045&lt;='FR_Mantenimiento tasas'!$C$56,'Tabla Ahorro Futuro Reservas'!C1045*'FR_Mantenimiento tasas'!$D$56/360,IF(C1045&lt;='FR_Mantenimiento tasas'!$C$57,'Tabla Ahorro Futuro Reservas'!C1045*'FR_Mantenimiento tasas'!$D$57/360,""))),5)</f>
        <v>0</v>
      </c>
      <c r="E1045" s="121">
        <f>ROUND(IF(C1045&lt;='FR_Mantenimiento tasas'!$C$55,'Tabla Ahorro Futuro Reservas'!C1045*'FR_Mantenimiento tasas'!$E$55/360,IF(C1045&lt;='FR_Mantenimiento tasas'!$C$56,'Tabla Ahorro Futuro Reservas'!C1045*'FR_Mantenimiento tasas'!$E$56/360,IF(C1045&lt;='FR_Mantenimiento tasas'!$C$57,'Tabla Ahorro Futuro Reservas'!C1045*'FR_Mantenimiento tasas'!$E$57/360,""))),5)</f>
        <v>0</v>
      </c>
    </row>
    <row r="1046" spans="1:5">
      <c r="A1046" s="123">
        <f t="shared" si="32"/>
        <v>1044</v>
      </c>
      <c r="B1046" s="122">
        <f>IF(DAY(A1046)=DAY('F-Ahorro Futuro Reservas'!$H$10),'F-Ahorro Futuro Reservas'!$H$9,0)</f>
        <v>0</v>
      </c>
      <c r="C1046" s="122">
        <f t="shared" si="33"/>
        <v>0</v>
      </c>
      <c r="D1046" s="121">
        <f>ROUND(IF(C1046&lt;='FR_Mantenimiento tasas'!$C$55,'Tabla Ahorro Futuro Reservas'!C1046*'FR_Mantenimiento tasas'!$D$55/360,IF(C1046&lt;='FR_Mantenimiento tasas'!$C$56,'Tabla Ahorro Futuro Reservas'!C1046*'FR_Mantenimiento tasas'!$D$56/360,IF(C1046&lt;='FR_Mantenimiento tasas'!$C$57,'Tabla Ahorro Futuro Reservas'!C1046*'FR_Mantenimiento tasas'!$D$57/360,""))),5)</f>
        <v>0</v>
      </c>
      <c r="E1046" s="121">
        <f>ROUND(IF(C1046&lt;='FR_Mantenimiento tasas'!$C$55,'Tabla Ahorro Futuro Reservas'!C1046*'FR_Mantenimiento tasas'!$E$55/360,IF(C1046&lt;='FR_Mantenimiento tasas'!$C$56,'Tabla Ahorro Futuro Reservas'!C1046*'FR_Mantenimiento tasas'!$E$56/360,IF(C1046&lt;='FR_Mantenimiento tasas'!$C$57,'Tabla Ahorro Futuro Reservas'!C1046*'FR_Mantenimiento tasas'!$E$57/360,""))),5)</f>
        <v>0</v>
      </c>
    </row>
    <row r="1047" spans="1:5">
      <c r="A1047" s="123">
        <f t="shared" si="32"/>
        <v>1045</v>
      </c>
      <c r="B1047" s="122">
        <f>IF(DAY(A1047)=DAY('F-Ahorro Futuro Reservas'!$H$10),'F-Ahorro Futuro Reservas'!$H$9,0)</f>
        <v>0</v>
      </c>
      <c r="C1047" s="122">
        <f t="shared" si="33"/>
        <v>0</v>
      </c>
      <c r="D1047" s="121">
        <f>ROUND(IF(C1047&lt;='FR_Mantenimiento tasas'!$C$55,'Tabla Ahorro Futuro Reservas'!C1047*'FR_Mantenimiento tasas'!$D$55/360,IF(C1047&lt;='FR_Mantenimiento tasas'!$C$56,'Tabla Ahorro Futuro Reservas'!C1047*'FR_Mantenimiento tasas'!$D$56/360,IF(C1047&lt;='FR_Mantenimiento tasas'!$C$57,'Tabla Ahorro Futuro Reservas'!C1047*'FR_Mantenimiento tasas'!$D$57/360,""))),5)</f>
        <v>0</v>
      </c>
      <c r="E1047" s="121">
        <f>ROUND(IF(C1047&lt;='FR_Mantenimiento tasas'!$C$55,'Tabla Ahorro Futuro Reservas'!C1047*'FR_Mantenimiento tasas'!$E$55/360,IF(C1047&lt;='FR_Mantenimiento tasas'!$C$56,'Tabla Ahorro Futuro Reservas'!C1047*'FR_Mantenimiento tasas'!$E$56/360,IF(C1047&lt;='FR_Mantenimiento tasas'!$C$57,'Tabla Ahorro Futuro Reservas'!C1047*'FR_Mantenimiento tasas'!$E$57/360,""))),5)</f>
        <v>0</v>
      </c>
    </row>
    <row r="1048" spans="1:5">
      <c r="A1048" s="123">
        <f t="shared" si="32"/>
        <v>1046</v>
      </c>
      <c r="B1048" s="122">
        <f>IF(DAY(A1048)=DAY('F-Ahorro Futuro Reservas'!$H$10),'F-Ahorro Futuro Reservas'!$H$9,0)</f>
        <v>0</v>
      </c>
      <c r="C1048" s="122">
        <f t="shared" si="33"/>
        <v>0</v>
      </c>
      <c r="D1048" s="121">
        <f>ROUND(IF(C1048&lt;='FR_Mantenimiento tasas'!$C$55,'Tabla Ahorro Futuro Reservas'!C1048*'FR_Mantenimiento tasas'!$D$55/360,IF(C1048&lt;='FR_Mantenimiento tasas'!$C$56,'Tabla Ahorro Futuro Reservas'!C1048*'FR_Mantenimiento tasas'!$D$56/360,IF(C1048&lt;='FR_Mantenimiento tasas'!$C$57,'Tabla Ahorro Futuro Reservas'!C1048*'FR_Mantenimiento tasas'!$D$57/360,""))),5)</f>
        <v>0</v>
      </c>
      <c r="E1048" s="121">
        <f>ROUND(IF(C1048&lt;='FR_Mantenimiento tasas'!$C$55,'Tabla Ahorro Futuro Reservas'!C1048*'FR_Mantenimiento tasas'!$E$55/360,IF(C1048&lt;='FR_Mantenimiento tasas'!$C$56,'Tabla Ahorro Futuro Reservas'!C1048*'FR_Mantenimiento tasas'!$E$56/360,IF(C1048&lt;='FR_Mantenimiento tasas'!$C$57,'Tabla Ahorro Futuro Reservas'!C1048*'FR_Mantenimiento tasas'!$E$57/360,""))),5)</f>
        <v>0</v>
      </c>
    </row>
    <row r="1049" spans="1:5">
      <c r="A1049" s="123">
        <f t="shared" si="32"/>
        <v>1047</v>
      </c>
      <c r="B1049" s="122">
        <f>IF(DAY(A1049)=DAY('F-Ahorro Futuro Reservas'!$H$10),'F-Ahorro Futuro Reservas'!$H$9,0)</f>
        <v>0</v>
      </c>
      <c r="C1049" s="122">
        <f t="shared" si="33"/>
        <v>0</v>
      </c>
      <c r="D1049" s="121">
        <f>ROUND(IF(C1049&lt;='FR_Mantenimiento tasas'!$C$55,'Tabla Ahorro Futuro Reservas'!C1049*'FR_Mantenimiento tasas'!$D$55/360,IF(C1049&lt;='FR_Mantenimiento tasas'!$C$56,'Tabla Ahorro Futuro Reservas'!C1049*'FR_Mantenimiento tasas'!$D$56/360,IF(C1049&lt;='FR_Mantenimiento tasas'!$C$57,'Tabla Ahorro Futuro Reservas'!C1049*'FR_Mantenimiento tasas'!$D$57/360,""))),5)</f>
        <v>0</v>
      </c>
      <c r="E1049" s="121">
        <f>ROUND(IF(C1049&lt;='FR_Mantenimiento tasas'!$C$55,'Tabla Ahorro Futuro Reservas'!C1049*'FR_Mantenimiento tasas'!$E$55/360,IF(C1049&lt;='FR_Mantenimiento tasas'!$C$56,'Tabla Ahorro Futuro Reservas'!C1049*'FR_Mantenimiento tasas'!$E$56/360,IF(C1049&lt;='FR_Mantenimiento tasas'!$C$57,'Tabla Ahorro Futuro Reservas'!C1049*'FR_Mantenimiento tasas'!$E$57/360,""))),5)</f>
        <v>0</v>
      </c>
    </row>
    <row r="1050" spans="1:5">
      <c r="A1050" s="123">
        <f t="shared" si="32"/>
        <v>1048</v>
      </c>
      <c r="B1050" s="122">
        <f>IF(DAY(A1050)=DAY('F-Ahorro Futuro Reservas'!$H$10),'F-Ahorro Futuro Reservas'!$H$9,0)</f>
        <v>0</v>
      </c>
      <c r="C1050" s="122">
        <f t="shared" si="33"/>
        <v>0</v>
      </c>
      <c r="D1050" s="121">
        <f>ROUND(IF(C1050&lt;='FR_Mantenimiento tasas'!$C$55,'Tabla Ahorro Futuro Reservas'!C1050*'FR_Mantenimiento tasas'!$D$55/360,IF(C1050&lt;='FR_Mantenimiento tasas'!$C$56,'Tabla Ahorro Futuro Reservas'!C1050*'FR_Mantenimiento tasas'!$D$56/360,IF(C1050&lt;='FR_Mantenimiento tasas'!$C$57,'Tabla Ahorro Futuro Reservas'!C1050*'FR_Mantenimiento tasas'!$D$57/360,""))),5)</f>
        <v>0</v>
      </c>
      <c r="E1050" s="121">
        <f>ROUND(IF(C1050&lt;='FR_Mantenimiento tasas'!$C$55,'Tabla Ahorro Futuro Reservas'!C1050*'FR_Mantenimiento tasas'!$E$55/360,IF(C1050&lt;='FR_Mantenimiento tasas'!$C$56,'Tabla Ahorro Futuro Reservas'!C1050*'FR_Mantenimiento tasas'!$E$56/360,IF(C1050&lt;='FR_Mantenimiento tasas'!$C$57,'Tabla Ahorro Futuro Reservas'!C1050*'FR_Mantenimiento tasas'!$E$57/360,""))),5)</f>
        <v>0</v>
      </c>
    </row>
    <row r="1051" spans="1:5">
      <c r="A1051" s="123">
        <f t="shared" si="32"/>
        <v>1049</v>
      </c>
      <c r="B1051" s="122">
        <f>IF(DAY(A1051)=DAY('F-Ahorro Futuro Reservas'!$H$10),'F-Ahorro Futuro Reservas'!$H$9,0)</f>
        <v>0</v>
      </c>
      <c r="C1051" s="122">
        <f t="shared" si="33"/>
        <v>0</v>
      </c>
      <c r="D1051" s="121">
        <f>ROUND(IF(C1051&lt;='FR_Mantenimiento tasas'!$C$55,'Tabla Ahorro Futuro Reservas'!C1051*'FR_Mantenimiento tasas'!$D$55/360,IF(C1051&lt;='FR_Mantenimiento tasas'!$C$56,'Tabla Ahorro Futuro Reservas'!C1051*'FR_Mantenimiento tasas'!$D$56/360,IF(C1051&lt;='FR_Mantenimiento tasas'!$C$57,'Tabla Ahorro Futuro Reservas'!C1051*'FR_Mantenimiento tasas'!$D$57/360,""))),5)</f>
        <v>0</v>
      </c>
      <c r="E1051" s="121">
        <f>ROUND(IF(C1051&lt;='FR_Mantenimiento tasas'!$C$55,'Tabla Ahorro Futuro Reservas'!C1051*'FR_Mantenimiento tasas'!$E$55/360,IF(C1051&lt;='FR_Mantenimiento tasas'!$C$56,'Tabla Ahorro Futuro Reservas'!C1051*'FR_Mantenimiento tasas'!$E$56/360,IF(C1051&lt;='FR_Mantenimiento tasas'!$C$57,'Tabla Ahorro Futuro Reservas'!C1051*'FR_Mantenimiento tasas'!$E$57/360,""))),5)</f>
        <v>0</v>
      </c>
    </row>
    <row r="1052" spans="1:5">
      <c r="A1052" s="123">
        <f t="shared" si="32"/>
        <v>1050</v>
      </c>
      <c r="B1052" s="122">
        <f>IF(DAY(A1052)=DAY('F-Ahorro Futuro Reservas'!$H$10),'F-Ahorro Futuro Reservas'!$H$9,0)</f>
        <v>0</v>
      </c>
      <c r="C1052" s="122">
        <f t="shared" si="33"/>
        <v>0</v>
      </c>
      <c r="D1052" s="121">
        <f>ROUND(IF(C1052&lt;='FR_Mantenimiento tasas'!$C$55,'Tabla Ahorro Futuro Reservas'!C1052*'FR_Mantenimiento tasas'!$D$55/360,IF(C1052&lt;='FR_Mantenimiento tasas'!$C$56,'Tabla Ahorro Futuro Reservas'!C1052*'FR_Mantenimiento tasas'!$D$56/360,IF(C1052&lt;='FR_Mantenimiento tasas'!$C$57,'Tabla Ahorro Futuro Reservas'!C1052*'FR_Mantenimiento tasas'!$D$57/360,""))),5)</f>
        <v>0</v>
      </c>
      <c r="E1052" s="121">
        <f>ROUND(IF(C1052&lt;='FR_Mantenimiento tasas'!$C$55,'Tabla Ahorro Futuro Reservas'!C1052*'FR_Mantenimiento tasas'!$E$55/360,IF(C1052&lt;='FR_Mantenimiento tasas'!$C$56,'Tabla Ahorro Futuro Reservas'!C1052*'FR_Mantenimiento tasas'!$E$56/360,IF(C1052&lt;='FR_Mantenimiento tasas'!$C$57,'Tabla Ahorro Futuro Reservas'!C1052*'FR_Mantenimiento tasas'!$E$57/360,""))),5)</f>
        <v>0</v>
      </c>
    </row>
    <row r="1053" spans="1:5">
      <c r="A1053" s="123">
        <f t="shared" si="32"/>
        <v>1051</v>
      </c>
      <c r="B1053" s="122">
        <f>IF(DAY(A1053)=DAY('F-Ahorro Futuro Reservas'!$H$10),'F-Ahorro Futuro Reservas'!$H$9,0)</f>
        <v>0</v>
      </c>
      <c r="C1053" s="122">
        <f t="shared" si="33"/>
        <v>0</v>
      </c>
      <c r="D1053" s="121">
        <f>ROUND(IF(C1053&lt;='FR_Mantenimiento tasas'!$C$55,'Tabla Ahorro Futuro Reservas'!C1053*'FR_Mantenimiento tasas'!$D$55/360,IF(C1053&lt;='FR_Mantenimiento tasas'!$C$56,'Tabla Ahorro Futuro Reservas'!C1053*'FR_Mantenimiento tasas'!$D$56/360,IF(C1053&lt;='FR_Mantenimiento tasas'!$C$57,'Tabla Ahorro Futuro Reservas'!C1053*'FR_Mantenimiento tasas'!$D$57/360,""))),5)</f>
        <v>0</v>
      </c>
      <c r="E1053" s="121">
        <f>ROUND(IF(C1053&lt;='FR_Mantenimiento tasas'!$C$55,'Tabla Ahorro Futuro Reservas'!C1053*'FR_Mantenimiento tasas'!$E$55/360,IF(C1053&lt;='FR_Mantenimiento tasas'!$C$56,'Tabla Ahorro Futuro Reservas'!C1053*'FR_Mantenimiento tasas'!$E$56/360,IF(C1053&lt;='FR_Mantenimiento tasas'!$C$57,'Tabla Ahorro Futuro Reservas'!C1053*'FR_Mantenimiento tasas'!$E$57/360,""))),5)</f>
        <v>0</v>
      </c>
    </row>
    <row r="1054" spans="1:5">
      <c r="A1054" s="123">
        <f t="shared" si="32"/>
        <v>1052</v>
      </c>
      <c r="B1054" s="122">
        <f>IF(DAY(A1054)=DAY('F-Ahorro Futuro Reservas'!$H$10),'F-Ahorro Futuro Reservas'!$H$9,0)</f>
        <v>0</v>
      </c>
      <c r="C1054" s="122">
        <f t="shared" si="33"/>
        <v>0</v>
      </c>
      <c r="D1054" s="121">
        <f>ROUND(IF(C1054&lt;='FR_Mantenimiento tasas'!$C$55,'Tabla Ahorro Futuro Reservas'!C1054*'FR_Mantenimiento tasas'!$D$55/360,IF(C1054&lt;='FR_Mantenimiento tasas'!$C$56,'Tabla Ahorro Futuro Reservas'!C1054*'FR_Mantenimiento tasas'!$D$56/360,IF(C1054&lt;='FR_Mantenimiento tasas'!$C$57,'Tabla Ahorro Futuro Reservas'!C1054*'FR_Mantenimiento tasas'!$D$57/360,""))),5)</f>
        <v>0</v>
      </c>
      <c r="E1054" s="121">
        <f>ROUND(IF(C1054&lt;='FR_Mantenimiento tasas'!$C$55,'Tabla Ahorro Futuro Reservas'!C1054*'FR_Mantenimiento tasas'!$E$55/360,IF(C1054&lt;='FR_Mantenimiento tasas'!$C$56,'Tabla Ahorro Futuro Reservas'!C1054*'FR_Mantenimiento tasas'!$E$56/360,IF(C1054&lt;='FR_Mantenimiento tasas'!$C$57,'Tabla Ahorro Futuro Reservas'!C1054*'FR_Mantenimiento tasas'!$E$57/360,""))),5)</f>
        <v>0</v>
      </c>
    </row>
    <row r="1055" spans="1:5">
      <c r="A1055" s="123">
        <f t="shared" si="32"/>
        <v>1053</v>
      </c>
      <c r="B1055" s="122">
        <f>IF(DAY(A1055)=DAY('F-Ahorro Futuro Reservas'!$H$10),'F-Ahorro Futuro Reservas'!$H$9,0)</f>
        <v>0</v>
      </c>
      <c r="C1055" s="122">
        <f t="shared" si="33"/>
        <v>0</v>
      </c>
      <c r="D1055" s="121">
        <f>ROUND(IF(C1055&lt;='FR_Mantenimiento tasas'!$C$55,'Tabla Ahorro Futuro Reservas'!C1055*'FR_Mantenimiento tasas'!$D$55/360,IF(C1055&lt;='FR_Mantenimiento tasas'!$C$56,'Tabla Ahorro Futuro Reservas'!C1055*'FR_Mantenimiento tasas'!$D$56/360,IF(C1055&lt;='FR_Mantenimiento tasas'!$C$57,'Tabla Ahorro Futuro Reservas'!C1055*'FR_Mantenimiento tasas'!$D$57/360,""))),5)</f>
        <v>0</v>
      </c>
      <c r="E1055" s="121">
        <f>ROUND(IF(C1055&lt;='FR_Mantenimiento tasas'!$C$55,'Tabla Ahorro Futuro Reservas'!C1055*'FR_Mantenimiento tasas'!$E$55/360,IF(C1055&lt;='FR_Mantenimiento tasas'!$C$56,'Tabla Ahorro Futuro Reservas'!C1055*'FR_Mantenimiento tasas'!$E$56/360,IF(C1055&lt;='FR_Mantenimiento tasas'!$C$57,'Tabla Ahorro Futuro Reservas'!C1055*'FR_Mantenimiento tasas'!$E$57/360,""))),5)</f>
        <v>0</v>
      </c>
    </row>
    <row r="1056" spans="1:5">
      <c r="A1056" s="123">
        <f t="shared" si="32"/>
        <v>1054</v>
      </c>
      <c r="B1056" s="122">
        <f>IF(DAY(A1056)=DAY('F-Ahorro Futuro Reservas'!$H$10),'F-Ahorro Futuro Reservas'!$H$9,0)</f>
        <v>0</v>
      </c>
      <c r="C1056" s="122">
        <f t="shared" si="33"/>
        <v>0</v>
      </c>
      <c r="D1056" s="121">
        <f>ROUND(IF(C1056&lt;='FR_Mantenimiento tasas'!$C$55,'Tabla Ahorro Futuro Reservas'!C1056*'FR_Mantenimiento tasas'!$D$55/360,IF(C1056&lt;='FR_Mantenimiento tasas'!$C$56,'Tabla Ahorro Futuro Reservas'!C1056*'FR_Mantenimiento tasas'!$D$56/360,IF(C1056&lt;='FR_Mantenimiento tasas'!$C$57,'Tabla Ahorro Futuro Reservas'!C1056*'FR_Mantenimiento tasas'!$D$57/360,""))),5)</f>
        <v>0</v>
      </c>
      <c r="E1056" s="121">
        <f>ROUND(IF(C1056&lt;='FR_Mantenimiento tasas'!$C$55,'Tabla Ahorro Futuro Reservas'!C1056*'FR_Mantenimiento tasas'!$E$55/360,IF(C1056&lt;='FR_Mantenimiento tasas'!$C$56,'Tabla Ahorro Futuro Reservas'!C1056*'FR_Mantenimiento tasas'!$E$56/360,IF(C1056&lt;='FR_Mantenimiento tasas'!$C$57,'Tabla Ahorro Futuro Reservas'!C1056*'FR_Mantenimiento tasas'!$E$57/360,""))),5)</f>
        <v>0</v>
      </c>
    </row>
    <row r="1057" spans="1:5">
      <c r="A1057" s="123">
        <f t="shared" si="32"/>
        <v>1055</v>
      </c>
      <c r="B1057" s="122">
        <f>IF(DAY(A1057)=DAY('F-Ahorro Futuro Reservas'!$H$10),'F-Ahorro Futuro Reservas'!$H$9,0)</f>
        <v>0</v>
      </c>
      <c r="C1057" s="122">
        <f t="shared" si="33"/>
        <v>0</v>
      </c>
      <c r="D1057" s="121">
        <f>ROUND(IF(C1057&lt;='FR_Mantenimiento tasas'!$C$55,'Tabla Ahorro Futuro Reservas'!C1057*'FR_Mantenimiento tasas'!$D$55/360,IF(C1057&lt;='FR_Mantenimiento tasas'!$C$56,'Tabla Ahorro Futuro Reservas'!C1057*'FR_Mantenimiento tasas'!$D$56/360,IF(C1057&lt;='FR_Mantenimiento tasas'!$C$57,'Tabla Ahorro Futuro Reservas'!C1057*'FR_Mantenimiento tasas'!$D$57/360,""))),5)</f>
        <v>0</v>
      </c>
      <c r="E1057" s="121">
        <f>ROUND(IF(C1057&lt;='FR_Mantenimiento tasas'!$C$55,'Tabla Ahorro Futuro Reservas'!C1057*'FR_Mantenimiento tasas'!$E$55/360,IF(C1057&lt;='FR_Mantenimiento tasas'!$C$56,'Tabla Ahorro Futuro Reservas'!C1057*'FR_Mantenimiento tasas'!$E$56/360,IF(C1057&lt;='FR_Mantenimiento tasas'!$C$57,'Tabla Ahorro Futuro Reservas'!C1057*'FR_Mantenimiento tasas'!$E$57/360,""))),5)</f>
        <v>0</v>
      </c>
    </row>
    <row r="1058" spans="1:5">
      <c r="A1058" s="123">
        <f t="shared" si="32"/>
        <v>1056</v>
      </c>
      <c r="B1058" s="122">
        <f>IF(DAY(A1058)=DAY('F-Ahorro Futuro Reservas'!$H$10),'F-Ahorro Futuro Reservas'!$H$9,0)</f>
        <v>0</v>
      </c>
      <c r="C1058" s="122">
        <f t="shared" si="33"/>
        <v>0</v>
      </c>
      <c r="D1058" s="121">
        <f>ROUND(IF(C1058&lt;='FR_Mantenimiento tasas'!$C$55,'Tabla Ahorro Futuro Reservas'!C1058*'FR_Mantenimiento tasas'!$D$55/360,IF(C1058&lt;='FR_Mantenimiento tasas'!$C$56,'Tabla Ahorro Futuro Reservas'!C1058*'FR_Mantenimiento tasas'!$D$56/360,IF(C1058&lt;='FR_Mantenimiento tasas'!$C$57,'Tabla Ahorro Futuro Reservas'!C1058*'FR_Mantenimiento tasas'!$D$57/360,""))),5)</f>
        <v>0</v>
      </c>
      <c r="E1058" s="121">
        <f>ROUND(IF(C1058&lt;='FR_Mantenimiento tasas'!$C$55,'Tabla Ahorro Futuro Reservas'!C1058*'FR_Mantenimiento tasas'!$E$55/360,IF(C1058&lt;='FR_Mantenimiento tasas'!$C$56,'Tabla Ahorro Futuro Reservas'!C1058*'FR_Mantenimiento tasas'!$E$56/360,IF(C1058&lt;='FR_Mantenimiento tasas'!$C$57,'Tabla Ahorro Futuro Reservas'!C1058*'FR_Mantenimiento tasas'!$E$57/360,""))),5)</f>
        <v>0</v>
      </c>
    </row>
    <row r="1059" spans="1:5">
      <c r="A1059" s="123">
        <f t="shared" si="32"/>
        <v>1057</v>
      </c>
      <c r="B1059" s="122">
        <f>IF(DAY(A1059)=DAY('F-Ahorro Futuro Reservas'!$H$10),'F-Ahorro Futuro Reservas'!$H$9,0)</f>
        <v>0</v>
      </c>
      <c r="C1059" s="122">
        <f t="shared" si="33"/>
        <v>0</v>
      </c>
      <c r="D1059" s="121">
        <f>ROUND(IF(C1059&lt;='FR_Mantenimiento tasas'!$C$55,'Tabla Ahorro Futuro Reservas'!C1059*'FR_Mantenimiento tasas'!$D$55/360,IF(C1059&lt;='FR_Mantenimiento tasas'!$C$56,'Tabla Ahorro Futuro Reservas'!C1059*'FR_Mantenimiento tasas'!$D$56/360,IF(C1059&lt;='FR_Mantenimiento tasas'!$C$57,'Tabla Ahorro Futuro Reservas'!C1059*'FR_Mantenimiento tasas'!$D$57/360,""))),5)</f>
        <v>0</v>
      </c>
      <c r="E1059" s="121">
        <f>ROUND(IF(C1059&lt;='FR_Mantenimiento tasas'!$C$55,'Tabla Ahorro Futuro Reservas'!C1059*'FR_Mantenimiento tasas'!$E$55/360,IF(C1059&lt;='FR_Mantenimiento tasas'!$C$56,'Tabla Ahorro Futuro Reservas'!C1059*'FR_Mantenimiento tasas'!$E$56/360,IF(C1059&lt;='FR_Mantenimiento tasas'!$C$57,'Tabla Ahorro Futuro Reservas'!C1059*'FR_Mantenimiento tasas'!$E$57/360,""))),5)</f>
        <v>0</v>
      </c>
    </row>
    <row r="1060" spans="1:5">
      <c r="A1060" s="123">
        <f t="shared" si="32"/>
        <v>1058</v>
      </c>
      <c r="B1060" s="122">
        <f>IF(DAY(A1060)=DAY('F-Ahorro Futuro Reservas'!$H$10),'F-Ahorro Futuro Reservas'!$H$9,0)</f>
        <v>0</v>
      </c>
      <c r="C1060" s="122">
        <f t="shared" si="33"/>
        <v>0</v>
      </c>
      <c r="D1060" s="121">
        <f>ROUND(IF(C1060&lt;='FR_Mantenimiento tasas'!$C$55,'Tabla Ahorro Futuro Reservas'!C1060*'FR_Mantenimiento tasas'!$D$55/360,IF(C1060&lt;='FR_Mantenimiento tasas'!$C$56,'Tabla Ahorro Futuro Reservas'!C1060*'FR_Mantenimiento tasas'!$D$56/360,IF(C1060&lt;='FR_Mantenimiento tasas'!$C$57,'Tabla Ahorro Futuro Reservas'!C1060*'FR_Mantenimiento tasas'!$D$57/360,""))),5)</f>
        <v>0</v>
      </c>
      <c r="E1060" s="121">
        <f>ROUND(IF(C1060&lt;='FR_Mantenimiento tasas'!$C$55,'Tabla Ahorro Futuro Reservas'!C1060*'FR_Mantenimiento tasas'!$E$55/360,IF(C1060&lt;='FR_Mantenimiento tasas'!$C$56,'Tabla Ahorro Futuro Reservas'!C1060*'FR_Mantenimiento tasas'!$E$56/360,IF(C1060&lt;='FR_Mantenimiento tasas'!$C$57,'Tabla Ahorro Futuro Reservas'!C1060*'FR_Mantenimiento tasas'!$E$57/360,""))),5)</f>
        <v>0</v>
      </c>
    </row>
    <row r="1061" spans="1:5">
      <c r="A1061" s="123">
        <f t="shared" si="32"/>
        <v>1059</v>
      </c>
      <c r="B1061" s="122">
        <f>IF(DAY(A1061)=DAY('F-Ahorro Futuro Reservas'!$H$10),'F-Ahorro Futuro Reservas'!$H$9,0)</f>
        <v>0</v>
      </c>
      <c r="C1061" s="122">
        <f t="shared" si="33"/>
        <v>0</v>
      </c>
      <c r="D1061" s="121">
        <f>ROUND(IF(C1061&lt;='FR_Mantenimiento tasas'!$C$55,'Tabla Ahorro Futuro Reservas'!C1061*'FR_Mantenimiento tasas'!$D$55/360,IF(C1061&lt;='FR_Mantenimiento tasas'!$C$56,'Tabla Ahorro Futuro Reservas'!C1061*'FR_Mantenimiento tasas'!$D$56/360,IF(C1061&lt;='FR_Mantenimiento tasas'!$C$57,'Tabla Ahorro Futuro Reservas'!C1061*'FR_Mantenimiento tasas'!$D$57/360,""))),5)</f>
        <v>0</v>
      </c>
      <c r="E1061" s="121">
        <f>ROUND(IF(C1061&lt;='FR_Mantenimiento tasas'!$C$55,'Tabla Ahorro Futuro Reservas'!C1061*'FR_Mantenimiento tasas'!$E$55/360,IF(C1061&lt;='FR_Mantenimiento tasas'!$C$56,'Tabla Ahorro Futuro Reservas'!C1061*'FR_Mantenimiento tasas'!$E$56/360,IF(C1061&lt;='FR_Mantenimiento tasas'!$C$57,'Tabla Ahorro Futuro Reservas'!C1061*'FR_Mantenimiento tasas'!$E$57/360,""))),5)</f>
        <v>0</v>
      </c>
    </row>
    <row r="1062" spans="1:5">
      <c r="A1062" s="123">
        <f t="shared" si="32"/>
        <v>1060</v>
      </c>
      <c r="B1062" s="122">
        <f>IF(DAY(A1062)=DAY('F-Ahorro Futuro Reservas'!$H$10),'F-Ahorro Futuro Reservas'!$H$9,0)</f>
        <v>0</v>
      </c>
      <c r="C1062" s="122">
        <f t="shared" si="33"/>
        <v>0</v>
      </c>
      <c r="D1062" s="121">
        <f>ROUND(IF(C1062&lt;='FR_Mantenimiento tasas'!$C$55,'Tabla Ahorro Futuro Reservas'!C1062*'FR_Mantenimiento tasas'!$D$55/360,IF(C1062&lt;='FR_Mantenimiento tasas'!$C$56,'Tabla Ahorro Futuro Reservas'!C1062*'FR_Mantenimiento tasas'!$D$56/360,IF(C1062&lt;='FR_Mantenimiento tasas'!$C$57,'Tabla Ahorro Futuro Reservas'!C1062*'FR_Mantenimiento tasas'!$D$57/360,""))),5)</f>
        <v>0</v>
      </c>
      <c r="E1062" s="121">
        <f>ROUND(IF(C1062&lt;='FR_Mantenimiento tasas'!$C$55,'Tabla Ahorro Futuro Reservas'!C1062*'FR_Mantenimiento tasas'!$E$55/360,IF(C1062&lt;='FR_Mantenimiento tasas'!$C$56,'Tabla Ahorro Futuro Reservas'!C1062*'FR_Mantenimiento tasas'!$E$56/360,IF(C1062&lt;='FR_Mantenimiento tasas'!$C$57,'Tabla Ahorro Futuro Reservas'!C1062*'FR_Mantenimiento tasas'!$E$57/360,""))),5)</f>
        <v>0</v>
      </c>
    </row>
    <row r="1063" spans="1:5">
      <c r="A1063" s="123">
        <f t="shared" si="32"/>
        <v>1061</v>
      </c>
      <c r="B1063" s="122">
        <f>IF(DAY(A1063)=DAY('F-Ahorro Futuro Reservas'!$H$10),'F-Ahorro Futuro Reservas'!$H$9,0)</f>
        <v>0</v>
      </c>
      <c r="C1063" s="122">
        <f t="shared" si="33"/>
        <v>0</v>
      </c>
      <c r="D1063" s="121">
        <f>ROUND(IF(C1063&lt;='FR_Mantenimiento tasas'!$C$55,'Tabla Ahorro Futuro Reservas'!C1063*'FR_Mantenimiento tasas'!$D$55/360,IF(C1063&lt;='FR_Mantenimiento tasas'!$C$56,'Tabla Ahorro Futuro Reservas'!C1063*'FR_Mantenimiento tasas'!$D$56/360,IF(C1063&lt;='FR_Mantenimiento tasas'!$C$57,'Tabla Ahorro Futuro Reservas'!C1063*'FR_Mantenimiento tasas'!$D$57/360,""))),5)</f>
        <v>0</v>
      </c>
      <c r="E1063" s="121">
        <f>ROUND(IF(C1063&lt;='FR_Mantenimiento tasas'!$C$55,'Tabla Ahorro Futuro Reservas'!C1063*'FR_Mantenimiento tasas'!$E$55/360,IF(C1063&lt;='FR_Mantenimiento tasas'!$C$56,'Tabla Ahorro Futuro Reservas'!C1063*'FR_Mantenimiento tasas'!$E$56/360,IF(C1063&lt;='FR_Mantenimiento tasas'!$C$57,'Tabla Ahorro Futuro Reservas'!C1063*'FR_Mantenimiento tasas'!$E$57/360,""))),5)</f>
        <v>0</v>
      </c>
    </row>
    <row r="1064" spans="1:5">
      <c r="A1064" s="123">
        <f t="shared" si="32"/>
        <v>1062</v>
      </c>
      <c r="B1064" s="122">
        <f>IF(DAY(A1064)=DAY('F-Ahorro Futuro Reservas'!$H$10),'F-Ahorro Futuro Reservas'!$H$9,0)</f>
        <v>0</v>
      </c>
      <c r="C1064" s="122">
        <f t="shared" si="33"/>
        <v>0</v>
      </c>
      <c r="D1064" s="121">
        <f>ROUND(IF(C1064&lt;='FR_Mantenimiento tasas'!$C$55,'Tabla Ahorro Futuro Reservas'!C1064*'FR_Mantenimiento tasas'!$D$55/360,IF(C1064&lt;='FR_Mantenimiento tasas'!$C$56,'Tabla Ahorro Futuro Reservas'!C1064*'FR_Mantenimiento tasas'!$D$56/360,IF(C1064&lt;='FR_Mantenimiento tasas'!$C$57,'Tabla Ahorro Futuro Reservas'!C1064*'FR_Mantenimiento tasas'!$D$57/360,""))),5)</f>
        <v>0</v>
      </c>
      <c r="E1064" s="121">
        <f>ROUND(IF(C1064&lt;='FR_Mantenimiento tasas'!$C$55,'Tabla Ahorro Futuro Reservas'!C1064*'FR_Mantenimiento tasas'!$E$55/360,IF(C1064&lt;='FR_Mantenimiento tasas'!$C$56,'Tabla Ahorro Futuro Reservas'!C1064*'FR_Mantenimiento tasas'!$E$56/360,IF(C1064&lt;='FR_Mantenimiento tasas'!$C$57,'Tabla Ahorro Futuro Reservas'!C1064*'FR_Mantenimiento tasas'!$E$57/360,""))),5)</f>
        <v>0</v>
      </c>
    </row>
    <row r="1065" spans="1:5">
      <c r="A1065" s="123">
        <f t="shared" si="32"/>
        <v>1063</v>
      </c>
      <c r="B1065" s="122">
        <f>IF(DAY(A1065)=DAY('F-Ahorro Futuro Reservas'!$H$10),'F-Ahorro Futuro Reservas'!$H$9,0)</f>
        <v>0</v>
      </c>
      <c r="C1065" s="122">
        <f t="shared" si="33"/>
        <v>0</v>
      </c>
      <c r="D1065" s="121">
        <f>ROUND(IF(C1065&lt;='FR_Mantenimiento tasas'!$C$55,'Tabla Ahorro Futuro Reservas'!C1065*'FR_Mantenimiento tasas'!$D$55/360,IF(C1065&lt;='FR_Mantenimiento tasas'!$C$56,'Tabla Ahorro Futuro Reservas'!C1065*'FR_Mantenimiento tasas'!$D$56/360,IF(C1065&lt;='FR_Mantenimiento tasas'!$C$57,'Tabla Ahorro Futuro Reservas'!C1065*'FR_Mantenimiento tasas'!$D$57/360,""))),5)</f>
        <v>0</v>
      </c>
      <c r="E1065" s="121">
        <f>ROUND(IF(C1065&lt;='FR_Mantenimiento tasas'!$C$55,'Tabla Ahorro Futuro Reservas'!C1065*'FR_Mantenimiento tasas'!$E$55/360,IF(C1065&lt;='FR_Mantenimiento tasas'!$C$56,'Tabla Ahorro Futuro Reservas'!C1065*'FR_Mantenimiento tasas'!$E$56/360,IF(C1065&lt;='FR_Mantenimiento tasas'!$C$57,'Tabla Ahorro Futuro Reservas'!C1065*'FR_Mantenimiento tasas'!$E$57/360,""))),5)</f>
        <v>0</v>
      </c>
    </row>
    <row r="1066" spans="1:5">
      <c r="A1066" s="123">
        <f t="shared" si="32"/>
        <v>1064</v>
      </c>
      <c r="B1066" s="122">
        <f>IF(DAY(A1066)=DAY('F-Ahorro Futuro Reservas'!$H$10),'F-Ahorro Futuro Reservas'!$H$9,0)</f>
        <v>0</v>
      </c>
      <c r="C1066" s="122">
        <f t="shared" si="33"/>
        <v>0</v>
      </c>
      <c r="D1066" s="121">
        <f>ROUND(IF(C1066&lt;='FR_Mantenimiento tasas'!$C$55,'Tabla Ahorro Futuro Reservas'!C1066*'FR_Mantenimiento tasas'!$D$55/360,IF(C1066&lt;='FR_Mantenimiento tasas'!$C$56,'Tabla Ahorro Futuro Reservas'!C1066*'FR_Mantenimiento tasas'!$D$56/360,IF(C1066&lt;='FR_Mantenimiento tasas'!$C$57,'Tabla Ahorro Futuro Reservas'!C1066*'FR_Mantenimiento tasas'!$D$57/360,""))),5)</f>
        <v>0</v>
      </c>
      <c r="E1066" s="121">
        <f>ROUND(IF(C1066&lt;='FR_Mantenimiento tasas'!$C$55,'Tabla Ahorro Futuro Reservas'!C1066*'FR_Mantenimiento tasas'!$E$55/360,IF(C1066&lt;='FR_Mantenimiento tasas'!$C$56,'Tabla Ahorro Futuro Reservas'!C1066*'FR_Mantenimiento tasas'!$E$56/360,IF(C1066&lt;='FR_Mantenimiento tasas'!$C$57,'Tabla Ahorro Futuro Reservas'!C1066*'FR_Mantenimiento tasas'!$E$57/360,""))),5)</f>
        <v>0</v>
      </c>
    </row>
    <row r="1067" spans="1:5">
      <c r="A1067" s="123">
        <f t="shared" si="32"/>
        <v>1065</v>
      </c>
      <c r="B1067" s="122">
        <f>IF(DAY(A1067)=DAY('F-Ahorro Futuro Reservas'!$H$10),'F-Ahorro Futuro Reservas'!$H$9,0)</f>
        <v>0</v>
      </c>
      <c r="C1067" s="122">
        <f t="shared" si="33"/>
        <v>0</v>
      </c>
      <c r="D1067" s="121">
        <f>ROUND(IF(C1067&lt;='FR_Mantenimiento tasas'!$C$55,'Tabla Ahorro Futuro Reservas'!C1067*'FR_Mantenimiento tasas'!$D$55/360,IF(C1067&lt;='FR_Mantenimiento tasas'!$C$56,'Tabla Ahorro Futuro Reservas'!C1067*'FR_Mantenimiento tasas'!$D$56/360,IF(C1067&lt;='FR_Mantenimiento tasas'!$C$57,'Tabla Ahorro Futuro Reservas'!C1067*'FR_Mantenimiento tasas'!$D$57/360,""))),5)</f>
        <v>0</v>
      </c>
      <c r="E1067" s="121">
        <f>ROUND(IF(C1067&lt;='FR_Mantenimiento tasas'!$C$55,'Tabla Ahorro Futuro Reservas'!C1067*'FR_Mantenimiento tasas'!$E$55/360,IF(C1067&lt;='FR_Mantenimiento tasas'!$C$56,'Tabla Ahorro Futuro Reservas'!C1067*'FR_Mantenimiento tasas'!$E$56/360,IF(C1067&lt;='FR_Mantenimiento tasas'!$C$57,'Tabla Ahorro Futuro Reservas'!C1067*'FR_Mantenimiento tasas'!$E$57/360,""))),5)</f>
        <v>0</v>
      </c>
    </row>
    <row r="1068" spans="1:5">
      <c r="A1068" s="123">
        <f t="shared" si="32"/>
        <v>1066</v>
      </c>
      <c r="B1068" s="122">
        <f>IF(DAY(A1068)=DAY('F-Ahorro Futuro Reservas'!$H$10),'F-Ahorro Futuro Reservas'!$H$9,0)</f>
        <v>0</v>
      </c>
      <c r="C1068" s="122">
        <f t="shared" si="33"/>
        <v>0</v>
      </c>
      <c r="D1068" s="121">
        <f>ROUND(IF(C1068&lt;='FR_Mantenimiento tasas'!$C$55,'Tabla Ahorro Futuro Reservas'!C1068*'FR_Mantenimiento tasas'!$D$55/360,IF(C1068&lt;='FR_Mantenimiento tasas'!$C$56,'Tabla Ahorro Futuro Reservas'!C1068*'FR_Mantenimiento tasas'!$D$56/360,IF(C1068&lt;='FR_Mantenimiento tasas'!$C$57,'Tabla Ahorro Futuro Reservas'!C1068*'FR_Mantenimiento tasas'!$D$57/360,""))),5)</f>
        <v>0</v>
      </c>
      <c r="E1068" s="121">
        <f>ROUND(IF(C1068&lt;='FR_Mantenimiento tasas'!$C$55,'Tabla Ahorro Futuro Reservas'!C1068*'FR_Mantenimiento tasas'!$E$55/360,IF(C1068&lt;='FR_Mantenimiento tasas'!$C$56,'Tabla Ahorro Futuro Reservas'!C1068*'FR_Mantenimiento tasas'!$E$56/360,IF(C1068&lt;='FR_Mantenimiento tasas'!$C$57,'Tabla Ahorro Futuro Reservas'!C1068*'FR_Mantenimiento tasas'!$E$57/360,""))),5)</f>
        <v>0</v>
      </c>
    </row>
    <row r="1069" spans="1:5">
      <c r="A1069" s="123">
        <f t="shared" si="32"/>
        <v>1067</v>
      </c>
      <c r="B1069" s="122">
        <f>IF(DAY(A1069)=DAY('F-Ahorro Futuro Reservas'!$H$10),'F-Ahorro Futuro Reservas'!$H$9,0)</f>
        <v>0</v>
      </c>
      <c r="C1069" s="122">
        <f t="shared" si="33"/>
        <v>0</v>
      </c>
      <c r="D1069" s="121">
        <f>ROUND(IF(C1069&lt;='FR_Mantenimiento tasas'!$C$55,'Tabla Ahorro Futuro Reservas'!C1069*'FR_Mantenimiento tasas'!$D$55/360,IF(C1069&lt;='FR_Mantenimiento tasas'!$C$56,'Tabla Ahorro Futuro Reservas'!C1069*'FR_Mantenimiento tasas'!$D$56/360,IF(C1069&lt;='FR_Mantenimiento tasas'!$C$57,'Tabla Ahorro Futuro Reservas'!C1069*'FR_Mantenimiento tasas'!$D$57/360,""))),5)</f>
        <v>0</v>
      </c>
      <c r="E1069" s="121">
        <f>ROUND(IF(C1069&lt;='FR_Mantenimiento tasas'!$C$55,'Tabla Ahorro Futuro Reservas'!C1069*'FR_Mantenimiento tasas'!$E$55/360,IF(C1069&lt;='FR_Mantenimiento tasas'!$C$56,'Tabla Ahorro Futuro Reservas'!C1069*'FR_Mantenimiento tasas'!$E$56/360,IF(C1069&lt;='FR_Mantenimiento tasas'!$C$57,'Tabla Ahorro Futuro Reservas'!C1069*'FR_Mantenimiento tasas'!$E$57/360,""))),5)</f>
        <v>0</v>
      </c>
    </row>
    <row r="1070" spans="1:5">
      <c r="A1070" s="123">
        <f t="shared" si="32"/>
        <v>1068</v>
      </c>
      <c r="B1070" s="122">
        <f>IF(DAY(A1070)=DAY('F-Ahorro Futuro Reservas'!$H$10),'F-Ahorro Futuro Reservas'!$H$9,0)</f>
        <v>0</v>
      </c>
      <c r="C1070" s="122">
        <f t="shared" si="33"/>
        <v>0</v>
      </c>
      <c r="D1070" s="121">
        <f>ROUND(IF(C1070&lt;='FR_Mantenimiento tasas'!$C$55,'Tabla Ahorro Futuro Reservas'!C1070*'FR_Mantenimiento tasas'!$D$55/360,IF(C1070&lt;='FR_Mantenimiento tasas'!$C$56,'Tabla Ahorro Futuro Reservas'!C1070*'FR_Mantenimiento tasas'!$D$56/360,IF(C1070&lt;='FR_Mantenimiento tasas'!$C$57,'Tabla Ahorro Futuro Reservas'!C1070*'FR_Mantenimiento tasas'!$D$57/360,""))),5)</f>
        <v>0</v>
      </c>
      <c r="E1070" s="121">
        <f>ROUND(IF(C1070&lt;='FR_Mantenimiento tasas'!$C$55,'Tabla Ahorro Futuro Reservas'!C1070*'FR_Mantenimiento tasas'!$E$55/360,IF(C1070&lt;='FR_Mantenimiento tasas'!$C$56,'Tabla Ahorro Futuro Reservas'!C1070*'FR_Mantenimiento tasas'!$E$56/360,IF(C1070&lt;='FR_Mantenimiento tasas'!$C$57,'Tabla Ahorro Futuro Reservas'!C1070*'FR_Mantenimiento tasas'!$E$57/360,""))),5)</f>
        <v>0</v>
      </c>
    </row>
    <row r="1071" spans="1:5">
      <c r="A1071" s="123">
        <f t="shared" si="32"/>
        <v>1069</v>
      </c>
      <c r="B1071" s="122">
        <f>IF(DAY(A1071)=DAY('F-Ahorro Futuro Reservas'!$H$10),'F-Ahorro Futuro Reservas'!$H$9,0)</f>
        <v>0</v>
      </c>
      <c r="C1071" s="122">
        <f t="shared" si="33"/>
        <v>0</v>
      </c>
      <c r="D1071" s="121">
        <f>ROUND(IF(C1071&lt;='FR_Mantenimiento tasas'!$C$55,'Tabla Ahorro Futuro Reservas'!C1071*'FR_Mantenimiento tasas'!$D$55/360,IF(C1071&lt;='FR_Mantenimiento tasas'!$C$56,'Tabla Ahorro Futuro Reservas'!C1071*'FR_Mantenimiento tasas'!$D$56/360,IF(C1071&lt;='FR_Mantenimiento tasas'!$C$57,'Tabla Ahorro Futuro Reservas'!C1071*'FR_Mantenimiento tasas'!$D$57/360,""))),5)</f>
        <v>0</v>
      </c>
      <c r="E1071" s="121">
        <f>ROUND(IF(C1071&lt;='FR_Mantenimiento tasas'!$C$55,'Tabla Ahorro Futuro Reservas'!C1071*'FR_Mantenimiento tasas'!$E$55/360,IF(C1071&lt;='FR_Mantenimiento tasas'!$C$56,'Tabla Ahorro Futuro Reservas'!C1071*'FR_Mantenimiento tasas'!$E$56/360,IF(C1071&lt;='FR_Mantenimiento tasas'!$C$57,'Tabla Ahorro Futuro Reservas'!C1071*'FR_Mantenimiento tasas'!$E$57/360,""))),5)</f>
        <v>0</v>
      </c>
    </row>
    <row r="1072" spans="1:5">
      <c r="A1072" s="123">
        <f t="shared" si="32"/>
        <v>1070</v>
      </c>
      <c r="B1072" s="122">
        <f>IF(DAY(A1072)=DAY('F-Ahorro Futuro Reservas'!$H$10),'F-Ahorro Futuro Reservas'!$H$9,0)</f>
        <v>0</v>
      </c>
      <c r="C1072" s="122">
        <f t="shared" si="33"/>
        <v>0</v>
      </c>
      <c r="D1072" s="121">
        <f>ROUND(IF(C1072&lt;='FR_Mantenimiento tasas'!$C$55,'Tabla Ahorro Futuro Reservas'!C1072*'FR_Mantenimiento tasas'!$D$55/360,IF(C1072&lt;='FR_Mantenimiento tasas'!$C$56,'Tabla Ahorro Futuro Reservas'!C1072*'FR_Mantenimiento tasas'!$D$56/360,IF(C1072&lt;='FR_Mantenimiento tasas'!$C$57,'Tabla Ahorro Futuro Reservas'!C1072*'FR_Mantenimiento tasas'!$D$57/360,""))),5)</f>
        <v>0</v>
      </c>
      <c r="E1072" s="121">
        <f>ROUND(IF(C1072&lt;='FR_Mantenimiento tasas'!$C$55,'Tabla Ahorro Futuro Reservas'!C1072*'FR_Mantenimiento tasas'!$E$55/360,IF(C1072&lt;='FR_Mantenimiento tasas'!$C$56,'Tabla Ahorro Futuro Reservas'!C1072*'FR_Mantenimiento tasas'!$E$56/360,IF(C1072&lt;='FR_Mantenimiento tasas'!$C$57,'Tabla Ahorro Futuro Reservas'!C1072*'FR_Mantenimiento tasas'!$E$57/360,""))),5)</f>
        <v>0</v>
      </c>
    </row>
    <row r="1073" spans="1:5">
      <c r="A1073" s="123">
        <f t="shared" si="32"/>
        <v>1071</v>
      </c>
      <c r="B1073" s="122">
        <f>IF(DAY(A1073)=DAY('F-Ahorro Futuro Reservas'!$H$10),'F-Ahorro Futuro Reservas'!$H$9,0)</f>
        <v>0</v>
      </c>
      <c r="C1073" s="122">
        <f t="shared" si="33"/>
        <v>0</v>
      </c>
      <c r="D1073" s="121">
        <f>ROUND(IF(C1073&lt;='FR_Mantenimiento tasas'!$C$55,'Tabla Ahorro Futuro Reservas'!C1073*'FR_Mantenimiento tasas'!$D$55/360,IF(C1073&lt;='FR_Mantenimiento tasas'!$C$56,'Tabla Ahorro Futuro Reservas'!C1073*'FR_Mantenimiento tasas'!$D$56/360,IF(C1073&lt;='FR_Mantenimiento tasas'!$C$57,'Tabla Ahorro Futuro Reservas'!C1073*'FR_Mantenimiento tasas'!$D$57/360,""))),5)</f>
        <v>0</v>
      </c>
      <c r="E1073" s="121">
        <f>ROUND(IF(C1073&lt;='FR_Mantenimiento tasas'!$C$55,'Tabla Ahorro Futuro Reservas'!C1073*'FR_Mantenimiento tasas'!$E$55/360,IF(C1073&lt;='FR_Mantenimiento tasas'!$C$56,'Tabla Ahorro Futuro Reservas'!C1073*'FR_Mantenimiento tasas'!$E$56/360,IF(C1073&lt;='FR_Mantenimiento tasas'!$C$57,'Tabla Ahorro Futuro Reservas'!C1073*'FR_Mantenimiento tasas'!$E$57/360,""))),5)</f>
        <v>0</v>
      </c>
    </row>
    <row r="1074" spans="1:5">
      <c r="A1074" s="123">
        <f t="shared" si="32"/>
        <v>1072</v>
      </c>
      <c r="B1074" s="122">
        <f>IF(DAY(A1074)=DAY('F-Ahorro Futuro Reservas'!$H$10),'F-Ahorro Futuro Reservas'!$H$9,0)</f>
        <v>0</v>
      </c>
      <c r="C1074" s="122">
        <f t="shared" si="33"/>
        <v>0</v>
      </c>
      <c r="D1074" s="121">
        <f>ROUND(IF(C1074&lt;='FR_Mantenimiento tasas'!$C$55,'Tabla Ahorro Futuro Reservas'!C1074*'FR_Mantenimiento tasas'!$D$55/360,IF(C1074&lt;='FR_Mantenimiento tasas'!$C$56,'Tabla Ahorro Futuro Reservas'!C1074*'FR_Mantenimiento tasas'!$D$56/360,IF(C1074&lt;='FR_Mantenimiento tasas'!$C$57,'Tabla Ahorro Futuro Reservas'!C1074*'FR_Mantenimiento tasas'!$D$57/360,""))),5)</f>
        <v>0</v>
      </c>
      <c r="E1074" s="121">
        <f>ROUND(IF(C1074&lt;='FR_Mantenimiento tasas'!$C$55,'Tabla Ahorro Futuro Reservas'!C1074*'FR_Mantenimiento tasas'!$E$55/360,IF(C1074&lt;='FR_Mantenimiento tasas'!$C$56,'Tabla Ahorro Futuro Reservas'!C1074*'FR_Mantenimiento tasas'!$E$56/360,IF(C1074&lt;='FR_Mantenimiento tasas'!$C$57,'Tabla Ahorro Futuro Reservas'!C1074*'FR_Mantenimiento tasas'!$E$57/360,""))),5)</f>
        <v>0</v>
      </c>
    </row>
    <row r="1075" spans="1:5">
      <c r="A1075" s="123">
        <f t="shared" si="32"/>
        <v>1073</v>
      </c>
      <c r="B1075" s="122">
        <f>IF(DAY(A1075)=DAY('F-Ahorro Futuro Reservas'!$H$10),'F-Ahorro Futuro Reservas'!$H$9,0)</f>
        <v>0</v>
      </c>
      <c r="C1075" s="122">
        <f t="shared" si="33"/>
        <v>0</v>
      </c>
      <c r="D1075" s="121">
        <f>ROUND(IF(C1075&lt;='FR_Mantenimiento tasas'!$C$55,'Tabla Ahorro Futuro Reservas'!C1075*'FR_Mantenimiento tasas'!$D$55/360,IF(C1075&lt;='FR_Mantenimiento tasas'!$C$56,'Tabla Ahorro Futuro Reservas'!C1075*'FR_Mantenimiento tasas'!$D$56/360,IF(C1075&lt;='FR_Mantenimiento tasas'!$C$57,'Tabla Ahorro Futuro Reservas'!C1075*'FR_Mantenimiento tasas'!$D$57/360,""))),5)</f>
        <v>0</v>
      </c>
      <c r="E1075" s="121">
        <f>ROUND(IF(C1075&lt;='FR_Mantenimiento tasas'!$C$55,'Tabla Ahorro Futuro Reservas'!C1075*'FR_Mantenimiento tasas'!$E$55/360,IF(C1075&lt;='FR_Mantenimiento tasas'!$C$56,'Tabla Ahorro Futuro Reservas'!C1075*'FR_Mantenimiento tasas'!$E$56/360,IF(C1075&lt;='FR_Mantenimiento tasas'!$C$57,'Tabla Ahorro Futuro Reservas'!C1075*'FR_Mantenimiento tasas'!$E$57/360,""))),5)</f>
        <v>0</v>
      </c>
    </row>
    <row r="1076" spans="1:5">
      <c r="A1076" s="123">
        <f t="shared" si="32"/>
        <v>1074</v>
      </c>
      <c r="B1076" s="122">
        <f>IF(DAY(A1076)=DAY('F-Ahorro Futuro Reservas'!$H$10),'F-Ahorro Futuro Reservas'!$H$9,0)</f>
        <v>0</v>
      </c>
      <c r="C1076" s="122">
        <f t="shared" si="33"/>
        <v>0</v>
      </c>
      <c r="D1076" s="121">
        <f>ROUND(IF(C1076&lt;='FR_Mantenimiento tasas'!$C$55,'Tabla Ahorro Futuro Reservas'!C1076*'FR_Mantenimiento tasas'!$D$55/360,IF(C1076&lt;='FR_Mantenimiento tasas'!$C$56,'Tabla Ahorro Futuro Reservas'!C1076*'FR_Mantenimiento tasas'!$D$56/360,IF(C1076&lt;='FR_Mantenimiento tasas'!$C$57,'Tabla Ahorro Futuro Reservas'!C1076*'FR_Mantenimiento tasas'!$D$57/360,""))),5)</f>
        <v>0</v>
      </c>
      <c r="E1076" s="121">
        <f>ROUND(IF(C1076&lt;='FR_Mantenimiento tasas'!$C$55,'Tabla Ahorro Futuro Reservas'!C1076*'FR_Mantenimiento tasas'!$E$55/360,IF(C1076&lt;='FR_Mantenimiento tasas'!$C$56,'Tabla Ahorro Futuro Reservas'!C1076*'FR_Mantenimiento tasas'!$E$56/360,IF(C1076&lt;='FR_Mantenimiento tasas'!$C$57,'Tabla Ahorro Futuro Reservas'!C1076*'FR_Mantenimiento tasas'!$E$57/360,""))),5)</f>
        <v>0</v>
      </c>
    </row>
    <row r="1077" spans="1:5">
      <c r="A1077" s="123">
        <f t="shared" si="32"/>
        <v>1075</v>
      </c>
      <c r="B1077" s="122">
        <f>IF(DAY(A1077)=DAY('F-Ahorro Futuro Reservas'!$H$10),'F-Ahorro Futuro Reservas'!$H$9,0)</f>
        <v>0</v>
      </c>
      <c r="C1077" s="122">
        <f t="shared" si="33"/>
        <v>0</v>
      </c>
      <c r="D1077" s="121">
        <f>ROUND(IF(C1077&lt;='FR_Mantenimiento tasas'!$C$55,'Tabla Ahorro Futuro Reservas'!C1077*'FR_Mantenimiento tasas'!$D$55/360,IF(C1077&lt;='FR_Mantenimiento tasas'!$C$56,'Tabla Ahorro Futuro Reservas'!C1077*'FR_Mantenimiento tasas'!$D$56/360,IF(C1077&lt;='FR_Mantenimiento tasas'!$C$57,'Tabla Ahorro Futuro Reservas'!C1077*'FR_Mantenimiento tasas'!$D$57/360,""))),5)</f>
        <v>0</v>
      </c>
      <c r="E1077" s="121">
        <f>ROUND(IF(C1077&lt;='FR_Mantenimiento tasas'!$C$55,'Tabla Ahorro Futuro Reservas'!C1077*'FR_Mantenimiento tasas'!$E$55/360,IF(C1077&lt;='FR_Mantenimiento tasas'!$C$56,'Tabla Ahorro Futuro Reservas'!C1077*'FR_Mantenimiento tasas'!$E$56/360,IF(C1077&lt;='FR_Mantenimiento tasas'!$C$57,'Tabla Ahorro Futuro Reservas'!C1077*'FR_Mantenimiento tasas'!$E$57/360,""))),5)</f>
        <v>0</v>
      </c>
    </row>
    <row r="1078" spans="1:5">
      <c r="A1078" s="123">
        <f t="shared" si="32"/>
        <v>1076</v>
      </c>
      <c r="B1078" s="122">
        <f>IF(DAY(A1078)=DAY('F-Ahorro Futuro Reservas'!$H$10),'F-Ahorro Futuro Reservas'!$H$9,0)</f>
        <v>0</v>
      </c>
      <c r="C1078" s="122">
        <f t="shared" si="33"/>
        <v>0</v>
      </c>
      <c r="D1078" s="121">
        <f>ROUND(IF(C1078&lt;='FR_Mantenimiento tasas'!$C$55,'Tabla Ahorro Futuro Reservas'!C1078*'FR_Mantenimiento tasas'!$D$55/360,IF(C1078&lt;='FR_Mantenimiento tasas'!$C$56,'Tabla Ahorro Futuro Reservas'!C1078*'FR_Mantenimiento tasas'!$D$56/360,IF(C1078&lt;='FR_Mantenimiento tasas'!$C$57,'Tabla Ahorro Futuro Reservas'!C1078*'FR_Mantenimiento tasas'!$D$57/360,""))),5)</f>
        <v>0</v>
      </c>
      <c r="E1078" s="121">
        <f>ROUND(IF(C1078&lt;='FR_Mantenimiento tasas'!$C$55,'Tabla Ahorro Futuro Reservas'!C1078*'FR_Mantenimiento tasas'!$E$55/360,IF(C1078&lt;='FR_Mantenimiento tasas'!$C$56,'Tabla Ahorro Futuro Reservas'!C1078*'FR_Mantenimiento tasas'!$E$56/360,IF(C1078&lt;='FR_Mantenimiento tasas'!$C$57,'Tabla Ahorro Futuro Reservas'!C1078*'FR_Mantenimiento tasas'!$E$57/360,""))),5)</f>
        <v>0</v>
      </c>
    </row>
    <row r="1079" spans="1:5">
      <c r="A1079" s="123">
        <f t="shared" si="32"/>
        <v>1077</v>
      </c>
      <c r="B1079" s="122">
        <f>IF(DAY(A1079)=DAY('F-Ahorro Futuro Reservas'!$H$10),'F-Ahorro Futuro Reservas'!$H$9,0)</f>
        <v>0</v>
      </c>
      <c r="C1079" s="122">
        <f t="shared" si="33"/>
        <v>0</v>
      </c>
      <c r="D1079" s="121">
        <f>ROUND(IF(C1079&lt;='FR_Mantenimiento tasas'!$C$55,'Tabla Ahorro Futuro Reservas'!C1079*'FR_Mantenimiento tasas'!$D$55/360,IF(C1079&lt;='FR_Mantenimiento tasas'!$C$56,'Tabla Ahorro Futuro Reservas'!C1079*'FR_Mantenimiento tasas'!$D$56/360,IF(C1079&lt;='FR_Mantenimiento tasas'!$C$57,'Tabla Ahorro Futuro Reservas'!C1079*'FR_Mantenimiento tasas'!$D$57/360,""))),5)</f>
        <v>0</v>
      </c>
      <c r="E1079" s="121">
        <f>ROUND(IF(C1079&lt;='FR_Mantenimiento tasas'!$C$55,'Tabla Ahorro Futuro Reservas'!C1079*'FR_Mantenimiento tasas'!$E$55/360,IF(C1079&lt;='FR_Mantenimiento tasas'!$C$56,'Tabla Ahorro Futuro Reservas'!C1079*'FR_Mantenimiento tasas'!$E$56/360,IF(C1079&lt;='FR_Mantenimiento tasas'!$C$57,'Tabla Ahorro Futuro Reservas'!C1079*'FR_Mantenimiento tasas'!$E$57/360,""))),5)</f>
        <v>0</v>
      </c>
    </row>
    <row r="1080" spans="1:5">
      <c r="A1080" s="123">
        <f t="shared" si="32"/>
        <v>1078</v>
      </c>
      <c r="B1080" s="122">
        <f>IF(DAY(A1080)=DAY('F-Ahorro Futuro Reservas'!$H$10),'F-Ahorro Futuro Reservas'!$H$9,0)</f>
        <v>0</v>
      </c>
      <c r="C1080" s="122">
        <f t="shared" si="33"/>
        <v>0</v>
      </c>
      <c r="D1080" s="121">
        <f>ROUND(IF(C1080&lt;='FR_Mantenimiento tasas'!$C$55,'Tabla Ahorro Futuro Reservas'!C1080*'FR_Mantenimiento tasas'!$D$55/360,IF(C1080&lt;='FR_Mantenimiento tasas'!$C$56,'Tabla Ahorro Futuro Reservas'!C1080*'FR_Mantenimiento tasas'!$D$56/360,IF(C1080&lt;='FR_Mantenimiento tasas'!$C$57,'Tabla Ahorro Futuro Reservas'!C1080*'FR_Mantenimiento tasas'!$D$57/360,""))),5)</f>
        <v>0</v>
      </c>
      <c r="E1080" s="121">
        <f>ROUND(IF(C1080&lt;='FR_Mantenimiento tasas'!$C$55,'Tabla Ahorro Futuro Reservas'!C1080*'FR_Mantenimiento tasas'!$E$55/360,IF(C1080&lt;='FR_Mantenimiento tasas'!$C$56,'Tabla Ahorro Futuro Reservas'!C1080*'FR_Mantenimiento tasas'!$E$56/360,IF(C1080&lt;='FR_Mantenimiento tasas'!$C$57,'Tabla Ahorro Futuro Reservas'!C1080*'FR_Mantenimiento tasas'!$E$57/360,""))),5)</f>
        <v>0</v>
      </c>
    </row>
    <row r="1081" spans="1:5">
      <c r="A1081" s="123">
        <f t="shared" si="32"/>
        <v>1079</v>
      </c>
      <c r="B1081" s="122">
        <f>IF(DAY(A1081)=DAY('F-Ahorro Futuro Reservas'!$H$10),'F-Ahorro Futuro Reservas'!$H$9,0)</f>
        <v>0</v>
      </c>
      <c r="C1081" s="122">
        <f t="shared" si="33"/>
        <v>0</v>
      </c>
      <c r="D1081" s="121">
        <f>ROUND(IF(C1081&lt;='FR_Mantenimiento tasas'!$C$55,'Tabla Ahorro Futuro Reservas'!C1081*'FR_Mantenimiento tasas'!$D$55/360,IF(C1081&lt;='FR_Mantenimiento tasas'!$C$56,'Tabla Ahorro Futuro Reservas'!C1081*'FR_Mantenimiento tasas'!$D$56/360,IF(C1081&lt;='FR_Mantenimiento tasas'!$C$57,'Tabla Ahorro Futuro Reservas'!C1081*'FR_Mantenimiento tasas'!$D$57/360,""))),5)</f>
        <v>0</v>
      </c>
      <c r="E1081" s="121">
        <f>ROUND(IF(C1081&lt;='FR_Mantenimiento tasas'!$C$55,'Tabla Ahorro Futuro Reservas'!C1081*'FR_Mantenimiento tasas'!$E$55/360,IF(C1081&lt;='FR_Mantenimiento tasas'!$C$56,'Tabla Ahorro Futuro Reservas'!C1081*'FR_Mantenimiento tasas'!$E$56/360,IF(C1081&lt;='FR_Mantenimiento tasas'!$C$57,'Tabla Ahorro Futuro Reservas'!C1081*'FR_Mantenimiento tasas'!$E$57/360,""))),5)</f>
        <v>0</v>
      </c>
    </row>
    <row r="1082" spans="1:5">
      <c r="A1082" s="123">
        <f t="shared" si="32"/>
        <v>1080</v>
      </c>
      <c r="B1082" s="122">
        <f>IF(DAY(A1082)=DAY('F-Ahorro Futuro Reservas'!$H$10),'F-Ahorro Futuro Reservas'!$H$9,0)</f>
        <v>0</v>
      </c>
      <c r="C1082" s="122">
        <f t="shared" si="33"/>
        <v>0</v>
      </c>
      <c r="D1082" s="121">
        <f>ROUND(IF(C1082&lt;='FR_Mantenimiento tasas'!$C$55,'Tabla Ahorro Futuro Reservas'!C1082*'FR_Mantenimiento tasas'!$D$55/360,IF(C1082&lt;='FR_Mantenimiento tasas'!$C$56,'Tabla Ahorro Futuro Reservas'!C1082*'FR_Mantenimiento tasas'!$D$56/360,IF(C1082&lt;='FR_Mantenimiento tasas'!$C$57,'Tabla Ahorro Futuro Reservas'!C1082*'FR_Mantenimiento tasas'!$D$57/360,""))),5)</f>
        <v>0</v>
      </c>
      <c r="E1082" s="121">
        <f>ROUND(IF(C1082&lt;='FR_Mantenimiento tasas'!$C$55,'Tabla Ahorro Futuro Reservas'!C1082*'FR_Mantenimiento tasas'!$E$55/360,IF(C1082&lt;='FR_Mantenimiento tasas'!$C$56,'Tabla Ahorro Futuro Reservas'!C1082*'FR_Mantenimiento tasas'!$E$56/360,IF(C1082&lt;='FR_Mantenimiento tasas'!$C$57,'Tabla Ahorro Futuro Reservas'!C1082*'FR_Mantenimiento tasas'!$E$57/360,""))),5)</f>
        <v>0</v>
      </c>
    </row>
    <row r="1083" spans="1:5">
      <c r="A1083" s="123">
        <f t="shared" si="32"/>
        <v>1081</v>
      </c>
      <c r="B1083" s="122">
        <f>IF(DAY(A1083)=DAY('F-Ahorro Futuro Reservas'!$H$10),'F-Ahorro Futuro Reservas'!$H$9,0)</f>
        <v>0</v>
      </c>
      <c r="C1083" s="122">
        <f t="shared" si="33"/>
        <v>0</v>
      </c>
      <c r="D1083" s="121">
        <f>ROUND(IF(C1083&lt;='FR_Mantenimiento tasas'!$C$55,'Tabla Ahorro Futuro Reservas'!C1083*'FR_Mantenimiento tasas'!$D$55/360,IF(C1083&lt;='FR_Mantenimiento tasas'!$C$56,'Tabla Ahorro Futuro Reservas'!C1083*'FR_Mantenimiento tasas'!$D$56/360,IF(C1083&lt;='FR_Mantenimiento tasas'!$C$57,'Tabla Ahorro Futuro Reservas'!C1083*'FR_Mantenimiento tasas'!$D$57/360,""))),5)</f>
        <v>0</v>
      </c>
      <c r="E1083" s="121">
        <f>ROUND(IF(C1083&lt;='FR_Mantenimiento tasas'!$C$55,'Tabla Ahorro Futuro Reservas'!C1083*'FR_Mantenimiento tasas'!$E$55/360,IF(C1083&lt;='FR_Mantenimiento tasas'!$C$56,'Tabla Ahorro Futuro Reservas'!C1083*'FR_Mantenimiento tasas'!$E$56/360,IF(C1083&lt;='FR_Mantenimiento tasas'!$C$57,'Tabla Ahorro Futuro Reservas'!C1083*'FR_Mantenimiento tasas'!$E$57/360,""))),5)</f>
        <v>0</v>
      </c>
    </row>
    <row r="1084" spans="1:5">
      <c r="A1084" s="123">
        <f t="shared" si="32"/>
        <v>1082</v>
      </c>
      <c r="B1084" s="122">
        <f>IF(DAY(A1084)=DAY('F-Ahorro Futuro Reservas'!$H$10),'F-Ahorro Futuro Reservas'!$H$9,0)</f>
        <v>0</v>
      </c>
      <c r="C1084" s="122">
        <f t="shared" si="33"/>
        <v>0</v>
      </c>
      <c r="D1084" s="121">
        <f>ROUND(IF(C1084&lt;='FR_Mantenimiento tasas'!$C$55,'Tabla Ahorro Futuro Reservas'!C1084*'FR_Mantenimiento tasas'!$D$55/360,IF(C1084&lt;='FR_Mantenimiento tasas'!$C$56,'Tabla Ahorro Futuro Reservas'!C1084*'FR_Mantenimiento tasas'!$D$56/360,IF(C1084&lt;='FR_Mantenimiento tasas'!$C$57,'Tabla Ahorro Futuro Reservas'!C1084*'FR_Mantenimiento tasas'!$D$57/360,""))),5)</f>
        <v>0</v>
      </c>
      <c r="E1084" s="121">
        <f>ROUND(IF(C1084&lt;='FR_Mantenimiento tasas'!$C$55,'Tabla Ahorro Futuro Reservas'!C1084*'FR_Mantenimiento tasas'!$E$55/360,IF(C1084&lt;='FR_Mantenimiento tasas'!$C$56,'Tabla Ahorro Futuro Reservas'!C1084*'FR_Mantenimiento tasas'!$E$56/360,IF(C1084&lt;='FR_Mantenimiento tasas'!$C$57,'Tabla Ahorro Futuro Reservas'!C1084*'FR_Mantenimiento tasas'!$E$57/360,""))),5)</f>
        <v>0</v>
      </c>
    </row>
    <row r="1085" spans="1:5">
      <c r="A1085" s="123">
        <f t="shared" si="32"/>
        <v>1083</v>
      </c>
      <c r="B1085" s="122">
        <f>IF(DAY(A1085)=DAY('F-Ahorro Futuro Reservas'!$H$10),'F-Ahorro Futuro Reservas'!$H$9,0)</f>
        <v>0</v>
      </c>
      <c r="C1085" s="122">
        <f t="shared" si="33"/>
        <v>0</v>
      </c>
      <c r="D1085" s="121">
        <f>ROUND(IF(C1085&lt;='FR_Mantenimiento tasas'!$C$55,'Tabla Ahorro Futuro Reservas'!C1085*'FR_Mantenimiento tasas'!$D$55/360,IF(C1085&lt;='FR_Mantenimiento tasas'!$C$56,'Tabla Ahorro Futuro Reservas'!C1085*'FR_Mantenimiento tasas'!$D$56/360,IF(C1085&lt;='FR_Mantenimiento tasas'!$C$57,'Tabla Ahorro Futuro Reservas'!C1085*'FR_Mantenimiento tasas'!$D$57/360,""))),5)</f>
        <v>0</v>
      </c>
      <c r="E1085" s="121">
        <f>ROUND(IF(C1085&lt;='FR_Mantenimiento tasas'!$C$55,'Tabla Ahorro Futuro Reservas'!C1085*'FR_Mantenimiento tasas'!$E$55/360,IF(C1085&lt;='FR_Mantenimiento tasas'!$C$56,'Tabla Ahorro Futuro Reservas'!C1085*'FR_Mantenimiento tasas'!$E$56/360,IF(C1085&lt;='FR_Mantenimiento tasas'!$C$57,'Tabla Ahorro Futuro Reservas'!C1085*'FR_Mantenimiento tasas'!$E$57/360,""))),5)</f>
        <v>0</v>
      </c>
    </row>
    <row r="1086" spans="1:5">
      <c r="A1086" s="123">
        <f t="shared" si="32"/>
        <v>1084</v>
      </c>
      <c r="B1086" s="122">
        <f>IF(DAY(A1086)=DAY('F-Ahorro Futuro Reservas'!$H$10),'F-Ahorro Futuro Reservas'!$H$9,0)</f>
        <v>0</v>
      </c>
      <c r="C1086" s="122">
        <f t="shared" si="33"/>
        <v>0</v>
      </c>
      <c r="D1086" s="121">
        <f>ROUND(IF(C1086&lt;='FR_Mantenimiento tasas'!$C$55,'Tabla Ahorro Futuro Reservas'!C1086*'FR_Mantenimiento tasas'!$D$55/360,IF(C1086&lt;='FR_Mantenimiento tasas'!$C$56,'Tabla Ahorro Futuro Reservas'!C1086*'FR_Mantenimiento tasas'!$D$56/360,IF(C1086&lt;='FR_Mantenimiento tasas'!$C$57,'Tabla Ahorro Futuro Reservas'!C1086*'FR_Mantenimiento tasas'!$D$57/360,""))),5)</f>
        <v>0</v>
      </c>
      <c r="E1086" s="121">
        <f>ROUND(IF(C1086&lt;='FR_Mantenimiento tasas'!$C$55,'Tabla Ahorro Futuro Reservas'!C1086*'FR_Mantenimiento tasas'!$E$55/360,IF(C1086&lt;='FR_Mantenimiento tasas'!$C$56,'Tabla Ahorro Futuro Reservas'!C1086*'FR_Mantenimiento tasas'!$E$56/360,IF(C1086&lt;='FR_Mantenimiento tasas'!$C$57,'Tabla Ahorro Futuro Reservas'!C1086*'FR_Mantenimiento tasas'!$E$57/360,""))),5)</f>
        <v>0</v>
      </c>
    </row>
    <row r="1087" spans="1:5">
      <c r="A1087" s="123">
        <f t="shared" si="32"/>
        <v>1085</v>
      </c>
      <c r="B1087" s="122">
        <f>IF(DAY(A1087)=DAY('F-Ahorro Futuro Reservas'!$H$10),'F-Ahorro Futuro Reservas'!$H$9,0)</f>
        <v>0</v>
      </c>
      <c r="C1087" s="122">
        <f t="shared" si="33"/>
        <v>0</v>
      </c>
      <c r="D1087" s="121">
        <f>ROUND(IF(C1087&lt;='FR_Mantenimiento tasas'!$C$55,'Tabla Ahorro Futuro Reservas'!C1087*'FR_Mantenimiento tasas'!$D$55/360,IF(C1087&lt;='FR_Mantenimiento tasas'!$C$56,'Tabla Ahorro Futuro Reservas'!C1087*'FR_Mantenimiento tasas'!$D$56/360,IF(C1087&lt;='FR_Mantenimiento tasas'!$C$57,'Tabla Ahorro Futuro Reservas'!C1087*'FR_Mantenimiento tasas'!$D$57/360,""))),5)</f>
        <v>0</v>
      </c>
      <c r="E1087" s="121">
        <f>ROUND(IF(C1087&lt;='FR_Mantenimiento tasas'!$C$55,'Tabla Ahorro Futuro Reservas'!C1087*'FR_Mantenimiento tasas'!$E$55/360,IF(C1087&lt;='FR_Mantenimiento tasas'!$C$56,'Tabla Ahorro Futuro Reservas'!C1087*'FR_Mantenimiento tasas'!$E$56/360,IF(C1087&lt;='FR_Mantenimiento tasas'!$C$57,'Tabla Ahorro Futuro Reservas'!C1087*'FR_Mantenimiento tasas'!$E$57/360,""))),5)</f>
        <v>0</v>
      </c>
    </row>
    <row r="1088" spans="1:5">
      <c r="A1088" s="123">
        <f t="shared" si="32"/>
        <v>1086</v>
      </c>
      <c r="B1088" s="122">
        <f>IF(DAY(A1088)=DAY('F-Ahorro Futuro Reservas'!$H$10),'F-Ahorro Futuro Reservas'!$H$9,0)</f>
        <v>0</v>
      </c>
      <c r="C1088" s="122">
        <f t="shared" si="33"/>
        <v>0</v>
      </c>
      <c r="D1088" s="121">
        <f>ROUND(IF(C1088&lt;='FR_Mantenimiento tasas'!$C$55,'Tabla Ahorro Futuro Reservas'!C1088*'FR_Mantenimiento tasas'!$D$55/360,IF(C1088&lt;='FR_Mantenimiento tasas'!$C$56,'Tabla Ahorro Futuro Reservas'!C1088*'FR_Mantenimiento tasas'!$D$56/360,IF(C1088&lt;='FR_Mantenimiento tasas'!$C$57,'Tabla Ahorro Futuro Reservas'!C1088*'FR_Mantenimiento tasas'!$D$57/360,""))),5)</f>
        <v>0</v>
      </c>
      <c r="E1088" s="121">
        <f>ROUND(IF(C1088&lt;='FR_Mantenimiento tasas'!$C$55,'Tabla Ahorro Futuro Reservas'!C1088*'FR_Mantenimiento tasas'!$E$55/360,IF(C1088&lt;='FR_Mantenimiento tasas'!$C$56,'Tabla Ahorro Futuro Reservas'!C1088*'FR_Mantenimiento tasas'!$E$56/360,IF(C1088&lt;='FR_Mantenimiento tasas'!$C$57,'Tabla Ahorro Futuro Reservas'!C1088*'FR_Mantenimiento tasas'!$E$57/360,""))),5)</f>
        <v>0</v>
      </c>
    </row>
    <row r="1089" spans="1:5">
      <c r="A1089" s="123">
        <f t="shared" si="32"/>
        <v>1087</v>
      </c>
      <c r="B1089" s="122">
        <f>IF(DAY(A1089)=DAY('F-Ahorro Futuro Reservas'!$H$10),'F-Ahorro Futuro Reservas'!$H$9,0)</f>
        <v>0</v>
      </c>
      <c r="C1089" s="122">
        <f t="shared" si="33"/>
        <v>0</v>
      </c>
      <c r="D1089" s="121">
        <f>ROUND(IF(C1089&lt;='FR_Mantenimiento tasas'!$C$55,'Tabla Ahorro Futuro Reservas'!C1089*'FR_Mantenimiento tasas'!$D$55/360,IF(C1089&lt;='FR_Mantenimiento tasas'!$C$56,'Tabla Ahorro Futuro Reservas'!C1089*'FR_Mantenimiento tasas'!$D$56/360,IF(C1089&lt;='FR_Mantenimiento tasas'!$C$57,'Tabla Ahorro Futuro Reservas'!C1089*'FR_Mantenimiento tasas'!$D$57/360,""))),5)</f>
        <v>0</v>
      </c>
      <c r="E1089" s="121">
        <f>ROUND(IF(C1089&lt;='FR_Mantenimiento tasas'!$C$55,'Tabla Ahorro Futuro Reservas'!C1089*'FR_Mantenimiento tasas'!$E$55/360,IF(C1089&lt;='FR_Mantenimiento tasas'!$C$56,'Tabla Ahorro Futuro Reservas'!C1089*'FR_Mantenimiento tasas'!$E$56/360,IF(C1089&lt;='FR_Mantenimiento tasas'!$C$57,'Tabla Ahorro Futuro Reservas'!C1089*'FR_Mantenimiento tasas'!$E$57/360,""))),5)</f>
        <v>0</v>
      </c>
    </row>
    <row r="1090" spans="1:5">
      <c r="A1090" s="123">
        <f t="shared" si="32"/>
        <v>1088</v>
      </c>
      <c r="B1090" s="122">
        <f>IF(DAY(A1090)=DAY('F-Ahorro Futuro Reservas'!$H$10),'F-Ahorro Futuro Reservas'!$H$9,0)</f>
        <v>0</v>
      </c>
      <c r="C1090" s="122">
        <f t="shared" si="33"/>
        <v>0</v>
      </c>
      <c r="D1090" s="121">
        <f>ROUND(IF(C1090&lt;='FR_Mantenimiento tasas'!$C$55,'Tabla Ahorro Futuro Reservas'!C1090*'FR_Mantenimiento tasas'!$D$55/360,IF(C1090&lt;='FR_Mantenimiento tasas'!$C$56,'Tabla Ahorro Futuro Reservas'!C1090*'FR_Mantenimiento tasas'!$D$56/360,IF(C1090&lt;='FR_Mantenimiento tasas'!$C$57,'Tabla Ahorro Futuro Reservas'!C1090*'FR_Mantenimiento tasas'!$D$57/360,""))),5)</f>
        <v>0</v>
      </c>
      <c r="E1090" s="121">
        <f>ROUND(IF(C1090&lt;='FR_Mantenimiento tasas'!$C$55,'Tabla Ahorro Futuro Reservas'!C1090*'FR_Mantenimiento tasas'!$E$55/360,IF(C1090&lt;='FR_Mantenimiento tasas'!$C$56,'Tabla Ahorro Futuro Reservas'!C1090*'FR_Mantenimiento tasas'!$E$56/360,IF(C1090&lt;='FR_Mantenimiento tasas'!$C$57,'Tabla Ahorro Futuro Reservas'!C1090*'FR_Mantenimiento tasas'!$E$57/360,""))),5)</f>
        <v>0</v>
      </c>
    </row>
    <row r="1091" spans="1:5">
      <c r="A1091" s="123">
        <f t="shared" si="32"/>
        <v>1089</v>
      </c>
      <c r="B1091" s="122">
        <f>IF(DAY(A1091)=DAY('F-Ahorro Futuro Reservas'!$H$10),'F-Ahorro Futuro Reservas'!$H$9,0)</f>
        <v>0</v>
      </c>
      <c r="C1091" s="122">
        <f t="shared" si="33"/>
        <v>0</v>
      </c>
      <c r="D1091" s="121">
        <f>ROUND(IF(C1091&lt;='FR_Mantenimiento tasas'!$C$55,'Tabla Ahorro Futuro Reservas'!C1091*'FR_Mantenimiento tasas'!$D$55/360,IF(C1091&lt;='FR_Mantenimiento tasas'!$C$56,'Tabla Ahorro Futuro Reservas'!C1091*'FR_Mantenimiento tasas'!$D$56/360,IF(C1091&lt;='FR_Mantenimiento tasas'!$C$57,'Tabla Ahorro Futuro Reservas'!C1091*'FR_Mantenimiento tasas'!$D$57/360,""))),5)</f>
        <v>0</v>
      </c>
      <c r="E1091" s="121">
        <f>ROUND(IF(C1091&lt;='FR_Mantenimiento tasas'!$C$55,'Tabla Ahorro Futuro Reservas'!C1091*'FR_Mantenimiento tasas'!$E$55/360,IF(C1091&lt;='FR_Mantenimiento tasas'!$C$56,'Tabla Ahorro Futuro Reservas'!C1091*'FR_Mantenimiento tasas'!$E$56/360,IF(C1091&lt;='FR_Mantenimiento tasas'!$C$57,'Tabla Ahorro Futuro Reservas'!C1091*'FR_Mantenimiento tasas'!$E$57/360,""))),5)</f>
        <v>0</v>
      </c>
    </row>
    <row r="1092" spans="1:5">
      <c r="A1092" s="123">
        <f t="shared" ref="A1092:A1155" si="34">+A1091+1</f>
        <v>1090</v>
      </c>
      <c r="B1092" s="122">
        <f>IF(DAY(A1092)=DAY('F-Ahorro Futuro Reservas'!$H$10),'F-Ahorro Futuro Reservas'!$H$9,0)</f>
        <v>0</v>
      </c>
      <c r="C1092" s="122">
        <f t="shared" ref="C1092:C1155" si="35">+B1092+C1091+D1091</f>
        <v>0</v>
      </c>
      <c r="D1092" s="121">
        <f>ROUND(IF(C1092&lt;='FR_Mantenimiento tasas'!$C$55,'Tabla Ahorro Futuro Reservas'!C1092*'FR_Mantenimiento tasas'!$D$55/360,IF(C1092&lt;='FR_Mantenimiento tasas'!$C$56,'Tabla Ahorro Futuro Reservas'!C1092*'FR_Mantenimiento tasas'!$D$56/360,IF(C1092&lt;='FR_Mantenimiento tasas'!$C$57,'Tabla Ahorro Futuro Reservas'!C1092*'FR_Mantenimiento tasas'!$D$57/360,""))),5)</f>
        <v>0</v>
      </c>
      <c r="E1092" s="121">
        <f>ROUND(IF(C1092&lt;='FR_Mantenimiento tasas'!$C$55,'Tabla Ahorro Futuro Reservas'!C1092*'FR_Mantenimiento tasas'!$E$55/360,IF(C1092&lt;='FR_Mantenimiento tasas'!$C$56,'Tabla Ahorro Futuro Reservas'!C1092*'FR_Mantenimiento tasas'!$E$56/360,IF(C1092&lt;='FR_Mantenimiento tasas'!$C$57,'Tabla Ahorro Futuro Reservas'!C1092*'FR_Mantenimiento tasas'!$E$57/360,""))),5)</f>
        <v>0</v>
      </c>
    </row>
    <row r="1093" spans="1:5">
      <c r="A1093" s="123">
        <f t="shared" si="34"/>
        <v>1091</v>
      </c>
      <c r="B1093" s="122">
        <f>IF(DAY(A1093)=DAY('F-Ahorro Futuro Reservas'!$H$10),'F-Ahorro Futuro Reservas'!$H$9,0)</f>
        <v>0</v>
      </c>
      <c r="C1093" s="122">
        <f t="shared" si="35"/>
        <v>0</v>
      </c>
      <c r="D1093" s="121">
        <f>ROUND(IF(C1093&lt;='FR_Mantenimiento tasas'!$C$55,'Tabla Ahorro Futuro Reservas'!C1093*'FR_Mantenimiento tasas'!$D$55/360,IF(C1093&lt;='FR_Mantenimiento tasas'!$C$56,'Tabla Ahorro Futuro Reservas'!C1093*'FR_Mantenimiento tasas'!$D$56/360,IF(C1093&lt;='FR_Mantenimiento tasas'!$C$57,'Tabla Ahorro Futuro Reservas'!C1093*'FR_Mantenimiento tasas'!$D$57/360,""))),5)</f>
        <v>0</v>
      </c>
      <c r="E1093" s="121">
        <f>ROUND(IF(C1093&lt;='FR_Mantenimiento tasas'!$C$55,'Tabla Ahorro Futuro Reservas'!C1093*'FR_Mantenimiento tasas'!$E$55/360,IF(C1093&lt;='FR_Mantenimiento tasas'!$C$56,'Tabla Ahorro Futuro Reservas'!C1093*'FR_Mantenimiento tasas'!$E$56/360,IF(C1093&lt;='FR_Mantenimiento tasas'!$C$57,'Tabla Ahorro Futuro Reservas'!C1093*'FR_Mantenimiento tasas'!$E$57/360,""))),5)</f>
        <v>0</v>
      </c>
    </row>
    <row r="1094" spans="1:5">
      <c r="A1094" s="123">
        <f t="shared" si="34"/>
        <v>1092</v>
      </c>
      <c r="B1094" s="122">
        <f>IF(DAY(A1094)=DAY('F-Ahorro Futuro Reservas'!$H$10),'F-Ahorro Futuro Reservas'!$H$9,0)</f>
        <v>0</v>
      </c>
      <c r="C1094" s="122">
        <f t="shared" si="35"/>
        <v>0</v>
      </c>
      <c r="D1094" s="121">
        <f>ROUND(IF(C1094&lt;='FR_Mantenimiento tasas'!$C$55,'Tabla Ahorro Futuro Reservas'!C1094*'FR_Mantenimiento tasas'!$D$55/360,IF(C1094&lt;='FR_Mantenimiento tasas'!$C$56,'Tabla Ahorro Futuro Reservas'!C1094*'FR_Mantenimiento tasas'!$D$56/360,IF(C1094&lt;='FR_Mantenimiento tasas'!$C$57,'Tabla Ahorro Futuro Reservas'!C1094*'FR_Mantenimiento tasas'!$D$57/360,""))),5)</f>
        <v>0</v>
      </c>
      <c r="E1094" s="121">
        <f>ROUND(IF(C1094&lt;='FR_Mantenimiento tasas'!$C$55,'Tabla Ahorro Futuro Reservas'!C1094*'FR_Mantenimiento tasas'!$E$55/360,IF(C1094&lt;='FR_Mantenimiento tasas'!$C$56,'Tabla Ahorro Futuro Reservas'!C1094*'FR_Mantenimiento tasas'!$E$56/360,IF(C1094&lt;='FR_Mantenimiento tasas'!$C$57,'Tabla Ahorro Futuro Reservas'!C1094*'FR_Mantenimiento tasas'!$E$57/360,""))),5)</f>
        <v>0</v>
      </c>
    </row>
    <row r="1095" spans="1:5">
      <c r="A1095" s="123">
        <f t="shared" si="34"/>
        <v>1093</v>
      </c>
      <c r="B1095" s="122">
        <f>IF(DAY(A1095)=DAY('F-Ahorro Futuro Reservas'!$H$10),'F-Ahorro Futuro Reservas'!$H$9,0)</f>
        <v>0</v>
      </c>
      <c r="C1095" s="122">
        <f t="shared" si="35"/>
        <v>0</v>
      </c>
      <c r="D1095" s="121">
        <f>ROUND(IF(C1095&lt;='FR_Mantenimiento tasas'!$C$55,'Tabla Ahorro Futuro Reservas'!C1095*'FR_Mantenimiento tasas'!$D$55/360,IF(C1095&lt;='FR_Mantenimiento tasas'!$C$56,'Tabla Ahorro Futuro Reservas'!C1095*'FR_Mantenimiento tasas'!$D$56/360,IF(C1095&lt;='FR_Mantenimiento tasas'!$C$57,'Tabla Ahorro Futuro Reservas'!C1095*'FR_Mantenimiento tasas'!$D$57/360,""))),5)</f>
        <v>0</v>
      </c>
      <c r="E1095" s="121">
        <f>ROUND(IF(C1095&lt;='FR_Mantenimiento tasas'!$C$55,'Tabla Ahorro Futuro Reservas'!C1095*'FR_Mantenimiento tasas'!$E$55/360,IF(C1095&lt;='FR_Mantenimiento tasas'!$C$56,'Tabla Ahorro Futuro Reservas'!C1095*'FR_Mantenimiento tasas'!$E$56/360,IF(C1095&lt;='FR_Mantenimiento tasas'!$C$57,'Tabla Ahorro Futuro Reservas'!C1095*'FR_Mantenimiento tasas'!$E$57/360,""))),5)</f>
        <v>0</v>
      </c>
    </row>
    <row r="1096" spans="1:5">
      <c r="A1096" s="123">
        <f t="shared" si="34"/>
        <v>1094</v>
      </c>
      <c r="B1096" s="122">
        <f>IF(DAY(A1096)=DAY('F-Ahorro Futuro Reservas'!$H$10),'F-Ahorro Futuro Reservas'!$H$9,0)</f>
        <v>0</v>
      </c>
      <c r="C1096" s="122">
        <f t="shared" si="35"/>
        <v>0</v>
      </c>
      <c r="D1096" s="121">
        <f>ROUND(IF(C1096&lt;='FR_Mantenimiento tasas'!$C$55,'Tabla Ahorro Futuro Reservas'!C1096*'FR_Mantenimiento tasas'!$D$55/360,IF(C1096&lt;='FR_Mantenimiento tasas'!$C$56,'Tabla Ahorro Futuro Reservas'!C1096*'FR_Mantenimiento tasas'!$D$56/360,IF(C1096&lt;='FR_Mantenimiento tasas'!$C$57,'Tabla Ahorro Futuro Reservas'!C1096*'FR_Mantenimiento tasas'!$D$57/360,""))),5)</f>
        <v>0</v>
      </c>
      <c r="E1096" s="121">
        <f>ROUND(IF(C1096&lt;='FR_Mantenimiento tasas'!$C$55,'Tabla Ahorro Futuro Reservas'!C1096*'FR_Mantenimiento tasas'!$E$55/360,IF(C1096&lt;='FR_Mantenimiento tasas'!$C$56,'Tabla Ahorro Futuro Reservas'!C1096*'FR_Mantenimiento tasas'!$E$56/360,IF(C1096&lt;='FR_Mantenimiento tasas'!$C$57,'Tabla Ahorro Futuro Reservas'!C1096*'FR_Mantenimiento tasas'!$E$57/360,""))),5)</f>
        <v>0</v>
      </c>
    </row>
    <row r="1097" spans="1:5">
      <c r="A1097" s="123">
        <f t="shared" si="34"/>
        <v>1095</v>
      </c>
      <c r="B1097" s="122">
        <f>IF(DAY(A1097)=DAY('F-Ahorro Futuro Reservas'!$H$10),'F-Ahorro Futuro Reservas'!$H$9,0)</f>
        <v>0</v>
      </c>
      <c r="C1097" s="122">
        <f t="shared" si="35"/>
        <v>0</v>
      </c>
      <c r="D1097" s="121">
        <f>ROUND(IF(C1097&lt;='FR_Mantenimiento tasas'!$C$55,'Tabla Ahorro Futuro Reservas'!C1097*'FR_Mantenimiento tasas'!$D$55/360,IF(C1097&lt;='FR_Mantenimiento tasas'!$C$56,'Tabla Ahorro Futuro Reservas'!C1097*'FR_Mantenimiento tasas'!$D$56/360,IF(C1097&lt;='FR_Mantenimiento tasas'!$C$57,'Tabla Ahorro Futuro Reservas'!C1097*'FR_Mantenimiento tasas'!$D$57/360,""))),5)</f>
        <v>0</v>
      </c>
      <c r="E1097" s="121">
        <f>ROUND(IF(C1097&lt;='FR_Mantenimiento tasas'!$C$55,'Tabla Ahorro Futuro Reservas'!C1097*'FR_Mantenimiento tasas'!$E$55/360,IF(C1097&lt;='FR_Mantenimiento tasas'!$C$56,'Tabla Ahorro Futuro Reservas'!C1097*'FR_Mantenimiento tasas'!$E$56/360,IF(C1097&lt;='FR_Mantenimiento tasas'!$C$57,'Tabla Ahorro Futuro Reservas'!C1097*'FR_Mantenimiento tasas'!$E$57/360,""))),5)</f>
        <v>0</v>
      </c>
    </row>
    <row r="1098" spans="1:5">
      <c r="A1098" s="123">
        <f t="shared" si="34"/>
        <v>1096</v>
      </c>
      <c r="B1098" s="122">
        <f>IF(DAY(A1098)=DAY('F-Ahorro Futuro Reservas'!$H$10),'F-Ahorro Futuro Reservas'!$H$9,0)</f>
        <v>0</v>
      </c>
      <c r="C1098" s="122">
        <f t="shared" si="35"/>
        <v>0</v>
      </c>
      <c r="D1098" s="121">
        <f>ROUND(IF(C1098&lt;='FR_Mantenimiento tasas'!$C$55,'Tabla Ahorro Futuro Reservas'!C1098*'FR_Mantenimiento tasas'!$D$55/360,IF(C1098&lt;='FR_Mantenimiento tasas'!$C$56,'Tabla Ahorro Futuro Reservas'!C1098*'FR_Mantenimiento tasas'!$D$56/360,IF(C1098&lt;='FR_Mantenimiento tasas'!$C$57,'Tabla Ahorro Futuro Reservas'!C1098*'FR_Mantenimiento tasas'!$D$57/360,""))),5)</f>
        <v>0</v>
      </c>
      <c r="E1098" s="121">
        <f>ROUND(IF(C1098&lt;='FR_Mantenimiento tasas'!$C$55,'Tabla Ahorro Futuro Reservas'!C1098*'FR_Mantenimiento tasas'!$E$55/360,IF(C1098&lt;='FR_Mantenimiento tasas'!$C$56,'Tabla Ahorro Futuro Reservas'!C1098*'FR_Mantenimiento tasas'!$E$56/360,IF(C1098&lt;='FR_Mantenimiento tasas'!$C$57,'Tabla Ahorro Futuro Reservas'!C1098*'FR_Mantenimiento tasas'!$E$57/360,""))),5)</f>
        <v>0</v>
      </c>
    </row>
    <row r="1099" spans="1:5">
      <c r="A1099" s="123">
        <f t="shared" si="34"/>
        <v>1097</v>
      </c>
      <c r="B1099" s="122">
        <f>IF(DAY(A1099)=DAY('F-Ahorro Futuro Reservas'!$H$10),'F-Ahorro Futuro Reservas'!$H$9,0)</f>
        <v>0</v>
      </c>
      <c r="C1099" s="122">
        <f t="shared" si="35"/>
        <v>0</v>
      </c>
      <c r="D1099" s="121">
        <f>ROUND(IF(C1099&lt;='FR_Mantenimiento tasas'!$C$55,'Tabla Ahorro Futuro Reservas'!C1099*'FR_Mantenimiento tasas'!$D$55/360,IF(C1099&lt;='FR_Mantenimiento tasas'!$C$56,'Tabla Ahorro Futuro Reservas'!C1099*'FR_Mantenimiento tasas'!$D$56/360,IF(C1099&lt;='FR_Mantenimiento tasas'!$C$57,'Tabla Ahorro Futuro Reservas'!C1099*'FR_Mantenimiento tasas'!$D$57/360,""))),5)</f>
        <v>0</v>
      </c>
      <c r="E1099" s="121">
        <f>ROUND(IF(C1099&lt;='FR_Mantenimiento tasas'!$C$55,'Tabla Ahorro Futuro Reservas'!C1099*'FR_Mantenimiento tasas'!$E$55/360,IF(C1099&lt;='FR_Mantenimiento tasas'!$C$56,'Tabla Ahorro Futuro Reservas'!C1099*'FR_Mantenimiento tasas'!$E$56/360,IF(C1099&lt;='FR_Mantenimiento tasas'!$C$57,'Tabla Ahorro Futuro Reservas'!C1099*'FR_Mantenimiento tasas'!$E$57/360,""))),5)</f>
        <v>0</v>
      </c>
    </row>
    <row r="1100" spans="1:5">
      <c r="A1100" s="123">
        <f t="shared" si="34"/>
        <v>1098</v>
      </c>
      <c r="B1100" s="122">
        <f>IF(DAY(A1100)=DAY('F-Ahorro Futuro Reservas'!$H$10),'F-Ahorro Futuro Reservas'!$H$9,0)</f>
        <v>0</v>
      </c>
      <c r="C1100" s="122">
        <f t="shared" si="35"/>
        <v>0</v>
      </c>
      <c r="D1100" s="121">
        <f>ROUND(IF(C1100&lt;='FR_Mantenimiento tasas'!$C$55,'Tabla Ahorro Futuro Reservas'!C1100*'FR_Mantenimiento tasas'!$D$55/360,IF(C1100&lt;='FR_Mantenimiento tasas'!$C$56,'Tabla Ahorro Futuro Reservas'!C1100*'FR_Mantenimiento tasas'!$D$56/360,IF(C1100&lt;='FR_Mantenimiento tasas'!$C$57,'Tabla Ahorro Futuro Reservas'!C1100*'FR_Mantenimiento tasas'!$D$57/360,""))),5)</f>
        <v>0</v>
      </c>
      <c r="E1100" s="121">
        <f>ROUND(IF(C1100&lt;='FR_Mantenimiento tasas'!$C$55,'Tabla Ahorro Futuro Reservas'!C1100*'FR_Mantenimiento tasas'!$E$55/360,IF(C1100&lt;='FR_Mantenimiento tasas'!$C$56,'Tabla Ahorro Futuro Reservas'!C1100*'FR_Mantenimiento tasas'!$E$56/360,IF(C1100&lt;='FR_Mantenimiento tasas'!$C$57,'Tabla Ahorro Futuro Reservas'!C1100*'FR_Mantenimiento tasas'!$E$57/360,""))),5)</f>
        <v>0</v>
      </c>
    </row>
    <row r="1101" spans="1:5">
      <c r="A1101" s="123">
        <f t="shared" si="34"/>
        <v>1099</v>
      </c>
      <c r="B1101" s="122">
        <f>IF(DAY(A1101)=DAY('F-Ahorro Futuro Reservas'!$H$10),'F-Ahorro Futuro Reservas'!$H$9,0)</f>
        <v>0</v>
      </c>
      <c r="C1101" s="122">
        <f t="shared" si="35"/>
        <v>0</v>
      </c>
      <c r="D1101" s="121">
        <f>ROUND(IF(C1101&lt;='FR_Mantenimiento tasas'!$C$55,'Tabla Ahorro Futuro Reservas'!C1101*'FR_Mantenimiento tasas'!$D$55/360,IF(C1101&lt;='FR_Mantenimiento tasas'!$C$56,'Tabla Ahorro Futuro Reservas'!C1101*'FR_Mantenimiento tasas'!$D$56/360,IF(C1101&lt;='FR_Mantenimiento tasas'!$C$57,'Tabla Ahorro Futuro Reservas'!C1101*'FR_Mantenimiento tasas'!$D$57/360,""))),5)</f>
        <v>0</v>
      </c>
      <c r="E1101" s="121">
        <f>ROUND(IF(C1101&lt;='FR_Mantenimiento tasas'!$C$55,'Tabla Ahorro Futuro Reservas'!C1101*'FR_Mantenimiento tasas'!$E$55/360,IF(C1101&lt;='FR_Mantenimiento tasas'!$C$56,'Tabla Ahorro Futuro Reservas'!C1101*'FR_Mantenimiento tasas'!$E$56/360,IF(C1101&lt;='FR_Mantenimiento tasas'!$C$57,'Tabla Ahorro Futuro Reservas'!C1101*'FR_Mantenimiento tasas'!$E$57/360,""))),5)</f>
        <v>0</v>
      </c>
    </row>
    <row r="1102" spans="1:5">
      <c r="A1102" s="123">
        <f t="shared" si="34"/>
        <v>1100</v>
      </c>
      <c r="B1102" s="122">
        <f>IF(DAY(A1102)=DAY('F-Ahorro Futuro Reservas'!$H$10),'F-Ahorro Futuro Reservas'!$H$9,0)</f>
        <v>0</v>
      </c>
      <c r="C1102" s="122">
        <f t="shared" si="35"/>
        <v>0</v>
      </c>
      <c r="D1102" s="121">
        <f>ROUND(IF(C1102&lt;='FR_Mantenimiento tasas'!$C$55,'Tabla Ahorro Futuro Reservas'!C1102*'FR_Mantenimiento tasas'!$D$55/360,IF(C1102&lt;='FR_Mantenimiento tasas'!$C$56,'Tabla Ahorro Futuro Reservas'!C1102*'FR_Mantenimiento tasas'!$D$56/360,IF(C1102&lt;='FR_Mantenimiento tasas'!$C$57,'Tabla Ahorro Futuro Reservas'!C1102*'FR_Mantenimiento tasas'!$D$57/360,""))),5)</f>
        <v>0</v>
      </c>
      <c r="E1102" s="121">
        <f>ROUND(IF(C1102&lt;='FR_Mantenimiento tasas'!$C$55,'Tabla Ahorro Futuro Reservas'!C1102*'FR_Mantenimiento tasas'!$E$55/360,IF(C1102&lt;='FR_Mantenimiento tasas'!$C$56,'Tabla Ahorro Futuro Reservas'!C1102*'FR_Mantenimiento tasas'!$E$56/360,IF(C1102&lt;='FR_Mantenimiento tasas'!$C$57,'Tabla Ahorro Futuro Reservas'!C1102*'FR_Mantenimiento tasas'!$E$57/360,""))),5)</f>
        <v>0</v>
      </c>
    </row>
    <row r="1103" spans="1:5">
      <c r="A1103" s="123">
        <f t="shared" si="34"/>
        <v>1101</v>
      </c>
      <c r="B1103" s="122">
        <f>IF(DAY(A1103)=DAY('F-Ahorro Futuro Reservas'!$H$10),'F-Ahorro Futuro Reservas'!$H$9,0)</f>
        <v>0</v>
      </c>
      <c r="C1103" s="122">
        <f t="shared" si="35"/>
        <v>0</v>
      </c>
      <c r="D1103" s="121">
        <f>ROUND(IF(C1103&lt;='FR_Mantenimiento tasas'!$C$55,'Tabla Ahorro Futuro Reservas'!C1103*'FR_Mantenimiento tasas'!$D$55/360,IF(C1103&lt;='FR_Mantenimiento tasas'!$C$56,'Tabla Ahorro Futuro Reservas'!C1103*'FR_Mantenimiento tasas'!$D$56/360,IF(C1103&lt;='FR_Mantenimiento tasas'!$C$57,'Tabla Ahorro Futuro Reservas'!C1103*'FR_Mantenimiento tasas'!$D$57/360,""))),5)</f>
        <v>0</v>
      </c>
      <c r="E1103" s="121">
        <f>ROUND(IF(C1103&lt;='FR_Mantenimiento tasas'!$C$55,'Tabla Ahorro Futuro Reservas'!C1103*'FR_Mantenimiento tasas'!$E$55/360,IF(C1103&lt;='FR_Mantenimiento tasas'!$C$56,'Tabla Ahorro Futuro Reservas'!C1103*'FR_Mantenimiento tasas'!$E$56/360,IF(C1103&lt;='FR_Mantenimiento tasas'!$C$57,'Tabla Ahorro Futuro Reservas'!C1103*'FR_Mantenimiento tasas'!$E$57/360,""))),5)</f>
        <v>0</v>
      </c>
    </row>
    <row r="1104" spans="1:5">
      <c r="A1104" s="123">
        <f t="shared" si="34"/>
        <v>1102</v>
      </c>
      <c r="B1104" s="122">
        <f>IF(DAY(A1104)=DAY('F-Ahorro Futuro Reservas'!$H$10),'F-Ahorro Futuro Reservas'!$H$9,0)</f>
        <v>0</v>
      </c>
      <c r="C1104" s="122">
        <f t="shared" si="35"/>
        <v>0</v>
      </c>
      <c r="D1104" s="121">
        <f>ROUND(IF(C1104&lt;='FR_Mantenimiento tasas'!$C$55,'Tabla Ahorro Futuro Reservas'!C1104*'FR_Mantenimiento tasas'!$D$55/360,IF(C1104&lt;='FR_Mantenimiento tasas'!$C$56,'Tabla Ahorro Futuro Reservas'!C1104*'FR_Mantenimiento tasas'!$D$56/360,IF(C1104&lt;='FR_Mantenimiento tasas'!$C$57,'Tabla Ahorro Futuro Reservas'!C1104*'FR_Mantenimiento tasas'!$D$57/360,""))),5)</f>
        <v>0</v>
      </c>
      <c r="E1104" s="121">
        <f>ROUND(IF(C1104&lt;='FR_Mantenimiento tasas'!$C$55,'Tabla Ahorro Futuro Reservas'!C1104*'FR_Mantenimiento tasas'!$E$55/360,IF(C1104&lt;='FR_Mantenimiento tasas'!$C$56,'Tabla Ahorro Futuro Reservas'!C1104*'FR_Mantenimiento tasas'!$E$56/360,IF(C1104&lt;='FR_Mantenimiento tasas'!$C$57,'Tabla Ahorro Futuro Reservas'!C1104*'FR_Mantenimiento tasas'!$E$57/360,""))),5)</f>
        <v>0</v>
      </c>
    </row>
    <row r="1105" spans="1:5">
      <c r="A1105" s="123">
        <f t="shared" si="34"/>
        <v>1103</v>
      </c>
      <c r="B1105" s="122">
        <f>IF(DAY(A1105)=DAY('F-Ahorro Futuro Reservas'!$H$10),'F-Ahorro Futuro Reservas'!$H$9,0)</f>
        <v>0</v>
      </c>
      <c r="C1105" s="122">
        <f t="shared" si="35"/>
        <v>0</v>
      </c>
      <c r="D1105" s="121">
        <f>ROUND(IF(C1105&lt;='FR_Mantenimiento tasas'!$C$55,'Tabla Ahorro Futuro Reservas'!C1105*'FR_Mantenimiento tasas'!$D$55/360,IF(C1105&lt;='FR_Mantenimiento tasas'!$C$56,'Tabla Ahorro Futuro Reservas'!C1105*'FR_Mantenimiento tasas'!$D$56/360,IF(C1105&lt;='FR_Mantenimiento tasas'!$C$57,'Tabla Ahorro Futuro Reservas'!C1105*'FR_Mantenimiento tasas'!$D$57/360,""))),5)</f>
        <v>0</v>
      </c>
      <c r="E1105" s="121">
        <f>ROUND(IF(C1105&lt;='FR_Mantenimiento tasas'!$C$55,'Tabla Ahorro Futuro Reservas'!C1105*'FR_Mantenimiento tasas'!$E$55/360,IF(C1105&lt;='FR_Mantenimiento tasas'!$C$56,'Tabla Ahorro Futuro Reservas'!C1105*'FR_Mantenimiento tasas'!$E$56/360,IF(C1105&lt;='FR_Mantenimiento tasas'!$C$57,'Tabla Ahorro Futuro Reservas'!C1105*'FR_Mantenimiento tasas'!$E$57/360,""))),5)</f>
        <v>0</v>
      </c>
    </row>
    <row r="1106" spans="1:5">
      <c r="A1106" s="123">
        <f t="shared" si="34"/>
        <v>1104</v>
      </c>
      <c r="B1106" s="122">
        <f>IF(DAY(A1106)=DAY('F-Ahorro Futuro Reservas'!$H$10),'F-Ahorro Futuro Reservas'!$H$9,0)</f>
        <v>0</v>
      </c>
      <c r="C1106" s="122">
        <f t="shared" si="35"/>
        <v>0</v>
      </c>
      <c r="D1106" s="121">
        <f>ROUND(IF(C1106&lt;='FR_Mantenimiento tasas'!$C$55,'Tabla Ahorro Futuro Reservas'!C1106*'FR_Mantenimiento tasas'!$D$55/360,IF(C1106&lt;='FR_Mantenimiento tasas'!$C$56,'Tabla Ahorro Futuro Reservas'!C1106*'FR_Mantenimiento tasas'!$D$56/360,IF(C1106&lt;='FR_Mantenimiento tasas'!$C$57,'Tabla Ahorro Futuro Reservas'!C1106*'FR_Mantenimiento tasas'!$D$57/360,""))),5)</f>
        <v>0</v>
      </c>
      <c r="E1106" s="121">
        <f>ROUND(IF(C1106&lt;='FR_Mantenimiento tasas'!$C$55,'Tabla Ahorro Futuro Reservas'!C1106*'FR_Mantenimiento tasas'!$E$55/360,IF(C1106&lt;='FR_Mantenimiento tasas'!$C$56,'Tabla Ahorro Futuro Reservas'!C1106*'FR_Mantenimiento tasas'!$E$56/360,IF(C1106&lt;='FR_Mantenimiento tasas'!$C$57,'Tabla Ahorro Futuro Reservas'!C1106*'FR_Mantenimiento tasas'!$E$57/360,""))),5)</f>
        <v>0</v>
      </c>
    </row>
    <row r="1107" spans="1:5">
      <c r="A1107" s="123">
        <f t="shared" si="34"/>
        <v>1105</v>
      </c>
      <c r="B1107" s="122">
        <f>IF(DAY(A1107)=DAY('F-Ahorro Futuro Reservas'!$H$10),'F-Ahorro Futuro Reservas'!$H$9,0)</f>
        <v>0</v>
      </c>
      <c r="C1107" s="122">
        <f t="shared" si="35"/>
        <v>0</v>
      </c>
      <c r="D1107" s="121">
        <f>ROUND(IF(C1107&lt;='FR_Mantenimiento tasas'!$C$55,'Tabla Ahorro Futuro Reservas'!C1107*'FR_Mantenimiento tasas'!$D$55/360,IF(C1107&lt;='FR_Mantenimiento tasas'!$C$56,'Tabla Ahorro Futuro Reservas'!C1107*'FR_Mantenimiento tasas'!$D$56/360,IF(C1107&lt;='FR_Mantenimiento tasas'!$C$57,'Tabla Ahorro Futuro Reservas'!C1107*'FR_Mantenimiento tasas'!$D$57/360,""))),5)</f>
        <v>0</v>
      </c>
      <c r="E1107" s="121">
        <f>ROUND(IF(C1107&lt;='FR_Mantenimiento tasas'!$C$55,'Tabla Ahorro Futuro Reservas'!C1107*'FR_Mantenimiento tasas'!$E$55/360,IF(C1107&lt;='FR_Mantenimiento tasas'!$C$56,'Tabla Ahorro Futuro Reservas'!C1107*'FR_Mantenimiento tasas'!$E$56/360,IF(C1107&lt;='FR_Mantenimiento tasas'!$C$57,'Tabla Ahorro Futuro Reservas'!C1107*'FR_Mantenimiento tasas'!$E$57/360,""))),5)</f>
        <v>0</v>
      </c>
    </row>
    <row r="1108" spans="1:5">
      <c r="A1108" s="123">
        <f t="shared" si="34"/>
        <v>1106</v>
      </c>
      <c r="B1108" s="122">
        <f>IF(DAY(A1108)=DAY('F-Ahorro Futuro Reservas'!$H$10),'F-Ahorro Futuro Reservas'!$H$9,0)</f>
        <v>0</v>
      </c>
      <c r="C1108" s="122">
        <f t="shared" si="35"/>
        <v>0</v>
      </c>
      <c r="D1108" s="121">
        <f>ROUND(IF(C1108&lt;='FR_Mantenimiento tasas'!$C$55,'Tabla Ahorro Futuro Reservas'!C1108*'FR_Mantenimiento tasas'!$D$55/360,IF(C1108&lt;='FR_Mantenimiento tasas'!$C$56,'Tabla Ahorro Futuro Reservas'!C1108*'FR_Mantenimiento tasas'!$D$56/360,IF(C1108&lt;='FR_Mantenimiento tasas'!$C$57,'Tabla Ahorro Futuro Reservas'!C1108*'FR_Mantenimiento tasas'!$D$57/360,""))),5)</f>
        <v>0</v>
      </c>
      <c r="E1108" s="121">
        <f>ROUND(IF(C1108&lt;='FR_Mantenimiento tasas'!$C$55,'Tabla Ahorro Futuro Reservas'!C1108*'FR_Mantenimiento tasas'!$E$55/360,IF(C1108&lt;='FR_Mantenimiento tasas'!$C$56,'Tabla Ahorro Futuro Reservas'!C1108*'FR_Mantenimiento tasas'!$E$56/360,IF(C1108&lt;='FR_Mantenimiento tasas'!$C$57,'Tabla Ahorro Futuro Reservas'!C1108*'FR_Mantenimiento tasas'!$E$57/360,""))),5)</f>
        <v>0</v>
      </c>
    </row>
    <row r="1109" spans="1:5">
      <c r="A1109" s="123">
        <f t="shared" si="34"/>
        <v>1107</v>
      </c>
      <c r="B1109" s="122">
        <f>IF(DAY(A1109)=DAY('F-Ahorro Futuro Reservas'!$H$10),'F-Ahorro Futuro Reservas'!$H$9,0)</f>
        <v>0</v>
      </c>
      <c r="C1109" s="122">
        <f t="shared" si="35"/>
        <v>0</v>
      </c>
      <c r="D1109" s="121">
        <f>ROUND(IF(C1109&lt;='FR_Mantenimiento tasas'!$C$55,'Tabla Ahorro Futuro Reservas'!C1109*'FR_Mantenimiento tasas'!$D$55/360,IF(C1109&lt;='FR_Mantenimiento tasas'!$C$56,'Tabla Ahorro Futuro Reservas'!C1109*'FR_Mantenimiento tasas'!$D$56/360,IF(C1109&lt;='FR_Mantenimiento tasas'!$C$57,'Tabla Ahorro Futuro Reservas'!C1109*'FR_Mantenimiento tasas'!$D$57/360,""))),5)</f>
        <v>0</v>
      </c>
      <c r="E1109" s="121">
        <f>ROUND(IF(C1109&lt;='FR_Mantenimiento tasas'!$C$55,'Tabla Ahorro Futuro Reservas'!C1109*'FR_Mantenimiento tasas'!$E$55/360,IF(C1109&lt;='FR_Mantenimiento tasas'!$C$56,'Tabla Ahorro Futuro Reservas'!C1109*'FR_Mantenimiento tasas'!$E$56/360,IF(C1109&lt;='FR_Mantenimiento tasas'!$C$57,'Tabla Ahorro Futuro Reservas'!C1109*'FR_Mantenimiento tasas'!$E$57/360,""))),5)</f>
        <v>0</v>
      </c>
    </row>
    <row r="1110" spans="1:5">
      <c r="A1110" s="123">
        <f t="shared" si="34"/>
        <v>1108</v>
      </c>
      <c r="B1110" s="122">
        <f>IF(DAY(A1110)=DAY('F-Ahorro Futuro Reservas'!$H$10),'F-Ahorro Futuro Reservas'!$H$9,0)</f>
        <v>0</v>
      </c>
      <c r="C1110" s="122">
        <f t="shared" si="35"/>
        <v>0</v>
      </c>
      <c r="D1110" s="121">
        <f>ROUND(IF(C1110&lt;='FR_Mantenimiento tasas'!$C$55,'Tabla Ahorro Futuro Reservas'!C1110*'FR_Mantenimiento tasas'!$D$55/360,IF(C1110&lt;='FR_Mantenimiento tasas'!$C$56,'Tabla Ahorro Futuro Reservas'!C1110*'FR_Mantenimiento tasas'!$D$56/360,IF(C1110&lt;='FR_Mantenimiento tasas'!$C$57,'Tabla Ahorro Futuro Reservas'!C1110*'FR_Mantenimiento tasas'!$D$57/360,""))),5)</f>
        <v>0</v>
      </c>
      <c r="E1110" s="121">
        <f>ROUND(IF(C1110&lt;='FR_Mantenimiento tasas'!$C$55,'Tabla Ahorro Futuro Reservas'!C1110*'FR_Mantenimiento tasas'!$E$55/360,IF(C1110&lt;='FR_Mantenimiento tasas'!$C$56,'Tabla Ahorro Futuro Reservas'!C1110*'FR_Mantenimiento tasas'!$E$56/360,IF(C1110&lt;='FR_Mantenimiento tasas'!$C$57,'Tabla Ahorro Futuro Reservas'!C1110*'FR_Mantenimiento tasas'!$E$57/360,""))),5)</f>
        <v>0</v>
      </c>
    </row>
    <row r="1111" spans="1:5">
      <c r="A1111" s="123">
        <f t="shared" si="34"/>
        <v>1109</v>
      </c>
      <c r="B1111" s="122">
        <f>IF(DAY(A1111)=DAY('F-Ahorro Futuro Reservas'!$H$10),'F-Ahorro Futuro Reservas'!$H$9,0)</f>
        <v>0</v>
      </c>
      <c r="C1111" s="122">
        <f t="shared" si="35"/>
        <v>0</v>
      </c>
      <c r="D1111" s="121">
        <f>ROUND(IF(C1111&lt;='FR_Mantenimiento tasas'!$C$55,'Tabla Ahorro Futuro Reservas'!C1111*'FR_Mantenimiento tasas'!$D$55/360,IF(C1111&lt;='FR_Mantenimiento tasas'!$C$56,'Tabla Ahorro Futuro Reservas'!C1111*'FR_Mantenimiento tasas'!$D$56/360,IF(C1111&lt;='FR_Mantenimiento tasas'!$C$57,'Tabla Ahorro Futuro Reservas'!C1111*'FR_Mantenimiento tasas'!$D$57/360,""))),5)</f>
        <v>0</v>
      </c>
      <c r="E1111" s="121">
        <f>ROUND(IF(C1111&lt;='FR_Mantenimiento tasas'!$C$55,'Tabla Ahorro Futuro Reservas'!C1111*'FR_Mantenimiento tasas'!$E$55/360,IF(C1111&lt;='FR_Mantenimiento tasas'!$C$56,'Tabla Ahorro Futuro Reservas'!C1111*'FR_Mantenimiento tasas'!$E$56/360,IF(C1111&lt;='FR_Mantenimiento tasas'!$C$57,'Tabla Ahorro Futuro Reservas'!C1111*'FR_Mantenimiento tasas'!$E$57/360,""))),5)</f>
        <v>0</v>
      </c>
    </row>
    <row r="1112" spans="1:5">
      <c r="A1112" s="123">
        <f t="shared" si="34"/>
        <v>1110</v>
      </c>
      <c r="B1112" s="122">
        <f>IF(DAY(A1112)=DAY('F-Ahorro Futuro Reservas'!$H$10),'F-Ahorro Futuro Reservas'!$H$9,0)</f>
        <v>0</v>
      </c>
      <c r="C1112" s="122">
        <f t="shared" si="35"/>
        <v>0</v>
      </c>
      <c r="D1112" s="121">
        <f>ROUND(IF(C1112&lt;='FR_Mantenimiento tasas'!$C$55,'Tabla Ahorro Futuro Reservas'!C1112*'FR_Mantenimiento tasas'!$D$55/360,IF(C1112&lt;='FR_Mantenimiento tasas'!$C$56,'Tabla Ahorro Futuro Reservas'!C1112*'FR_Mantenimiento tasas'!$D$56/360,IF(C1112&lt;='FR_Mantenimiento tasas'!$C$57,'Tabla Ahorro Futuro Reservas'!C1112*'FR_Mantenimiento tasas'!$D$57/360,""))),5)</f>
        <v>0</v>
      </c>
      <c r="E1112" s="121">
        <f>ROUND(IF(C1112&lt;='FR_Mantenimiento tasas'!$C$55,'Tabla Ahorro Futuro Reservas'!C1112*'FR_Mantenimiento tasas'!$E$55/360,IF(C1112&lt;='FR_Mantenimiento tasas'!$C$56,'Tabla Ahorro Futuro Reservas'!C1112*'FR_Mantenimiento tasas'!$E$56/360,IF(C1112&lt;='FR_Mantenimiento tasas'!$C$57,'Tabla Ahorro Futuro Reservas'!C1112*'FR_Mantenimiento tasas'!$E$57/360,""))),5)</f>
        <v>0</v>
      </c>
    </row>
    <row r="1113" spans="1:5">
      <c r="A1113" s="123">
        <f t="shared" si="34"/>
        <v>1111</v>
      </c>
      <c r="B1113" s="122">
        <f>IF(DAY(A1113)=DAY('F-Ahorro Futuro Reservas'!$H$10),'F-Ahorro Futuro Reservas'!$H$9,0)</f>
        <v>0</v>
      </c>
      <c r="C1113" s="122">
        <f t="shared" si="35"/>
        <v>0</v>
      </c>
      <c r="D1113" s="121">
        <f>ROUND(IF(C1113&lt;='FR_Mantenimiento tasas'!$C$55,'Tabla Ahorro Futuro Reservas'!C1113*'FR_Mantenimiento tasas'!$D$55/360,IF(C1113&lt;='FR_Mantenimiento tasas'!$C$56,'Tabla Ahorro Futuro Reservas'!C1113*'FR_Mantenimiento tasas'!$D$56/360,IF(C1113&lt;='FR_Mantenimiento tasas'!$C$57,'Tabla Ahorro Futuro Reservas'!C1113*'FR_Mantenimiento tasas'!$D$57/360,""))),5)</f>
        <v>0</v>
      </c>
      <c r="E1113" s="121">
        <f>ROUND(IF(C1113&lt;='FR_Mantenimiento tasas'!$C$55,'Tabla Ahorro Futuro Reservas'!C1113*'FR_Mantenimiento tasas'!$E$55/360,IF(C1113&lt;='FR_Mantenimiento tasas'!$C$56,'Tabla Ahorro Futuro Reservas'!C1113*'FR_Mantenimiento tasas'!$E$56/360,IF(C1113&lt;='FR_Mantenimiento tasas'!$C$57,'Tabla Ahorro Futuro Reservas'!C1113*'FR_Mantenimiento tasas'!$E$57/360,""))),5)</f>
        <v>0</v>
      </c>
    </row>
    <row r="1114" spans="1:5">
      <c r="A1114" s="123">
        <f t="shared" si="34"/>
        <v>1112</v>
      </c>
      <c r="B1114" s="122">
        <f>IF(DAY(A1114)=DAY('F-Ahorro Futuro Reservas'!$H$10),'F-Ahorro Futuro Reservas'!$H$9,0)</f>
        <v>0</v>
      </c>
      <c r="C1114" s="122">
        <f t="shared" si="35"/>
        <v>0</v>
      </c>
      <c r="D1114" s="121">
        <f>ROUND(IF(C1114&lt;='FR_Mantenimiento tasas'!$C$55,'Tabla Ahorro Futuro Reservas'!C1114*'FR_Mantenimiento tasas'!$D$55/360,IF(C1114&lt;='FR_Mantenimiento tasas'!$C$56,'Tabla Ahorro Futuro Reservas'!C1114*'FR_Mantenimiento tasas'!$D$56/360,IF(C1114&lt;='FR_Mantenimiento tasas'!$C$57,'Tabla Ahorro Futuro Reservas'!C1114*'FR_Mantenimiento tasas'!$D$57/360,""))),5)</f>
        <v>0</v>
      </c>
      <c r="E1114" s="121">
        <f>ROUND(IF(C1114&lt;='FR_Mantenimiento tasas'!$C$55,'Tabla Ahorro Futuro Reservas'!C1114*'FR_Mantenimiento tasas'!$E$55/360,IF(C1114&lt;='FR_Mantenimiento tasas'!$C$56,'Tabla Ahorro Futuro Reservas'!C1114*'FR_Mantenimiento tasas'!$E$56/360,IF(C1114&lt;='FR_Mantenimiento tasas'!$C$57,'Tabla Ahorro Futuro Reservas'!C1114*'FR_Mantenimiento tasas'!$E$57/360,""))),5)</f>
        <v>0</v>
      </c>
    </row>
    <row r="1115" spans="1:5">
      <c r="A1115" s="123">
        <f t="shared" si="34"/>
        <v>1113</v>
      </c>
      <c r="B1115" s="122">
        <f>IF(DAY(A1115)=DAY('F-Ahorro Futuro Reservas'!$H$10),'F-Ahorro Futuro Reservas'!$H$9,0)</f>
        <v>0</v>
      </c>
      <c r="C1115" s="122">
        <f t="shared" si="35"/>
        <v>0</v>
      </c>
      <c r="D1115" s="121">
        <f>ROUND(IF(C1115&lt;='FR_Mantenimiento tasas'!$C$55,'Tabla Ahorro Futuro Reservas'!C1115*'FR_Mantenimiento tasas'!$D$55/360,IF(C1115&lt;='FR_Mantenimiento tasas'!$C$56,'Tabla Ahorro Futuro Reservas'!C1115*'FR_Mantenimiento tasas'!$D$56/360,IF(C1115&lt;='FR_Mantenimiento tasas'!$C$57,'Tabla Ahorro Futuro Reservas'!C1115*'FR_Mantenimiento tasas'!$D$57/360,""))),5)</f>
        <v>0</v>
      </c>
      <c r="E1115" s="121">
        <f>ROUND(IF(C1115&lt;='FR_Mantenimiento tasas'!$C$55,'Tabla Ahorro Futuro Reservas'!C1115*'FR_Mantenimiento tasas'!$E$55/360,IF(C1115&lt;='FR_Mantenimiento tasas'!$C$56,'Tabla Ahorro Futuro Reservas'!C1115*'FR_Mantenimiento tasas'!$E$56/360,IF(C1115&lt;='FR_Mantenimiento tasas'!$C$57,'Tabla Ahorro Futuro Reservas'!C1115*'FR_Mantenimiento tasas'!$E$57/360,""))),5)</f>
        <v>0</v>
      </c>
    </row>
    <row r="1116" spans="1:5">
      <c r="A1116" s="123">
        <f t="shared" si="34"/>
        <v>1114</v>
      </c>
      <c r="B1116" s="122">
        <f>IF(DAY(A1116)=DAY('F-Ahorro Futuro Reservas'!$H$10),'F-Ahorro Futuro Reservas'!$H$9,0)</f>
        <v>0</v>
      </c>
      <c r="C1116" s="122">
        <f t="shared" si="35"/>
        <v>0</v>
      </c>
      <c r="D1116" s="121">
        <f>ROUND(IF(C1116&lt;='FR_Mantenimiento tasas'!$C$55,'Tabla Ahorro Futuro Reservas'!C1116*'FR_Mantenimiento tasas'!$D$55/360,IF(C1116&lt;='FR_Mantenimiento tasas'!$C$56,'Tabla Ahorro Futuro Reservas'!C1116*'FR_Mantenimiento tasas'!$D$56/360,IF(C1116&lt;='FR_Mantenimiento tasas'!$C$57,'Tabla Ahorro Futuro Reservas'!C1116*'FR_Mantenimiento tasas'!$D$57/360,""))),5)</f>
        <v>0</v>
      </c>
      <c r="E1116" s="121">
        <f>ROUND(IF(C1116&lt;='FR_Mantenimiento tasas'!$C$55,'Tabla Ahorro Futuro Reservas'!C1116*'FR_Mantenimiento tasas'!$E$55/360,IF(C1116&lt;='FR_Mantenimiento tasas'!$C$56,'Tabla Ahorro Futuro Reservas'!C1116*'FR_Mantenimiento tasas'!$E$56/360,IF(C1116&lt;='FR_Mantenimiento tasas'!$C$57,'Tabla Ahorro Futuro Reservas'!C1116*'FR_Mantenimiento tasas'!$E$57/360,""))),5)</f>
        <v>0</v>
      </c>
    </row>
    <row r="1117" spans="1:5">
      <c r="A1117" s="123">
        <f t="shared" si="34"/>
        <v>1115</v>
      </c>
      <c r="B1117" s="122">
        <f>IF(DAY(A1117)=DAY('F-Ahorro Futuro Reservas'!$H$10),'F-Ahorro Futuro Reservas'!$H$9,0)</f>
        <v>0</v>
      </c>
      <c r="C1117" s="122">
        <f t="shared" si="35"/>
        <v>0</v>
      </c>
      <c r="D1117" s="121">
        <f>ROUND(IF(C1117&lt;='FR_Mantenimiento tasas'!$C$55,'Tabla Ahorro Futuro Reservas'!C1117*'FR_Mantenimiento tasas'!$D$55/360,IF(C1117&lt;='FR_Mantenimiento tasas'!$C$56,'Tabla Ahorro Futuro Reservas'!C1117*'FR_Mantenimiento tasas'!$D$56/360,IF(C1117&lt;='FR_Mantenimiento tasas'!$C$57,'Tabla Ahorro Futuro Reservas'!C1117*'FR_Mantenimiento tasas'!$D$57/360,""))),5)</f>
        <v>0</v>
      </c>
      <c r="E1117" s="121">
        <f>ROUND(IF(C1117&lt;='FR_Mantenimiento tasas'!$C$55,'Tabla Ahorro Futuro Reservas'!C1117*'FR_Mantenimiento tasas'!$E$55/360,IF(C1117&lt;='FR_Mantenimiento tasas'!$C$56,'Tabla Ahorro Futuro Reservas'!C1117*'FR_Mantenimiento tasas'!$E$56/360,IF(C1117&lt;='FR_Mantenimiento tasas'!$C$57,'Tabla Ahorro Futuro Reservas'!C1117*'FR_Mantenimiento tasas'!$E$57/360,""))),5)</f>
        <v>0</v>
      </c>
    </row>
    <row r="1118" spans="1:5">
      <c r="A1118" s="123">
        <f t="shared" si="34"/>
        <v>1116</v>
      </c>
      <c r="B1118" s="122">
        <f>IF(DAY(A1118)=DAY('F-Ahorro Futuro Reservas'!$H$10),'F-Ahorro Futuro Reservas'!$H$9,0)</f>
        <v>0</v>
      </c>
      <c r="C1118" s="122">
        <f t="shared" si="35"/>
        <v>0</v>
      </c>
      <c r="D1118" s="121">
        <f>ROUND(IF(C1118&lt;='FR_Mantenimiento tasas'!$C$55,'Tabla Ahorro Futuro Reservas'!C1118*'FR_Mantenimiento tasas'!$D$55/360,IF(C1118&lt;='FR_Mantenimiento tasas'!$C$56,'Tabla Ahorro Futuro Reservas'!C1118*'FR_Mantenimiento tasas'!$D$56/360,IF(C1118&lt;='FR_Mantenimiento tasas'!$C$57,'Tabla Ahorro Futuro Reservas'!C1118*'FR_Mantenimiento tasas'!$D$57/360,""))),5)</f>
        <v>0</v>
      </c>
      <c r="E1118" s="121">
        <f>ROUND(IF(C1118&lt;='FR_Mantenimiento tasas'!$C$55,'Tabla Ahorro Futuro Reservas'!C1118*'FR_Mantenimiento tasas'!$E$55/360,IF(C1118&lt;='FR_Mantenimiento tasas'!$C$56,'Tabla Ahorro Futuro Reservas'!C1118*'FR_Mantenimiento tasas'!$E$56/360,IF(C1118&lt;='FR_Mantenimiento tasas'!$C$57,'Tabla Ahorro Futuro Reservas'!C1118*'FR_Mantenimiento tasas'!$E$57/360,""))),5)</f>
        <v>0</v>
      </c>
    </row>
    <row r="1119" spans="1:5">
      <c r="A1119" s="123">
        <f t="shared" si="34"/>
        <v>1117</v>
      </c>
      <c r="B1119" s="122">
        <f>IF(DAY(A1119)=DAY('F-Ahorro Futuro Reservas'!$H$10),'F-Ahorro Futuro Reservas'!$H$9,0)</f>
        <v>0</v>
      </c>
      <c r="C1119" s="122">
        <f t="shared" si="35"/>
        <v>0</v>
      </c>
      <c r="D1119" s="121">
        <f>ROUND(IF(C1119&lt;='FR_Mantenimiento tasas'!$C$55,'Tabla Ahorro Futuro Reservas'!C1119*'FR_Mantenimiento tasas'!$D$55/360,IF(C1119&lt;='FR_Mantenimiento tasas'!$C$56,'Tabla Ahorro Futuro Reservas'!C1119*'FR_Mantenimiento tasas'!$D$56/360,IF(C1119&lt;='FR_Mantenimiento tasas'!$C$57,'Tabla Ahorro Futuro Reservas'!C1119*'FR_Mantenimiento tasas'!$D$57/360,""))),5)</f>
        <v>0</v>
      </c>
      <c r="E1119" s="121">
        <f>ROUND(IF(C1119&lt;='FR_Mantenimiento tasas'!$C$55,'Tabla Ahorro Futuro Reservas'!C1119*'FR_Mantenimiento tasas'!$E$55/360,IF(C1119&lt;='FR_Mantenimiento tasas'!$C$56,'Tabla Ahorro Futuro Reservas'!C1119*'FR_Mantenimiento tasas'!$E$56/360,IF(C1119&lt;='FR_Mantenimiento tasas'!$C$57,'Tabla Ahorro Futuro Reservas'!C1119*'FR_Mantenimiento tasas'!$E$57/360,""))),5)</f>
        <v>0</v>
      </c>
    </row>
    <row r="1120" spans="1:5">
      <c r="A1120" s="123">
        <f t="shared" si="34"/>
        <v>1118</v>
      </c>
      <c r="B1120" s="122">
        <f>IF(DAY(A1120)=DAY('F-Ahorro Futuro Reservas'!$H$10),'F-Ahorro Futuro Reservas'!$H$9,0)</f>
        <v>0</v>
      </c>
      <c r="C1120" s="122">
        <f t="shared" si="35"/>
        <v>0</v>
      </c>
      <c r="D1120" s="121">
        <f>ROUND(IF(C1120&lt;='FR_Mantenimiento tasas'!$C$55,'Tabla Ahorro Futuro Reservas'!C1120*'FR_Mantenimiento tasas'!$D$55/360,IF(C1120&lt;='FR_Mantenimiento tasas'!$C$56,'Tabla Ahorro Futuro Reservas'!C1120*'FR_Mantenimiento tasas'!$D$56/360,IF(C1120&lt;='FR_Mantenimiento tasas'!$C$57,'Tabla Ahorro Futuro Reservas'!C1120*'FR_Mantenimiento tasas'!$D$57/360,""))),5)</f>
        <v>0</v>
      </c>
      <c r="E1120" s="121">
        <f>ROUND(IF(C1120&lt;='FR_Mantenimiento tasas'!$C$55,'Tabla Ahorro Futuro Reservas'!C1120*'FR_Mantenimiento tasas'!$E$55/360,IF(C1120&lt;='FR_Mantenimiento tasas'!$C$56,'Tabla Ahorro Futuro Reservas'!C1120*'FR_Mantenimiento tasas'!$E$56/360,IF(C1120&lt;='FR_Mantenimiento tasas'!$C$57,'Tabla Ahorro Futuro Reservas'!C1120*'FR_Mantenimiento tasas'!$E$57/360,""))),5)</f>
        <v>0</v>
      </c>
    </row>
    <row r="1121" spans="1:5">
      <c r="A1121" s="123">
        <f t="shared" si="34"/>
        <v>1119</v>
      </c>
      <c r="B1121" s="122">
        <f>IF(DAY(A1121)=DAY('F-Ahorro Futuro Reservas'!$H$10),'F-Ahorro Futuro Reservas'!$H$9,0)</f>
        <v>0</v>
      </c>
      <c r="C1121" s="122">
        <f t="shared" si="35"/>
        <v>0</v>
      </c>
      <c r="D1121" s="121">
        <f>ROUND(IF(C1121&lt;='FR_Mantenimiento tasas'!$C$55,'Tabla Ahorro Futuro Reservas'!C1121*'FR_Mantenimiento tasas'!$D$55/360,IF(C1121&lt;='FR_Mantenimiento tasas'!$C$56,'Tabla Ahorro Futuro Reservas'!C1121*'FR_Mantenimiento tasas'!$D$56/360,IF(C1121&lt;='FR_Mantenimiento tasas'!$C$57,'Tabla Ahorro Futuro Reservas'!C1121*'FR_Mantenimiento tasas'!$D$57/360,""))),5)</f>
        <v>0</v>
      </c>
      <c r="E1121" s="121">
        <f>ROUND(IF(C1121&lt;='FR_Mantenimiento tasas'!$C$55,'Tabla Ahorro Futuro Reservas'!C1121*'FR_Mantenimiento tasas'!$E$55/360,IF(C1121&lt;='FR_Mantenimiento tasas'!$C$56,'Tabla Ahorro Futuro Reservas'!C1121*'FR_Mantenimiento tasas'!$E$56/360,IF(C1121&lt;='FR_Mantenimiento tasas'!$C$57,'Tabla Ahorro Futuro Reservas'!C1121*'FR_Mantenimiento tasas'!$E$57/360,""))),5)</f>
        <v>0</v>
      </c>
    </row>
    <row r="1122" spans="1:5">
      <c r="A1122" s="123">
        <f t="shared" si="34"/>
        <v>1120</v>
      </c>
      <c r="B1122" s="122">
        <f>IF(DAY(A1122)=DAY('F-Ahorro Futuro Reservas'!$H$10),'F-Ahorro Futuro Reservas'!$H$9,0)</f>
        <v>0</v>
      </c>
      <c r="C1122" s="122">
        <f t="shared" si="35"/>
        <v>0</v>
      </c>
      <c r="D1122" s="121">
        <f>ROUND(IF(C1122&lt;='FR_Mantenimiento tasas'!$C$55,'Tabla Ahorro Futuro Reservas'!C1122*'FR_Mantenimiento tasas'!$D$55/360,IF(C1122&lt;='FR_Mantenimiento tasas'!$C$56,'Tabla Ahorro Futuro Reservas'!C1122*'FR_Mantenimiento tasas'!$D$56/360,IF(C1122&lt;='FR_Mantenimiento tasas'!$C$57,'Tabla Ahorro Futuro Reservas'!C1122*'FR_Mantenimiento tasas'!$D$57/360,""))),5)</f>
        <v>0</v>
      </c>
      <c r="E1122" s="121">
        <f>ROUND(IF(C1122&lt;='FR_Mantenimiento tasas'!$C$55,'Tabla Ahorro Futuro Reservas'!C1122*'FR_Mantenimiento tasas'!$E$55/360,IF(C1122&lt;='FR_Mantenimiento tasas'!$C$56,'Tabla Ahorro Futuro Reservas'!C1122*'FR_Mantenimiento tasas'!$E$56/360,IF(C1122&lt;='FR_Mantenimiento tasas'!$C$57,'Tabla Ahorro Futuro Reservas'!C1122*'FR_Mantenimiento tasas'!$E$57/360,""))),5)</f>
        <v>0</v>
      </c>
    </row>
    <row r="1123" spans="1:5">
      <c r="A1123" s="123">
        <f t="shared" si="34"/>
        <v>1121</v>
      </c>
      <c r="B1123" s="122">
        <f>IF(DAY(A1123)=DAY('F-Ahorro Futuro Reservas'!$H$10),'F-Ahorro Futuro Reservas'!$H$9,0)</f>
        <v>0</v>
      </c>
      <c r="C1123" s="122">
        <f t="shared" si="35"/>
        <v>0</v>
      </c>
      <c r="D1123" s="121">
        <f>ROUND(IF(C1123&lt;='FR_Mantenimiento tasas'!$C$55,'Tabla Ahorro Futuro Reservas'!C1123*'FR_Mantenimiento tasas'!$D$55/360,IF(C1123&lt;='FR_Mantenimiento tasas'!$C$56,'Tabla Ahorro Futuro Reservas'!C1123*'FR_Mantenimiento tasas'!$D$56/360,IF(C1123&lt;='FR_Mantenimiento tasas'!$C$57,'Tabla Ahorro Futuro Reservas'!C1123*'FR_Mantenimiento tasas'!$D$57/360,""))),5)</f>
        <v>0</v>
      </c>
      <c r="E1123" s="121">
        <f>ROUND(IF(C1123&lt;='FR_Mantenimiento tasas'!$C$55,'Tabla Ahorro Futuro Reservas'!C1123*'FR_Mantenimiento tasas'!$E$55/360,IF(C1123&lt;='FR_Mantenimiento tasas'!$C$56,'Tabla Ahorro Futuro Reservas'!C1123*'FR_Mantenimiento tasas'!$E$56/360,IF(C1123&lt;='FR_Mantenimiento tasas'!$C$57,'Tabla Ahorro Futuro Reservas'!C1123*'FR_Mantenimiento tasas'!$E$57/360,""))),5)</f>
        <v>0</v>
      </c>
    </row>
    <row r="1124" spans="1:5">
      <c r="A1124" s="123">
        <f t="shared" si="34"/>
        <v>1122</v>
      </c>
      <c r="B1124" s="122">
        <f>IF(DAY(A1124)=DAY('F-Ahorro Futuro Reservas'!$H$10),'F-Ahorro Futuro Reservas'!$H$9,0)</f>
        <v>0</v>
      </c>
      <c r="C1124" s="122">
        <f t="shared" si="35"/>
        <v>0</v>
      </c>
      <c r="D1124" s="121">
        <f>ROUND(IF(C1124&lt;='FR_Mantenimiento tasas'!$C$55,'Tabla Ahorro Futuro Reservas'!C1124*'FR_Mantenimiento tasas'!$D$55/360,IF(C1124&lt;='FR_Mantenimiento tasas'!$C$56,'Tabla Ahorro Futuro Reservas'!C1124*'FR_Mantenimiento tasas'!$D$56/360,IF(C1124&lt;='FR_Mantenimiento tasas'!$C$57,'Tabla Ahorro Futuro Reservas'!C1124*'FR_Mantenimiento tasas'!$D$57/360,""))),5)</f>
        <v>0</v>
      </c>
      <c r="E1124" s="121">
        <f>ROUND(IF(C1124&lt;='FR_Mantenimiento tasas'!$C$55,'Tabla Ahorro Futuro Reservas'!C1124*'FR_Mantenimiento tasas'!$E$55/360,IF(C1124&lt;='FR_Mantenimiento tasas'!$C$56,'Tabla Ahorro Futuro Reservas'!C1124*'FR_Mantenimiento tasas'!$E$56/360,IF(C1124&lt;='FR_Mantenimiento tasas'!$C$57,'Tabla Ahorro Futuro Reservas'!C1124*'FR_Mantenimiento tasas'!$E$57/360,""))),5)</f>
        <v>0</v>
      </c>
    </row>
    <row r="1125" spans="1:5">
      <c r="A1125" s="123">
        <f t="shared" si="34"/>
        <v>1123</v>
      </c>
      <c r="B1125" s="122">
        <f>IF(DAY(A1125)=DAY('F-Ahorro Futuro Reservas'!$H$10),'F-Ahorro Futuro Reservas'!$H$9,0)</f>
        <v>0</v>
      </c>
      <c r="C1125" s="122">
        <f t="shared" si="35"/>
        <v>0</v>
      </c>
      <c r="D1125" s="121">
        <f>ROUND(IF(C1125&lt;='FR_Mantenimiento tasas'!$C$55,'Tabla Ahorro Futuro Reservas'!C1125*'FR_Mantenimiento tasas'!$D$55/360,IF(C1125&lt;='FR_Mantenimiento tasas'!$C$56,'Tabla Ahorro Futuro Reservas'!C1125*'FR_Mantenimiento tasas'!$D$56/360,IF(C1125&lt;='FR_Mantenimiento tasas'!$C$57,'Tabla Ahorro Futuro Reservas'!C1125*'FR_Mantenimiento tasas'!$D$57/360,""))),5)</f>
        <v>0</v>
      </c>
      <c r="E1125" s="121">
        <f>ROUND(IF(C1125&lt;='FR_Mantenimiento tasas'!$C$55,'Tabla Ahorro Futuro Reservas'!C1125*'FR_Mantenimiento tasas'!$E$55/360,IF(C1125&lt;='FR_Mantenimiento tasas'!$C$56,'Tabla Ahorro Futuro Reservas'!C1125*'FR_Mantenimiento tasas'!$E$56/360,IF(C1125&lt;='FR_Mantenimiento tasas'!$C$57,'Tabla Ahorro Futuro Reservas'!C1125*'FR_Mantenimiento tasas'!$E$57/360,""))),5)</f>
        <v>0</v>
      </c>
    </row>
    <row r="1126" spans="1:5">
      <c r="A1126" s="123">
        <f t="shared" si="34"/>
        <v>1124</v>
      </c>
      <c r="B1126" s="122">
        <f>IF(DAY(A1126)=DAY('F-Ahorro Futuro Reservas'!$H$10),'F-Ahorro Futuro Reservas'!$H$9,0)</f>
        <v>0</v>
      </c>
      <c r="C1126" s="122">
        <f t="shared" si="35"/>
        <v>0</v>
      </c>
      <c r="D1126" s="121">
        <f>ROUND(IF(C1126&lt;='FR_Mantenimiento tasas'!$C$55,'Tabla Ahorro Futuro Reservas'!C1126*'FR_Mantenimiento tasas'!$D$55/360,IF(C1126&lt;='FR_Mantenimiento tasas'!$C$56,'Tabla Ahorro Futuro Reservas'!C1126*'FR_Mantenimiento tasas'!$D$56/360,IF(C1126&lt;='FR_Mantenimiento tasas'!$C$57,'Tabla Ahorro Futuro Reservas'!C1126*'FR_Mantenimiento tasas'!$D$57/360,""))),5)</f>
        <v>0</v>
      </c>
      <c r="E1126" s="121">
        <f>ROUND(IF(C1126&lt;='FR_Mantenimiento tasas'!$C$55,'Tabla Ahorro Futuro Reservas'!C1126*'FR_Mantenimiento tasas'!$E$55/360,IF(C1126&lt;='FR_Mantenimiento tasas'!$C$56,'Tabla Ahorro Futuro Reservas'!C1126*'FR_Mantenimiento tasas'!$E$56/360,IF(C1126&lt;='FR_Mantenimiento tasas'!$C$57,'Tabla Ahorro Futuro Reservas'!C1126*'FR_Mantenimiento tasas'!$E$57/360,""))),5)</f>
        <v>0</v>
      </c>
    </row>
    <row r="1127" spans="1:5">
      <c r="A1127" s="123">
        <f t="shared" si="34"/>
        <v>1125</v>
      </c>
      <c r="B1127" s="122">
        <f>IF(DAY(A1127)=DAY('F-Ahorro Futuro Reservas'!$H$10),'F-Ahorro Futuro Reservas'!$H$9,0)</f>
        <v>0</v>
      </c>
      <c r="C1127" s="122">
        <f t="shared" si="35"/>
        <v>0</v>
      </c>
      <c r="D1127" s="121">
        <f>ROUND(IF(C1127&lt;='FR_Mantenimiento tasas'!$C$55,'Tabla Ahorro Futuro Reservas'!C1127*'FR_Mantenimiento tasas'!$D$55/360,IF(C1127&lt;='FR_Mantenimiento tasas'!$C$56,'Tabla Ahorro Futuro Reservas'!C1127*'FR_Mantenimiento tasas'!$D$56/360,IF(C1127&lt;='FR_Mantenimiento tasas'!$C$57,'Tabla Ahorro Futuro Reservas'!C1127*'FR_Mantenimiento tasas'!$D$57/360,""))),5)</f>
        <v>0</v>
      </c>
      <c r="E1127" s="121">
        <f>ROUND(IF(C1127&lt;='FR_Mantenimiento tasas'!$C$55,'Tabla Ahorro Futuro Reservas'!C1127*'FR_Mantenimiento tasas'!$E$55/360,IF(C1127&lt;='FR_Mantenimiento tasas'!$C$56,'Tabla Ahorro Futuro Reservas'!C1127*'FR_Mantenimiento tasas'!$E$56/360,IF(C1127&lt;='FR_Mantenimiento tasas'!$C$57,'Tabla Ahorro Futuro Reservas'!C1127*'FR_Mantenimiento tasas'!$E$57/360,""))),5)</f>
        <v>0</v>
      </c>
    </row>
    <row r="1128" spans="1:5">
      <c r="A1128" s="123">
        <f t="shared" si="34"/>
        <v>1126</v>
      </c>
      <c r="B1128" s="122">
        <f>IF(DAY(A1128)=DAY('F-Ahorro Futuro Reservas'!$H$10),'F-Ahorro Futuro Reservas'!$H$9,0)</f>
        <v>0</v>
      </c>
      <c r="C1128" s="122">
        <f t="shared" si="35"/>
        <v>0</v>
      </c>
      <c r="D1128" s="121">
        <f>ROUND(IF(C1128&lt;='FR_Mantenimiento tasas'!$C$55,'Tabla Ahorro Futuro Reservas'!C1128*'FR_Mantenimiento tasas'!$D$55/360,IF(C1128&lt;='FR_Mantenimiento tasas'!$C$56,'Tabla Ahorro Futuro Reservas'!C1128*'FR_Mantenimiento tasas'!$D$56/360,IF(C1128&lt;='FR_Mantenimiento tasas'!$C$57,'Tabla Ahorro Futuro Reservas'!C1128*'FR_Mantenimiento tasas'!$D$57/360,""))),5)</f>
        <v>0</v>
      </c>
      <c r="E1128" s="121">
        <f>ROUND(IF(C1128&lt;='FR_Mantenimiento tasas'!$C$55,'Tabla Ahorro Futuro Reservas'!C1128*'FR_Mantenimiento tasas'!$E$55/360,IF(C1128&lt;='FR_Mantenimiento tasas'!$C$56,'Tabla Ahorro Futuro Reservas'!C1128*'FR_Mantenimiento tasas'!$E$56/360,IF(C1128&lt;='FR_Mantenimiento tasas'!$C$57,'Tabla Ahorro Futuro Reservas'!C1128*'FR_Mantenimiento tasas'!$E$57/360,""))),5)</f>
        <v>0</v>
      </c>
    </row>
    <row r="1129" spans="1:5">
      <c r="A1129" s="123">
        <f t="shared" si="34"/>
        <v>1127</v>
      </c>
      <c r="B1129" s="122">
        <f>IF(DAY(A1129)=DAY('F-Ahorro Futuro Reservas'!$H$10),'F-Ahorro Futuro Reservas'!$H$9,0)</f>
        <v>0</v>
      </c>
      <c r="C1129" s="122">
        <f t="shared" si="35"/>
        <v>0</v>
      </c>
      <c r="D1129" s="121">
        <f>ROUND(IF(C1129&lt;='FR_Mantenimiento tasas'!$C$55,'Tabla Ahorro Futuro Reservas'!C1129*'FR_Mantenimiento tasas'!$D$55/360,IF(C1129&lt;='FR_Mantenimiento tasas'!$C$56,'Tabla Ahorro Futuro Reservas'!C1129*'FR_Mantenimiento tasas'!$D$56/360,IF(C1129&lt;='FR_Mantenimiento tasas'!$C$57,'Tabla Ahorro Futuro Reservas'!C1129*'FR_Mantenimiento tasas'!$D$57/360,""))),5)</f>
        <v>0</v>
      </c>
      <c r="E1129" s="121">
        <f>ROUND(IF(C1129&lt;='FR_Mantenimiento tasas'!$C$55,'Tabla Ahorro Futuro Reservas'!C1129*'FR_Mantenimiento tasas'!$E$55/360,IF(C1129&lt;='FR_Mantenimiento tasas'!$C$56,'Tabla Ahorro Futuro Reservas'!C1129*'FR_Mantenimiento tasas'!$E$56/360,IF(C1129&lt;='FR_Mantenimiento tasas'!$C$57,'Tabla Ahorro Futuro Reservas'!C1129*'FR_Mantenimiento tasas'!$E$57/360,""))),5)</f>
        <v>0</v>
      </c>
    </row>
    <row r="1130" spans="1:5">
      <c r="A1130" s="123">
        <f t="shared" si="34"/>
        <v>1128</v>
      </c>
      <c r="B1130" s="122">
        <f>IF(DAY(A1130)=DAY('F-Ahorro Futuro Reservas'!$H$10),'F-Ahorro Futuro Reservas'!$H$9,0)</f>
        <v>0</v>
      </c>
      <c r="C1130" s="122">
        <f t="shared" si="35"/>
        <v>0</v>
      </c>
      <c r="D1130" s="121">
        <f>ROUND(IF(C1130&lt;='FR_Mantenimiento tasas'!$C$55,'Tabla Ahorro Futuro Reservas'!C1130*'FR_Mantenimiento tasas'!$D$55/360,IF(C1130&lt;='FR_Mantenimiento tasas'!$C$56,'Tabla Ahorro Futuro Reservas'!C1130*'FR_Mantenimiento tasas'!$D$56/360,IF(C1130&lt;='FR_Mantenimiento tasas'!$C$57,'Tabla Ahorro Futuro Reservas'!C1130*'FR_Mantenimiento tasas'!$D$57/360,""))),5)</f>
        <v>0</v>
      </c>
      <c r="E1130" s="121">
        <f>ROUND(IF(C1130&lt;='FR_Mantenimiento tasas'!$C$55,'Tabla Ahorro Futuro Reservas'!C1130*'FR_Mantenimiento tasas'!$E$55/360,IF(C1130&lt;='FR_Mantenimiento tasas'!$C$56,'Tabla Ahorro Futuro Reservas'!C1130*'FR_Mantenimiento tasas'!$E$56/360,IF(C1130&lt;='FR_Mantenimiento tasas'!$C$57,'Tabla Ahorro Futuro Reservas'!C1130*'FR_Mantenimiento tasas'!$E$57/360,""))),5)</f>
        <v>0</v>
      </c>
    </row>
    <row r="1131" spans="1:5">
      <c r="A1131" s="123">
        <f t="shared" si="34"/>
        <v>1129</v>
      </c>
      <c r="B1131" s="122">
        <f>IF(DAY(A1131)=DAY('F-Ahorro Futuro Reservas'!$H$10),'F-Ahorro Futuro Reservas'!$H$9,0)</f>
        <v>0</v>
      </c>
      <c r="C1131" s="122">
        <f t="shared" si="35"/>
        <v>0</v>
      </c>
      <c r="D1131" s="121">
        <f>ROUND(IF(C1131&lt;='FR_Mantenimiento tasas'!$C$55,'Tabla Ahorro Futuro Reservas'!C1131*'FR_Mantenimiento tasas'!$D$55/360,IF(C1131&lt;='FR_Mantenimiento tasas'!$C$56,'Tabla Ahorro Futuro Reservas'!C1131*'FR_Mantenimiento tasas'!$D$56/360,IF(C1131&lt;='FR_Mantenimiento tasas'!$C$57,'Tabla Ahorro Futuro Reservas'!C1131*'FR_Mantenimiento tasas'!$D$57/360,""))),5)</f>
        <v>0</v>
      </c>
      <c r="E1131" s="121">
        <f>ROUND(IF(C1131&lt;='FR_Mantenimiento tasas'!$C$55,'Tabla Ahorro Futuro Reservas'!C1131*'FR_Mantenimiento tasas'!$E$55/360,IF(C1131&lt;='FR_Mantenimiento tasas'!$C$56,'Tabla Ahorro Futuro Reservas'!C1131*'FR_Mantenimiento tasas'!$E$56/360,IF(C1131&lt;='FR_Mantenimiento tasas'!$C$57,'Tabla Ahorro Futuro Reservas'!C1131*'FR_Mantenimiento tasas'!$E$57/360,""))),5)</f>
        <v>0</v>
      </c>
    </row>
    <row r="1132" spans="1:5">
      <c r="A1132" s="123">
        <f t="shared" si="34"/>
        <v>1130</v>
      </c>
      <c r="B1132" s="122">
        <f>IF(DAY(A1132)=DAY('F-Ahorro Futuro Reservas'!$H$10),'F-Ahorro Futuro Reservas'!$H$9,0)</f>
        <v>0</v>
      </c>
      <c r="C1132" s="122">
        <f t="shared" si="35"/>
        <v>0</v>
      </c>
      <c r="D1132" s="121">
        <f>ROUND(IF(C1132&lt;='FR_Mantenimiento tasas'!$C$55,'Tabla Ahorro Futuro Reservas'!C1132*'FR_Mantenimiento tasas'!$D$55/360,IF(C1132&lt;='FR_Mantenimiento tasas'!$C$56,'Tabla Ahorro Futuro Reservas'!C1132*'FR_Mantenimiento tasas'!$D$56/360,IF(C1132&lt;='FR_Mantenimiento tasas'!$C$57,'Tabla Ahorro Futuro Reservas'!C1132*'FR_Mantenimiento tasas'!$D$57/360,""))),5)</f>
        <v>0</v>
      </c>
      <c r="E1132" s="121">
        <f>ROUND(IF(C1132&lt;='FR_Mantenimiento tasas'!$C$55,'Tabla Ahorro Futuro Reservas'!C1132*'FR_Mantenimiento tasas'!$E$55/360,IF(C1132&lt;='FR_Mantenimiento tasas'!$C$56,'Tabla Ahorro Futuro Reservas'!C1132*'FR_Mantenimiento tasas'!$E$56/360,IF(C1132&lt;='FR_Mantenimiento tasas'!$C$57,'Tabla Ahorro Futuro Reservas'!C1132*'FR_Mantenimiento tasas'!$E$57/360,""))),5)</f>
        <v>0</v>
      </c>
    </row>
    <row r="1133" spans="1:5">
      <c r="A1133" s="123">
        <f t="shared" si="34"/>
        <v>1131</v>
      </c>
      <c r="B1133" s="122">
        <f>IF(DAY(A1133)=DAY('F-Ahorro Futuro Reservas'!$H$10),'F-Ahorro Futuro Reservas'!$H$9,0)</f>
        <v>0</v>
      </c>
      <c r="C1133" s="122">
        <f t="shared" si="35"/>
        <v>0</v>
      </c>
      <c r="D1133" s="121">
        <f>ROUND(IF(C1133&lt;='FR_Mantenimiento tasas'!$C$55,'Tabla Ahorro Futuro Reservas'!C1133*'FR_Mantenimiento tasas'!$D$55/360,IF(C1133&lt;='FR_Mantenimiento tasas'!$C$56,'Tabla Ahorro Futuro Reservas'!C1133*'FR_Mantenimiento tasas'!$D$56/360,IF(C1133&lt;='FR_Mantenimiento tasas'!$C$57,'Tabla Ahorro Futuro Reservas'!C1133*'FR_Mantenimiento tasas'!$D$57/360,""))),5)</f>
        <v>0</v>
      </c>
      <c r="E1133" s="121">
        <f>ROUND(IF(C1133&lt;='FR_Mantenimiento tasas'!$C$55,'Tabla Ahorro Futuro Reservas'!C1133*'FR_Mantenimiento tasas'!$E$55/360,IF(C1133&lt;='FR_Mantenimiento tasas'!$C$56,'Tabla Ahorro Futuro Reservas'!C1133*'FR_Mantenimiento tasas'!$E$56/360,IF(C1133&lt;='FR_Mantenimiento tasas'!$C$57,'Tabla Ahorro Futuro Reservas'!C1133*'FR_Mantenimiento tasas'!$E$57/360,""))),5)</f>
        <v>0</v>
      </c>
    </row>
    <row r="1134" spans="1:5">
      <c r="A1134" s="123">
        <f t="shared" si="34"/>
        <v>1132</v>
      </c>
      <c r="B1134" s="122">
        <f>IF(DAY(A1134)=DAY('F-Ahorro Futuro Reservas'!$H$10),'F-Ahorro Futuro Reservas'!$H$9,0)</f>
        <v>0</v>
      </c>
      <c r="C1134" s="122">
        <f t="shared" si="35"/>
        <v>0</v>
      </c>
      <c r="D1134" s="121">
        <f>ROUND(IF(C1134&lt;='FR_Mantenimiento tasas'!$C$55,'Tabla Ahorro Futuro Reservas'!C1134*'FR_Mantenimiento tasas'!$D$55/360,IF(C1134&lt;='FR_Mantenimiento tasas'!$C$56,'Tabla Ahorro Futuro Reservas'!C1134*'FR_Mantenimiento tasas'!$D$56/360,IF(C1134&lt;='FR_Mantenimiento tasas'!$C$57,'Tabla Ahorro Futuro Reservas'!C1134*'FR_Mantenimiento tasas'!$D$57/360,""))),5)</f>
        <v>0</v>
      </c>
      <c r="E1134" s="121">
        <f>ROUND(IF(C1134&lt;='FR_Mantenimiento tasas'!$C$55,'Tabla Ahorro Futuro Reservas'!C1134*'FR_Mantenimiento tasas'!$E$55/360,IF(C1134&lt;='FR_Mantenimiento tasas'!$C$56,'Tabla Ahorro Futuro Reservas'!C1134*'FR_Mantenimiento tasas'!$E$56/360,IF(C1134&lt;='FR_Mantenimiento tasas'!$C$57,'Tabla Ahorro Futuro Reservas'!C1134*'FR_Mantenimiento tasas'!$E$57/360,""))),5)</f>
        <v>0</v>
      </c>
    </row>
    <row r="1135" spans="1:5">
      <c r="A1135" s="123">
        <f t="shared" si="34"/>
        <v>1133</v>
      </c>
      <c r="B1135" s="122">
        <f>IF(DAY(A1135)=DAY('F-Ahorro Futuro Reservas'!$H$10),'F-Ahorro Futuro Reservas'!$H$9,0)</f>
        <v>0</v>
      </c>
      <c r="C1135" s="122">
        <f t="shared" si="35"/>
        <v>0</v>
      </c>
      <c r="D1135" s="121">
        <f>ROUND(IF(C1135&lt;='FR_Mantenimiento tasas'!$C$55,'Tabla Ahorro Futuro Reservas'!C1135*'FR_Mantenimiento tasas'!$D$55/360,IF(C1135&lt;='FR_Mantenimiento tasas'!$C$56,'Tabla Ahorro Futuro Reservas'!C1135*'FR_Mantenimiento tasas'!$D$56/360,IF(C1135&lt;='FR_Mantenimiento tasas'!$C$57,'Tabla Ahorro Futuro Reservas'!C1135*'FR_Mantenimiento tasas'!$D$57/360,""))),5)</f>
        <v>0</v>
      </c>
      <c r="E1135" s="121">
        <f>ROUND(IF(C1135&lt;='FR_Mantenimiento tasas'!$C$55,'Tabla Ahorro Futuro Reservas'!C1135*'FR_Mantenimiento tasas'!$E$55/360,IF(C1135&lt;='FR_Mantenimiento tasas'!$C$56,'Tabla Ahorro Futuro Reservas'!C1135*'FR_Mantenimiento tasas'!$E$56/360,IF(C1135&lt;='FR_Mantenimiento tasas'!$C$57,'Tabla Ahorro Futuro Reservas'!C1135*'FR_Mantenimiento tasas'!$E$57/360,""))),5)</f>
        <v>0</v>
      </c>
    </row>
    <row r="1136" spans="1:5">
      <c r="A1136" s="123">
        <f t="shared" si="34"/>
        <v>1134</v>
      </c>
      <c r="B1136" s="122">
        <f>IF(DAY(A1136)=DAY('F-Ahorro Futuro Reservas'!$H$10),'F-Ahorro Futuro Reservas'!$H$9,0)</f>
        <v>0</v>
      </c>
      <c r="C1136" s="122">
        <f t="shared" si="35"/>
        <v>0</v>
      </c>
      <c r="D1136" s="121">
        <f>ROUND(IF(C1136&lt;='FR_Mantenimiento tasas'!$C$55,'Tabla Ahorro Futuro Reservas'!C1136*'FR_Mantenimiento tasas'!$D$55/360,IF(C1136&lt;='FR_Mantenimiento tasas'!$C$56,'Tabla Ahorro Futuro Reservas'!C1136*'FR_Mantenimiento tasas'!$D$56/360,IF(C1136&lt;='FR_Mantenimiento tasas'!$C$57,'Tabla Ahorro Futuro Reservas'!C1136*'FR_Mantenimiento tasas'!$D$57/360,""))),5)</f>
        <v>0</v>
      </c>
      <c r="E1136" s="121">
        <f>ROUND(IF(C1136&lt;='FR_Mantenimiento tasas'!$C$55,'Tabla Ahorro Futuro Reservas'!C1136*'FR_Mantenimiento tasas'!$E$55/360,IF(C1136&lt;='FR_Mantenimiento tasas'!$C$56,'Tabla Ahorro Futuro Reservas'!C1136*'FR_Mantenimiento tasas'!$E$56/360,IF(C1136&lt;='FR_Mantenimiento tasas'!$C$57,'Tabla Ahorro Futuro Reservas'!C1136*'FR_Mantenimiento tasas'!$E$57/360,""))),5)</f>
        <v>0</v>
      </c>
    </row>
    <row r="1137" spans="1:5">
      <c r="A1137" s="123">
        <f t="shared" si="34"/>
        <v>1135</v>
      </c>
      <c r="B1137" s="122">
        <f>IF(DAY(A1137)=DAY('F-Ahorro Futuro Reservas'!$H$10),'F-Ahorro Futuro Reservas'!$H$9,0)</f>
        <v>0</v>
      </c>
      <c r="C1137" s="122">
        <f t="shared" si="35"/>
        <v>0</v>
      </c>
      <c r="D1137" s="121">
        <f>ROUND(IF(C1137&lt;='FR_Mantenimiento tasas'!$C$55,'Tabla Ahorro Futuro Reservas'!C1137*'FR_Mantenimiento tasas'!$D$55/360,IF(C1137&lt;='FR_Mantenimiento tasas'!$C$56,'Tabla Ahorro Futuro Reservas'!C1137*'FR_Mantenimiento tasas'!$D$56/360,IF(C1137&lt;='FR_Mantenimiento tasas'!$C$57,'Tabla Ahorro Futuro Reservas'!C1137*'FR_Mantenimiento tasas'!$D$57/360,""))),5)</f>
        <v>0</v>
      </c>
      <c r="E1137" s="121">
        <f>ROUND(IF(C1137&lt;='FR_Mantenimiento tasas'!$C$55,'Tabla Ahorro Futuro Reservas'!C1137*'FR_Mantenimiento tasas'!$E$55/360,IF(C1137&lt;='FR_Mantenimiento tasas'!$C$56,'Tabla Ahorro Futuro Reservas'!C1137*'FR_Mantenimiento tasas'!$E$56/360,IF(C1137&lt;='FR_Mantenimiento tasas'!$C$57,'Tabla Ahorro Futuro Reservas'!C1137*'FR_Mantenimiento tasas'!$E$57/360,""))),5)</f>
        <v>0</v>
      </c>
    </row>
    <row r="1138" spans="1:5">
      <c r="A1138" s="123">
        <f t="shared" si="34"/>
        <v>1136</v>
      </c>
      <c r="B1138" s="122">
        <f>IF(DAY(A1138)=DAY('F-Ahorro Futuro Reservas'!$H$10),'F-Ahorro Futuro Reservas'!$H$9,0)</f>
        <v>0</v>
      </c>
      <c r="C1138" s="122">
        <f t="shared" si="35"/>
        <v>0</v>
      </c>
      <c r="D1138" s="121">
        <f>ROUND(IF(C1138&lt;='FR_Mantenimiento tasas'!$C$55,'Tabla Ahorro Futuro Reservas'!C1138*'FR_Mantenimiento tasas'!$D$55/360,IF(C1138&lt;='FR_Mantenimiento tasas'!$C$56,'Tabla Ahorro Futuro Reservas'!C1138*'FR_Mantenimiento tasas'!$D$56/360,IF(C1138&lt;='FR_Mantenimiento tasas'!$C$57,'Tabla Ahorro Futuro Reservas'!C1138*'FR_Mantenimiento tasas'!$D$57/360,""))),5)</f>
        <v>0</v>
      </c>
      <c r="E1138" s="121">
        <f>ROUND(IF(C1138&lt;='FR_Mantenimiento tasas'!$C$55,'Tabla Ahorro Futuro Reservas'!C1138*'FR_Mantenimiento tasas'!$E$55/360,IF(C1138&lt;='FR_Mantenimiento tasas'!$C$56,'Tabla Ahorro Futuro Reservas'!C1138*'FR_Mantenimiento tasas'!$E$56/360,IF(C1138&lt;='FR_Mantenimiento tasas'!$C$57,'Tabla Ahorro Futuro Reservas'!C1138*'FR_Mantenimiento tasas'!$E$57/360,""))),5)</f>
        <v>0</v>
      </c>
    </row>
    <row r="1139" spans="1:5">
      <c r="A1139" s="123">
        <f t="shared" si="34"/>
        <v>1137</v>
      </c>
      <c r="B1139" s="122">
        <f>IF(DAY(A1139)=DAY('F-Ahorro Futuro Reservas'!$H$10),'F-Ahorro Futuro Reservas'!$H$9,0)</f>
        <v>0</v>
      </c>
      <c r="C1139" s="122">
        <f t="shared" si="35"/>
        <v>0</v>
      </c>
      <c r="D1139" s="121">
        <f>ROUND(IF(C1139&lt;='FR_Mantenimiento tasas'!$C$55,'Tabla Ahorro Futuro Reservas'!C1139*'FR_Mantenimiento tasas'!$D$55/360,IF(C1139&lt;='FR_Mantenimiento tasas'!$C$56,'Tabla Ahorro Futuro Reservas'!C1139*'FR_Mantenimiento tasas'!$D$56/360,IF(C1139&lt;='FR_Mantenimiento tasas'!$C$57,'Tabla Ahorro Futuro Reservas'!C1139*'FR_Mantenimiento tasas'!$D$57/360,""))),5)</f>
        <v>0</v>
      </c>
      <c r="E1139" s="121">
        <f>ROUND(IF(C1139&lt;='FR_Mantenimiento tasas'!$C$55,'Tabla Ahorro Futuro Reservas'!C1139*'FR_Mantenimiento tasas'!$E$55/360,IF(C1139&lt;='FR_Mantenimiento tasas'!$C$56,'Tabla Ahorro Futuro Reservas'!C1139*'FR_Mantenimiento tasas'!$E$56/360,IF(C1139&lt;='FR_Mantenimiento tasas'!$C$57,'Tabla Ahorro Futuro Reservas'!C1139*'FR_Mantenimiento tasas'!$E$57/360,""))),5)</f>
        <v>0</v>
      </c>
    </row>
    <row r="1140" spans="1:5">
      <c r="A1140" s="123">
        <f t="shared" si="34"/>
        <v>1138</v>
      </c>
      <c r="B1140" s="122">
        <f>IF(DAY(A1140)=DAY('F-Ahorro Futuro Reservas'!$H$10),'F-Ahorro Futuro Reservas'!$H$9,0)</f>
        <v>0</v>
      </c>
      <c r="C1140" s="122">
        <f t="shared" si="35"/>
        <v>0</v>
      </c>
      <c r="D1140" s="121">
        <f>ROUND(IF(C1140&lt;='FR_Mantenimiento tasas'!$C$55,'Tabla Ahorro Futuro Reservas'!C1140*'FR_Mantenimiento tasas'!$D$55/360,IF(C1140&lt;='FR_Mantenimiento tasas'!$C$56,'Tabla Ahorro Futuro Reservas'!C1140*'FR_Mantenimiento tasas'!$D$56/360,IF(C1140&lt;='FR_Mantenimiento tasas'!$C$57,'Tabla Ahorro Futuro Reservas'!C1140*'FR_Mantenimiento tasas'!$D$57/360,""))),5)</f>
        <v>0</v>
      </c>
      <c r="E1140" s="121">
        <f>ROUND(IF(C1140&lt;='FR_Mantenimiento tasas'!$C$55,'Tabla Ahorro Futuro Reservas'!C1140*'FR_Mantenimiento tasas'!$E$55/360,IF(C1140&lt;='FR_Mantenimiento tasas'!$C$56,'Tabla Ahorro Futuro Reservas'!C1140*'FR_Mantenimiento tasas'!$E$56/360,IF(C1140&lt;='FR_Mantenimiento tasas'!$C$57,'Tabla Ahorro Futuro Reservas'!C1140*'FR_Mantenimiento tasas'!$E$57/360,""))),5)</f>
        <v>0</v>
      </c>
    </row>
    <row r="1141" spans="1:5">
      <c r="A1141" s="123">
        <f t="shared" si="34"/>
        <v>1139</v>
      </c>
      <c r="B1141" s="122">
        <f>IF(DAY(A1141)=DAY('F-Ahorro Futuro Reservas'!$H$10),'F-Ahorro Futuro Reservas'!$H$9,0)</f>
        <v>0</v>
      </c>
      <c r="C1141" s="122">
        <f t="shared" si="35"/>
        <v>0</v>
      </c>
      <c r="D1141" s="121">
        <f>ROUND(IF(C1141&lt;='FR_Mantenimiento tasas'!$C$55,'Tabla Ahorro Futuro Reservas'!C1141*'FR_Mantenimiento tasas'!$D$55/360,IF(C1141&lt;='FR_Mantenimiento tasas'!$C$56,'Tabla Ahorro Futuro Reservas'!C1141*'FR_Mantenimiento tasas'!$D$56/360,IF(C1141&lt;='FR_Mantenimiento tasas'!$C$57,'Tabla Ahorro Futuro Reservas'!C1141*'FR_Mantenimiento tasas'!$D$57/360,""))),5)</f>
        <v>0</v>
      </c>
      <c r="E1141" s="121">
        <f>ROUND(IF(C1141&lt;='FR_Mantenimiento tasas'!$C$55,'Tabla Ahorro Futuro Reservas'!C1141*'FR_Mantenimiento tasas'!$E$55/360,IF(C1141&lt;='FR_Mantenimiento tasas'!$C$56,'Tabla Ahorro Futuro Reservas'!C1141*'FR_Mantenimiento tasas'!$E$56/360,IF(C1141&lt;='FR_Mantenimiento tasas'!$C$57,'Tabla Ahorro Futuro Reservas'!C1141*'FR_Mantenimiento tasas'!$E$57/360,""))),5)</f>
        <v>0</v>
      </c>
    </row>
    <row r="1142" spans="1:5">
      <c r="A1142" s="123">
        <f t="shared" si="34"/>
        <v>1140</v>
      </c>
      <c r="B1142" s="122">
        <f>IF(DAY(A1142)=DAY('F-Ahorro Futuro Reservas'!$H$10),'F-Ahorro Futuro Reservas'!$H$9,0)</f>
        <v>0</v>
      </c>
      <c r="C1142" s="122">
        <f t="shared" si="35"/>
        <v>0</v>
      </c>
      <c r="D1142" s="121">
        <f>ROUND(IF(C1142&lt;='FR_Mantenimiento tasas'!$C$55,'Tabla Ahorro Futuro Reservas'!C1142*'FR_Mantenimiento tasas'!$D$55/360,IF(C1142&lt;='FR_Mantenimiento tasas'!$C$56,'Tabla Ahorro Futuro Reservas'!C1142*'FR_Mantenimiento tasas'!$D$56/360,IF(C1142&lt;='FR_Mantenimiento tasas'!$C$57,'Tabla Ahorro Futuro Reservas'!C1142*'FR_Mantenimiento tasas'!$D$57/360,""))),5)</f>
        <v>0</v>
      </c>
      <c r="E1142" s="121">
        <f>ROUND(IF(C1142&lt;='FR_Mantenimiento tasas'!$C$55,'Tabla Ahorro Futuro Reservas'!C1142*'FR_Mantenimiento tasas'!$E$55/360,IF(C1142&lt;='FR_Mantenimiento tasas'!$C$56,'Tabla Ahorro Futuro Reservas'!C1142*'FR_Mantenimiento tasas'!$E$56/360,IF(C1142&lt;='FR_Mantenimiento tasas'!$C$57,'Tabla Ahorro Futuro Reservas'!C1142*'FR_Mantenimiento tasas'!$E$57/360,""))),5)</f>
        <v>0</v>
      </c>
    </row>
    <row r="1143" spans="1:5">
      <c r="A1143" s="123">
        <f t="shared" si="34"/>
        <v>1141</v>
      </c>
      <c r="B1143" s="122">
        <f>IF(DAY(A1143)=DAY('F-Ahorro Futuro Reservas'!$H$10),'F-Ahorro Futuro Reservas'!$H$9,0)</f>
        <v>0</v>
      </c>
      <c r="C1143" s="122">
        <f t="shared" si="35"/>
        <v>0</v>
      </c>
      <c r="D1143" s="121">
        <f>ROUND(IF(C1143&lt;='FR_Mantenimiento tasas'!$C$55,'Tabla Ahorro Futuro Reservas'!C1143*'FR_Mantenimiento tasas'!$D$55/360,IF(C1143&lt;='FR_Mantenimiento tasas'!$C$56,'Tabla Ahorro Futuro Reservas'!C1143*'FR_Mantenimiento tasas'!$D$56/360,IF(C1143&lt;='FR_Mantenimiento tasas'!$C$57,'Tabla Ahorro Futuro Reservas'!C1143*'FR_Mantenimiento tasas'!$D$57/360,""))),5)</f>
        <v>0</v>
      </c>
      <c r="E1143" s="121">
        <f>ROUND(IF(C1143&lt;='FR_Mantenimiento tasas'!$C$55,'Tabla Ahorro Futuro Reservas'!C1143*'FR_Mantenimiento tasas'!$E$55/360,IF(C1143&lt;='FR_Mantenimiento tasas'!$C$56,'Tabla Ahorro Futuro Reservas'!C1143*'FR_Mantenimiento tasas'!$E$56/360,IF(C1143&lt;='FR_Mantenimiento tasas'!$C$57,'Tabla Ahorro Futuro Reservas'!C1143*'FR_Mantenimiento tasas'!$E$57/360,""))),5)</f>
        <v>0</v>
      </c>
    </row>
    <row r="1144" spans="1:5">
      <c r="A1144" s="123">
        <f t="shared" si="34"/>
        <v>1142</v>
      </c>
      <c r="B1144" s="122">
        <f>IF(DAY(A1144)=DAY('F-Ahorro Futuro Reservas'!$H$10),'F-Ahorro Futuro Reservas'!$H$9,0)</f>
        <v>0</v>
      </c>
      <c r="C1144" s="122">
        <f t="shared" si="35"/>
        <v>0</v>
      </c>
      <c r="D1144" s="121">
        <f>ROUND(IF(C1144&lt;='FR_Mantenimiento tasas'!$C$55,'Tabla Ahorro Futuro Reservas'!C1144*'FR_Mantenimiento tasas'!$D$55/360,IF(C1144&lt;='FR_Mantenimiento tasas'!$C$56,'Tabla Ahorro Futuro Reservas'!C1144*'FR_Mantenimiento tasas'!$D$56/360,IF(C1144&lt;='FR_Mantenimiento tasas'!$C$57,'Tabla Ahorro Futuro Reservas'!C1144*'FR_Mantenimiento tasas'!$D$57/360,""))),5)</f>
        <v>0</v>
      </c>
      <c r="E1144" s="121">
        <f>ROUND(IF(C1144&lt;='FR_Mantenimiento tasas'!$C$55,'Tabla Ahorro Futuro Reservas'!C1144*'FR_Mantenimiento tasas'!$E$55/360,IF(C1144&lt;='FR_Mantenimiento tasas'!$C$56,'Tabla Ahorro Futuro Reservas'!C1144*'FR_Mantenimiento tasas'!$E$56/360,IF(C1144&lt;='FR_Mantenimiento tasas'!$C$57,'Tabla Ahorro Futuro Reservas'!C1144*'FR_Mantenimiento tasas'!$E$57/360,""))),5)</f>
        <v>0</v>
      </c>
    </row>
    <row r="1145" spans="1:5">
      <c r="A1145" s="123">
        <f t="shared" si="34"/>
        <v>1143</v>
      </c>
      <c r="B1145" s="122">
        <f>IF(DAY(A1145)=DAY('F-Ahorro Futuro Reservas'!$H$10),'F-Ahorro Futuro Reservas'!$H$9,0)</f>
        <v>0</v>
      </c>
      <c r="C1145" s="122">
        <f t="shared" si="35"/>
        <v>0</v>
      </c>
      <c r="D1145" s="121">
        <f>ROUND(IF(C1145&lt;='FR_Mantenimiento tasas'!$C$55,'Tabla Ahorro Futuro Reservas'!C1145*'FR_Mantenimiento tasas'!$D$55/360,IF(C1145&lt;='FR_Mantenimiento tasas'!$C$56,'Tabla Ahorro Futuro Reservas'!C1145*'FR_Mantenimiento tasas'!$D$56/360,IF(C1145&lt;='FR_Mantenimiento tasas'!$C$57,'Tabla Ahorro Futuro Reservas'!C1145*'FR_Mantenimiento tasas'!$D$57/360,""))),5)</f>
        <v>0</v>
      </c>
      <c r="E1145" s="121">
        <f>ROUND(IF(C1145&lt;='FR_Mantenimiento tasas'!$C$55,'Tabla Ahorro Futuro Reservas'!C1145*'FR_Mantenimiento tasas'!$E$55/360,IF(C1145&lt;='FR_Mantenimiento tasas'!$C$56,'Tabla Ahorro Futuro Reservas'!C1145*'FR_Mantenimiento tasas'!$E$56/360,IF(C1145&lt;='FR_Mantenimiento tasas'!$C$57,'Tabla Ahorro Futuro Reservas'!C1145*'FR_Mantenimiento tasas'!$E$57/360,""))),5)</f>
        <v>0</v>
      </c>
    </row>
    <row r="1146" spans="1:5">
      <c r="A1146" s="123">
        <f t="shared" si="34"/>
        <v>1144</v>
      </c>
      <c r="B1146" s="122">
        <f>IF(DAY(A1146)=DAY('F-Ahorro Futuro Reservas'!$H$10),'F-Ahorro Futuro Reservas'!$H$9,0)</f>
        <v>0</v>
      </c>
      <c r="C1146" s="122">
        <f t="shared" si="35"/>
        <v>0</v>
      </c>
      <c r="D1146" s="121">
        <f>ROUND(IF(C1146&lt;='FR_Mantenimiento tasas'!$C$55,'Tabla Ahorro Futuro Reservas'!C1146*'FR_Mantenimiento tasas'!$D$55/360,IF(C1146&lt;='FR_Mantenimiento tasas'!$C$56,'Tabla Ahorro Futuro Reservas'!C1146*'FR_Mantenimiento tasas'!$D$56/360,IF(C1146&lt;='FR_Mantenimiento tasas'!$C$57,'Tabla Ahorro Futuro Reservas'!C1146*'FR_Mantenimiento tasas'!$D$57/360,""))),5)</f>
        <v>0</v>
      </c>
      <c r="E1146" s="121">
        <f>ROUND(IF(C1146&lt;='FR_Mantenimiento tasas'!$C$55,'Tabla Ahorro Futuro Reservas'!C1146*'FR_Mantenimiento tasas'!$E$55/360,IF(C1146&lt;='FR_Mantenimiento tasas'!$C$56,'Tabla Ahorro Futuro Reservas'!C1146*'FR_Mantenimiento tasas'!$E$56/360,IF(C1146&lt;='FR_Mantenimiento tasas'!$C$57,'Tabla Ahorro Futuro Reservas'!C1146*'FR_Mantenimiento tasas'!$E$57/360,""))),5)</f>
        <v>0</v>
      </c>
    </row>
    <row r="1147" spans="1:5">
      <c r="A1147" s="123">
        <f t="shared" si="34"/>
        <v>1145</v>
      </c>
      <c r="B1147" s="122">
        <f>IF(DAY(A1147)=DAY('F-Ahorro Futuro Reservas'!$H$10),'F-Ahorro Futuro Reservas'!$H$9,0)</f>
        <v>0</v>
      </c>
      <c r="C1147" s="122">
        <f t="shared" si="35"/>
        <v>0</v>
      </c>
      <c r="D1147" s="121">
        <f>ROUND(IF(C1147&lt;='FR_Mantenimiento tasas'!$C$55,'Tabla Ahorro Futuro Reservas'!C1147*'FR_Mantenimiento tasas'!$D$55/360,IF(C1147&lt;='FR_Mantenimiento tasas'!$C$56,'Tabla Ahorro Futuro Reservas'!C1147*'FR_Mantenimiento tasas'!$D$56/360,IF(C1147&lt;='FR_Mantenimiento tasas'!$C$57,'Tabla Ahorro Futuro Reservas'!C1147*'FR_Mantenimiento tasas'!$D$57/360,""))),5)</f>
        <v>0</v>
      </c>
      <c r="E1147" s="121">
        <f>ROUND(IF(C1147&lt;='FR_Mantenimiento tasas'!$C$55,'Tabla Ahorro Futuro Reservas'!C1147*'FR_Mantenimiento tasas'!$E$55/360,IF(C1147&lt;='FR_Mantenimiento tasas'!$C$56,'Tabla Ahorro Futuro Reservas'!C1147*'FR_Mantenimiento tasas'!$E$56/360,IF(C1147&lt;='FR_Mantenimiento tasas'!$C$57,'Tabla Ahorro Futuro Reservas'!C1147*'FR_Mantenimiento tasas'!$E$57/360,""))),5)</f>
        <v>0</v>
      </c>
    </row>
    <row r="1148" spans="1:5">
      <c r="A1148" s="123">
        <f t="shared" si="34"/>
        <v>1146</v>
      </c>
      <c r="B1148" s="122">
        <f>IF(DAY(A1148)=DAY('F-Ahorro Futuro Reservas'!$H$10),'F-Ahorro Futuro Reservas'!$H$9,0)</f>
        <v>0</v>
      </c>
      <c r="C1148" s="122">
        <f t="shared" si="35"/>
        <v>0</v>
      </c>
      <c r="D1148" s="121">
        <f>ROUND(IF(C1148&lt;='FR_Mantenimiento tasas'!$C$55,'Tabla Ahorro Futuro Reservas'!C1148*'FR_Mantenimiento tasas'!$D$55/360,IF(C1148&lt;='FR_Mantenimiento tasas'!$C$56,'Tabla Ahorro Futuro Reservas'!C1148*'FR_Mantenimiento tasas'!$D$56/360,IF(C1148&lt;='FR_Mantenimiento tasas'!$C$57,'Tabla Ahorro Futuro Reservas'!C1148*'FR_Mantenimiento tasas'!$D$57/360,""))),5)</f>
        <v>0</v>
      </c>
      <c r="E1148" s="121">
        <f>ROUND(IF(C1148&lt;='FR_Mantenimiento tasas'!$C$55,'Tabla Ahorro Futuro Reservas'!C1148*'FR_Mantenimiento tasas'!$E$55/360,IF(C1148&lt;='FR_Mantenimiento tasas'!$C$56,'Tabla Ahorro Futuro Reservas'!C1148*'FR_Mantenimiento tasas'!$E$56/360,IF(C1148&lt;='FR_Mantenimiento tasas'!$C$57,'Tabla Ahorro Futuro Reservas'!C1148*'FR_Mantenimiento tasas'!$E$57/360,""))),5)</f>
        <v>0</v>
      </c>
    </row>
    <row r="1149" spans="1:5">
      <c r="A1149" s="123">
        <f t="shared" si="34"/>
        <v>1147</v>
      </c>
      <c r="B1149" s="122">
        <f>IF(DAY(A1149)=DAY('F-Ahorro Futuro Reservas'!$H$10),'F-Ahorro Futuro Reservas'!$H$9,0)</f>
        <v>0</v>
      </c>
      <c r="C1149" s="122">
        <f t="shared" si="35"/>
        <v>0</v>
      </c>
      <c r="D1149" s="121">
        <f>ROUND(IF(C1149&lt;='FR_Mantenimiento tasas'!$C$55,'Tabla Ahorro Futuro Reservas'!C1149*'FR_Mantenimiento tasas'!$D$55/360,IF(C1149&lt;='FR_Mantenimiento tasas'!$C$56,'Tabla Ahorro Futuro Reservas'!C1149*'FR_Mantenimiento tasas'!$D$56/360,IF(C1149&lt;='FR_Mantenimiento tasas'!$C$57,'Tabla Ahorro Futuro Reservas'!C1149*'FR_Mantenimiento tasas'!$D$57/360,""))),5)</f>
        <v>0</v>
      </c>
      <c r="E1149" s="121">
        <f>ROUND(IF(C1149&lt;='FR_Mantenimiento tasas'!$C$55,'Tabla Ahorro Futuro Reservas'!C1149*'FR_Mantenimiento tasas'!$E$55/360,IF(C1149&lt;='FR_Mantenimiento tasas'!$C$56,'Tabla Ahorro Futuro Reservas'!C1149*'FR_Mantenimiento tasas'!$E$56/360,IF(C1149&lt;='FR_Mantenimiento tasas'!$C$57,'Tabla Ahorro Futuro Reservas'!C1149*'FR_Mantenimiento tasas'!$E$57/360,""))),5)</f>
        <v>0</v>
      </c>
    </row>
    <row r="1150" spans="1:5">
      <c r="A1150" s="123">
        <f t="shared" si="34"/>
        <v>1148</v>
      </c>
      <c r="B1150" s="122">
        <f>IF(DAY(A1150)=DAY('F-Ahorro Futuro Reservas'!$H$10),'F-Ahorro Futuro Reservas'!$H$9,0)</f>
        <v>0</v>
      </c>
      <c r="C1150" s="122">
        <f t="shared" si="35"/>
        <v>0</v>
      </c>
      <c r="D1150" s="121">
        <f>ROUND(IF(C1150&lt;='FR_Mantenimiento tasas'!$C$55,'Tabla Ahorro Futuro Reservas'!C1150*'FR_Mantenimiento tasas'!$D$55/360,IF(C1150&lt;='FR_Mantenimiento tasas'!$C$56,'Tabla Ahorro Futuro Reservas'!C1150*'FR_Mantenimiento tasas'!$D$56/360,IF(C1150&lt;='FR_Mantenimiento tasas'!$C$57,'Tabla Ahorro Futuro Reservas'!C1150*'FR_Mantenimiento tasas'!$D$57/360,""))),5)</f>
        <v>0</v>
      </c>
      <c r="E1150" s="121">
        <f>ROUND(IF(C1150&lt;='FR_Mantenimiento tasas'!$C$55,'Tabla Ahorro Futuro Reservas'!C1150*'FR_Mantenimiento tasas'!$E$55/360,IF(C1150&lt;='FR_Mantenimiento tasas'!$C$56,'Tabla Ahorro Futuro Reservas'!C1150*'FR_Mantenimiento tasas'!$E$56/360,IF(C1150&lt;='FR_Mantenimiento tasas'!$C$57,'Tabla Ahorro Futuro Reservas'!C1150*'FR_Mantenimiento tasas'!$E$57/360,""))),5)</f>
        <v>0</v>
      </c>
    </row>
    <row r="1151" spans="1:5">
      <c r="A1151" s="123">
        <f t="shared" si="34"/>
        <v>1149</v>
      </c>
      <c r="B1151" s="122">
        <f>IF(DAY(A1151)=DAY('F-Ahorro Futuro Reservas'!$H$10),'F-Ahorro Futuro Reservas'!$H$9,0)</f>
        <v>0</v>
      </c>
      <c r="C1151" s="122">
        <f t="shared" si="35"/>
        <v>0</v>
      </c>
      <c r="D1151" s="121">
        <f>ROUND(IF(C1151&lt;='FR_Mantenimiento tasas'!$C$55,'Tabla Ahorro Futuro Reservas'!C1151*'FR_Mantenimiento tasas'!$D$55/360,IF(C1151&lt;='FR_Mantenimiento tasas'!$C$56,'Tabla Ahorro Futuro Reservas'!C1151*'FR_Mantenimiento tasas'!$D$56/360,IF(C1151&lt;='FR_Mantenimiento tasas'!$C$57,'Tabla Ahorro Futuro Reservas'!C1151*'FR_Mantenimiento tasas'!$D$57/360,""))),5)</f>
        <v>0</v>
      </c>
      <c r="E1151" s="121">
        <f>ROUND(IF(C1151&lt;='FR_Mantenimiento tasas'!$C$55,'Tabla Ahorro Futuro Reservas'!C1151*'FR_Mantenimiento tasas'!$E$55/360,IF(C1151&lt;='FR_Mantenimiento tasas'!$C$56,'Tabla Ahorro Futuro Reservas'!C1151*'FR_Mantenimiento tasas'!$E$56/360,IF(C1151&lt;='FR_Mantenimiento tasas'!$C$57,'Tabla Ahorro Futuro Reservas'!C1151*'FR_Mantenimiento tasas'!$E$57/360,""))),5)</f>
        <v>0</v>
      </c>
    </row>
    <row r="1152" spans="1:5">
      <c r="A1152" s="123">
        <f t="shared" si="34"/>
        <v>1150</v>
      </c>
      <c r="B1152" s="122">
        <f>IF(DAY(A1152)=DAY('F-Ahorro Futuro Reservas'!$H$10),'F-Ahorro Futuro Reservas'!$H$9,0)</f>
        <v>0</v>
      </c>
      <c r="C1152" s="122">
        <f t="shared" si="35"/>
        <v>0</v>
      </c>
      <c r="D1152" s="121">
        <f>ROUND(IF(C1152&lt;='FR_Mantenimiento tasas'!$C$55,'Tabla Ahorro Futuro Reservas'!C1152*'FR_Mantenimiento tasas'!$D$55/360,IF(C1152&lt;='FR_Mantenimiento tasas'!$C$56,'Tabla Ahorro Futuro Reservas'!C1152*'FR_Mantenimiento tasas'!$D$56/360,IF(C1152&lt;='FR_Mantenimiento tasas'!$C$57,'Tabla Ahorro Futuro Reservas'!C1152*'FR_Mantenimiento tasas'!$D$57/360,""))),5)</f>
        <v>0</v>
      </c>
      <c r="E1152" s="121">
        <f>ROUND(IF(C1152&lt;='FR_Mantenimiento tasas'!$C$55,'Tabla Ahorro Futuro Reservas'!C1152*'FR_Mantenimiento tasas'!$E$55/360,IF(C1152&lt;='FR_Mantenimiento tasas'!$C$56,'Tabla Ahorro Futuro Reservas'!C1152*'FR_Mantenimiento tasas'!$E$56/360,IF(C1152&lt;='FR_Mantenimiento tasas'!$C$57,'Tabla Ahorro Futuro Reservas'!C1152*'FR_Mantenimiento tasas'!$E$57/360,""))),5)</f>
        <v>0</v>
      </c>
    </row>
    <row r="1153" spans="1:5">
      <c r="A1153" s="123">
        <f t="shared" si="34"/>
        <v>1151</v>
      </c>
      <c r="B1153" s="122">
        <f>IF(DAY(A1153)=DAY('F-Ahorro Futuro Reservas'!$H$10),'F-Ahorro Futuro Reservas'!$H$9,0)</f>
        <v>0</v>
      </c>
      <c r="C1153" s="122">
        <f t="shared" si="35"/>
        <v>0</v>
      </c>
      <c r="D1153" s="121">
        <f>ROUND(IF(C1153&lt;='FR_Mantenimiento tasas'!$C$55,'Tabla Ahorro Futuro Reservas'!C1153*'FR_Mantenimiento tasas'!$D$55/360,IF(C1153&lt;='FR_Mantenimiento tasas'!$C$56,'Tabla Ahorro Futuro Reservas'!C1153*'FR_Mantenimiento tasas'!$D$56/360,IF(C1153&lt;='FR_Mantenimiento tasas'!$C$57,'Tabla Ahorro Futuro Reservas'!C1153*'FR_Mantenimiento tasas'!$D$57/360,""))),5)</f>
        <v>0</v>
      </c>
      <c r="E1153" s="121">
        <f>ROUND(IF(C1153&lt;='FR_Mantenimiento tasas'!$C$55,'Tabla Ahorro Futuro Reservas'!C1153*'FR_Mantenimiento tasas'!$E$55/360,IF(C1153&lt;='FR_Mantenimiento tasas'!$C$56,'Tabla Ahorro Futuro Reservas'!C1153*'FR_Mantenimiento tasas'!$E$56/360,IF(C1153&lt;='FR_Mantenimiento tasas'!$C$57,'Tabla Ahorro Futuro Reservas'!C1153*'FR_Mantenimiento tasas'!$E$57/360,""))),5)</f>
        <v>0</v>
      </c>
    </row>
    <row r="1154" spans="1:5">
      <c r="A1154" s="123">
        <f t="shared" si="34"/>
        <v>1152</v>
      </c>
      <c r="B1154" s="122">
        <f>IF(DAY(A1154)=DAY('F-Ahorro Futuro Reservas'!$H$10),'F-Ahorro Futuro Reservas'!$H$9,0)</f>
        <v>0</v>
      </c>
      <c r="C1154" s="122">
        <f t="shared" si="35"/>
        <v>0</v>
      </c>
      <c r="D1154" s="121">
        <f>ROUND(IF(C1154&lt;='FR_Mantenimiento tasas'!$C$55,'Tabla Ahorro Futuro Reservas'!C1154*'FR_Mantenimiento tasas'!$D$55/360,IF(C1154&lt;='FR_Mantenimiento tasas'!$C$56,'Tabla Ahorro Futuro Reservas'!C1154*'FR_Mantenimiento tasas'!$D$56/360,IF(C1154&lt;='FR_Mantenimiento tasas'!$C$57,'Tabla Ahorro Futuro Reservas'!C1154*'FR_Mantenimiento tasas'!$D$57/360,""))),5)</f>
        <v>0</v>
      </c>
      <c r="E1154" s="121">
        <f>ROUND(IF(C1154&lt;='FR_Mantenimiento tasas'!$C$55,'Tabla Ahorro Futuro Reservas'!C1154*'FR_Mantenimiento tasas'!$E$55/360,IF(C1154&lt;='FR_Mantenimiento tasas'!$C$56,'Tabla Ahorro Futuro Reservas'!C1154*'FR_Mantenimiento tasas'!$E$56/360,IF(C1154&lt;='FR_Mantenimiento tasas'!$C$57,'Tabla Ahorro Futuro Reservas'!C1154*'FR_Mantenimiento tasas'!$E$57/360,""))),5)</f>
        <v>0</v>
      </c>
    </row>
    <row r="1155" spans="1:5">
      <c r="A1155" s="123">
        <f t="shared" si="34"/>
        <v>1153</v>
      </c>
      <c r="B1155" s="122">
        <f>IF(DAY(A1155)=DAY('F-Ahorro Futuro Reservas'!$H$10),'F-Ahorro Futuro Reservas'!$H$9,0)</f>
        <v>0</v>
      </c>
      <c r="C1155" s="122">
        <f t="shared" si="35"/>
        <v>0</v>
      </c>
      <c r="D1155" s="121">
        <f>ROUND(IF(C1155&lt;='FR_Mantenimiento tasas'!$C$55,'Tabla Ahorro Futuro Reservas'!C1155*'FR_Mantenimiento tasas'!$D$55/360,IF(C1155&lt;='FR_Mantenimiento tasas'!$C$56,'Tabla Ahorro Futuro Reservas'!C1155*'FR_Mantenimiento tasas'!$D$56/360,IF(C1155&lt;='FR_Mantenimiento tasas'!$C$57,'Tabla Ahorro Futuro Reservas'!C1155*'FR_Mantenimiento tasas'!$D$57/360,""))),5)</f>
        <v>0</v>
      </c>
      <c r="E1155" s="121">
        <f>ROUND(IF(C1155&lt;='FR_Mantenimiento tasas'!$C$55,'Tabla Ahorro Futuro Reservas'!C1155*'FR_Mantenimiento tasas'!$E$55/360,IF(C1155&lt;='FR_Mantenimiento tasas'!$C$56,'Tabla Ahorro Futuro Reservas'!C1155*'FR_Mantenimiento tasas'!$E$56/360,IF(C1155&lt;='FR_Mantenimiento tasas'!$C$57,'Tabla Ahorro Futuro Reservas'!C1155*'FR_Mantenimiento tasas'!$E$57/360,""))),5)</f>
        <v>0</v>
      </c>
    </row>
    <row r="1156" spans="1:5">
      <c r="A1156" s="123">
        <f t="shared" ref="A1156:A1219" si="36">+A1155+1</f>
        <v>1154</v>
      </c>
      <c r="B1156" s="122">
        <f>IF(DAY(A1156)=DAY('F-Ahorro Futuro Reservas'!$H$10),'F-Ahorro Futuro Reservas'!$H$9,0)</f>
        <v>0</v>
      </c>
      <c r="C1156" s="122">
        <f t="shared" ref="C1156:C1219" si="37">+B1156+C1155+D1155</f>
        <v>0</v>
      </c>
      <c r="D1156" s="121">
        <f>ROUND(IF(C1156&lt;='FR_Mantenimiento tasas'!$C$55,'Tabla Ahorro Futuro Reservas'!C1156*'FR_Mantenimiento tasas'!$D$55/360,IF(C1156&lt;='FR_Mantenimiento tasas'!$C$56,'Tabla Ahorro Futuro Reservas'!C1156*'FR_Mantenimiento tasas'!$D$56/360,IF(C1156&lt;='FR_Mantenimiento tasas'!$C$57,'Tabla Ahorro Futuro Reservas'!C1156*'FR_Mantenimiento tasas'!$D$57/360,""))),5)</f>
        <v>0</v>
      </c>
      <c r="E1156" s="121">
        <f>ROUND(IF(C1156&lt;='FR_Mantenimiento tasas'!$C$55,'Tabla Ahorro Futuro Reservas'!C1156*'FR_Mantenimiento tasas'!$E$55/360,IF(C1156&lt;='FR_Mantenimiento tasas'!$C$56,'Tabla Ahorro Futuro Reservas'!C1156*'FR_Mantenimiento tasas'!$E$56/360,IF(C1156&lt;='FR_Mantenimiento tasas'!$C$57,'Tabla Ahorro Futuro Reservas'!C1156*'FR_Mantenimiento tasas'!$E$57/360,""))),5)</f>
        <v>0</v>
      </c>
    </row>
    <row r="1157" spans="1:5">
      <c r="A1157" s="123">
        <f t="shared" si="36"/>
        <v>1155</v>
      </c>
      <c r="B1157" s="122">
        <f>IF(DAY(A1157)=DAY('F-Ahorro Futuro Reservas'!$H$10),'F-Ahorro Futuro Reservas'!$H$9,0)</f>
        <v>0</v>
      </c>
      <c r="C1157" s="122">
        <f t="shared" si="37"/>
        <v>0</v>
      </c>
      <c r="D1157" s="121">
        <f>ROUND(IF(C1157&lt;='FR_Mantenimiento tasas'!$C$55,'Tabla Ahorro Futuro Reservas'!C1157*'FR_Mantenimiento tasas'!$D$55/360,IF(C1157&lt;='FR_Mantenimiento tasas'!$C$56,'Tabla Ahorro Futuro Reservas'!C1157*'FR_Mantenimiento tasas'!$D$56/360,IF(C1157&lt;='FR_Mantenimiento tasas'!$C$57,'Tabla Ahorro Futuro Reservas'!C1157*'FR_Mantenimiento tasas'!$D$57/360,""))),5)</f>
        <v>0</v>
      </c>
      <c r="E1157" s="121">
        <f>ROUND(IF(C1157&lt;='FR_Mantenimiento tasas'!$C$55,'Tabla Ahorro Futuro Reservas'!C1157*'FR_Mantenimiento tasas'!$E$55/360,IF(C1157&lt;='FR_Mantenimiento tasas'!$C$56,'Tabla Ahorro Futuro Reservas'!C1157*'FR_Mantenimiento tasas'!$E$56/360,IF(C1157&lt;='FR_Mantenimiento tasas'!$C$57,'Tabla Ahorro Futuro Reservas'!C1157*'FR_Mantenimiento tasas'!$E$57/360,""))),5)</f>
        <v>0</v>
      </c>
    </row>
    <row r="1158" spans="1:5">
      <c r="A1158" s="123">
        <f t="shared" si="36"/>
        <v>1156</v>
      </c>
      <c r="B1158" s="122">
        <f>IF(DAY(A1158)=DAY('F-Ahorro Futuro Reservas'!$H$10),'F-Ahorro Futuro Reservas'!$H$9,0)</f>
        <v>0</v>
      </c>
      <c r="C1158" s="122">
        <f t="shared" si="37"/>
        <v>0</v>
      </c>
      <c r="D1158" s="121">
        <f>ROUND(IF(C1158&lt;='FR_Mantenimiento tasas'!$C$55,'Tabla Ahorro Futuro Reservas'!C1158*'FR_Mantenimiento tasas'!$D$55/360,IF(C1158&lt;='FR_Mantenimiento tasas'!$C$56,'Tabla Ahorro Futuro Reservas'!C1158*'FR_Mantenimiento tasas'!$D$56/360,IF(C1158&lt;='FR_Mantenimiento tasas'!$C$57,'Tabla Ahorro Futuro Reservas'!C1158*'FR_Mantenimiento tasas'!$D$57/360,""))),5)</f>
        <v>0</v>
      </c>
      <c r="E1158" s="121">
        <f>ROUND(IF(C1158&lt;='FR_Mantenimiento tasas'!$C$55,'Tabla Ahorro Futuro Reservas'!C1158*'FR_Mantenimiento tasas'!$E$55/360,IF(C1158&lt;='FR_Mantenimiento tasas'!$C$56,'Tabla Ahorro Futuro Reservas'!C1158*'FR_Mantenimiento tasas'!$E$56/360,IF(C1158&lt;='FR_Mantenimiento tasas'!$C$57,'Tabla Ahorro Futuro Reservas'!C1158*'FR_Mantenimiento tasas'!$E$57/360,""))),5)</f>
        <v>0</v>
      </c>
    </row>
    <row r="1159" spans="1:5">
      <c r="A1159" s="123">
        <f t="shared" si="36"/>
        <v>1157</v>
      </c>
      <c r="B1159" s="122">
        <f>IF(DAY(A1159)=DAY('F-Ahorro Futuro Reservas'!$H$10),'F-Ahorro Futuro Reservas'!$H$9,0)</f>
        <v>0</v>
      </c>
      <c r="C1159" s="122">
        <f t="shared" si="37"/>
        <v>0</v>
      </c>
      <c r="D1159" s="121">
        <f>ROUND(IF(C1159&lt;='FR_Mantenimiento tasas'!$C$55,'Tabla Ahorro Futuro Reservas'!C1159*'FR_Mantenimiento tasas'!$D$55/360,IF(C1159&lt;='FR_Mantenimiento tasas'!$C$56,'Tabla Ahorro Futuro Reservas'!C1159*'FR_Mantenimiento tasas'!$D$56/360,IF(C1159&lt;='FR_Mantenimiento tasas'!$C$57,'Tabla Ahorro Futuro Reservas'!C1159*'FR_Mantenimiento tasas'!$D$57/360,""))),5)</f>
        <v>0</v>
      </c>
      <c r="E1159" s="121">
        <f>ROUND(IF(C1159&lt;='FR_Mantenimiento tasas'!$C$55,'Tabla Ahorro Futuro Reservas'!C1159*'FR_Mantenimiento tasas'!$E$55/360,IF(C1159&lt;='FR_Mantenimiento tasas'!$C$56,'Tabla Ahorro Futuro Reservas'!C1159*'FR_Mantenimiento tasas'!$E$56/360,IF(C1159&lt;='FR_Mantenimiento tasas'!$C$57,'Tabla Ahorro Futuro Reservas'!C1159*'FR_Mantenimiento tasas'!$E$57/360,""))),5)</f>
        <v>0</v>
      </c>
    </row>
    <row r="1160" spans="1:5">
      <c r="A1160" s="123">
        <f t="shared" si="36"/>
        <v>1158</v>
      </c>
      <c r="B1160" s="122">
        <f>IF(DAY(A1160)=DAY('F-Ahorro Futuro Reservas'!$H$10),'F-Ahorro Futuro Reservas'!$H$9,0)</f>
        <v>0</v>
      </c>
      <c r="C1160" s="122">
        <f t="shared" si="37"/>
        <v>0</v>
      </c>
      <c r="D1160" s="121">
        <f>ROUND(IF(C1160&lt;='FR_Mantenimiento tasas'!$C$55,'Tabla Ahorro Futuro Reservas'!C1160*'FR_Mantenimiento tasas'!$D$55/360,IF(C1160&lt;='FR_Mantenimiento tasas'!$C$56,'Tabla Ahorro Futuro Reservas'!C1160*'FR_Mantenimiento tasas'!$D$56/360,IF(C1160&lt;='FR_Mantenimiento tasas'!$C$57,'Tabla Ahorro Futuro Reservas'!C1160*'FR_Mantenimiento tasas'!$D$57/360,""))),5)</f>
        <v>0</v>
      </c>
      <c r="E1160" s="121">
        <f>ROUND(IF(C1160&lt;='FR_Mantenimiento tasas'!$C$55,'Tabla Ahorro Futuro Reservas'!C1160*'FR_Mantenimiento tasas'!$E$55/360,IF(C1160&lt;='FR_Mantenimiento tasas'!$C$56,'Tabla Ahorro Futuro Reservas'!C1160*'FR_Mantenimiento tasas'!$E$56/360,IF(C1160&lt;='FR_Mantenimiento tasas'!$C$57,'Tabla Ahorro Futuro Reservas'!C1160*'FR_Mantenimiento tasas'!$E$57/360,""))),5)</f>
        <v>0</v>
      </c>
    </row>
    <row r="1161" spans="1:5">
      <c r="A1161" s="123">
        <f t="shared" si="36"/>
        <v>1159</v>
      </c>
      <c r="B1161" s="122">
        <f>IF(DAY(A1161)=DAY('F-Ahorro Futuro Reservas'!$H$10),'F-Ahorro Futuro Reservas'!$H$9,0)</f>
        <v>0</v>
      </c>
      <c r="C1161" s="122">
        <f t="shared" si="37"/>
        <v>0</v>
      </c>
      <c r="D1161" s="121">
        <f>ROUND(IF(C1161&lt;='FR_Mantenimiento tasas'!$C$55,'Tabla Ahorro Futuro Reservas'!C1161*'FR_Mantenimiento tasas'!$D$55/360,IF(C1161&lt;='FR_Mantenimiento tasas'!$C$56,'Tabla Ahorro Futuro Reservas'!C1161*'FR_Mantenimiento tasas'!$D$56/360,IF(C1161&lt;='FR_Mantenimiento tasas'!$C$57,'Tabla Ahorro Futuro Reservas'!C1161*'FR_Mantenimiento tasas'!$D$57/360,""))),5)</f>
        <v>0</v>
      </c>
      <c r="E1161" s="121">
        <f>ROUND(IF(C1161&lt;='FR_Mantenimiento tasas'!$C$55,'Tabla Ahorro Futuro Reservas'!C1161*'FR_Mantenimiento tasas'!$E$55/360,IF(C1161&lt;='FR_Mantenimiento tasas'!$C$56,'Tabla Ahorro Futuro Reservas'!C1161*'FR_Mantenimiento tasas'!$E$56/360,IF(C1161&lt;='FR_Mantenimiento tasas'!$C$57,'Tabla Ahorro Futuro Reservas'!C1161*'FR_Mantenimiento tasas'!$E$57/360,""))),5)</f>
        <v>0</v>
      </c>
    </row>
    <row r="1162" spans="1:5">
      <c r="A1162" s="123">
        <f t="shared" si="36"/>
        <v>1160</v>
      </c>
      <c r="B1162" s="122">
        <f>IF(DAY(A1162)=DAY('F-Ahorro Futuro Reservas'!$H$10),'F-Ahorro Futuro Reservas'!$H$9,0)</f>
        <v>0</v>
      </c>
      <c r="C1162" s="122">
        <f t="shared" si="37"/>
        <v>0</v>
      </c>
      <c r="D1162" s="121">
        <f>ROUND(IF(C1162&lt;='FR_Mantenimiento tasas'!$C$55,'Tabla Ahorro Futuro Reservas'!C1162*'FR_Mantenimiento tasas'!$D$55/360,IF(C1162&lt;='FR_Mantenimiento tasas'!$C$56,'Tabla Ahorro Futuro Reservas'!C1162*'FR_Mantenimiento tasas'!$D$56/360,IF(C1162&lt;='FR_Mantenimiento tasas'!$C$57,'Tabla Ahorro Futuro Reservas'!C1162*'FR_Mantenimiento tasas'!$D$57/360,""))),5)</f>
        <v>0</v>
      </c>
      <c r="E1162" s="121">
        <f>ROUND(IF(C1162&lt;='FR_Mantenimiento tasas'!$C$55,'Tabla Ahorro Futuro Reservas'!C1162*'FR_Mantenimiento tasas'!$E$55/360,IF(C1162&lt;='FR_Mantenimiento tasas'!$C$56,'Tabla Ahorro Futuro Reservas'!C1162*'FR_Mantenimiento tasas'!$E$56/360,IF(C1162&lt;='FR_Mantenimiento tasas'!$C$57,'Tabla Ahorro Futuro Reservas'!C1162*'FR_Mantenimiento tasas'!$E$57/360,""))),5)</f>
        <v>0</v>
      </c>
    </row>
    <row r="1163" spans="1:5">
      <c r="A1163" s="123">
        <f t="shared" si="36"/>
        <v>1161</v>
      </c>
      <c r="B1163" s="122">
        <f>IF(DAY(A1163)=DAY('F-Ahorro Futuro Reservas'!$H$10),'F-Ahorro Futuro Reservas'!$H$9,0)</f>
        <v>0</v>
      </c>
      <c r="C1163" s="122">
        <f t="shared" si="37"/>
        <v>0</v>
      </c>
      <c r="D1163" s="121">
        <f>ROUND(IF(C1163&lt;='FR_Mantenimiento tasas'!$C$55,'Tabla Ahorro Futuro Reservas'!C1163*'FR_Mantenimiento tasas'!$D$55/360,IF(C1163&lt;='FR_Mantenimiento tasas'!$C$56,'Tabla Ahorro Futuro Reservas'!C1163*'FR_Mantenimiento tasas'!$D$56/360,IF(C1163&lt;='FR_Mantenimiento tasas'!$C$57,'Tabla Ahorro Futuro Reservas'!C1163*'FR_Mantenimiento tasas'!$D$57/360,""))),5)</f>
        <v>0</v>
      </c>
      <c r="E1163" s="121">
        <f>ROUND(IF(C1163&lt;='FR_Mantenimiento tasas'!$C$55,'Tabla Ahorro Futuro Reservas'!C1163*'FR_Mantenimiento tasas'!$E$55/360,IF(C1163&lt;='FR_Mantenimiento tasas'!$C$56,'Tabla Ahorro Futuro Reservas'!C1163*'FR_Mantenimiento tasas'!$E$56/360,IF(C1163&lt;='FR_Mantenimiento tasas'!$C$57,'Tabla Ahorro Futuro Reservas'!C1163*'FR_Mantenimiento tasas'!$E$57/360,""))),5)</f>
        <v>0</v>
      </c>
    </row>
    <row r="1164" spans="1:5">
      <c r="A1164" s="123">
        <f t="shared" si="36"/>
        <v>1162</v>
      </c>
      <c r="B1164" s="122">
        <f>IF(DAY(A1164)=DAY('F-Ahorro Futuro Reservas'!$H$10),'F-Ahorro Futuro Reservas'!$H$9,0)</f>
        <v>0</v>
      </c>
      <c r="C1164" s="122">
        <f t="shared" si="37"/>
        <v>0</v>
      </c>
      <c r="D1164" s="121">
        <f>ROUND(IF(C1164&lt;='FR_Mantenimiento tasas'!$C$55,'Tabla Ahorro Futuro Reservas'!C1164*'FR_Mantenimiento tasas'!$D$55/360,IF(C1164&lt;='FR_Mantenimiento tasas'!$C$56,'Tabla Ahorro Futuro Reservas'!C1164*'FR_Mantenimiento tasas'!$D$56/360,IF(C1164&lt;='FR_Mantenimiento tasas'!$C$57,'Tabla Ahorro Futuro Reservas'!C1164*'FR_Mantenimiento tasas'!$D$57/360,""))),5)</f>
        <v>0</v>
      </c>
      <c r="E1164" s="121">
        <f>ROUND(IF(C1164&lt;='FR_Mantenimiento tasas'!$C$55,'Tabla Ahorro Futuro Reservas'!C1164*'FR_Mantenimiento tasas'!$E$55/360,IF(C1164&lt;='FR_Mantenimiento tasas'!$C$56,'Tabla Ahorro Futuro Reservas'!C1164*'FR_Mantenimiento tasas'!$E$56/360,IF(C1164&lt;='FR_Mantenimiento tasas'!$C$57,'Tabla Ahorro Futuro Reservas'!C1164*'FR_Mantenimiento tasas'!$E$57/360,""))),5)</f>
        <v>0</v>
      </c>
    </row>
    <row r="1165" spans="1:5">
      <c r="A1165" s="123">
        <f t="shared" si="36"/>
        <v>1163</v>
      </c>
      <c r="B1165" s="122">
        <f>IF(DAY(A1165)=DAY('F-Ahorro Futuro Reservas'!$H$10),'F-Ahorro Futuro Reservas'!$H$9,0)</f>
        <v>0</v>
      </c>
      <c r="C1165" s="122">
        <f t="shared" si="37"/>
        <v>0</v>
      </c>
      <c r="D1165" s="121">
        <f>ROUND(IF(C1165&lt;='FR_Mantenimiento tasas'!$C$55,'Tabla Ahorro Futuro Reservas'!C1165*'FR_Mantenimiento tasas'!$D$55/360,IF(C1165&lt;='FR_Mantenimiento tasas'!$C$56,'Tabla Ahorro Futuro Reservas'!C1165*'FR_Mantenimiento tasas'!$D$56/360,IF(C1165&lt;='FR_Mantenimiento tasas'!$C$57,'Tabla Ahorro Futuro Reservas'!C1165*'FR_Mantenimiento tasas'!$D$57/360,""))),5)</f>
        <v>0</v>
      </c>
      <c r="E1165" s="121">
        <f>ROUND(IF(C1165&lt;='FR_Mantenimiento tasas'!$C$55,'Tabla Ahorro Futuro Reservas'!C1165*'FR_Mantenimiento tasas'!$E$55/360,IF(C1165&lt;='FR_Mantenimiento tasas'!$C$56,'Tabla Ahorro Futuro Reservas'!C1165*'FR_Mantenimiento tasas'!$E$56/360,IF(C1165&lt;='FR_Mantenimiento tasas'!$C$57,'Tabla Ahorro Futuro Reservas'!C1165*'FR_Mantenimiento tasas'!$E$57/360,""))),5)</f>
        <v>0</v>
      </c>
    </row>
    <row r="1166" spans="1:5">
      <c r="A1166" s="123">
        <f t="shared" si="36"/>
        <v>1164</v>
      </c>
      <c r="B1166" s="122">
        <f>IF(DAY(A1166)=DAY('F-Ahorro Futuro Reservas'!$H$10),'F-Ahorro Futuro Reservas'!$H$9,0)</f>
        <v>0</v>
      </c>
      <c r="C1166" s="122">
        <f t="shared" si="37"/>
        <v>0</v>
      </c>
      <c r="D1166" s="121">
        <f>ROUND(IF(C1166&lt;='FR_Mantenimiento tasas'!$C$55,'Tabla Ahorro Futuro Reservas'!C1166*'FR_Mantenimiento tasas'!$D$55/360,IF(C1166&lt;='FR_Mantenimiento tasas'!$C$56,'Tabla Ahorro Futuro Reservas'!C1166*'FR_Mantenimiento tasas'!$D$56/360,IF(C1166&lt;='FR_Mantenimiento tasas'!$C$57,'Tabla Ahorro Futuro Reservas'!C1166*'FR_Mantenimiento tasas'!$D$57/360,""))),5)</f>
        <v>0</v>
      </c>
      <c r="E1166" s="121">
        <f>ROUND(IF(C1166&lt;='FR_Mantenimiento tasas'!$C$55,'Tabla Ahorro Futuro Reservas'!C1166*'FR_Mantenimiento tasas'!$E$55/360,IF(C1166&lt;='FR_Mantenimiento tasas'!$C$56,'Tabla Ahorro Futuro Reservas'!C1166*'FR_Mantenimiento tasas'!$E$56/360,IF(C1166&lt;='FR_Mantenimiento tasas'!$C$57,'Tabla Ahorro Futuro Reservas'!C1166*'FR_Mantenimiento tasas'!$E$57/360,""))),5)</f>
        <v>0</v>
      </c>
    </row>
    <row r="1167" spans="1:5">
      <c r="A1167" s="123">
        <f t="shared" si="36"/>
        <v>1165</v>
      </c>
      <c r="B1167" s="122">
        <f>IF(DAY(A1167)=DAY('F-Ahorro Futuro Reservas'!$H$10),'F-Ahorro Futuro Reservas'!$H$9,0)</f>
        <v>0</v>
      </c>
      <c r="C1167" s="122">
        <f t="shared" si="37"/>
        <v>0</v>
      </c>
      <c r="D1167" s="121">
        <f>ROUND(IF(C1167&lt;='FR_Mantenimiento tasas'!$C$55,'Tabla Ahorro Futuro Reservas'!C1167*'FR_Mantenimiento tasas'!$D$55/360,IF(C1167&lt;='FR_Mantenimiento tasas'!$C$56,'Tabla Ahorro Futuro Reservas'!C1167*'FR_Mantenimiento tasas'!$D$56/360,IF(C1167&lt;='FR_Mantenimiento tasas'!$C$57,'Tabla Ahorro Futuro Reservas'!C1167*'FR_Mantenimiento tasas'!$D$57/360,""))),5)</f>
        <v>0</v>
      </c>
      <c r="E1167" s="121">
        <f>ROUND(IF(C1167&lt;='FR_Mantenimiento tasas'!$C$55,'Tabla Ahorro Futuro Reservas'!C1167*'FR_Mantenimiento tasas'!$E$55/360,IF(C1167&lt;='FR_Mantenimiento tasas'!$C$56,'Tabla Ahorro Futuro Reservas'!C1167*'FR_Mantenimiento tasas'!$E$56/360,IF(C1167&lt;='FR_Mantenimiento tasas'!$C$57,'Tabla Ahorro Futuro Reservas'!C1167*'FR_Mantenimiento tasas'!$E$57/360,""))),5)</f>
        <v>0</v>
      </c>
    </row>
    <row r="1168" spans="1:5">
      <c r="A1168" s="123">
        <f t="shared" si="36"/>
        <v>1166</v>
      </c>
      <c r="B1168" s="122">
        <f>IF(DAY(A1168)=DAY('F-Ahorro Futuro Reservas'!$H$10),'F-Ahorro Futuro Reservas'!$H$9,0)</f>
        <v>0</v>
      </c>
      <c r="C1168" s="122">
        <f t="shared" si="37"/>
        <v>0</v>
      </c>
      <c r="D1168" s="121">
        <f>ROUND(IF(C1168&lt;='FR_Mantenimiento tasas'!$C$55,'Tabla Ahorro Futuro Reservas'!C1168*'FR_Mantenimiento tasas'!$D$55/360,IF(C1168&lt;='FR_Mantenimiento tasas'!$C$56,'Tabla Ahorro Futuro Reservas'!C1168*'FR_Mantenimiento tasas'!$D$56/360,IF(C1168&lt;='FR_Mantenimiento tasas'!$C$57,'Tabla Ahorro Futuro Reservas'!C1168*'FR_Mantenimiento tasas'!$D$57/360,""))),5)</f>
        <v>0</v>
      </c>
      <c r="E1168" s="121">
        <f>ROUND(IF(C1168&lt;='FR_Mantenimiento tasas'!$C$55,'Tabla Ahorro Futuro Reservas'!C1168*'FR_Mantenimiento tasas'!$E$55/360,IF(C1168&lt;='FR_Mantenimiento tasas'!$C$56,'Tabla Ahorro Futuro Reservas'!C1168*'FR_Mantenimiento tasas'!$E$56/360,IF(C1168&lt;='FR_Mantenimiento tasas'!$C$57,'Tabla Ahorro Futuro Reservas'!C1168*'FR_Mantenimiento tasas'!$E$57/360,""))),5)</f>
        <v>0</v>
      </c>
    </row>
    <row r="1169" spans="1:5">
      <c r="A1169" s="123">
        <f t="shared" si="36"/>
        <v>1167</v>
      </c>
      <c r="B1169" s="122">
        <f>IF(DAY(A1169)=DAY('F-Ahorro Futuro Reservas'!$H$10),'F-Ahorro Futuro Reservas'!$H$9,0)</f>
        <v>0</v>
      </c>
      <c r="C1169" s="122">
        <f t="shared" si="37"/>
        <v>0</v>
      </c>
      <c r="D1169" s="121">
        <f>ROUND(IF(C1169&lt;='FR_Mantenimiento tasas'!$C$55,'Tabla Ahorro Futuro Reservas'!C1169*'FR_Mantenimiento tasas'!$D$55/360,IF(C1169&lt;='FR_Mantenimiento tasas'!$C$56,'Tabla Ahorro Futuro Reservas'!C1169*'FR_Mantenimiento tasas'!$D$56/360,IF(C1169&lt;='FR_Mantenimiento tasas'!$C$57,'Tabla Ahorro Futuro Reservas'!C1169*'FR_Mantenimiento tasas'!$D$57/360,""))),5)</f>
        <v>0</v>
      </c>
      <c r="E1169" s="121">
        <f>ROUND(IF(C1169&lt;='FR_Mantenimiento tasas'!$C$55,'Tabla Ahorro Futuro Reservas'!C1169*'FR_Mantenimiento tasas'!$E$55/360,IF(C1169&lt;='FR_Mantenimiento tasas'!$C$56,'Tabla Ahorro Futuro Reservas'!C1169*'FR_Mantenimiento tasas'!$E$56/360,IF(C1169&lt;='FR_Mantenimiento tasas'!$C$57,'Tabla Ahorro Futuro Reservas'!C1169*'FR_Mantenimiento tasas'!$E$57/360,""))),5)</f>
        <v>0</v>
      </c>
    </row>
    <row r="1170" spans="1:5">
      <c r="A1170" s="123">
        <f t="shared" si="36"/>
        <v>1168</v>
      </c>
      <c r="B1170" s="122">
        <f>IF(DAY(A1170)=DAY('F-Ahorro Futuro Reservas'!$H$10),'F-Ahorro Futuro Reservas'!$H$9,0)</f>
        <v>0</v>
      </c>
      <c r="C1170" s="122">
        <f t="shared" si="37"/>
        <v>0</v>
      </c>
      <c r="D1170" s="121">
        <f>ROUND(IF(C1170&lt;='FR_Mantenimiento tasas'!$C$55,'Tabla Ahorro Futuro Reservas'!C1170*'FR_Mantenimiento tasas'!$D$55/360,IF(C1170&lt;='FR_Mantenimiento tasas'!$C$56,'Tabla Ahorro Futuro Reservas'!C1170*'FR_Mantenimiento tasas'!$D$56/360,IF(C1170&lt;='FR_Mantenimiento tasas'!$C$57,'Tabla Ahorro Futuro Reservas'!C1170*'FR_Mantenimiento tasas'!$D$57/360,""))),5)</f>
        <v>0</v>
      </c>
      <c r="E1170" s="121">
        <f>ROUND(IF(C1170&lt;='FR_Mantenimiento tasas'!$C$55,'Tabla Ahorro Futuro Reservas'!C1170*'FR_Mantenimiento tasas'!$E$55/360,IF(C1170&lt;='FR_Mantenimiento tasas'!$C$56,'Tabla Ahorro Futuro Reservas'!C1170*'FR_Mantenimiento tasas'!$E$56/360,IF(C1170&lt;='FR_Mantenimiento tasas'!$C$57,'Tabla Ahorro Futuro Reservas'!C1170*'FR_Mantenimiento tasas'!$E$57/360,""))),5)</f>
        <v>0</v>
      </c>
    </row>
    <row r="1171" spans="1:5">
      <c r="A1171" s="123">
        <f t="shared" si="36"/>
        <v>1169</v>
      </c>
      <c r="B1171" s="122">
        <f>IF(DAY(A1171)=DAY('F-Ahorro Futuro Reservas'!$H$10),'F-Ahorro Futuro Reservas'!$H$9,0)</f>
        <v>0</v>
      </c>
      <c r="C1171" s="122">
        <f t="shared" si="37"/>
        <v>0</v>
      </c>
      <c r="D1171" s="121">
        <f>ROUND(IF(C1171&lt;='FR_Mantenimiento tasas'!$C$55,'Tabla Ahorro Futuro Reservas'!C1171*'FR_Mantenimiento tasas'!$D$55/360,IF(C1171&lt;='FR_Mantenimiento tasas'!$C$56,'Tabla Ahorro Futuro Reservas'!C1171*'FR_Mantenimiento tasas'!$D$56/360,IF(C1171&lt;='FR_Mantenimiento tasas'!$C$57,'Tabla Ahorro Futuro Reservas'!C1171*'FR_Mantenimiento tasas'!$D$57/360,""))),5)</f>
        <v>0</v>
      </c>
      <c r="E1171" s="121">
        <f>ROUND(IF(C1171&lt;='FR_Mantenimiento tasas'!$C$55,'Tabla Ahorro Futuro Reservas'!C1171*'FR_Mantenimiento tasas'!$E$55/360,IF(C1171&lt;='FR_Mantenimiento tasas'!$C$56,'Tabla Ahorro Futuro Reservas'!C1171*'FR_Mantenimiento tasas'!$E$56/360,IF(C1171&lt;='FR_Mantenimiento tasas'!$C$57,'Tabla Ahorro Futuro Reservas'!C1171*'FR_Mantenimiento tasas'!$E$57/360,""))),5)</f>
        <v>0</v>
      </c>
    </row>
    <row r="1172" spans="1:5">
      <c r="A1172" s="123">
        <f t="shared" si="36"/>
        <v>1170</v>
      </c>
      <c r="B1172" s="122">
        <f>IF(DAY(A1172)=DAY('F-Ahorro Futuro Reservas'!$H$10),'F-Ahorro Futuro Reservas'!$H$9,0)</f>
        <v>0</v>
      </c>
      <c r="C1172" s="122">
        <f t="shared" si="37"/>
        <v>0</v>
      </c>
      <c r="D1172" s="121">
        <f>ROUND(IF(C1172&lt;='FR_Mantenimiento tasas'!$C$55,'Tabla Ahorro Futuro Reservas'!C1172*'FR_Mantenimiento tasas'!$D$55/360,IF(C1172&lt;='FR_Mantenimiento tasas'!$C$56,'Tabla Ahorro Futuro Reservas'!C1172*'FR_Mantenimiento tasas'!$D$56/360,IF(C1172&lt;='FR_Mantenimiento tasas'!$C$57,'Tabla Ahorro Futuro Reservas'!C1172*'FR_Mantenimiento tasas'!$D$57/360,""))),5)</f>
        <v>0</v>
      </c>
      <c r="E1172" s="121">
        <f>ROUND(IF(C1172&lt;='FR_Mantenimiento tasas'!$C$55,'Tabla Ahorro Futuro Reservas'!C1172*'FR_Mantenimiento tasas'!$E$55/360,IF(C1172&lt;='FR_Mantenimiento tasas'!$C$56,'Tabla Ahorro Futuro Reservas'!C1172*'FR_Mantenimiento tasas'!$E$56/360,IF(C1172&lt;='FR_Mantenimiento tasas'!$C$57,'Tabla Ahorro Futuro Reservas'!C1172*'FR_Mantenimiento tasas'!$E$57/360,""))),5)</f>
        <v>0</v>
      </c>
    </row>
    <row r="1173" spans="1:5">
      <c r="A1173" s="123">
        <f t="shared" si="36"/>
        <v>1171</v>
      </c>
      <c r="B1173" s="122">
        <f>IF(DAY(A1173)=DAY('F-Ahorro Futuro Reservas'!$H$10),'F-Ahorro Futuro Reservas'!$H$9,0)</f>
        <v>0</v>
      </c>
      <c r="C1173" s="122">
        <f t="shared" si="37"/>
        <v>0</v>
      </c>
      <c r="D1173" s="121">
        <f>ROUND(IF(C1173&lt;='FR_Mantenimiento tasas'!$C$55,'Tabla Ahorro Futuro Reservas'!C1173*'FR_Mantenimiento tasas'!$D$55/360,IF(C1173&lt;='FR_Mantenimiento tasas'!$C$56,'Tabla Ahorro Futuro Reservas'!C1173*'FR_Mantenimiento tasas'!$D$56/360,IF(C1173&lt;='FR_Mantenimiento tasas'!$C$57,'Tabla Ahorro Futuro Reservas'!C1173*'FR_Mantenimiento tasas'!$D$57/360,""))),5)</f>
        <v>0</v>
      </c>
      <c r="E1173" s="121">
        <f>ROUND(IF(C1173&lt;='FR_Mantenimiento tasas'!$C$55,'Tabla Ahorro Futuro Reservas'!C1173*'FR_Mantenimiento tasas'!$E$55/360,IF(C1173&lt;='FR_Mantenimiento tasas'!$C$56,'Tabla Ahorro Futuro Reservas'!C1173*'FR_Mantenimiento tasas'!$E$56/360,IF(C1173&lt;='FR_Mantenimiento tasas'!$C$57,'Tabla Ahorro Futuro Reservas'!C1173*'FR_Mantenimiento tasas'!$E$57/360,""))),5)</f>
        <v>0</v>
      </c>
    </row>
    <row r="1174" spans="1:5">
      <c r="A1174" s="123">
        <f t="shared" si="36"/>
        <v>1172</v>
      </c>
      <c r="B1174" s="122">
        <f>IF(DAY(A1174)=DAY('F-Ahorro Futuro Reservas'!$H$10),'F-Ahorro Futuro Reservas'!$H$9,0)</f>
        <v>0</v>
      </c>
      <c r="C1174" s="122">
        <f t="shared" si="37"/>
        <v>0</v>
      </c>
      <c r="D1174" s="121">
        <f>ROUND(IF(C1174&lt;='FR_Mantenimiento tasas'!$C$55,'Tabla Ahorro Futuro Reservas'!C1174*'FR_Mantenimiento tasas'!$D$55/360,IF(C1174&lt;='FR_Mantenimiento tasas'!$C$56,'Tabla Ahorro Futuro Reservas'!C1174*'FR_Mantenimiento tasas'!$D$56/360,IF(C1174&lt;='FR_Mantenimiento tasas'!$C$57,'Tabla Ahorro Futuro Reservas'!C1174*'FR_Mantenimiento tasas'!$D$57/360,""))),5)</f>
        <v>0</v>
      </c>
      <c r="E1174" s="121">
        <f>ROUND(IF(C1174&lt;='FR_Mantenimiento tasas'!$C$55,'Tabla Ahorro Futuro Reservas'!C1174*'FR_Mantenimiento tasas'!$E$55/360,IF(C1174&lt;='FR_Mantenimiento tasas'!$C$56,'Tabla Ahorro Futuro Reservas'!C1174*'FR_Mantenimiento tasas'!$E$56/360,IF(C1174&lt;='FR_Mantenimiento tasas'!$C$57,'Tabla Ahorro Futuro Reservas'!C1174*'FR_Mantenimiento tasas'!$E$57/360,""))),5)</f>
        <v>0</v>
      </c>
    </row>
    <row r="1175" spans="1:5">
      <c r="A1175" s="123">
        <f t="shared" si="36"/>
        <v>1173</v>
      </c>
      <c r="B1175" s="122">
        <f>IF(DAY(A1175)=DAY('F-Ahorro Futuro Reservas'!$H$10),'F-Ahorro Futuro Reservas'!$H$9,0)</f>
        <v>0</v>
      </c>
      <c r="C1175" s="122">
        <f t="shared" si="37"/>
        <v>0</v>
      </c>
      <c r="D1175" s="121">
        <f>ROUND(IF(C1175&lt;='FR_Mantenimiento tasas'!$C$55,'Tabla Ahorro Futuro Reservas'!C1175*'FR_Mantenimiento tasas'!$D$55/360,IF(C1175&lt;='FR_Mantenimiento tasas'!$C$56,'Tabla Ahorro Futuro Reservas'!C1175*'FR_Mantenimiento tasas'!$D$56/360,IF(C1175&lt;='FR_Mantenimiento tasas'!$C$57,'Tabla Ahorro Futuro Reservas'!C1175*'FR_Mantenimiento tasas'!$D$57/360,""))),5)</f>
        <v>0</v>
      </c>
      <c r="E1175" s="121">
        <f>ROUND(IF(C1175&lt;='FR_Mantenimiento tasas'!$C$55,'Tabla Ahorro Futuro Reservas'!C1175*'FR_Mantenimiento tasas'!$E$55/360,IF(C1175&lt;='FR_Mantenimiento tasas'!$C$56,'Tabla Ahorro Futuro Reservas'!C1175*'FR_Mantenimiento tasas'!$E$56/360,IF(C1175&lt;='FR_Mantenimiento tasas'!$C$57,'Tabla Ahorro Futuro Reservas'!C1175*'FR_Mantenimiento tasas'!$E$57/360,""))),5)</f>
        <v>0</v>
      </c>
    </row>
    <row r="1176" spans="1:5">
      <c r="A1176" s="123">
        <f t="shared" si="36"/>
        <v>1174</v>
      </c>
      <c r="B1176" s="122">
        <f>IF(DAY(A1176)=DAY('F-Ahorro Futuro Reservas'!$H$10),'F-Ahorro Futuro Reservas'!$H$9,0)</f>
        <v>0</v>
      </c>
      <c r="C1176" s="122">
        <f t="shared" si="37"/>
        <v>0</v>
      </c>
      <c r="D1176" s="121">
        <f>ROUND(IF(C1176&lt;='FR_Mantenimiento tasas'!$C$55,'Tabla Ahorro Futuro Reservas'!C1176*'FR_Mantenimiento tasas'!$D$55/360,IF(C1176&lt;='FR_Mantenimiento tasas'!$C$56,'Tabla Ahorro Futuro Reservas'!C1176*'FR_Mantenimiento tasas'!$D$56/360,IF(C1176&lt;='FR_Mantenimiento tasas'!$C$57,'Tabla Ahorro Futuro Reservas'!C1176*'FR_Mantenimiento tasas'!$D$57/360,""))),5)</f>
        <v>0</v>
      </c>
      <c r="E1176" s="121">
        <f>ROUND(IF(C1176&lt;='FR_Mantenimiento tasas'!$C$55,'Tabla Ahorro Futuro Reservas'!C1176*'FR_Mantenimiento tasas'!$E$55/360,IF(C1176&lt;='FR_Mantenimiento tasas'!$C$56,'Tabla Ahorro Futuro Reservas'!C1176*'FR_Mantenimiento tasas'!$E$56/360,IF(C1176&lt;='FR_Mantenimiento tasas'!$C$57,'Tabla Ahorro Futuro Reservas'!C1176*'FR_Mantenimiento tasas'!$E$57/360,""))),5)</f>
        <v>0</v>
      </c>
    </row>
    <row r="1177" spans="1:5">
      <c r="A1177" s="123">
        <f t="shared" si="36"/>
        <v>1175</v>
      </c>
      <c r="B1177" s="122">
        <f>IF(DAY(A1177)=DAY('F-Ahorro Futuro Reservas'!$H$10),'F-Ahorro Futuro Reservas'!$H$9,0)</f>
        <v>0</v>
      </c>
      <c r="C1177" s="122">
        <f t="shared" si="37"/>
        <v>0</v>
      </c>
      <c r="D1177" s="121">
        <f>ROUND(IF(C1177&lt;='FR_Mantenimiento tasas'!$C$55,'Tabla Ahorro Futuro Reservas'!C1177*'FR_Mantenimiento tasas'!$D$55/360,IF(C1177&lt;='FR_Mantenimiento tasas'!$C$56,'Tabla Ahorro Futuro Reservas'!C1177*'FR_Mantenimiento tasas'!$D$56/360,IF(C1177&lt;='FR_Mantenimiento tasas'!$C$57,'Tabla Ahorro Futuro Reservas'!C1177*'FR_Mantenimiento tasas'!$D$57/360,""))),5)</f>
        <v>0</v>
      </c>
      <c r="E1177" s="121">
        <f>ROUND(IF(C1177&lt;='FR_Mantenimiento tasas'!$C$55,'Tabla Ahorro Futuro Reservas'!C1177*'FR_Mantenimiento tasas'!$E$55/360,IF(C1177&lt;='FR_Mantenimiento tasas'!$C$56,'Tabla Ahorro Futuro Reservas'!C1177*'FR_Mantenimiento tasas'!$E$56/360,IF(C1177&lt;='FR_Mantenimiento tasas'!$C$57,'Tabla Ahorro Futuro Reservas'!C1177*'FR_Mantenimiento tasas'!$E$57/360,""))),5)</f>
        <v>0</v>
      </c>
    </row>
    <row r="1178" spans="1:5">
      <c r="A1178" s="123">
        <f t="shared" si="36"/>
        <v>1176</v>
      </c>
      <c r="B1178" s="122">
        <f>IF(DAY(A1178)=DAY('F-Ahorro Futuro Reservas'!$H$10),'F-Ahorro Futuro Reservas'!$H$9,0)</f>
        <v>0</v>
      </c>
      <c r="C1178" s="122">
        <f t="shared" si="37"/>
        <v>0</v>
      </c>
      <c r="D1178" s="121">
        <f>ROUND(IF(C1178&lt;='FR_Mantenimiento tasas'!$C$55,'Tabla Ahorro Futuro Reservas'!C1178*'FR_Mantenimiento tasas'!$D$55/360,IF(C1178&lt;='FR_Mantenimiento tasas'!$C$56,'Tabla Ahorro Futuro Reservas'!C1178*'FR_Mantenimiento tasas'!$D$56/360,IF(C1178&lt;='FR_Mantenimiento tasas'!$C$57,'Tabla Ahorro Futuro Reservas'!C1178*'FR_Mantenimiento tasas'!$D$57/360,""))),5)</f>
        <v>0</v>
      </c>
      <c r="E1178" s="121">
        <f>ROUND(IF(C1178&lt;='FR_Mantenimiento tasas'!$C$55,'Tabla Ahorro Futuro Reservas'!C1178*'FR_Mantenimiento tasas'!$E$55/360,IF(C1178&lt;='FR_Mantenimiento tasas'!$C$56,'Tabla Ahorro Futuro Reservas'!C1178*'FR_Mantenimiento tasas'!$E$56/360,IF(C1178&lt;='FR_Mantenimiento tasas'!$C$57,'Tabla Ahorro Futuro Reservas'!C1178*'FR_Mantenimiento tasas'!$E$57/360,""))),5)</f>
        <v>0</v>
      </c>
    </row>
    <row r="1179" spans="1:5">
      <c r="A1179" s="123">
        <f t="shared" si="36"/>
        <v>1177</v>
      </c>
      <c r="B1179" s="122">
        <f>IF(DAY(A1179)=DAY('F-Ahorro Futuro Reservas'!$H$10),'F-Ahorro Futuro Reservas'!$H$9,0)</f>
        <v>0</v>
      </c>
      <c r="C1179" s="122">
        <f t="shared" si="37"/>
        <v>0</v>
      </c>
      <c r="D1179" s="121">
        <f>ROUND(IF(C1179&lt;='FR_Mantenimiento tasas'!$C$55,'Tabla Ahorro Futuro Reservas'!C1179*'FR_Mantenimiento tasas'!$D$55/360,IF(C1179&lt;='FR_Mantenimiento tasas'!$C$56,'Tabla Ahorro Futuro Reservas'!C1179*'FR_Mantenimiento tasas'!$D$56/360,IF(C1179&lt;='FR_Mantenimiento tasas'!$C$57,'Tabla Ahorro Futuro Reservas'!C1179*'FR_Mantenimiento tasas'!$D$57/360,""))),5)</f>
        <v>0</v>
      </c>
      <c r="E1179" s="121">
        <f>ROUND(IF(C1179&lt;='FR_Mantenimiento tasas'!$C$55,'Tabla Ahorro Futuro Reservas'!C1179*'FR_Mantenimiento tasas'!$E$55/360,IF(C1179&lt;='FR_Mantenimiento tasas'!$C$56,'Tabla Ahorro Futuro Reservas'!C1179*'FR_Mantenimiento tasas'!$E$56/360,IF(C1179&lt;='FR_Mantenimiento tasas'!$C$57,'Tabla Ahorro Futuro Reservas'!C1179*'FR_Mantenimiento tasas'!$E$57/360,""))),5)</f>
        <v>0</v>
      </c>
    </row>
    <row r="1180" spans="1:5">
      <c r="A1180" s="123">
        <f t="shared" si="36"/>
        <v>1178</v>
      </c>
      <c r="B1180" s="122">
        <f>IF(DAY(A1180)=DAY('F-Ahorro Futuro Reservas'!$H$10),'F-Ahorro Futuro Reservas'!$H$9,0)</f>
        <v>0</v>
      </c>
      <c r="C1180" s="122">
        <f t="shared" si="37"/>
        <v>0</v>
      </c>
      <c r="D1180" s="121">
        <f>ROUND(IF(C1180&lt;='FR_Mantenimiento tasas'!$C$55,'Tabla Ahorro Futuro Reservas'!C1180*'FR_Mantenimiento tasas'!$D$55/360,IF(C1180&lt;='FR_Mantenimiento tasas'!$C$56,'Tabla Ahorro Futuro Reservas'!C1180*'FR_Mantenimiento tasas'!$D$56/360,IF(C1180&lt;='FR_Mantenimiento tasas'!$C$57,'Tabla Ahorro Futuro Reservas'!C1180*'FR_Mantenimiento tasas'!$D$57/360,""))),5)</f>
        <v>0</v>
      </c>
      <c r="E1180" s="121">
        <f>ROUND(IF(C1180&lt;='FR_Mantenimiento tasas'!$C$55,'Tabla Ahorro Futuro Reservas'!C1180*'FR_Mantenimiento tasas'!$E$55/360,IF(C1180&lt;='FR_Mantenimiento tasas'!$C$56,'Tabla Ahorro Futuro Reservas'!C1180*'FR_Mantenimiento tasas'!$E$56/360,IF(C1180&lt;='FR_Mantenimiento tasas'!$C$57,'Tabla Ahorro Futuro Reservas'!C1180*'FR_Mantenimiento tasas'!$E$57/360,""))),5)</f>
        <v>0</v>
      </c>
    </row>
    <row r="1181" spans="1:5">
      <c r="A1181" s="123">
        <f t="shared" si="36"/>
        <v>1179</v>
      </c>
      <c r="B1181" s="122">
        <f>IF(DAY(A1181)=DAY('F-Ahorro Futuro Reservas'!$H$10),'F-Ahorro Futuro Reservas'!$H$9,0)</f>
        <v>0</v>
      </c>
      <c r="C1181" s="122">
        <f t="shared" si="37"/>
        <v>0</v>
      </c>
      <c r="D1181" s="121">
        <f>ROUND(IF(C1181&lt;='FR_Mantenimiento tasas'!$C$55,'Tabla Ahorro Futuro Reservas'!C1181*'FR_Mantenimiento tasas'!$D$55/360,IF(C1181&lt;='FR_Mantenimiento tasas'!$C$56,'Tabla Ahorro Futuro Reservas'!C1181*'FR_Mantenimiento tasas'!$D$56/360,IF(C1181&lt;='FR_Mantenimiento tasas'!$C$57,'Tabla Ahorro Futuro Reservas'!C1181*'FR_Mantenimiento tasas'!$D$57/360,""))),5)</f>
        <v>0</v>
      </c>
      <c r="E1181" s="121">
        <f>ROUND(IF(C1181&lt;='FR_Mantenimiento tasas'!$C$55,'Tabla Ahorro Futuro Reservas'!C1181*'FR_Mantenimiento tasas'!$E$55/360,IF(C1181&lt;='FR_Mantenimiento tasas'!$C$56,'Tabla Ahorro Futuro Reservas'!C1181*'FR_Mantenimiento tasas'!$E$56/360,IF(C1181&lt;='FR_Mantenimiento tasas'!$C$57,'Tabla Ahorro Futuro Reservas'!C1181*'FR_Mantenimiento tasas'!$E$57/360,""))),5)</f>
        <v>0</v>
      </c>
    </row>
    <row r="1182" spans="1:5">
      <c r="A1182" s="123">
        <f t="shared" si="36"/>
        <v>1180</v>
      </c>
      <c r="B1182" s="122">
        <f>IF(DAY(A1182)=DAY('F-Ahorro Futuro Reservas'!$H$10),'F-Ahorro Futuro Reservas'!$H$9,0)</f>
        <v>0</v>
      </c>
      <c r="C1182" s="122">
        <f t="shared" si="37"/>
        <v>0</v>
      </c>
      <c r="D1182" s="121">
        <f>ROUND(IF(C1182&lt;='FR_Mantenimiento tasas'!$C$55,'Tabla Ahorro Futuro Reservas'!C1182*'FR_Mantenimiento tasas'!$D$55/360,IF(C1182&lt;='FR_Mantenimiento tasas'!$C$56,'Tabla Ahorro Futuro Reservas'!C1182*'FR_Mantenimiento tasas'!$D$56/360,IF(C1182&lt;='FR_Mantenimiento tasas'!$C$57,'Tabla Ahorro Futuro Reservas'!C1182*'FR_Mantenimiento tasas'!$D$57/360,""))),5)</f>
        <v>0</v>
      </c>
      <c r="E1182" s="121">
        <f>ROUND(IF(C1182&lt;='FR_Mantenimiento tasas'!$C$55,'Tabla Ahorro Futuro Reservas'!C1182*'FR_Mantenimiento tasas'!$E$55/360,IF(C1182&lt;='FR_Mantenimiento tasas'!$C$56,'Tabla Ahorro Futuro Reservas'!C1182*'FR_Mantenimiento tasas'!$E$56/360,IF(C1182&lt;='FR_Mantenimiento tasas'!$C$57,'Tabla Ahorro Futuro Reservas'!C1182*'FR_Mantenimiento tasas'!$E$57/360,""))),5)</f>
        <v>0</v>
      </c>
    </row>
    <row r="1183" spans="1:5">
      <c r="A1183" s="123">
        <f t="shared" si="36"/>
        <v>1181</v>
      </c>
      <c r="B1183" s="122">
        <f>IF(DAY(A1183)=DAY('F-Ahorro Futuro Reservas'!$H$10),'F-Ahorro Futuro Reservas'!$H$9,0)</f>
        <v>0</v>
      </c>
      <c r="C1183" s="122">
        <f t="shared" si="37"/>
        <v>0</v>
      </c>
      <c r="D1183" s="121">
        <f>ROUND(IF(C1183&lt;='FR_Mantenimiento tasas'!$C$55,'Tabla Ahorro Futuro Reservas'!C1183*'FR_Mantenimiento tasas'!$D$55/360,IF(C1183&lt;='FR_Mantenimiento tasas'!$C$56,'Tabla Ahorro Futuro Reservas'!C1183*'FR_Mantenimiento tasas'!$D$56/360,IF(C1183&lt;='FR_Mantenimiento tasas'!$C$57,'Tabla Ahorro Futuro Reservas'!C1183*'FR_Mantenimiento tasas'!$D$57/360,""))),5)</f>
        <v>0</v>
      </c>
      <c r="E1183" s="121">
        <f>ROUND(IF(C1183&lt;='FR_Mantenimiento tasas'!$C$55,'Tabla Ahorro Futuro Reservas'!C1183*'FR_Mantenimiento tasas'!$E$55/360,IF(C1183&lt;='FR_Mantenimiento tasas'!$C$56,'Tabla Ahorro Futuro Reservas'!C1183*'FR_Mantenimiento tasas'!$E$56/360,IF(C1183&lt;='FR_Mantenimiento tasas'!$C$57,'Tabla Ahorro Futuro Reservas'!C1183*'FR_Mantenimiento tasas'!$E$57/360,""))),5)</f>
        <v>0</v>
      </c>
    </row>
    <row r="1184" spans="1:5">
      <c r="A1184" s="123">
        <f t="shared" si="36"/>
        <v>1182</v>
      </c>
      <c r="B1184" s="122">
        <f>IF(DAY(A1184)=DAY('F-Ahorro Futuro Reservas'!$H$10),'F-Ahorro Futuro Reservas'!$H$9,0)</f>
        <v>0</v>
      </c>
      <c r="C1184" s="122">
        <f t="shared" si="37"/>
        <v>0</v>
      </c>
      <c r="D1184" s="121">
        <f>ROUND(IF(C1184&lt;='FR_Mantenimiento tasas'!$C$55,'Tabla Ahorro Futuro Reservas'!C1184*'FR_Mantenimiento tasas'!$D$55/360,IF(C1184&lt;='FR_Mantenimiento tasas'!$C$56,'Tabla Ahorro Futuro Reservas'!C1184*'FR_Mantenimiento tasas'!$D$56/360,IF(C1184&lt;='FR_Mantenimiento tasas'!$C$57,'Tabla Ahorro Futuro Reservas'!C1184*'FR_Mantenimiento tasas'!$D$57/360,""))),5)</f>
        <v>0</v>
      </c>
      <c r="E1184" s="121">
        <f>ROUND(IF(C1184&lt;='FR_Mantenimiento tasas'!$C$55,'Tabla Ahorro Futuro Reservas'!C1184*'FR_Mantenimiento tasas'!$E$55/360,IF(C1184&lt;='FR_Mantenimiento tasas'!$C$56,'Tabla Ahorro Futuro Reservas'!C1184*'FR_Mantenimiento tasas'!$E$56/360,IF(C1184&lt;='FR_Mantenimiento tasas'!$C$57,'Tabla Ahorro Futuro Reservas'!C1184*'FR_Mantenimiento tasas'!$E$57/360,""))),5)</f>
        <v>0</v>
      </c>
    </row>
    <row r="1185" spans="1:5">
      <c r="A1185" s="123">
        <f t="shared" si="36"/>
        <v>1183</v>
      </c>
      <c r="B1185" s="122">
        <f>IF(DAY(A1185)=DAY('F-Ahorro Futuro Reservas'!$H$10),'F-Ahorro Futuro Reservas'!$H$9,0)</f>
        <v>0</v>
      </c>
      <c r="C1185" s="122">
        <f t="shared" si="37"/>
        <v>0</v>
      </c>
      <c r="D1185" s="121">
        <f>ROUND(IF(C1185&lt;='FR_Mantenimiento tasas'!$C$55,'Tabla Ahorro Futuro Reservas'!C1185*'FR_Mantenimiento tasas'!$D$55/360,IF(C1185&lt;='FR_Mantenimiento tasas'!$C$56,'Tabla Ahorro Futuro Reservas'!C1185*'FR_Mantenimiento tasas'!$D$56/360,IF(C1185&lt;='FR_Mantenimiento tasas'!$C$57,'Tabla Ahorro Futuro Reservas'!C1185*'FR_Mantenimiento tasas'!$D$57/360,""))),5)</f>
        <v>0</v>
      </c>
      <c r="E1185" s="121">
        <f>ROUND(IF(C1185&lt;='FR_Mantenimiento tasas'!$C$55,'Tabla Ahorro Futuro Reservas'!C1185*'FR_Mantenimiento tasas'!$E$55/360,IF(C1185&lt;='FR_Mantenimiento tasas'!$C$56,'Tabla Ahorro Futuro Reservas'!C1185*'FR_Mantenimiento tasas'!$E$56/360,IF(C1185&lt;='FR_Mantenimiento tasas'!$C$57,'Tabla Ahorro Futuro Reservas'!C1185*'FR_Mantenimiento tasas'!$E$57/360,""))),5)</f>
        <v>0</v>
      </c>
    </row>
    <row r="1186" spans="1:5">
      <c r="A1186" s="123">
        <f t="shared" si="36"/>
        <v>1184</v>
      </c>
      <c r="B1186" s="122">
        <f>IF(DAY(A1186)=DAY('F-Ahorro Futuro Reservas'!$H$10),'F-Ahorro Futuro Reservas'!$H$9,0)</f>
        <v>0</v>
      </c>
      <c r="C1186" s="122">
        <f t="shared" si="37"/>
        <v>0</v>
      </c>
      <c r="D1186" s="121">
        <f>ROUND(IF(C1186&lt;='FR_Mantenimiento tasas'!$C$55,'Tabla Ahorro Futuro Reservas'!C1186*'FR_Mantenimiento tasas'!$D$55/360,IF(C1186&lt;='FR_Mantenimiento tasas'!$C$56,'Tabla Ahorro Futuro Reservas'!C1186*'FR_Mantenimiento tasas'!$D$56/360,IF(C1186&lt;='FR_Mantenimiento tasas'!$C$57,'Tabla Ahorro Futuro Reservas'!C1186*'FR_Mantenimiento tasas'!$D$57/360,""))),5)</f>
        <v>0</v>
      </c>
      <c r="E1186" s="121">
        <f>ROUND(IF(C1186&lt;='FR_Mantenimiento tasas'!$C$55,'Tabla Ahorro Futuro Reservas'!C1186*'FR_Mantenimiento tasas'!$E$55/360,IF(C1186&lt;='FR_Mantenimiento tasas'!$C$56,'Tabla Ahorro Futuro Reservas'!C1186*'FR_Mantenimiento tasas'!$E$56/360,IF(C1186&lt;='FR_Mantenimiento tasas'!$C$57,'Tabla Ahorro Futuro Reservas'!C1186*'FR_Mantenimiento tasas'!$E$57/360,""))),5)</f>
        <v>0</v>
      </c>
    </row>
    <row r="1187" spans="1:5">
      <c r="A1187" s="123">
        <f t="shared" si="36"/>
        <v>1185</v>
      </c>
      <c r="B1187" s="122">
        <f>IF(DAY(A1187)=DAY('F-Ahorro Futuro Reservas'!$H$10),'F-Ahorro Futuro Reservas'!$H$9,0)</f>
        <v>0</v>
      </c>
      <c r="C1187" s="122">
        <f t="shared" si="37"/>
        <v>0</v>
      </c>
      <c r="D1187" s="121">
        <f>ROUND(IF(C1187&lt;='FR_Mantenimiento tasas'!$C$55,'Tabla Ahorro Futuro Reservas'!C1187*'FR_Mantenimiento tasas'!$D$55/360,IF(C1187&lt;='FR_Mantenimiento tasas'!$C$56,'Tabla Ahorro Futuro Reservas'!C1187*'FR_Mantenimiento tasas'!$D$56/360,IF(C1187&lt;='FR_Mantenimiento tasas'!$C$57,'Tabla Ahorro Futuro Reservas'!C1187*'FR_Mantenimiento tasas'!$D$57/360,""))),5)</f>
        <v>0</v>
      </c>
      <c r="E1187" s="121">
        <f>ROUND(IF(C1187&lt;='FR_Mantenimiento tasas'!$C$55,'Tabla Ahorro Futuro Reservas'!C1187*'FR_Mantenimiento tasas'!$E$55/360,IF(C1187&lt;='FR_Mantenimiento tasas'!$C$56,'Tabla Ahorro Futuro Reservas'!C1187*'FR_Mantenimiento tasas'!$E$56/360,IF(C1187&lt;='FR_Mantenimiento tasas'!$C$57,'Tabla Ahorro Futuro Reservas'!C1187*'FR_Mantenimiento tasas'!$E$57/360,""))),5)</f>
        <v>0</v>
      </c>
    </row>
    <row r="1188" spans="1:5">
      <c r="A1188" s="123">
        <f t="shared" si="36"/>
        <v>1186</v>
      </c>
      <c r="B1188" s="122">
        <f>IF(DAY(A1188)=DAY('F-Ahorro Futuro Reservas'!$H$10),'F-Ahorro Futuro Reservas'!$H$9,0)</f>
        <v>0</v>
      </c>
      <c r="C1188" s="122">
        <f t="shared" si="37"/>
        <v>0</v>
      </c>
      <c r="D1188" s="121">
        <f>ROUND(IF(C1188&lt;='FR_Mantenimiento tasas'!$C$55,'Tabla Ahorro Futuro Reservas'!C1188*'FR_Mantenimiento tasas'!$D$55/360,IF(C1188&lt;='FR_Mantenimiento tasas'!$C$56,'Tabla Ahorro Futuro Reservas'!C1188*'FR_Mantenimiento tasas'!$D$56/360,IF(C1188&lt;='FR_Mantenimiento tasas'!$C$57,'Tabla Ahorro Futuro Reservas'!C1188*'FR_Mantenimiento tasas'!$D$57/360,""))),5)</f>
        <v>0</v>
      </c>
      <c r="E1188" s="121">
        <f>ROUND(IF(C1188&lt;='FR_Mantenimiento tasas'!$C$55,'Tabla Ahorro Futuro Reservas'!C1188*'FR_Mantenimiento tasas'!$E$55/360,IF(C1188&lt;='FR_Mantenimiento tasas'!$C$56,'Tabla Ahorro Futuro Reservas'!C1188*'FR_Mantenimiento tasas'!$E$56/360,IF(C1188&lt;='FR_Mantenimiento tasas'!$C$57,'Tabla Ahorro Futuro Reservas'!C1188*'FR_Mantenimiento tasas'!$E$57/360,""))),5)</f>
        <v>0</v>
      </c>
    </row>
    <row r="1189" spans="1:5">
      <c r="A1189" s="123">
        <f t="shared" si="36"/>
        <v>1187</v>
      </c>
      <c r="B1189" s="122">
        <f>IF(DAY(A1189)=DAY('F-Ahorro Futuro Reservas'!$H$10),'F-Ahorro Futuro Reservas'!$H$9,0)</f>
        <v>0</v>
      </c>
      <c r="C1189" s="122">
        <f t="shared" si="37"/>
        <v>0</v>
      </c>
      <c r="D1189" s="121">
        <f>ROUND(IF(C1189&lt;='FR_Mantenimiento tasas'!$C$55,'Tabla Ahorro Futuro Reservas'!C1189*'FR_Mantenimiento tasas'!$D$55/360,IF(C1189&lt;='FR_Mantenimiento tasas'!$C$56,'Tabla Ahorro Futuro Reservas'!C1189*'FR_Mantenimiento tasas'!$D$56/360,IF(C1189&lt;='FR_Mantenimiento tasas'!$C$57,'Tabla Ahorro Futuro Reservas'!C1189*'FR_Mantenimiento tasas'!$D$57/360,""))),5)</f>
        <v>0</v>
      </c>
      <c r="E1189" s="121">
        <f>ROUND(IF(C1189&lt;='FR_Mantenimiento tasas'!$C$55,'Tabla Ahorro Futuro Reservas'!C1189*'FR_Mantenimiento tasas'!$E$55/360,IF(C1189&lt;='FR_Mantenimiento tasas'!$C$56,'Tabla Ahorro Futuro Reservas'!C1189*'FR_Mantenimiento tasas'!$E$56/360,IF(C1189&lt;='FR_Mantenimiento tasas'!$C$57,'Tabla Ahorro Futuro Reservas'!C1189*'FR_Mantenimiento tasas'!$E$57/360,""))),5)</f>
        <v>0</v>
      </c>
    </row>
    <row r="1190" spans="1:5">
      <c r="A1190" s="123">
        <f t="shared" si="36"/>
        <v>1188</v>
      </c>
      <c r="B1190" s="122">
        <f>IF(DAY(A1190)=DAY('F-Ahorro Futuro Reservas'!$H$10),'F-Ahorro Futuro Reservas'!$H$9,0)</f>
        <v>0</v>
      </c>
      <c r="C1190" s="122">
        <f t="shared" si="37"/>
        <v>0</v>
      </c>
      <c r="D1190" s="121">
        <f>ROUND(IF(C1190&lt;='FR_Mantenimiento tasas'!$C$55,'Tabla Ahorro Futuro Reservas'!C1190*'FR_Mantenimiento tasas'!$D$55/360,IF(C1190&lt;='FR_Mantenimiento tasas'!$C$56,'Tabla Ahorro Futuro Reservas'!C1190*'FR_Mantenimiento tasas'!$D$56/360,IF(C1190&lt;='FR_Mantenimiento tasas'!$C$57,'Tabla Ahorro Futuro Reservas'!C1190*'FR_Mantenimiento tasas'!$D$57/360,""))),5)</f>
        <v>0</v>
      </c>
      <c r="E1190" s="121">
        <f>ROUND(IF(C1190&lt;='FR_Mantenimiento tasas'!$C$55,'Tabla Ahorro Futuro Reservas'!C1190*'FR_Mantenimiento tasas'!$E$55/360,IF(C1190&lt;='FR_Mantenimiento tasas'!$C$56,'Tabla Ahorro Futuro Reservas'!C1190*'FR_Mantenimiento tasas'!$E$56/360,IF(C1190&lt;='FR_Mantenimiento tasas'!$C$57,'Tabla Ahorro Futuro Reservas'!C1190*'FR_Mantenimiento tasas'!$E$57/360,""))),5)</f>
        <v>0</v>
      </c>
    </row>
    <row r="1191" spans="1:5">
      <c r="A1191" s="123">
        <f t="shared" si="36"/>
        <v>1189</v>
      </c>
      <c r="B1191" s="122">
        <f>IF(DAY(A1191)=DAY('F-Ahorro Futuro Reservas'!$H$10),'F-Ahorro Futuro Reservas'!$H$9,0)</f>
        <v>0</v>
      </c>
      <c r="C1191" s="122">
        <f t="shared" si="37"/>
        <v>0</v>
      </c>
      <c r="D1191" s="121">
        <f>ROUND(IF(C1191&lt;='FR_Mantenimiento tasas'!$C$55,'Tabla Ahorro Futuro Reservas'!C1191*'FR_Mantenimiento tasas'!$D$55/360,IF(C1191&lt;='FR_Mantenimiento tasas'!$C$56,'Tabla Ahorro Futuro Reservas'!C1191*'FR_Mantenimiento tasas'!$D$56/360,IF(C1191&lt;='FR_Mantenimiento tasas'!$C$57,'Tabla Ahorro Futuro Reservas'!C1191*'FR_Mantenimiento tasas'!$D$57/360,""))),5)</f>
        <v>0</v>
      </c>
      <c r="E1191" s="121">
        <f>ROUND(IF(C1191&lt;='FR_Mantenimiento tasas'!$C$55,'Tabla Ahorro Futuro Reservas'!C1191*'FR_Mantenimiento tasas'!$E$55/360,IF(C1191&lt;='FR_Mantenimiento tasas'!$C$56,'Tabla Ahorro Futuro Reservas'!C1191*'FR_Mantenimiento tasas'!$E$56/360,IF(C1191&lt;='FR_Mantenimiento tasas'!$C$57,'Tabla Ahorro Futuro Reservas'!C1191*'FR_Mantenimiento tasas'!$E$57/360,""))),5)</f>
        <v>0</v>
      </c>
    </row>
    <row r="1192" spans="1:5">
      <c r="A1192" s="123">
        <f t="shared" si="36"/>
        <v>1190</v>
      </c>
      <c r="B1192" s="122">
        <f>IF(DAY(A1192)=DAY('F-Ahorro Futuro Reservas'!$H$10),'F-Ahorro Futuro Reservas'!$H$9,0)</f>
        <v>0</v>
      </c>
      <c r="C1192" s="122">
        <f t="shared" si="37"/>
        <v>0</v>
      </c>
      <c r="D1192" s="121">
        <f>ROUND(IF(C1192&lt;='FR_Mantenimiento tasas'!$C$55,'Tabla Ahorro Futuro Reservas'!C1192*'FR_Mantenimiento tasas'!$D$55/360,IF(C1192&lt;='FR_Mantenimiento tasas'!$C$56,'Tabla Ahorro Futuro Reservas'!C1192*'FR_Mantenimiento tasas'!$D$56/360,IF(C1192&lt;='FR_Mantenimiento tasas'!$C$57,'Tabla Ahorro Futuro Reservas'!C1192*'FR_Mantenimiento tasas'!$D$57/360,""))),5)</f>
        <v>0</v>
      </c>
      <c r="E1192" s="121">
        <f>ROUND(IF(C1192&lt;='FR_Mantenimiento tasas'!$C$55,'Tabla Ahorro Futuro Reservas'!C1192*'FR_Mantenimiento tasas'!$E$55/360,IF(C1192&lt;='FR_Mantenimiento tasas'!$C$56,'Tabla Ahorro Futuro Reservas'!C1192*'FR_Mantenimiento tasas'!$E$56/360,IF(C1192&lt;='FR_Mantenimiento tasas'!$C$57,'Tabla Ahorro Futuro Reservas'!C1192*'FR_Mantenimiento tasas'!$E$57/360,""))),5)</f>
        <v>0</v>
      </c>
    </row>
    <row r="1193" spans="1:5">
      <c r="A1193" s="123">
        <f t="shared" si="36"/>
        <v>1191</v>
      </c>
      <c r="B1193" s="122">
        <f>IF(DAY(A1193)=DAY('F-Ahorro Futuro Reservas'!$H$10),'F-Ahorro Futuro Reservas'!$H$9,0)</f>
        <v>0</v>
      </c>
      <c r="C1193" s="122">
        <f t="shared" si="37"/>
        <v>0</v>
      </c>
      <c r="D1193" s="121">
        <f>ROUND(IF(C1193&lt;='FR_Mantenimiento tasas'!$C$55,'Tabla Ahorro Futuro Reservas'!C1193*'FR_Mantenimiento tasas'!$D$55/360,IF(C1193&lt;='FR_Mantenimiento tasas'!$C$56,'Tabla Ahorro Futuro Reservas'!C1193*'FR_Mantenimiento tasas'!$D$56/360,IF(C1193&lt;='FR_Mantenimiento tasas'!$C$57,'Tabla Ahorro Futuro Reservas'!C1193*'FR_Mantenimiento tasas'!$D$57/360,""))),5)</f>
        <v>0</v>
      </c>
      <c r="E1193" s="121">
        <f>ROUND(IF(C1193&lt;='FR_Mantenimiento tasas'!$C$55,'Tabla Ahorro Futuro Reservas'!C1193*'FR_Mantenimiento tasas'!$E$55/360,IF(C1193&lt;='FR_Mantenimiento tasas'!$C$56,'Tabla Ahorro Futuro Reservas'!C1193*'FR_Mantenimiento tasas'!$E$56/360,IF(C1193&lt;='FR_Mantenimiento tasas'!$C$57,'Tabla Ahorro Futuro Reservas'!C1193*'FR_Mantenimiento tasas'!$E$57/360,""))),5)</f>
        <v>0</v>
      </c>
    </row>
    <row r="1194" spans="1:5">
      <c r="A1194" s="123">
        <f t="shared" si="36"/>
        <v>1192</v>
      </c>
      <c r="B1194" s="122">
        <f>IF(DAY(A1194)=DAY('F-Ahorro Futuro Reservas'!$H$10),'F-Ahorro Futuro Reservas'!$H$9,0)</f>
        <v>0</v>
      </c>
      <c r="C1194" s="122">
        <f t="shared" si="37"/>
        <v>0</v>
      </c>
      <c r="D1194" s="121">
        <f>ROUND(IF(C1194&lt;='FR_Mantenimiento tasas'!$C$55,'Tabla Ahorro Futuro Reservas'!C1194*'FR_Mantenimiento tasas'!$D$55/360,IF(C1194&lt;='FR_Mantenimiento tasas'!$C$56,'Tabla Ahorro Futuro Reservas'!C1194*'FR_Mantenimiento tasas'!$D$56/360,IF(C1194&lt;='FR_Mantenimiento tasas'!$C$57,'Tabla Ahorro Futuro Reservas'!C1194*'FR_Mantenimiento tasas'!$D$57/360,""))),5)</f>
        <v>0</v>
      </c>
      <c r="E1194" s="121">
        <f>ROUND(IF(C1194&lt;='FR_Mantenimiento tasas'!$C$55,'Tabla Ahorro Futuro Reservas'!C1194*'FR_Mantenimiento tasas'!$E$55/360,IF(C1194&lt;='FR_Mantenimiento tasas'!$C$56,'Tabla Ahorro Futuro Reservas'!C1194*'FR_Mantenimiento tasas'!$E$56/360,IF(C1194&lt;='FR_Mantenimiento tasas'!$C$57,'Tabla Ahorro Futuro Reservas'!C1194*'FR_Mantenimiento tasas'!$E$57/360,""))),5)</f>
        <v>0</v>
      </c>
    </row>
    <row r="1195" spans="1:5">
      <c r="A1195" s="123">
        <f t="shared" si="36"/>
        <v>1193</v>
      </c>
      <c r="B1195" s="122">
        <f>IF(DAY(A1195)=DAY('F-Ahorro Futuro Reservas'!$H$10),'F-Ahorro Futuro Reservas'!$H$9,0)</f>
        <v>0</v>
      </c>
      <c r="C1195" s="122">
        <f t="shared" si="37"/>
        <v>0</v>
      </c>
      <c r="D1195" s="121">
        <f>ROUND(IF(C1195&lt;='FR_Mantenimiento tasas'!$C$55,'Tabla Ahorro Futuro Reservas'!C1195*'FR_Mantenimiento tasas'!$D$55/360,IF(C1195&lt;='FR_Mantenimiento tasas'!$C$56,'Tabla Ahorro Futuro Reservas'!C1195*'FR_Mantenimiento tasas'!$D$56/360,IF(C1195&lt;='FR_Mantenimiento tasas'!$C$57,'Tabla Ahorro Futuro Reservas'!C1195*'FR_Mantenimiento tasas'!$D$57/360,""))),5)</f>
        <v>0</v>
      </c>
      <c r="E1195" s="121">
        <f>ROUND(IF(C1195&lt;='FR_Mantenimiento tasas'!$C$55,'Tabla Ahorro Futuro Reservas'!C1195*'FR_Mantenimiento tasas'!$E$55/360,IF(C1195&lt;='FR_Mantenimiento tasas'!$C$56,'Tabla Ahorro Futuro Reservas'!C1195*'FR_Mantenimiento tasas'!$E$56/360,IF(C1195&lt;='FR_Mantenimiento tasas'!$C$57,'Tabla Ahorro Futuro Reservas'!C1195*'FR_Mantenimiento tasas'!$E$57/360,""))),5)</f>
        <v>0</v>
      </c>
    </row>
    <row r="1196" spans="1:5">
      <c r="A1196" s="123">
        <f t="shared" si="36"/>
        <v>1194</v>
      </c>
      <c r="B1196" s="122">
        <f>IF(DAY(A1196)=DAY('F-Ahorro Futuro Reservas'!$H$10),'F-Ahorro Futuro Reservas'!$H$9,0)</f>
        <v>0</v>
      </c>
      <c r="C1196" s="122">
        <f t="shared" si="37"/>
        <v>0</v>
      </c>
      <c r="D1196" s="121">
        <f>ROUND(IF(C1196&lt;='FR_Mantenimiento tasas'!$C$55,'Tabla Ahorro Futuro Reservas'!C1196*'FR_Mantenimiento tasas'!$D$55/360,IF(C1196&lt;='FR_Mantenimiento tasas'!$C$56,'Tabla Ahorro Futuro Reservas'!C1196*'FR_Mantenimiento tasas'!$D$56/360,IF(C1196&lt;='FR_Mantenimiento tasas'!$C$57,'Tabla Ahorro Futuro Reservas'!C1196*'FR_Mantenimiento tasas'!$D$57/360,""))),5)</f>
        <v>0</v>
      </c>
      <c r="E1196" s="121">
        <f>ROUND(IF(C1196&lt;='FR_Mantenimiento tasas'!$C$55,'Tabla Ahorro Futuro Reservas'!C1196*'FR_Mantenimiento tasas'!$E$55/360,IF(C1196&lt;='FR_Mantenimiento tasas'!$C$56,'Tabla Ahorro Futuro Reservas'!C1196*'FR_Mantenimiento tasas'!$E$56/360,IF(C1196&lt;='FR_Mantenimiento tasas'!$C$57,'Tabla Ahorro Futuro Reservas'!C1196*'FR_Mantenimiento tasas'!$E$57/360,""))),5)</f>
        <v>0</v>
      </c>
    </row>
    <row r="1197" spans="1:5">
      <c r="A1197" s="123">
        <f t="shared" si="36"/>
        <v>1195</v>
      </c>
      <c r="B1197" s="122">
        <f>IF(DAY(A1197)=DAY('F-Ahorro Futuro Reservas'!$H$10),'F-Ahorro Futuro Reservas'!$H$9,0)</f>
        <v>0</v>
      </c>
      <c r="C1197" s="122">
        <f t="shared" si="37"/>
        <v>0</v>
      </c>
      <c r="D1197" s="121">
        <f>ROUND(IF(C1197&lt;='FR_Mantenimiento tasas'!$C$55,'Tabla Ahorro Futuro Reservas'!C1197*'FR_Mantenimiento tasas'!$D$55/360,IF(C1197&lt;='FR_Mantenimiento tasas'!$C$56,'Tabla Ahorro Futuro Reservas'!C1197*'FR_Mantenimiento tasas'!$D$56/360,IF(C1197&lt;='FR_Mantenimiento tasas'!$C$57,'Tabla Ahorro Futuro Reservas'!C1197*'FR_Mantenimiento tasas'!$D$57/360,""))),5)</f>
        <v>0</v>
      </c>
      <c r="E1197" s="121">
        <f>ROUND(IF(C1197&lt;='FR_Mantenimiento tasas'!$C$55,'Tabla Ahorro Futuro Reservas'!C1197*'FR_Mantenimiento tasas'!$E$55/360,IF(C1197&lt;='FR_Mantenimiento tasas'!$C$56,'Tabla Ahorro Futuro Reservas'!C1197*'FR_Mantenimiento tasas'!$E$56/360,IF(C1197&lt;='FR_Mantenimiento tasas'!$C$57,'Tabla Ahorro Futuro Reservas'!C1197*'FR_Mantenimiento tasas'!$E$57/360,""))),5)</f>
        <v>0</v>
      </c>
    </row>
    <row r="1198" spans="1:5">
      <c r="A1198" s="123">
        <f t="shared" si="36"/>
        <v>1196</v>
      </c>
      <c r="B1198" s="122">
        <f>IF(DAY(A1198)=DAY('F-Ahorro Futuro Reservas'!$H$10),'F-Ahorro Futuro Reservas'!$H$9,0)</f>
        <v>0</v>
      </c>
      <c r="C1198" s="122">
        <f t="shared" si="37"/>
        <v>0</v>
      </c>
      <c r="D1198" s="121">
        <f>ROUND(IF(C1198&lt;='FR_Mantenimiento tasas'!$C$55,'Tabla Ahorro Futuro Reservas'!C1198*'FR_Mantenimiento tasas'!$D$55/360,IF(C1198&lt;='FR_Mantenimiento tasas'!$C$56,'Tabla Ahorro Futuro Reservas'!C1198*'FR_Mantenimiento tasas'!$D$56/360,IF(C1198&lt;='FR_Mantenimiento tasas'!$C$57,'Tabla Ahorro Futuro Reservas'!C1198*'FR_Mantenimiento tasas'!$D$57/360,""))),5)</f>
        <v>0</v>
      </c>
      <c r="E1198" s="121">
        <f>ROUND(IF(C1198&lt;='FR_Mantenimiento tasas'!$C$55,'Tabla Ahorro Futuro Reservas'!C1198*'FR_Mantenimiento tasas'!$E$55/360,IF(C1198&lt;='FR_Mantenimiento tasas'!$C$56,'Tabla Ahorro Futuro Reservas'!C1198*'FR_Mantenimiento tasas'!$E$56/360,IF(C1198&lt;='FR_Mantenimiento tasas'!$C$57,'Tabla Ahorro Futuro Reservas'!C1198*'FR_Mantenimiento tasas'!$E$57/360,""))),5)</f>
        <v>0</v>
      </c>
    </row>
    <row r="1199" spans="1:5">
      <c r="A1199" s="123">
        <f t="shared" si="36"/>
        <v>1197</v>
      </c>
      <c r="B1199" s="122">
        <f>IF(DAY(A1199)=DAY('F-Ahorro Futuro Reservas'!$H$10),'F-Ahorro Futuro Reservas'!$H$9,0)</f>
        <v>0</v>
      </c>
      <c r="C1199" s="122">
        <f t="shared" si="37"/>
        <v>0</v>
      </c>
      <c r="D1199" s="121">
        <f>ROUND(IF(C1199&lt;='FR_Mantenimiento tasas'!$C$55,'Tabla Ahorro Futuro Reservas'!C1199*'FR_Mantenimiento tasas'!$D$55/360,IF(C1199&lt;='FR_Mantenimiento tasas'!$C$56,'Tabla Ahorro Futuro Reservas'!C1199*'FR_Mantenimiento tasas'!$D$56/360,IF(C1199&lt;='FR_Mantenimiento tasas'!$C$57,'Tabla Ahorro Futuro Reservas'!C1199*'FR_Mantenimiento tasas'!$D$57/360,""))),5)</f>
        <v>0</v>
      </c>
      <c r="E1199" s="121">
        <f>ROUND(IF(C1199&lt;='FR_Mantenimiento tasas'!$C$55,'Tabla Ahorro Futuro Reservas'!C1199*'FR_Mantenimiento tasas'!$E$55/360,IF(C1199&lt;='FR_Mantenimiento tasas'!$C$56,'Tabla Ahorro Futuro Reservas'!C1199*'FR_Mantenimiento tasas'!$E$56/360,IF(C1199&lt;='FR_Mantenimiento tasas'!$C$57,'Tabla Ahorro Futuro Reservas'!C1199*'FR_Mantenimiento tasas'!$E$57/360,""))),5)</f>
        <v>0</v>
      </c>
    </row>
    <row r="1200" spans="1:5">
      <c r="A1200" s="123">
        <f t="shared" si="36"/>
        <v>1198</v>
      </c>
      <c r="B1200" s="122">
        <f>IF(DAY(A1200)=DAY('F-Ahorro Futuro Reservas'!$H$10),'F-Ahorro Futuro Reservas'!$H$9,0)</f>
        <v>0</v>
      </c>
      <c r="C1200" s="122">
        <f t="shared" si="37"/>
        <v>0</v>
      </c>
      <c r="D1200" s="121">
        <f>ROUND(IF(C1200&lt;='FR_Mantenimiento tasas'!$C$55,'Tabla Ahorro Futuro Reservas'!C1200*'FR_Mantenimiento tasas'!$D$55/360,IF(C1200&lt;='FR_Mantenimiento tasas'!$C$56,'Tabla Ahorro Futuro Reservas'!C1200*'FR_Mantenimiento tasas'!$D$56/360,IF(C1200&lt;='FR_Mantenimiento tasas'!$C$57,'Tabla Ahorro Futuro Reservas'!C1200*'FR_Mantenimiento tasas'!$D$57/360,""))),5)</f>
        <v>0</v>
      </c>
      <c r="E1200" s="121">
        <f>ROUND(IF(C1200&lt;='FR_Mantenimiento tasas'!$C$55,'Tabla Ahorro Futuro Reservas'!C1200*'FR_Mantenimiento tasas'!$E$55/360,IF(C1200&lt;='FR_Mantenimiento tasas'!$C$56,'Tabla Ahorro Futuro Reservas'!C1200*'FR_Mantenimiento tasas'!$E$56/360,IF(C1200&lt;='FR_Mantenimiento tasas'!$C$57,'Tabla Ahorro Futuro Reservas'!C1200*'FR_Mantenimiento tasas'!$E$57/360,""))),5)</f>
        <v>0</v>
      </c>
    </row>
    <row r="1201" spans="1:5">
      <c r="A1201" s="123">
        <f t="shared" si="36"/>
        <v>1199</v>
      </c>
      <c r="B1201" s="122">
        <f>IF(DAY(A1201)=DAY('F-Ahorro Futuro Reservas'!$H$10),'F-Ahorro Futuro Reservas'!$H$9,0)</f>
        <v>0</v>
      </c>
      <c r="C1201" s="122">
        <f t="shared" si="37"/>
        <v>0</v>
      </c>
      <c r="D1201" s="121">
        <f>ROUND(IF(C1201&lt;='FR_Mantenimiento tasas'!$C$55,'Tabla Ahorro Futuro Reservas'!C1201*'FR_Mantenimiento tasas'!$D$55/360,IF(C1201&lt;='FR_Mantenimiento tasas'!$C$56,'Tabla Ahorro Futuro Reservas'!C1201*'FR_Mantenimiento tasas'!$D$56/360,IF(C1201&lt;='FR_Mantenimiento tasas'!$C$57,'Tabla Ahorro Futuro Reservas'!C1201*'FR_Mantenimiento tasas'!$D$57/360,""))),5)</f>
        <v>0</v>
      </c>
      <c r="E1201" s="121">
        <f>ROUND(IF(C1201&lt;='FR_Mantenimiento tasas'!$C$55,'Tabla Ahorro Futuro Reservas'!C1201*'FR_Mantenimiento tasas'!$E$55/360,IF(C1201&lt;='FR_Mantenimiento tasas'!$C$56,'Tabla Ahorro Futuro Reservas'!C1201*'FR_Mantenimiento tasas'!$E$56/360,IF(C1201&lt;='FR_Mantenimiento tasas'!$C$57,'Tabla Ahorro Futuro Reservas'!C1201*'FR_Mantenimiento tasas'!$E$57/360,""))),5)</f>
        <v>0</v>
      </c>
    </row>
    <row r="1202" spans="1:5">
      <c r="A1202" s="123">
        <f t="shared" si="36"/>
        <v>1200</v>
      </c>
      <c r="B1202" s="122">
        <f>IF(DAY(A1202)=DAY('F-Ahorro Futuro Reservas'!$H$10),'F-Ahorro Futuro Reservas'!$H$9,0)</f>
        <v>0</v>
      </c>
      <c r="C1202" s="122">
        <f t="shared" si="37"/>
        <v>0</v>
      </c>
      <c r="D1202" s="121">
        <f>ROUND(IF(C1202&lt;='FR_Mantenimiento tasas'!$C$55,'Tabla Ahorro Futuro Reservas'!C1202*'FR_Mantenimiento tasas'!$D$55/360,IF(C1202&lt;='FR_Mantenimiento tasas'!$C$56,'Tabla Ahorro Futuro Reservas'!C1202*'FR_Mantenimiento tasas'!$D$56/360,IF(C1202&lt;='FR_Mantenimiento tasas'!$C$57,'Tabla Ahorro Futuro Reservas'!C1202*'FR_Mantenimiento tasas'!$D$57/360,""))),5)</f>
        <v>0</v>
      </c>
      <c r="E1202" s="121">
        <f>ROUND(IF(C1202&lt;='FR_Mantenimiento tasas'!$C$55,'Tabla Ahorro Futuro Reservas'!C1202*'FR_Mantenimiento tasas'!$E$55/360,IF(C1202&lt;='FR_Mantenimiento tasas'!$C$56,'Tabla Ahorro Futuro Reservas'!C1202*'FR_Mantenimiento tasas'!$E$56/360,IF(C1202&lt;='FR_Mantenimiento tasas'!$C$57,'Tabla Ahorro Futuro Reservas'!C1202*'FR_Mantenimiento tasas'!$E$57/360,""))),5)</f>
        <v>0</v>
      </c>
    </row>
    <row r="1203" spans="1:5">
      <c r="A1203" s="123">
        <f t="shared" si="36"/>
        <v>1201</v>
      </c>
      <c r="B1203" s="122">
        <f>IF(DAY(A1203)=DAY('F-Ahorro Futuro Reservas'!$H$10),'F-Ahorro Futuro Reservas'!$H$9,0)</f>
        <v>0</v>
      </c>
      <c r="C1203" s="122">
        <f t="shared" si="37"/>
        <v>0</v>
      </c>
      <c r="D1203" s="121">
        <f>ROUND(IF(C1203&lt;='FR_Mantenimiento tasas'!$C$55,'Tabla Ahorro Futuro Reservas'!C1203*'FR_Mantenimiento tasas'!$D$55/360,IF(C1203&lt;='FR_Mantenimiento tasas'!$C$56,'Tabla Ahorro Futuro Reservas'!C1203*'FR_Mantenimiento tasas'!$D$56/360,IF(C1203&lt;='FR_Mantenimiento tasas'!$C$57,'Tabla Ahorro Futuro Reservas'!C1203*'FR_Mantenimiento tasas'!$D$57/360,""))),5)</f>
        <v>0</v>
      </c>
      <c r="E1203" s="121">
        <f>ROUND(IF(C1203&lt;='FR_Mantenimiento tasas'!$C$55,'Tabla Ahorro Futuro Reservas'!C1203*'FR_Mantenimiento tasas'!$E$55/360,IF(C1203&lt;='FR_Mantenimiento tasas'!$C$56,'Tabla Ahorro Futuro Reservas'!C1203*'FR_Mantenimiento tasas'!$E$56/360,IF(C1203&lt;='FR_Mantenimiento tasas'!$C$57,'Tabla Ahorro Futuro Reservas'!C1203*'FR_Mantenimiento tasas'!$E$57/360,""))),5)</f>
        <v>0</v>
      </c>
    </row>
    <row r="1204" spans="1:5">
      <c r="A1204" s="123">
        <f t="shared" si="36"/>
        <v>1202</v>
      </c>
      <c r="B1204" s="122">
        <f>IF(DAY(A1204)=DAY('F-Ahorro Futuro Reservas'!$H$10),'F-Ahorro Futuro Reservas'!$H$9,0)</f>
        <v>0</v>
      </c>
      <c r="C1204" s="122">
        <f t="shared" si="37"/>
        <v>0</v>
      </c>
      <c r="D1204" s="121">
        <f>ROUND(IF(C1204&lt;='FR_Mantenimiento tasas'!$C$55,'Tabla Ahorro Futuro Reservas'!C1204*'FR_Mantenimiento tasas'!$D$55/360,IF(C1204&lt;='FR_Mantenimiento tasas'!$C$56,'Tabla Ahorro Futuro Reservas'!C1204*'FR_Mantenimiento tasas'!$D$56/360,IF(C1204&lt;='FR_Mantenimiento tasas'!$C$57,'Tabla Ahorro Futuro Reservas'!C1204*'FR_Mantenimiento tasas'!$D$57/360,""))),5)</f>
        <v>0</v>
      </c>
      <c r="E1204" s="121">
        <f>ROUND(IF(C1204&lt;='FR_Mantenimiento tasas'!$C$55,'Tabla Ahorro Futuro Reservas'!C1204*'FR_Mantenimiento tasas'!$E$55/360,IF(C1204&lt;='FR_Mantenimiento tasas'!$C$56,'Tabla Ahorro Futuro Reservas'!C1204*'FR_Mantenimiento tasas'!$E$56/360,IF(C1204&lt;='FR_Mantenimiento tasas'!$C$57,'Tabla Ahorro Futuro Reservas'!C1204*'FR_Mantenimiento tasas'!$E$57/360,""))),5)</f>
        <v>0</v>
      </c>
    </row>
    <row r="1205" spans="1:5">
      <c r="A1205" s="123">
        <f t="shared" si="36"/>
        <v>1203</v>
      </c>
      <c r="B1205" s="122">
        <f>IF(DAY(A1205)=DAY('F-Ahorro Futuro Reservas'!$H$10),'F-Ahorro Futuro Reservas'!$H$9,0)</f>
        <v>0</v>
      </c>
      <c r="C1205" s="122">
        <f t="shared" si="37"/>
        <v>0</v>
      </c>
      <c r="D1205" s="121">
        <f>ROUND(IF(C1205&lt;='FR_Mantenimiento tasas'!$C$55,'Tabla Ahorro Futuro Reservas'!C1205*'FR_Mantenimiento tasas'!$D$55/360,IF(C1205&lt;='FR_Mantenimiento tasas'!$C$56,'Tabla Ahorro Futuro Reservas'!C1205*'FR_Mantenimiento tasas'!$D$56/360,IF(C1205&lt;='FR_Mantenimiento tasas'!$C$57,'Tabla Ahorro Futuro Reservas'!C1205*'FR_Mantenimiento tasas'!$D$57/360,""))),5)</f>
        <v>0</v>
      </c>
      <c r="E1205" s="121">
        <f>ROUND(IF(C1205&lt;='FR_Mantenimiento tasas'!$C$55,'Tabla Ahorro Futuro Reservas'!C1205*'FR_Mantenimiento tasas'!$E$55/360,IF(C1205&lt;='FR_Mantenimiento tasas'!$C$56,'Tabla Ahorro Futuro Reservas'!C1205*'FR_Mantenimiento tasas'!$E$56/360,IF(C1205&lt;='FR_Mantenimiento tasas'!$C$57,'Tabla Ahorro Futuro Reservas'!C1205*'FR_Mantenimiento tasas'!$E$57/360,""))),5)</f>
        <v>0</v>
      </c>
    </row>
    <row r="1206" spans="1:5">
      <c r="A1206" s="123">
        <f t="shared" si="36"/>
        <v>1204</v>
      </c>
      <c r="B1206" s="122">
        <f>IF(DAY(A1206)=DAY('F-Ahorro Futuro Reservas'!$H$10),'F-Ahorro Futuro Reservas'!$H$9,0)</f>
        <v>0</v>
      </c>
      <c r="C1206" s="122">
        <f t="shared" si="37"/>
        <v>0</v>
      </c>
      <c r="D1206" s="121">
        <f>ROUND(IF(C1206&lt;='FR_Mantenimiento tasas'!$C$55,'Tabla Ahorro Futuro Reservas'!C1206*'FR_Mantenimiento tasas'!$D$55/360,IF(C1206&lt;='FR_Mantenimiento tasas'!$C$56,'Tabla Ahorro Futuro Reservas'!C1206*'FR_Mantenimiento tasas'!$D$56/360,IF(C1206&lt;='FR_Mantenimiento tasas'!$C$57,'Tabla Ahorro Futuro Reservas'!C1206*'FR_Mantenimiento tasas'!$D$57/360,""))),5)</f>
        <v>0</v>
      </c>
      <c r="E1206" s="121">
        <f>ROUND(IF(C1206&lt;='FR_Mantenimiento tasas'!$C$55,'Tabla Ahorro Futuro Reservas'!C1206*'FR_Mantenimiento tasas'!$E$55/360,IF(C1206&lt;='FR_Mantenimiento tasas'!$C$56,'Tabla Ahorro Futuro Reservas'!C1206*'FR_Mantenimiento tasas'!$E$56/360,IF(C1206&lt;='FR_Mantenimiento tasas'!$C$57,'Tabla Ahorro Futuro Reservas'!C1206*'FR_Mantenimiento tasas'!$E$57/360,""))),5)</f>
        <v>0</v>
      </c>
    </row>
    <row r="1207" spans="1:5">
      <c r="A1207" s="123">
        <f t="shared" si="36"/>
        <v>1205</v>
      </c>
      <c r="B1207" s="122">
        <f>IF(DAY(A1207)=DAY('F-Ahorro Futuro Reservas'!$H$10),'F-Ahorro Futuro Reservas'!$H$9,0)</f>
        <v>0</v>
      </c>
      <c r="C1207" s="122">
        <f t="shared" si="37"/>
        <v>0</v>
      </c>
      <c r="D1207" s="121">
        <f>ROUND(IF(C1207&lt;='FR_Mantenimiento tasas'!$C$55,'Tabla Ahorro Futuro Reservas'!C1207*'FR_Mantenimiento tasas'!$D$55/360,IF(C1207&lt;='FR_Mantenimiento tasas'!$C$56,'Tabla Ahorro Futuro Reservas'!C1207*'FR_Mantenimiento tasas'!$D$56/360,IF(C1207&lt;='FR_Mantenimiento tasas'!$C$57,'Tabla Ahorro Futuro Reservas'!C1207*'FR_Mantenimiento tasas'!$D$57/360,""))),5)</f>
        <v>0</v>
      </c>
      <c r="E1207" s="121">
        <f>ROUND(IF(C1207&lt;='FR_Mantenimiento tasas'!$C$55,'Tabla Ahorro Futuro Reservas'!C1207*'FR_Mantenimiento tasas'!$E$55/360,IF(C1207&lt;='FR_Mantenimiento tasas'!$C$56,'Tabla Ahorro Futuro Reservas'!C1207*'FR_Mantenimiento tasas'!$E$56/360,IF(C1207&lt;='FR_Mantenimiento tasas'!$C$57,'Tabla Ahorro Futuro Reservas'!C1207*'FR_Mantenimiento tasas'!$E$57/360,""))),5)</f>
        <v>0</v>
      </c>
    </row>
    <row r="1208" spans="1:5">
      <c r="A1208" s="123">
        <f t="shared" si="36"/>
        <v>1206</v>
      </c>
      <c r="B1208" s="122">
        <f>IF(DAY(A1208)=DAY('F-Ahorro Futuro Reservas'!$H$10),'F-Ahorro Futuro Reservas'!$H$9,0)</f>
        <v>0</v>
      </c>
      <c r="C1208" s="122">
        <f t="shared" si="37"/>
        <v>0</v>
      </c>
      <c r="D1208" s="121">
        <f>ROUND(IF(C1208&lt;='FR_Mantenimiento tasas'!$C$55,'Tabla Ahorro Futuro Reservas'!C1208*'FR_Mantenimiento tasas'!$D$55/360,IF(C1208&lt;='FR_Mantenimiento tasas'!$C$56,'Tabla Ahorro Futuro Reservas'!C1208*'FR_Mantenimiento tasas'!$D$56/360,IF(C1208&lt;='FR_Mantenimiento tasas'!$C$57,'Tabla Ahorro Futuro Reservas'!C1208*'FR_Mantenimiento tasas'!$D$57/360,""))),5)</f>
        <v>0</v>
      </c>
      <c r="E1208" s="121">
        <f>ROUND(IF(C1208&lt;='FR_Mantenimiento tasas'!$C$55,'Tabla Ahorro Futuro Reservas'!C1208*'FR_Mantenimiento tasas'!$E$55/360,IF(C1208&lt;='FR_Mantenimiento tasas'!$C$56,'Tabla Ahorro Futuro Reservas'!C1208*'FR_Mantenimiento tasas'!$E$56/360,IF(C1208&lt;='FR_Mantenimiento tasas'!$C$57,'Tabla Ahorro Futuro Reservas'!C1208*'FR_Mantenimiento tasas'!$E$57/360,""))),5)</f>
        <v>0</v>
      </c>
    </row>
    <row r="1209" spans="1:5">
      <c r="A1209" s="123">
        <f t="shared" si="36"/>
        <v>1207</v>
      </c>
      <c r="B1209" s="122">
        <f>IF(DAY(A1209)=DAY('F-Ahorro Futuro Reservas'!$H$10),'F-Ahorro Futuro Reservas'!$H$9,0)</f>
        <v>0</v>
      </c>
      <c r="C1209" s="122">
        <f t="shared" si="37"/>
        <v>0</v>
      </c>
      <c r="D1209" s="121">
        <f>ROUND(IF(C1209&lt;='FR_Mantenimiento tasas'!$C$55,'Tabla Ahorro Futuro Reservas'!C1209*'FR_Mantenimiento tasas'!$D$55/360,IF(C1209&lt;='FR_Mantenimiento tasas'!$C$56,'Tabla Ahorro Futuro Reservas'!C1209*'FR_Mantenimiento tasas'!$D$56/360,IF(C1209&lt;='FR_Mantenimiento tasas'!$C$57,'Tabla Ahorro Futuro Reservas'!C1209*'FR_Mantenimiento tasas'!$D$57/360,""))),5)</f>
        <v>0</v>
      </c>
      <c r="E1209" s="121">
        <f>ROUND(IF(C1209&lt;='FR_Mantenimiento tasas'!$C$55,'Tabla Ahorro Futuro Reservas'!C1209*'FR_Mantenimiento tasas'!$E$55/360,IF(C1209&lt;='FR_Mantenimiento tasas'!$C$56,'Tabla Ahorro Futuro Reservas'!C1209*'FR_Mantenimiento tasas'!$E$56/360,IF(C1209&lt;='FR_Mantenimiento tasas'!$C$57,'Tabla Ahorro Futuro Reservas'!C1209*'FR_Mantenimiento tasas'!$E$57/360,""))),5)</f>
        <v>0</v>
      </c>
    </row>
    <row r="1210" spans="1:5">
      <c r="A1210" s="123">
        <f t="shared" si="36"/>
        <v>1208</v>
      </c>
      <c r="B1210" s="122">
        <f>IF(DAY(A1210)=DAY('F-Ahorro Futuro Reservas'!$H$10),'F-Ahorro Futuro Reservas'!$H$9,0)</f>
        <v>0</v>
      </c>
      <c r="C1210" s="122">
        <f t="shared" si="37"/>
        <v>0</v>
      </c>
      <c r="D1210" s="121">
        <f>ROUND(IF(C1210&lt;='FR_Mantenimiento tasas'!$C$55,'Tabla Ahorro Futuro Reservas'!C1210*'FR_Mantenimiento tasas'!$D$55/360,IF(C1210&lt;='FR_Mantenimiento tasas'!$C$56,'Tabla Ahorro Futuro Reservas'!C1210*'FR_Mantenimiento tasas'!$D$56/360,IF(C1210&lt;='FR_Mantenimiento tasas'!$C$57,'Tabla Ahorro Futuro Reservas'!C1210*'FR_Mantenimiento tasas'!$D$57/360,""))),5)</f>
        <v>0</v>
      </c>
      <c r="E1210" s="121">
        <f>ROUND(IF(C1210&lt;='FR_Mantenimiento tasas'!$C$55,'Tabla Ahorro Futuro Reservas'!C1210*'FR_Mantenimiento tasas'!$E$55/360,IF(C1210&lt;='FR_Mantenimiento tasas'!$C$56,'Tabla Ahorro Futuro Reservas'!C1210*'FR_Mantenimiento tasas'!$E$56/360,IF(C1210&lt;='FR_Mantenimiento tasas'!$C$57,'Tabla Ahorro Futuro Reservas'!C1210*'FR_Mantenimiento tasas'!$E$57/360,""))),5)</f>
        <v>0</v>
      </c>
    </row>
    <row r="1211" spans="1:5">
      <c r="A1211" s="123">
        <f t="shared" si="36"/>
        <v>1209</v>
      </c>
      <c r="B1211" s="122">
        <f>IF(DAY(A1211)=DAY('F-Ahorro Futuro Reservas'!$H$10),'F-Ahorro Futuro Reservas'!$H$9,0)</f>
        <v>0</v>
      </c>
      <c r="C1211" s="122">
        <f t="shared" si="37"/>
        <v>0</v>
      </c>
      <c r="D1211" s="121">
        <f>ROUND(IF(C1211&lt;='FR_Mantenimiento tasas'!$C$55,'Tabla Ahorro Futuro Reservas'!C1211*'FR_Mantenimiento tasas'!$D$55/360,IF(C1211&lt;='FR_Mantenimiento tasas'!$C$56,'Tabla Ahorro Futuro Reservas'!C1211*'FR_Mantenimiento tasas'!$D$56/360,IF(C1211&lt;='FR_Mantenimiento tasas'!$C$57,'Tabla Ahorro Futuro Reservas'!C1211*'FR_Mantenimiento tasas'!$D$57/360,""))),5)</f>
        <v>0</v>
      </c>
      <c r="E1211" s="121">
        <f>ROUND(IF(C1211&lt;='FR_Mantenimiento tasas'!$C$55,'Tabla Ahorro Futuro Reservas'!C1211*'FR_Mantenimiento tasas'!$E$55/360,IF(C1211&lt;='FR_Mantenimiento tasas'!$C$56,'Tabla Ahorro Futuro Reservas'!C1211*'FR_Mantenimiento tasas'!$E$56/360,IF(C1211&lt;='FR_Mantenimiento tasas'!$C$57,'Tabla Ahorro Futuro Reservas'!C1211*'FR_Mantenimiento tasas'!$E$57/360,""))),5)</f>
        <v>0</v>
      </c>
    </row>
    <row r="1212" spans="1:5">
      <c r="A1212" s="123">
        <f t="shared" si="36"/>
        <v>1210</v>
      </c>
      <c r="B1212" s="122">
        <f>IF(DAY(A1212)=DAY('F-Ahorro Futuro Reservas'!$H$10),'F-Ahorro Futuro Reservas'!$H$9,0)</f>
        <v>0</v>
      </c>
      <c r="C1212" s="122">
        <f t="shared" si="37"/>
        <v>0</v>
      </c>
      <c r="D1212" s="121">
        <f>ROUND(IF(C1212&lt;='FR_Mantenimiento tasas'!$C$55,'Tabla Ahorro Futuro Reservas'!C1212*'FR_Mantenimiento tasas'!$D$55/360,IF(C1212&lt;='FR_Mantenimiento tasas'!$C$56,'Tabla Ahorro Futuro Reservas'!C1212*'FR_Mantenimiento tasas'!$D$56/360,IF(C1212&lt;='FR_Mantenimiento tasas'!$C$57,'Tabla Ahorro Futuro Reservas'!C1212*'FR_Mantenimiento tasas'!$D$57/360,""))),5)</f>
        <v>0</v>
      </c>
      <c r="E1212" s="121">
        <f>ROUND(IF(C1212&lt;='FR_Mantenimiento tasas'!$C$55,'Tabla Ahorro Futuro Reservas'!C1212*'FR_Mantenimiento tasas'!$E$55/360,IF(C1212&lt;='FR_Mantenimiento tasas'!$C$56,'Tabla Ahorro Futuro Reservas'!C1212*'FR_Mantenimiento tasas'!$E$56/360,IF(C1212&lt;='FR_Mantenimiento tasas'!$C$57,'Tabla Ahorro Futuro Reservas'!C1212*'FR_Mantenimiento tasas'!$E$57/360,""))),5)</f>
        <v>0</v>
      </c>
    </row>
    <row r="1213" spans="1:5">
      <c r="A1213" s="123">
        <f t="shared" si="36"/>
        <v>1211</v>
      </c>
      <c r="B1213" s="122">
        <f>IF(DAY(A1213)=DAY('F-Ahorro Futuro Reservas'!$H$10),'F-Ahorro Futuro Reservas'!$H$9,0)</f>
        <v>0</v>
      </c>
      <c r="C1213" s="122">
        <f t="shared" si="37"/>
        <v>0</v>
      </c>
      <c r="D1213" s="121">
        <f>ROUND(IF(C1213&lt;='FR_Mantenimiento tasas'!$C$55,'Tabla Ahorro Futuro Reservas'!C1213*'FR_Mantenimiento tasas'!$D$55/360,IF(C1213&lt;='FR_Mantenimiento tasas'!$C$56,'Tabla Ahorro Futuro Reservas'!C1213*'FR_Mantenimiento tasas'!$D$56/360,IF(C1213&lt;='FR_Mantenimiento tasas'!$C$57,'Tabla Ahorro Futuro Reservas'!C1213*'FR_Mantenimiento tasas'!$D$57/360,""))),5)</f>
        <v>0</v>
      </c>
      <c r="E1213" s="121">
        <f>ROUND(IF(C1213&lt;='FR_Mantenimiento tasas'!$C$55,'Tabla Ahorro Futuro Reservas'!C1213*'FR_Mantenimiento tasas'!$E$55/360,IF(C1213&lt;='FR_Mantenimiento tasas'!$C$56,'Tabla Ahorro Futuro Reservas'!C1213*'FR_Mantenimiento tasas'!$E$56/360,IF(C1213&lt;='FR_Mantenimiento tasas'!$C$57,'Tabla Ahorro Futuro Reservas'!C1213*'FR_Mantenimiento tasas'!$E$57/360,""))),5)</f>
        <v>0</v>
      </c>
    </row>
    <row r="1214" spans="1:5">
      <c r="A1214" s="123">
        <f t="shared" si="36"/>
        <v>1212</v>
      </c>
      <c r="B1214" s="122">
        <f>IF(DAY(A1214)=DAY('F-Ahorro Futuro Reservas'!$H$10),'F-Ahorro Futuro Reservas'!$H$9,0)</f>
        <v>0</v>
      </c>
      <c r="C1214" s="122">
        <f t="shared" si="37"/>
        <v>0</v>
      </c>
      <c r="D1214" s="121">
        <f>ROUND(IF(C1214&lt;='FR_Mantenimiento tasas'!$C$55,'Tabla Ahorro Futuro Reservas'!C1214*'FR_Mantenimiento tasas'!$D$55/360,IF(C1214&lt;='FR_Mantenimiento tasas'!$C$56,'Tabla Ahorro Futuro Reservas'!C1214*'FR_Mantenimiento tasas'!$D$56/360,IF(C1214&lt;='FR_Mantenimiento tasas'!$C$57,'Tabla Ahorro Futuro Reservas'!C1214*'FR_Mantenimiento tasas'!$D$57/360,""))),5)</f>
        <v>0</v>
      </c>
      <c r="E1214" s="121">
        <f>ROUND(IF(C1214&lt;='FR_Mantenimiento tasas'!$C$55,'Tabla Ahorro Futuro Reservas'!C1214*'FR_Mantenimiento tasas'!$E$55/360,IF(C1214&lt;='FR_Mantenimiento tasas'!$C$56,'Tabla Ahorro Futuro Reservas'!C1214*'FR_Mantenimiento tasas'!$E$56/360,IF(C1214&lt;='FR_Mantenimiento tasas'!$C$57,'Tabla Ahorro Futuro Reservas'!C1214*'FR_Mantenimiento tasas'!$E$57/360,""))),5)</f>
        <v>0</v>
      </c>
    </row>
    <row r="1215" spans="1:5">
      <c r="A1215" s="123">
        <f t="shared" si="36"/>
        <v>1213</v>
      </c>
      <c r="B1215" s="122">
        <f>IF(DAY(A1215)=DAY('F-Ahorro Futuro Reservas'!$H$10),'F-Ahorro Futuro Reservas'!$H$9,0)</f>
        <v>0</v>
      </c>
      <c r="C1215" s="122">
        <f t="shared" si="37"/>
        <v>0</v>
      </c>
      <c r="D1215" s="121">
        <f>ROUND(IF(C1215&lt;='FR_Mantenimiento tasas'!$C$55,'Tabla Ahorro Futuro Reservas'!C1215*'FR_Mantenimiento tasas'!$D$55/360,IF(C1215&lt;='FR_Mantenimiento tasas'!$C$56,'Tabla Ahorro Futuro Reservas'!C1215*'FR_Mantenimiento tasas'!$D$56/360,IF(C1215&lt;='FR_Mantenimiento tasas'!$C$57,'Tabla Ahorro Futuro Reservas'!C1215*'FR_Mantenimiento tasas'!$D$57/360,""))),5)</f>
        <v>0</v>
      </c>
      <c r="E1215" s="121">
        <f>ROUND(IF(C1215&lt;='FR_Mantenimiento tasas'!$C$55,'Tabla Ahorro Futuro Reservas'!C1215*'FR_Mantenimiento tasas'!$E$55/360,IF(C1215&lt;='FR_Mantenimiento tasas'!$C$56,'Tabla Ahorro Futuro Reservas'!C1215*'FR_Mantenimiento tasas'!$E$56/360,IF(C1215&lt;='FR_Mantenimiento tasas'!$C$57,'Tabla Ahorro Futuro Reservas'!C1215*'FR_Mantenimiento tasas'!$E$57/360,""))),5)</f>
        <v>0</v>
      </c>
    </row>
    <row r="1216" spans="1:5">
      <c r="A1216" s="123">
        <f t="shared" si="36"/>
        <v>1214</v>
      </c>
      <c r="B1216" s="122">
        <f>IF(DAY(A1216)=DAY('F-Ahorro Futuro Reservas'!$H$10),'F-Ahorro Futuro Reservas'!$H$9,0)</f>
        <v>0</v>
      </c>
      <c r="C1216" s="122">
        <f t="shared" si="37"/>
        <v>0</v>
      </c>
      <c r="D1216" s="121">
        <f>ROUND(IF(C1216&lt;='FR_Mantenimiento tasas'!$C$55,'Tabla Ahorro Futuro Reservas'!C1216*'FR_Mantenimiento tasas'!$D$55/360,IF(C1216&lt;='FR_Mantenimiento tasas'!$C$56,'Tabla Ahorro Futuro Reservas'!C1216*'FR_Mantenimiento tasas'!$D$56/360,IF(C1216&lt;='FR_Mantenimiento tasas'!$C$57,'Tabla Ahorro Futuro Reservas'!C1216*'FR_Mantenimiento tasas'!$D$57/360,""))),5)</f>
        <v>0</v>
      </c>
      <c r="E1216" s="121">
        <f>ROUND(IF(C1216&lt;='FR_Mantenimiento tasas'!$C$55,'Tabla Ahorro Futuro Reservas'!C1216*'FR_Mantenimiento tasas'!$E$55/360,IF(C1216&lt;='FR_Mantenimiento tasas'!$C$56,'Tabla Ahorro Futuro Reservas'!C1216*'FR_Mantenimiento tasas'!$E$56/360,IF(C1216&lt;='FR_Mantenimiento tasas'!$C$57,'Tabla Ahorro Futuro Reservas'!C1216*'FR_Mantenimiento tasas'!$E$57/360,""))),5)</f>
        <v>0</v>
      </c>
    </row>
    <row r="1217" spans="1:5">
      <c r="A1217" s="123">
        <f t="shared" si="36"/>
        <v>1215</v>
      </c>
      <c r="B1217" s="122">
        <f>IF(DAY(A1217)=DAY('F-Ahorro Futuro Reservas'!$H$10),'F-Ahorro Futuro Reservas'!$H$9,0)</f>
        <v>0</v>
      </c>
      <c r="C1217" s="122">
        <f t="shared" si="37"/>
        <v>0</v>
      </c>
      <c r="D1217" s="121">
        <f>ROUND(IF(C1217&lt;='FR_Mantenimiento tasas'!$C$55,'Tabla Ahorro Futuro Reservas'!C1217*'FR_Mantenimiento tasas'!$D$55/360,IF(C1217&lt;='FR_Mantenimiento tasas'!$C$56,'Tabla Ahorro Futuro Reservas'!C1217*'FR_Mantenimiento tasas'!$D$56/360,IF(C1217&lt;='FR_Mantenimiento tasas'!$C$57,'Tabla Ahorro Futuro Reservas'!C1217*'FR_Mantenimiento tasas'!$D$57/360,""))),5)</f>
        <v>0</v>
      </c>
      <c r="E1217" s="121">
        <f>ROUND(IF(C1217&lt;='FR_Mantenimiento tasas'!$C$55,'Tabla Ahorro Futuro Reservas'!C1217*'FR_Mantenimiento tasas'!$E$55/360,IF(C1217&lt;='FR_Mantenimiento tasas'!$C$56,'Tabla Ahorro Futuro Reservas'!C1217*'FR_Mantenimiento tasas'!$E$56/360,IF(C1217&lt;='FR_Mantenimiento tasas'!$C$57,'Tabla Ahorro Futuro Reservas'!C1217*'FR_Mantenimiento tasas'!$E$57/360,""))),5)</f>
        <v>0</v>
      </c>
    </row>
    <row r="1218" spans="1:5">
      <c r="A1218" s="123">
        <f t="shared" si="36"/>
        <v>1216</v>
      </c>
      <c r="B1218" s="122">
        <f>IF(DAY(A1218)=DAY('F-Ahorro Futuro Reservas'!$H$10),'F-Ahorro Futuro Reservas'!$H$9,0)</f>
        <v>0</v>
      </c>
      <c r="C1218" s="122">
        <f t="shared" si="37"/>
        <v>0</v>
      </c>
      <c r="D1218" s="121">
        <f>ROUND(IF(C1218&lt;='FR_Mantenimiento tasas'!$C$55,'Tabla Ahorro Futuro Reservas'!C1218*'FR_Mantenimiento tasas'!$D$55/360,IF(C1218&lt;='FR_Mantenimiento tasas'!$C$56,'Tabla Ahorro Futuro Reservas'!C1218*'FR_Mantenimiento tasas'!$D$56/360,IF(C1218&lt;='FR_Mantenimiento tasas'!$C$57,'Tabla Ahorro Futuro Reservas'!C1218*'FR_Mantenimiento tasas'!$D$57/360,""))),5)</f>
        <v>0</v>
      </c>
      <c r="E1218" s="121">
        <f>ROUND(IF(C1218&lt;='FR_Mantenimiento tasas'!$C$55,'Tabla Ahorro Futuro Reservas'!C1218*'FR_Mantenimiento tasas'!$E$55/360,IF(C1218&lt;='FR_Mantenimiento tasas'!$C$56,'Tabla Ahorro Futuro Reservas'!C1218*'FR_Mantenimiento tasas'!$E$56/360,IF(C1218&lt;='FR_Mantenimiento tasas'!$C$57,'Tabla Ahorro Futuro Reservas'!C1218*'FR_Mantenimiento tasas'!$E$57/360,""))),5)</f>
        <v>0</v>
      </c>
    </row>
    <row r="1219" spans="1:5">
      <c r="A1219" s="123">
        <f t="shared" si="36"/>
        <v>1217</v>
      </c>
      <c r="B1219" s="122">
        <f>IF(DAY(A1219)=DAY('F-Ahorro Futuro Reservas'!$H$10),'F-Ahorro Futuro Reservas'!$H$9,0)</f>
        <v>0</v>
      </c>
      <c r="C1219" s="122">
        <f t="shared" si="37"/>
        <v>0</v>
      </c>
      <c r="D1219" s="121">
        <f>ROUND(IF(C1219&lt;='FR_Mantenimiento tasas'!$C$55,'Tabla Ahorro Futuro Reservas'!C1219*'FR_Mantenimiento tasas'!$D$55/360,IF(C1219&lt;='FR_Mantenimiento tasas'!$C$56,'Tabla Ahorro Futuro Reservas'!C1219*'FR_Mantenimiento tasas'!$D$56/360,IF(C1219&lt;='FR_Mantenimiento tasas'!$C$57,'Tabla Ahorro Futuro Reservas'!C1219*'FR_Mantenimiento tasas'!$D$57/360,""))),5)</f>
        <v>0</v>
      </c>
      <c r="E1219" s="121">
        <f>ROUND(IF(C1219&lt;='FR_Mantenimiento tasas'!$C$55,'Tabla Ahorro Futuro Reservas'!C1219*'FR_Mantenimiento tasas'!$E$55/360,IF(C1219&lt;='FR_Mantenimiento tasas'!$C$56,'Tabla Ahorro Futuro Reservas'!C1219*'FR_Mantenimiento tasas'!$E$56/360,IF(C1219&lt;='FR_Mantenimiento tasas'!$C$57,'Tabla Ahorro Futuro Reservas'!C1219*'FR_Mantenimiento tasas'!$E$57/360,""))),5)</f>
        <v>0</v>
      </c>
    </row>
    <row r="1220" spans="1:5">
      <c r="A1220" s="123">
        <f t="shared" ref="A1220:A1283" si="38">+A1219+1</f>
        <v>1218</v>
      </c>
      <c r="B1220" s="122">
        <f>IF(DAY(A1220)=DAY('F-Ahorro Futuro Reservas'!$H$10),'F-Ahorro Futuro Reservas'!$H$9,0)</f>
        <v>0</v>
      </c>
      <c r="C1220" s="122">
        <f t="shared" ref="C1220:C1283" si="39">+B1220+C1219+D1219</f>
        <v>0</v>
      </c>
      <c r="D1220" s="121">
        <f>ROUND(IF(C1220&lt;='FR_Mantenimiento tasas'!$C$55,'Tabla Ahorro Futuro Reservas'!C1220*'FR_Mantenimiento tasas'!$D$55/360,IF(C1220&lt;='FR_Mantenimiento tasas'!$C$56,'Tabla Ahorro Futuro Reservas'!C1220*'FR_Mantenimiento tasas'!$D$56/360,IF(C1220&lt;='FR_Mantenimiento tasas'!$C$57,'Tabla Ahorro Futuro Reservas'!C1220*'FR_Mantenimiento tasas'!$D$57/360,""))),5)</f>
        <v>0</v>
      </c>
      <c r="E1220" s="121">
        <f>ROUND(IF(C1220&lt;='FR_Mantenimiento tasas'!$C$55,'Tabla Ahorro Futuro Reservas'!C1220*'FR_Mantenimiento tasas'!$E$55/360,IF(C1220&lt;='FR_Mantenimiento tasas'!$C$56,'Tabla Ahorro Futuro Reservas'!C1220*'FR_Mantenimiento tasas'!$E$56/360,IF(C1220&lt;='FR_Mantenimiento tasas'!$C$57,'Tabla Ahorro Futuro Reservas'!C1220*'FR_Mantenimiento tasas'!$E$57/360,""))),5)</f>
        <v>0</v>
      </c>
    </row>
    <row r="1221" spans="1:5">
      <c r="A1221" s="123">
        <f t="shared" si="38"/>
        <v>1219</v>
      </c>
      <c r="B1221" s="122">
        <f>IF(DAY(A1221)=DAY('F-Ahorro Futuro Reservas'!$H$10),'F-Ahorro Futuro Reservas'!$H$9,0)</f>
        <v>0</v>
      </c>
      <c r="C1221" s="122">
        <f t="shared" si="39"/>
        <v>0</v>
      </c>
      <c r="D1221" s="121">
        <f>ROUND(IF(C1221&lt;='FR_Mantenimiento tasas'!$C$55,'Tabla Ahorro Futuro Reservas'!C1221*'FR_Mantenimiento tasas'!$D$55/360,IF(C1221&lt;='FR_Mantenimiento tasas'!$C$56,'Tabla Ahorro Futuro Reservas'!C1221*'FR_Mantenimiento tasas'!$D$56/360,IF(C1221&lt;='FR_Mantenimiento tasas'!$C$57,'Tabla Ahorro Futuro Reservas'!C1221*'FR_Mantenimiento tasas'!$D$57/360,""))),5)</f>
        <v>0</v>
      </c>
      <c r="E1221" s="121">
        <f>ROUND(IF(C1221&lt;='FR_Mantenimiento tasas'!$C$55,'Tabla Ahorro Futuro Reservas'!C1221*'FR_Mantenimiento tasas'!$E$55/360,IF(C1221&lt;='FR_Mantenimiento tasas'!$C$56,'Tabla Ahorro Futuro Reservas'!C1221*'FR_Mantenimiento tasas'!$E$56/360,IF(C1221&lt;='FR_Mantenimiento tasas'!$C$57,'Tabla Ahorro Futuro Reservas'!C1221*'FR_Mantenimiento tasas'!$E$57/360,""))),5)</f>
        <v>0</v>
      </c>
    </row>
    <row r="1222" spans="1:5">
      <c r="A1222" s="123">
        <f t="shared" si="38"/>
        <v>1220</v>
      </c>
      <c r="B1222" s="122">
        <f>IF(DAY(A1222)=DAY('F-Ahorro Futuro Reservas'!$H$10),'F-Ahorro Futuro Reservas'!$H$9,0)</f>
        <v>0</v>
      </c>
      <c r="C1222" s="122">
        <f t="shared" si="39"/>
        <v>0</v>
      </c>
      <c r="D1222" s="121">
        <f>ROUND(IF(C1222&lt;='FR_Mantenimiento tasas'!$C$55,'Tabla Ahorro Futuro Reservas'!C1222*'FR_Mantenimiento tasas'!$D$55/360,IF(C1222&lt;='FR_Mantenimiento tasas'!$C$56,'Tabla Ahorro Futuro Reservas'!C1222*'FR_Mantenimiento tasas'!$D$56/360,IF(C1222&lt;='FR_Mantenimiento tasas'!$C$57,'Tabla Ahorro Futuro Reservas'!C1222*'FR_Mantenimiento tasas'!$D$57/360,""))),5)</f>
        <v>0</v>
      </c>
      <c r="E1222" s="121">
        <f>ROUND(IF(C1222&lt;='FR_Mantenimiento tasas'!$C$55,'Tabla Ahorro Futuro Reservas'!C1222*'FR_Mantenimiento tasas'!$E$55/360,IF(C1222&lt;='FR_Mantenimiento tasas'!$C$56,'Tabla Ahorro Futuro Reservas'!C1222*'FR_Mantenimiento tasas'!$E$56/360,IF(C1222&lt;='FR_Mantenimiento tasas'!$C$57,'Tabla Ahorro Futuro Reservas'!C1222*'FR_Mantenimiento tasas'!$E$57/360,""))),5)</f>
        <v>0</v>
      </c>
    </row>
    <row r="1223" spans="1:5">
      <c r="A1223" s="123">
        <f t="shared" si="38"/>
        <v>1221</v>
      </c>
      <c r="B1223" s="122">
        <f>IF(DAY(A1223)=DAY('F-Ahorro Futuro Reservas'!$H$10),'F-Ahorro Futuro Reservas'!$H$9,0)</f>
        <v>0</v>
      </c>
      <c r="C1223" s="122">
        <f t="shared" si="39"/>
        <v>0</v>
      </c>
      <c r="D1223" s="121">
        <f>ROUND(IF(C1223&lt;='FR_Mantenimiento tasas'!$C$55,'Tabla Ahorro Futuro Reservas'!C1223*'FR_Mantenimiento tasas'!$D$55/360,IF(C1223&lt;='FR_Mantenimiento tasas'!$C$56,'Tabla Ahorro Futuro Reservas'!C1223*'FR_Mantenimiento tasas'!$D$56/360,IF(C1223&lt;='FR_Mantenimiento tasas'!$C$57,'Tabla Ahorro Futuro Reservas'!C1223*'FR_Mantenimiento tasas'!$D$57/360,""))),5)</f>
        <v>0</v>
      </c>
      <c r="E1223" s="121">
        <f>ROUND(IF(C1223&lt;='FR_Mantenimiento tasas'!$C$55,'Tabla Ahorro Futuro Reservas'!C1223*'FR_Mantenimiento tasas'!$E$55/360,IF(C1223&lt;='FR_Mantenimiento tasas'!$C$56,'Tabla Ahorro Futuro Reservas'!C1223*'FR_Mantenimiento tasas'!$E$56/360,IF(C1223&lt;='FR_Mantenimiento tasas'!$C$57,'Tabla Ahorro Futuro Reservas'!C1223*'FR_Mantenimiento tasas'!$E$57/360,""))),5)</f>
        <v>0</v>
      </c>
    </row>
    <row r="1224" spans="1:5">
      <c r="A1224" s="123">
        <f t="shared" si="38"/>
        <v>1222</v>
      </c>
      <c r="B1224" s="122">
        <f>IF(DAY(A1224)=DAY('F-Ahorro Futuro Reservas'!$H$10),'F-Ahorro Futuro Reservas'!$H$9,0)</f>
        <v>0</v>
      </c>
      <c r="C1224" s="122">
        <f t="shared" si="39"/>
        <v>0</v>
      </c>
      <c r="D1224" s="121">
        <f>ROUND(IF(C1224&lt;='FR_Mantenimiento tasas'!$C$55,'Tabla Ahorro Futuro Reservas'!C1224*'FR_Mantenimiento tasas'!$D$55/360,IF(C1224&lt;='FR_Mantenimiento tasas'!$C$56,'Tabla Ahorro Futuro Reservas'!C1224*'FR_Mantenimiento tasas'!$D$56/360,IF(C1224&lt;='FR_Mantenimiento tasas'!$C$57,'Tabla Ahorro Futuro Reservas'!C1224*'FR_Mantenimiento tasas'!$D$57/360,""))),5)</f>
        <v>0</v>
      </c>
      <c r="E1224" s="121">
        <f>ROUND(IF(C1224&lt;='FR_Mantenimiento tasas'!$C$55,'Tabla Ahorro Futuro Reservas'!C1224*'FR_Mantenimiento tasas'!$E$55/360,IF(C1224&lt;='FR_Mantenimiento tasas'!$C$56,'Tabla Ahorro Futuro Reservas'!C1224*'FR_Mantenimiento tasas'!$E$56/360,IF(C1224&lt;='FR_Mantenimiento tasas'!$C$57,'Tabla Ahorro Futuro Reservas'!C1224*'FR_Mantenimiento tasas'!$E$57/360,""))),5)</f>
        <v>0</v>
      </c>
    </row>
    <row r="1225" spans="1:5">
      <c r="A1225" s="123">
        <f t="shared" si="38"/>
        <v>1223</v>
      </c>
      <c r="B1225" s="122">
        <f>IF(DAY(A1225)=DAY('F-Ahorro Futuro Reservas'!$H$10),'F-Ahorro Futuro Reservas'!$H$9,0)</f>
        <v>0</v>
      </c>
      <c r="C1225" s="122">
        <f t="shared" si="39"/>
        <v>0</v>
      </c>
      <c r="D1225" s="121">
        <f>ROUND(IF(C1225&lt;='FR_Mantenimiento tasas'!$C$55,'Tabla Ahorro Futuro Reservas'!C1225*'FR_Mantenimiento tasas'!$D$55/360,IF(C1225&lt;='FR_Mantenimiento tasas'!$C$56,'Tabla Ahorro Futuro Reservas'!C1225*'FR_Mantenimiento tasas'!$D$56/360,IF(C1225&lt;='FR_Mantenimiento tasas'!$C$57,'Tabla Ahorro Futuro Reservas'!C1225*'FR_Mantenimiento tasas'!$D$57/360,""))),5)</f>
        <v>0</v>
      </c>
      <c r="E1225" s="121">
        <f>ROUND(IF(C1225&lt;='FR_Mantenimiento tasas'!$C$55,'Tabla Ahorro Futuro Reservas'!C1225*'FR_Mantenimiento tasas'!$E$55/360,IF(C1225&lt;='FR_Mantenimiento tasas'!$C$56,'Tabla Ahorro Futuro Reservas'!C1225*'FR_Mantenimiento tasas'!$E$56/360,IF(C1225&lt;='FR_Mantenimiento tasas'!$C$57,'Tabla Ahorro Futuro Reservas'!C1225*'FR_Mantenimiento tasas'!$E$57/360,""))),5)</f>
        <v>0</v>
      </c>
    </row>
    <row r="1226" spans="1:5">
      <c r="A1226" s="123">
        <f t="shared" si="38"/>
        <v>1224</v>
      </c>
      <c r="B1226" s="122">
        <f>IF(DAY(A1226)=DAY('F-Ahorro Futuro Reservas'!$H$10),'F-Ahorro Futuro Reservas'!$H$9,0)</f>
        <v>0</v>
      </c>
      <c r="C1226" s="122">
        <f t="shared" si="39"/>
        <v>0</v>
      </c>
      <c r="D1226" s="121">
        <f>ROUND(IF(C1226&lt;='FR_Mantenimiento tasas'!$C$55,'Tabla Ahorro Futuro Reservas'!C1226*'FR_Mantenimiento tasas'!$D$55/360,IF(C1226&lt;='FR_Mantenimiento tasas'!$C$56,'Tabla Ahorro Futuro Reservas'!C1226*'FR_Mantenimiento tasas'!$D$56/360,IF(C1226&lt;='FR_Mantenimiento tasas'!$C$57,'Tabla Ahorro Futuro Reservas'!C1226*'FR_Mantenimiento tasas'!$D$57/360,""))),5)</f>
        <v>0</v>
      </c>
      <c r="E1226" s="121">
        <f>ROUND(IF(C1226&lt;='FR_Mantenimiento tasas'!$C$55,'Tabla Ahorro Futuro Reservas'!C1226*'FR_Mantenimiento tasas'!$E$55/360,IF(C1226&lt;='FR_Mantenimiento tasas'!$C$56,'Tabla Ahorro Futuro Reservas'!C1226*'FR_Mantenimiento tasas'!$E$56/360,IF(C1226&lt;='FR_Mantenimiento tasas'!$C$57,'Tabla Ahorro Futuro Reservas'!C1226*'FR_Mantenimiento tasas'!$E$57/360,""))),5)</f>
        <v>0</v>
      </c>
    </row>
    <row r="1227" spans="1:5">
      <c r="A1227" s="123">
        <f t="shared" si="38"/>
        <v>1225</v>
      </c>
      <c r="B1227" s="122">
        <f>IF(DAY(A1227)=DAY('F-Ahorro Futuro Reservas'!$H$10),'F-Ahorro Futuro Reservas'!$H$9,0)</f>
        <v>0</v>
      </c>
      <c r="C1227" s="122">
        <f t="shared" si="39"/>
        <v>0</v>
      </c>
      <c r="D1227" s="121">
        <f>ROUND(IF(C1227&lt;='FR_Mantenimiento tasas'!$C$55,'Tabla Ahorro Futuro Reservas'!C1227*'FR_Mantenimiento tasas'!$D$55/360,IF(C1227&lt;='FR_Mantenimiento tasas'!$C$56,'Tabla Ahorro Futuro Reservas'!C1227*'FR_Mantenimiento tasas'!$D$56/360,IF(C1227&lt;='FR_Mantenimiento tasas'!$C$57,'Tabla Ahorro Futuro Reservas'!C1227*'FR_Mantenimiento tasas'!$D$57/360,""))),5)</f>
        <v>0</v>
      </c>
      <c r="E1227" s="121">
        <f>ROUND(IF(C1227&lt;='FR_Mantenimiento tasas'!$C$55,'Tabla Ahorro Futuro Reservas'!C1227*'FR_Mantenimiento tasas'!$E$55/360,IF(C1227&lt;='FR_Mantenimiento tasas'!$C$56,'Tabla Ahorro Futuro Reservas'!C1227*'FR_Mantenimiento tasas'!$E$56/360,IF(C1227&lt;='FR_Mantenimiento tasas'!$C$57,'Tabla Ahorro Futuro Reservas'!C1227*'FR_Mantenimiento tasas'!$E$57/360,""))),5)</f>
        <v>0</v>
      </c>
    </row>
    <row r="1228" spans="1:5">
      <c r="A1228" s="123">
        <f t="shared" si="38"/>
        <v>1226</v>
      </c>
      <c r="B1228" s="122">
        <f>IF(DAY(A1228)=DAY('F-Ahorro Futuro Reservas'!$H$10),'F-Ahorro Futuro Reservas'!$H$9,0)</f>
        <v>0</v>
      </c>
      <c r="C1228" s="122">
        <f t="shared" si="39"/>
        <v>0</v>
      </c>
      <c r="D1228" s="121">
        <f>ROUND(IF(C1228&lt;='FR_Mantenimiento tasas'!$C$55,'Tabla Ahorro Futuro Reservas'!C1228*'FR_Mantenimiento tasas'!$D$55/360,IF(C1228&lt;='FR_Mantenimiento tasas'!$C$56,'Tabla Ahorro Futuro Reservas'!C1228*'FR_Mantenimiento tasas'!$D$56/360,IF(C1228&lt;='FR_Mantenimiento tasas'!$C$57,'Tabla Ahorro Futuro Reservas'!C1228*'FR_Mantenimiento tasas'!$D$57/360,""))),5)</f>
        <v>0</v>
      </c>
      <c r="E1228" s="121">
        <f>ROUND(IF(C1228&lt;='FR_Mantenimiento tasas'!$C$55,'Tabla Ahorro Futuro Reservas'!C1228*'FR_Mantenimiento tasas'!$E$55/360,IF(C1228&lt;='FR_Mantenimiento tasas'!$C$56,'Tabla Ahorro Futuro Reservas'!C1228*'FR_Mantenimiento tasas'!$E$56/360,IF(C1228&lt;='FR_Mantenimiento tasas'!$C$57,'Tabla Ahorro Futuro Reservas'!C1228*'FR_Mantenimiento tasas'!$E$57/360,""))),5)</f>
        <v>0</v>
      </c>
    </row>
    <row r="1229" spans="1:5">
      <c r="A1229" s="123">
        <f t="shared" si="38"/>
        <v>1227</v>
      </c>
      <c r="B1229" s="122">
        <f>IF(DAY(A1229)=DAY('F-Ahorro Futuro Reservas'!$H$10),'F-Ahorro Futuro Reservas'!$H$9,0)</f>
        <v>0</v>
      </c>
      <c r="C1229" s="122">
        <f t="shared" si="39"/>
        <v>0</v>
      </c>
      <c r="D1229" s="121">
        <f>ROUND(IF(C1229&lt;='FR_Mantenimiento tasas'!$C$55,'Tabla Ahorro Futuro Reservas'!C1229*'FR_Mantenimiento tasas'!$D$55/360,IF(C1229&lt;='FR_Mantenimiento tasas'!$C$56,'Tabla Ahorro Futuro Reservas'!C1229*'FR_Mantenimiento tasas'!$D$56/360,IF(C1229&lt;='FR_Mantenimiento tasas'!$C$57,'Tabla Ahorro Futuro Reservas'!C1229*'FR_Mantenimiento tasas'!$D$57/360,""))),5)</f>
        <v>0</v>
      </c>
      <c r="E1229" s="121">
        <f>ROUND(IF(C1229&lt;='FR_Mantenimiento tasas'!$C$55,'Tabla Ahorro Futuro Reservas'!C1229*'FR_Mantenimiento tasas'!$E$55/360,IF(C1229&lt;='FR_Mantenimiento tasas'!$C$56,'Tabla Ahorro Futuro Reservas'!C1229*'FR_Mantenimiento tasas'!$E$56/360,IF(C1229&lt;='FR_Mantenimiento tasas'!$C$57,'Tabla Ahorro Futuro Reservas'!C1229*'FR_Mantenimiento tasas'!$E$57/360,""))),5)</f>
        <v>0</v>
      </c>
    </row>
    <row r="1230" spans="1:5">
      <c r="A1230" s="123">
        <f t="shared" si="38"/>
        <v>1228</v>
      </c>
      <c r="B1230" s="122">
        <f>IF(DAY(A1230)=DAY('F-Ahorro Futuro Reservas'!$H$10),'F-Ahorro Futuro Reservas'!$H$9,0)</f>
        <v>0</v>
      </c>
      <c r="C1230" s="122">
        <f t="shared" si="39"/>
        <v>0</v>
      </c>
      <c r="D1230" s="121">
        <f>ROUND(IF(C1230&lt;='FR_Mantenimiento tasas'!$C$55,'Tabla Ahorro Futuro Reservas'!C1230*'FR_Mantenimiento tasas'!$D$55/360,IF(C1230&lt;='FR_Mantenimiento tasas'!$C$56,'Tabla Ahorro Futuro Reservas'!C1230*'FR_Mantenimiento tasas'!$D$56/360,IF(C1230&lt;='FR_Mantenimiento tasas'!$C$57,'Tabla Ahorro Futuro Reservas'!C1230*'FR_Mantenimiento tasas'!$D$57/360,""))),5)</f>
        <v>0</v>
      </c>
      <c r="E1230" s="121">
        <f>ROUND(IF(C1230&lt;='FR_Mantenimiento tasas'!$C$55,'Tabla Ahorro Futuro Reservas'!C1230*'FR_Mantenimiento tasas'!$E$55/360,IF(C1230&lt;='FR_Mantenimiento tasas'!$C$56,'Tabla Ahorro Futuro Reservas'!C1230*'FR_Mantenimiento tasas'!$E$56/360,IF(C1230&lt;='FR_Mantenimiento tasas'!$C$57,'Tabla Ahorro Futuro Reservas'!C1230*'FR_Mantenimiento tasas'!$E$57/360,""))),5)</f>
        <v>0</v>
      </c>
    </row>
    <row r="1231" spans="1:5">
      <c r="A1231" s="123">
        <f t="shared" si="38"/>
        <v>1229</v>
      </c>
      <c r="B1231" s="122">
        <f>IF(DAY(A1231)=DAY('F-Ahorro Futuro Reservas'!$H$10),'F-Ahorro Futuro Reservas'!$H$9,0)</f>
        <v>0</v>
      </c>
      <c r="C1231" s="122">
        <f t="shared" si="39"/>
        <v>0</v>
      </c>
      <c r="D1231" s="121">
        <f>ROUND(IF(C1231&lt;='FR_Mantenimiento tasas'!$C$55,'Tabla Ahorro Futuro Reservas'!C1231*'FR_Mantenimiento tasas'!$D$55/360,IF(C1231&lt;='FR_Mantenimiento tasas'!$C$56,'Tabla Ahorro Futuro Reservas'!C1231*'FR_Mantenimiento tasas'!$D$56/360,IF(C1231&lt;='FR_Mantenimiento tasas'!$C$57,'Tabla Ahorro Futuro Reservas'!C1231*'FR_Mantenimiento tasas'!$D$57/360,""))),5)</f>
        <v>0</v>
      </c>
      <c r="E1231" s="121">
        <f>ROUND(IF(C1231&lt;='FR_Mantenimiento tasas'!$C$55,'Tabla Ahorro Futuro Reservas'!C1231*'FR_Mantenimiento tasas'!$E$55/360,IF(C1231&lt;='FR_Mantenimiento tasas'!$C$56,'Tabla Ahorro Futuro Reservas'!C1231*'FR_Mantenimiento tasas'!$E$56/360,IF(C1231&lt;='FR_Mantenimiento tasas'!$C$57,'Tabla Ahorro Futuro Reservas'!C1231*'FR_Mantenimiento tasas'!$E$57/360,""))),5)</f>
        <v>0</v>
      </c>
    </row>
    <row r="1232" spans="1:5">
      <c r="A1232" s="123">
        <f t="shared" si="38"/>
        <v>1230</v>
      </c>
      <c r="B1232" s="122">
        <f>IF(DAY(A1232)=DAY('F-Ahorro Futuro Reservas'!$H$10),'F-Ahorro Futuro Reservas'!$H$9,0)</f>
        <v>0</v>
      </c>
      <c r="C1232" s="122">
        <f t="shared" si="39"/>
        <v>0</v>
      </c>
      <c r="D1232" s="121">
        <f>ROUND(IF(C1232&lt;='FR_Mantenimiento tasas'!$C$55,'Tabla Ahorro Futuro Reservas'!C1232*'FR_Mantenimiento tasas'!$D$55/360,IF(C1232&lt;='FR_Mantenimiento tasas'!$C$56,'Tabla Ahorro Futuro Reservas'!C1232*'FR_Mantenimiento tasas'!$D$56/360,IF(C1232&lt;='FR_Mantenimiento tasas'!$C$57,'Tabla Ahorro Futuro Reservas'!C1232*'FR_Mantenimiento tasas'!$D$57/360,""))),5)</f>
        <v>0</v>
      </c>
      <c r="E1232" s="121">
        <f>ROUND(IF(C1232&lt;='FR_Mantenimiento tasas'!$C$55,'Tabla Ahorro Futuro Reservas'!C1232*'FR_Mantenimiento tasas'!$E$55/360,IF(C1232&lt;='FR_Mantenimiento tasas'!$C$56,'Tabla Ahorro Futuro Reservas'!C1232*'FR_Mantenimiento tasas'!$E$56/360,IF(C1232&lt;='FR_Mantenimiento tasas'!$C$57,'Tabla Ahorro Futuro Reservas'!C1232*'FR_Mantenimiento tasas'!$E$57/360,""))),5)</f>
        <v>0</v>
      </c>
    </row>
    <row r="1233" spans="1:5">
      <c r="A1233" s="123">
        <f t="shared" si="38"/>
        <v>1231</v>
      </c>
      <c r="B1233" s="122">
        <f>IF(DAY(A1233)=DAY('F-Ahorro Futuro Reservas'!$H$10),'F-Ahorro Futuro Reservas'!$H$9,0)</f>
        <v>0</v>
      </c>
      <c r="C1233" s="122">
        <f t="shared" si="39"/>
        <v>0</v>
      </c>
      <c r="D1233" s="121">
        <f>ROUND(IF(C1233&lt;='FR_Mantenimiento tasas'!$C$55,'Tabla Ahorro Futuro Reservas'!C1233*'FR_Mantenimiento tasas'!$D$55/360,IF(C1233&lt;='FR_Mantenimiento tasas'!$C$56,'Tabla Ahorro Futuro Reservas'!C1233*'FR_Mantenimiento tasas'!$D$56/360,IF(C1233&lt;='FR_Mantenimiento tasas'!$C$57,'Tabla Ahorro Futuro Reservas'!C1233*'FR_Mantenimiento tasas'!$D$57/360,""))),5)</f>
        <v>0</v>
      </c>
      <c r="E1233" s="121">
        <f>ROUND(IF(C1233&lt;='FR_Mantenimiento tasas'!$C$55,'Tabla Ahorro Futuro Reservas'!C1233*'FR_Mantenimiento tasas'!$E$55/360,IF(C1233&lt;='FR_Mantenimiento tasas'!$C$56,'Tabla Ahorro Futuro Reservas'!C1233*'FR_Mantenimiento tasas'!$E$56/360,IF(C1233&lt;='FR_Mantenimiento tasas'!$C$57,'Tabla Ahorro Futuro Reservas'!C1233*'FR_Mantenimiento tasas'!$E$57/360,""))),5)</f>
        <v>0</v>
      </c>
    </row>
    <row r="1234" spans="1:5">
      <c r="A1234" s="123">
        <f t="shared" si="38"/>
        <v>1232</v>
      </c>
      <c r="B1234" s="122">
        <f>IF(DAY(A1234)=DAY('F-Ahorro Futuro Reservas'!$H$10),'F-Ahorro Futuro Reservas'!$H$9,0)</f>
        <v>0</v>
      </c>
      <c r="C1234" s="122">
        <f t="shared" si="39"/>
        <v>0</v>
      </c>
      <c r="D1234" s="121">
        <f>ROUND(IF(C1234&lt;='FR_Mantenimiento tasas'!$C$55,'Tabla Ahorro Futuro Reservas'!C1234*'FR_Mantenimiento tasas'!$D$55/360,IF(C1234&lt;='FR_Mantenimiento tasas'!$C$56,'Tabla Ahorro Futuro Reservas'!C1234*'FR_Mantenimiento tasas'!$D$56/360,IF(C1234&lt;='FR_Mantenimiento tasas'!$C$57,'Tabla Ahorro Futuro Reservas'!C1234*'FR_Mantenimiento tasas'!$D$57/360,""))),5)</f>
        <v>0</v>
      </c>
      <c r="E1234" s="121">
        <f>ROUND(IF(C1234&lt;='FR_Mantenimiento tasas'!$C$55,'Tabla Ahorro Futuro Reservas'!C1234*'FR_Mantenimiento tasas'!$E$55/360,IF(C1234&lt;='FR_Mantenimiento tasas'!$C$56,'Tabla Ahorro Futuro Reservas'!C1234*'FR_Mantenimiento tasas'!$E$56/360,IF(C1234&lt;='FR_Mantenimiento tasas'!$C$57,'Tabla Ahorro Futuro Reservas'!C1234*'FR_Mantenimiento tasas'!$E$57/360,""))),5)</f>
        <v>0</v>
      </c>
    </row>
    <row r="1235" spans="1:5">
      <c r="A1235" s="123">
        <f t="shared" si="38"/>
        <v>1233</v>
      </c>
      <c r="B1235" s="122">
        <f>IF(DAY(A1235)=DAY('F-Ahorro Futuro Reservas'!$H$10),'F-Ahorro Futuro Reservas'!$H$9,0)</f>
        <v>0</v>
      </c>
      <c r="C1235" s="122">
        <f t="shared" si="39"/>
        <v>0</v>
      </c>
      <c r="D1235" s="121">
        <f>ROUND(IF(C1235&lt;='FR_Mantenimiento tasas'!$C$55,'Tabla Ahorro Futuro Reservas'!C1235*'FR_Mantenimiento tasas'!$D$55/360,IF(C1235&lt;='FR_Mantenimiento tasas'!$C$56,'Tabla Ahorro Futuro Reservas'!C1235*'FR_Mantenimiento tasas'!$D$56/360,IF(C1235&lt;='FR_Mantenimiento tasas'!$C$57,'Tabla Ahorro Futuro Reservas'!C1235*'FR_Mantenimiento tasas'!$D$57/360,""))),5)</f>
        <v>0</v>
      </c>
      <c r="E1235" s="121">
        <f>ROUND(IF(C1235&lt;='FR_Mantenimiento tasas'!$C$55,'Tabla Ahorro Futuro Reservas'!C1235*'FR_Mantenimiento tasas'!$E$55/360,IF(C1235&lt;='FR_Mantenimiento tasas'!$C$56,'Tabla Ahorro Futuro Reservas'!C1235*'FR_Mantenimiento tasas'!$E$56/360,IF(C1235&lt;='FR_Mantenimiento tasas'!$C$57,'Tabla Ahorro Futuro Reservas'!C1235*'FR_Mantenimiento tasas'!$E$57/360,""))),5)</f>
        <v>0</v>
      </c>
    </row>
    <row r="1236" spans="1:5">
      <c r="A1236" s="123">
        <f t="shared" si="38"/>
        <v>1234</v>
      </c>
      <c r="B1236" s="122">
        <f>IF(DAY(A1236)=DAY('F-Ahorro Futuro Reservas'!$H$10),'F-Ahorro Futuro Reservas'!$H$9,0)</f>
        <v>0</v>
      </c>
      <c r="C1236" s="122">
        <f t="shared" si="39"/>
        <v>0</v>
      </c>
      <c r="D1236" s="121">
        <f>ROUND(IF(C1236&lt;='FR_Mantenimiento tasas'!$C$55,'Tabla Ahorro Futuro Reservas'!C1236*'FR_Mantenimiento tasas'!$D$55/360,IF(C1236&lt;='FR_Mantenimiento tasas'!$C$56,'Tabla Ahorro Futuro Reservas'!C1236*'FR_Mantenimiento tasas'!$D$56/360,IF(C1236&lt;='FR_Mantenimiento tasas'!$C$57,'Tabla Ahorro Futuro Reservas'!C1236*'FR_Mantenimiento tasas'!$D$57/360,""))),5)</f>
        <v>0</v>
      </c>
      <c r="E1236" s="121">
        <f>ROUND(IF(C1236&lt;='FR_Mantenimiento tasas'!$C$55,'Tabla Ahorro Futuro Reservas'!C1236*'FR_Mantenimiento tasas'!$E$55/360,IF(C1236&lt;='FR_Mantenimiento tasas'!$C$56,'Tabla Ahorro Futuro Reservas'!C1236*'FR_Mantenimiento tasas'!$E$56/360,IF(C1236&lt;='FR_Mantenimiento tasas'!$C$57,'Tabla Ahorro Futuro Reservas'!C1236*'FR_Mantenimiento tasas'!$E$57/360,""))),5)</f>
        <v>0</v>
      </c>
    </row>
    <row r="1237" spans="1:5">
      <c r="A1237" s="123">
        <f t="shared" si="38"/>
        <v>1235</v>
      </c>
      <c r="B1237" s="122">
        <f>IF(DAY(A1237)=DAY('F-Ahorro Futuro Reservas'!$H$10),'F-Ahorro Futuro Reservas'!$H$9,0)</f>
        <v>0</v>
      </c>
      <c r="C1237" s="122">
        <f t="shared" si="39"/>
        <v>0</v>
      </c>
      <c r="D1237" s="121">
        <f>ROUND(IF(C1237&lt;='FR_Mantenimiento tasas'!$C$55,'Tabla Ahorro Futuro Reservas'!C1237*'FR_Mantenimiento tasas'!$D$55/360,IF(C1237&lt;='FR_Mantenimiento tasas'!$C$56,'Tabla Ahorro Futuro Reservas'!C1237*'FR_Mantenimiento tasas'!$D$56/360,IF(C1237&lt;='FR_Mantenimiento tasas'!$C$57,'Tabla Ahorro Futuro Reservas'!C1237*'FR_Mantenimiento tasas'!$D$57/360,""))),5)</f>
        <v>0</v>
      </c>
      <c r="E1237" s="121">
        <f>ROUND(IF(C1237&lt;='FR_Mantenimiento tasas'!$C$55,'Tabla Ahorro Futuro Reservas'!C1237*'FR_Mantenimiento tasas'!$E$55/360,IF(C1237&lt;='FR_Mantenimiento tasas'!$C$56,'Tabla Ahorro Futuro Reservas'!C1237*'FR_Mantenimiento tasas'!$E$56/360,IF(C1237&lt;='FR_Mantenimiento tasas'!$C$57,'Tabla Ahorro Futuro Reservas'!C1237*'FR_Mantenimiento tasas'!$E$57/360,""))),5)</f>
        <v>0</v>
      </c>
    </row>
    <row r="1238" spans="1:5">
      <c r="A1238" s="123">
        <f t="shared" si="38"/>
        <v>1236</v>
      </c>
      <c r="B1238" s="122">
        <f>IF(DAY(A1238)=DAY('F-Ahorro Futuro Reservas'!$H$10),'F-Ahorro Futuro Reservas'!$H$9,0)</f>
        <v>0</v>
      </c>
      <c r="C1238" s="122">
        <f t="shared" si="39"/>
        <v>0</v>
      </c>
      <c r="D1238" s="121">
        <f>ROUND(IF(C1238&lt;='FR_Mantenimiento tasas'!$C$55,'Tabla Ahorro Futuro Reservas'!C1238*'FR_Mantenimiento tasas'!$D$55/360,IF(C1238&lt;='FR_Mantenimiento tasas'!$C$56,'Tabla Ahorro Futuro Reservas'!C1238*'FR_Mantenimiento tasas'!$D$56/360,IF(C1238&lt;='FR_Mantenimiento tasas'!$C$57,'Tabla Ahorro Futuro Reservas'!C1238*'FR_Mantenimiento tasas'!$D$57/360,""))),5)</f>
        <v>0</v>
      </c>
      <c r="E1238" s="121">
        <f>ROUND(IF(C1238&lt;='FR_Mantenimiento tasas'!$C$55,'Tabla Ahorro Futuro Reservas'!C1238*'FR_Mantenimiento tasas'!$E$55/360,IF(C1238&lt;='FR_Mantenimiento tasas'!$C$56,'Tabla Ahorro Futuro Reservas'!C1238*'FR_Mantenimiento tasas'!$E$56/360,IF(C1238&lt;='FR_Mantenimiento tasas'!$C$57,'Tabla Ahorro Futuro Reservas'!C1238*'FR_Mantenimiento tasas'!$E$57/360,""))),5)</f>
        <v>0</v>
      </c>
    </row>
    <row r="1239" spans="1:5">
      <c r="A1239" s="123">
        <f t="shared" si="38"/>
        <v>1237</v>
      </c>
      <c r="B1239" s="122">
        <f>IF(DAY(A1239)=DAY('F-Ahorro Futuro Reservas'!$H$10),'F-Ahorro Futuro Reservas'!$H$9,0)</f>
        <v>0</v>
      </c>
      <c r="C1239" s="122">
        <f t="shared" si="39"/>
        <v>0</v>
      </c>
      <c r="D1239" s="121">
        <f>ROUND(IF(C1239&lt;='FR_Mantenimiento tasas'!$C$55,'Tabla Ahorro Futuro Reservas'!C1239*'FR_Mantenimiento tasas'!$D$55/360,IF(C1239&lt;='FR_Mantenimiento tasas'!$C$56,'Tabla Ahorro Futuro Reservas'!C1239*'FR_Mantenimiento tasas'!$D$56/360,IF(C1239&lt;='FR_Mantenimiento tasas'!$C$57,'Tabla Ahorro Futuro Reservas'!C1239*'FR_Mantenimiento tasas'!$D$57/360,""))),5)</f>
        <v>0</v>
      </c>
      <c r="E1239" s="121">
        <f>ROUND(IF(C1239&lt;='FR_Mantenimiento tasas'!$C$55,'Tabla Ahorro Futuro Reservas'!C1239*'FR_Mantenimiento tasas'!$E$55/360,IF(C1239&lt;='FR_Mantenimiento tasas'!$C$56,'Tabla Ahorro Futuro Reservas'!C1239*'FR_Mantenimiento tasas'!$E$56/360,IF(C1239&lt;='FR_Mantenimiento tasas'!$C$57,'Tabla Ahorro Futuro Reservas'!C1239*'FR_Mantenimiento tasas'!$E$57/360,""))),5)</f>
        <v>0</v>
      </c>
    </row>
    <row r="1240" spans="1:5">
      <c r="A1240" s="123">
        <f t="shared" si="38"/>
        <v>1238</v>
      </c>
      <c r="B1240" s="122">
        <f>IF(DAY(A1240)=DAY('F-Ahorro Futuro Reservas'!$H$10),'F-Ahorro Futuro Reservas'!$H$9,0)</f>
        <v>0</v>
      </c>
      <c r="C1240" s="122">
        <f t="shared" si="39"/>
        <v>0</v>
      </c>
      <c r="D1240" s="121">
        <f>ROUND(IF(C1240&lt;='FR_Mantenimiento tasas'!$C$55,'Tabla Ahorro Futuro Reservas'!C1240*'FR_Mantenimiento tasas'!$D$55/360,IF(C1240&lt;='FR_Mantenimiento tasas'!$C$56,'Tabla Ahorro Futuro Reservas'!C1240*'FR_Mantenimiento tasas'!$D$56/360,IF(C1240&lt;='FR_Mantenimiento tasas'!$C$57,'Tabla Ahorro Futuro Reservas'!C1240*'FR_Mantenimiento tasas'!$D$57/360,""))),5)</f>
        <v>0</v>
      </c>
      <c r="E1240" s="121">
        <f>ROUND(IF(C1240&lt;='FR_Mantenimiento tasas'!$C$55,'Tabla Ahorro Futuro Reservas'!C1240*'FR_Mantenimiento tasas'!$E$55/360,IF(C1240&lt;='FR_Mantenimiento tasas'!$C$56,'Tabla Ahorro Futuro Reservas'!C1240*'FR_Mantenimiento tasas'!$E$56/360,IF(C1240&lt;='FR_Mantenimiento tasas'!$C$57,'Tabla Ahorro Futuro Reservas'!C1240*'FR_Mantenimiento tasas'!$E$57/360,""))),5)</f>
        <v>0</v>
      </c>
    </row>
    <row r="1241" spans="1:5">
      <c r="A1241" s="123">
        <f t="shared" si="38"/>
        <v>1239</v>
      </c>
      <c r="B1241" s="122">
        <f>IF(DAY(A1241)=DAY('F-Ahorro Futuro Reservas'!$H$10),'F-Ahorro Futuro Reservas'!$H$9,0)</f>
        <v>0</v>
      </c>
      <c r="C1241" s="122">
        <f t="shared" si="39"/>
        <v>0</v>
      </c>
      <c r="D1241" s="121">
        <f>ROUND(IF(C1241&lt;='FR_Mantenimiento tasas'!$C$55,'Tabla Ahorro Futuro Reservas'!C1241*'FR_Mantenimiento tasas'!$D$55/360,IF(C1241&lt;='FR_Mantenimiento tasas'!$C$56,'Tabla Ahorro Futuro Reservas'!C1241*'FR_Mantenimiento tasas'!$D$56/360,IF(C1241&lt;='FR_Mantenimiento tasas'!$C$57,'Tabla Ahorro Futuro Reservas'!C1241*'FR_Mantenimiento tasas'!$D$57/360,""))),5)</f>
        <v>0</v>
      </c>
      <c r="E1241" s="121">
        <f>ROUND(IF(C1241&lt;='FR_Mantenimiento tasas'!$C$55,'Tabla Ahorro Futuro Reservas'!C1241*'FR_Mantenimiento tasas'!$E$55/360,IF(C1241&lt;='FR_Mantenimiento tasas'!$C$56,'Tabla Ahorro Futuro Reservas'!C1241*'FR_Mantenimiento tasas'!$E$56/360,IF(C1241&lt;='FR_Mantenimiento tasas'!$C$57,'Tabla Ahorro Futuro Reservas'!C1241*'FR_Mantenimiento tasas'!$E$57/360,""))),5)</f>
        <v>0</v>
      </c>
    </row>
    <row r="1242" spans="1:5">
      <c r="A1242" s="123">
        <f t="shared" si="38"/>
        <v>1240</v>
      </c>
      <c r="B1242" s="122">
        <f>IF(DAY(A1242)=DAY('F-Ahorro Futuro Reservas'!$H$10),'F-Ahorro Futuro Reservas'!$H$9,0)</f>
        <v>0</v>
      </c>
      <c r="C1242" s="122">
        <f t="shared" si="39"/>
        <v>0</v>
      </c>
      <c r="D1242" s="121">
        <f>ROUND(IF(C1242&lt;='FR_Mantenimiento tasas'!$C$55,'Tabla Ahorro Futuro Reservas'!C1242*'FR_Mantenimiento tasas'!$D$55/360,IF(C1242&lt;='FR_Mantenimiento tasas'!$C$56,'Tabla Ahorro Futuro Reservas'!C1242*'FR_Mantenimiento tasas'!$D$56/360,IF(C1242&lt;='FR_Mantenimiento tasas'!$C$57,'Tabla Ahorro Futuro Reservas'!C1242*'FR_Mantenimiento tasas'!$D$57/360,""))),5)</f>
        <v>0</v>
      </c>
      <c r="E1242" s="121">
        <f>ROUND(IF(C1242&lt;='FR_Mantenimiento tasas'!$C$55,'Tabla Ahorro Futuro Reservas'!C1242*'FR_Mantenimiento tasas'!$E$55/360,IF(C1242&lt;='FR_Mantenimiento tasas'!$C$56,'Tabla Ahorro Futuro Reservas'!C1242*'FR_Mantenimiento tasas'!$E$56/360,IF(C1242&lt;='FR_Mantenimiento tasas'!$C$57,'Tabla Ahorro Futuro Reservas'!C1242*'FR_Mantenimiento tasas'!$E$57/360,""))),5)</f>
        <v>0</v>
      </c>
    </row>
    <row r="1243" spans="1:5">
      <c r="A1243" s="123">
        <f t="shared" si="38"/>
        <v>1241</v>
      </c>
      <c r="B1243" s="122">
        <f>IF(DAY(A1243)=DAY('F-Ahorro Futuro Reservas'!$H$10),'F-Ahorro Futuro Reservas'!$H$9,0)</f>
        <v>0</v>
      </c>
      <c r="C1243" s="122">
        <f t="shared" si="39"/>
        <v>0</v>
      </c>
      <c r="D1243" s="121">
        <f>ROUND(IF(C1243&lt;='FR_Mantenimiento tasas'!$C$55,'Tabla Ahorro Futuro Reservas'!C1243*'FR_Mantenimiento tasas'!$D$55/360,IF(C1243&lt;='FR_Mantenimiento tasas'!$C$56,'Tabla Ahorro Futuro Reservas'!C1243*'FR_Mantenimiento tasas'!$D$56/360,IF(C1243&lt;='FR_Mantenimiento tasas'!$C$57,'Tabla Ahorro Futuro Reservas'!C1243*'FR_Mantenimiento tasas'!$D$57/360,""))),5)</f>
        <v>0</v>
      </c>
      <c r="E1243" s="121">
        <f>ROUND(IF(C1243&lt;='FR_Mantenimiento tasas'!$C$55,'Tabla Ahorro Futuro Reservas'!C1243*'FR_Mantenimiento tasas'!$E$55/360,IF(C1243&lt;='FR_Mantenimiento tasas'!$C$56,'Tabla Ahorro Futuro Reservas'!C1243*'FR_Mantenimiento tasas'!$E$56/360,IF(C1243&lt;='FR_Mantenimiento tasas'!$C$57,'Tabla Ahorro Futuro Reservas'!C1243*'FR_Mantenimiento tasas'!$E$57/360,""))),5)</f>
        <v>0</v>
      </c>
    </row>
    <row r="1244" spans="1:5">
      <c r="A1244" s="123">
        <f t="shared" si="38"/>
        <v>1242</v>
      </c>
      <c r="B1244" s="122">
        <f>IF(DAY(A1244)=DAY('F-Ahorro Futuro Reservas'!$H$10),'F-Ahorro Futuro Reservas'!$H$9,0)</f>
        <v>0</v>
      </c>
      <c r="C1244" s="122">
        <f t="shared" si="39"/>
        <v>0</v>
      </c>
      <c r="D1244" s="121">
        <f>ROUND(IF(C1244&lt;='FR_Mantenimiento tasas'!$C$55,'Tabla Ahorro Futuro Reservas'!C1244*'FR_Mantenimiento tasas'!$D$55/360,IF(C1244&lt;='FR_Mantenimiento tasas'!$C$56,'Tabla Ahorro Futuro Reservas'!C1244*'FR_Mantenimiento tasas'!$D$56/360,IF(C1244&lt;='FR_Mantenimiento tasas'!$C$57,'Tabla Ahorro Futuro Reservas'!C1244*'FR_Mantenimiento tasas'!$D$57/360,""))),5)</f>
        <v>0</v>
      </c>
      <c r="E1244" s="121">
        <f>ROUND(IF(C1244&lt;='FR_Mantenimiento tasas'!$C$55,'Tabla Ahorro Futuro Reservas'!C1244*'FR_Mantenimiento tasas'!$E$55/360,IF(C1244&lt;='FR_Mantenimiento tasas'!$C$56,'Tabla Ahorro Futuro Reservas'!C1244*'FR_Mantenimiento tasas'!$E$56/360,IF(C1244&lt;='FR_Mantenimiento tasas'!$C$57,'Tabla Ahorro Futuro Reservas'!C1244*'FR_Mantenimiento tasas'!$E$57/360,""))),5)</f>
        <v>0</v>
      </c>
    </row>
    <row r="1245" spans="1:5">
      <c r="A1245" s="123">
        <f t="shared" si="38"/>
        <v>1243</v>
      </c>
      <c r="B1245" s="122">
        <f>IF(DAY(A1245)=DAY('F-Ahorro Futuro Reservas'!$H$10),'F-Ahorro Futuro Reservas'!$H$9,0)</f>
        <v>0</v>
      </c>
      <c r="C1245" s="122">
        <f t="shared" si="39"/>
        <v>0</v>
      </c>
      <c r="D1245" s="121">
        <f>ROUND(IF(C1245&lt;='FR_Mantenimiento tasas'!$C$55,'Tabla Ahorro Futuro Reservas'!C1245*'FR_Mantenimiento tasas'!$D$55/360,IF(C1245&lt;='FR_Mantenimiento tasas'!$C$56,'Tabla Ahorro Futuro Reservas'!C1245*'FR_Mantenimiento tasas'!$D$56/360,IF(C1245&lt;='FR_Mantenimiento tasas'!$C$57,'Tabla Ahorro Futuro Reservas'!C1245*'FR_Mantenimiento tasas'!$D$57/360,""))),5)</f>
        <v>0</v>
      </c>
      <c r="E1245" s="121">
        <f>ROUND(IF(C1245&lt;='FR_Mantenimiento tasas'!$C$55,'Tabla Ahorro Futuro Reservas'!C1245*'FR_Mantenimiento tasas'!$E$55/360,IF(C1245&lt;='FR_Mantenimiento tasas'!$C$56,'Tabla Ahorro Futuro Reservas'!C1245*'FR_Mantenimiento tasas'!$E$56/360,IF(C1245&lt;='FR_Mantenimiento tasas'!$C$57,'Tabla Ahorro Futuro Reservas'!C1245*'FR_Mantenimiento tasas'!$E$57/360,""))),5)</f>
        <v>0</v>
      </c>
    </row>
    <row r="1246" spans="1:5">
      <c r="A1246" s="123">
        <f t="shared" si="38"/>
        <v>1244</v>
      </c>
      <c r="B1246" s="122">
        <f>IF(DAY(A1246)=DAY('F-Ahorro Futuro Reservas'!$H$10),'F-Ahorro Futuro Reservas'!$H$9,0)</f>
        <v>0</v>
      </c>
      <c r="C1246" s="122">
        <f t="shared" si="39"/>
        <v>0</v>
      </c>
      <c r="D1246" s="121">
        <f>ROUND(IF(C1246&lt;='FR_Mantenimiento tasas'!$C$55,'Tabla Ahorro Futuro Reservas'!C1246*'FR_Mantenimiento tasas'!$D$55/360,IF(C1246&lt;='FR_Mantenimiento tasas'!$C$56,'Tabla Ahorro Futuro Reservas'!C1246*'FR_Mantenimiento tasas'!$D$56/360,IF(C1246&lt;='FR_Mantenimiento tasas'!$C$57,'Tabla Ahorro Futuro Reservas'!C1246*'FR_Mantenimiento tasas'!$D$57/360,""))),5)</f>
        <v>0</v>
      </c>
      <c r="E1246" s="121">
        <f>ROUND(IF(C1246&lt;='FR_Mantenimiento tasas'!$C$55,'Tabla Ahorro Futuro Reservas'!C1246*'FR_Mantenimiento tasas'!$E$55/360,IF(C1246&lt;='FR_Mantenimiento tasas'!$C$56,'Tabla Ahorro Futuro Reservas'!C1246*'FR_Mantenimiento tasas'!$E$56/360,IF(C1246&lt;='FR_Mantenimiento tasas'!$C$57,'Tabla Ahorro Futuro Reservas'!C1246*'FR_Mantenimiento tasas'!$E$57/360,""))),5)</f>
        <v>0</v>
      </c>
    </row>
    <row r="1247" spans="1:5">
      <c r="A1247" s="123">
        <f t="shared" si="38"/>
        <v>1245</v>
      </c>
      <c r="B1247" s="122">
        <f>IF(DAY(A1247)=DAY('F-Ahorro Futuro Reservas'!$H$10),'F-Ahorro Futuro Reservas'!$H$9,0)</f>
        <v>0</v>
      </c>
      <c r="C1247" s="122">
        <f t="shared" si="39"/>
        <v>0</v>
      </c>
      <c r="D1247" s="121">
        <f>ROUND(IF(C1247&lt;='FR_Mantenimiento tasas'!$C$55,'Tabla Ahorro Futuro Reservas'!C1247*'FR_Mantenimiento tasas'!$D$55/360,IF(C1247&lt;='FR_Mantenimiento tasas'!$C$56,'Tabla Ahorro Futuro Reservas'!C1247*'FR_Mantenimiento tasas'!$D$56/360,IF(C1247&lt;='FR_Mantenimiento tasas'!$C$57,'Tabla Ahorro Futuro Reservas'!C1247*'FR_Mantenimiento tasas'!$D$57/360,""))),5)</f>
        <v>0</v>
      </c>
      <c r="E1247" s="121">
        <f>ROUND(IF(C1247&lt;='FR_Mantenimiento tasas'!$C$55,'Tabla Ahorro Futuro Reservas'!C1247*'FR_Mantenimiento tasas'!$E$55/360,IF(C1247&lt;='FR_Mantenimiento tasas'!$C$56,'Tabla Ahorro Futuro Reservas'!C1247*'FR_Mantenimiento tasas'!$E$56/360,IF(C1247&lt;='FR_Mantenimiento tasas'!$C$57,'Tabla Ahorro Futuro Reservas'!C1247*'FR_Mantenimiento tasas'!$E$57/360,""))),5)</f>
        <v>0</v>
      </c>
    </row>
    <row r="1248" spans="1:5">
      <c r="A1248" s="123">
        <f t="shared" si="38"/>
        <v>1246</v>
      </c>
      <c r="B1248" s="122">
        <f>IF(DAY(A1248)=DAY('F-Ahorro Futuro Reservas'!$H$10),'F-Ahorro Futuro Reservas'!$H$9,0)</f>
        <v>0</v>
      </c>
      <c r="C1248" s="122">
        <f t="shared" si="39"/>
        <v>0</v>
      </c>
      <c r="D1248" s="121">
        <f>ROUND(IF(C1248&lt;='FR_Mantenimiento tasas'!$C$55,'Tabla Ahorro Futuro Reservas'!C1248*'FR_Mantenimiento tasas'!$D$55/360,IF(C1248&lt;='FR_Mantenimiento tasas'!$C$56,'Tabla Ahorro Futuro Reservas'!C1248*'FR_Mantenimiento tasas'!$D$56/360,IF(C1248&lt;='FR_Mantenimiento tasas'!$C$57,'Tabla Ahorro Futuro Reservas'!C1248*'FR_Mantenimiento tasas'!$D$57/360,""))),5)</f>
        <v>0</v>
      </c>
      <c r="E1248" s="121">
        <f>ROUND(IF(C1248&lt;='FR_Mantenimiento tasas'!$C$55,'Tabla Ahorro Futuro Reservas'!C1248*'FR_Mantenimiento tasas'!$E$55/360,IF(C1248&lt;='FR_Mantenimiento tasas'!$C$56,'Tabla Ahorro Futuro Reservas'!C1248*'FR_Mantenimiento tasas'!$E$56/360,IF(C1248&lt;='FR_Mantenimiento tasas'!$C$57,'Tabla Ahorro Futuro Reservas'!C1248*'FR_Mantenimiento tasas'!$E$57/360,""))),5)</f>
        <v>0</v>
      </c>
    </row>
    <row r="1249" spans="1:5">
      <c r="A1249" s="123">
        <f t="shared" si="38"/>
        <v>1247</v>
      </c>
      <c r="B1249" s="122">
        <f>IF(DAY(A1249)=DAY('F-Ahorro Futuro Reservas'!$H$10),'F-Ahorro Futuro Reservas'!$H$9,0)</f>
        <v>0</v>
      </c>
      <c r="C1249" s="122">
        <f t="shared" si="39"/>
        <v>0</v>
      </c>
      <c r="D1249" s="121">
        <f>ROUND(IF(C1249&lt;='FR_Mantenimiento tasas'!$C$55,'Tabla Ahorro Futuro Reservas'!C1249*'FR_Mantenimiento tasas'!$D$55/360,IF(C1249&lt;='FR_Mantenimiento tasas'!$C$56,'Tabla Ahorro Futuro Reservas'!C1249*'FR_Mantenimiento tasas'!$D$56/360,IF(C1249&lt;='FR_Mantenimiento tasas'!$C$57,'Tabla Ahorro Futuro Reservas'!C1249*'FR_Mantenimiento tasas'!$D$57/360,""))),5)</f>
        <v>0</v>
      </c>
      <c r="E1249" s="121">
        <f>ROUND(IF(C1249&lt;='FR_Mantenimiento tasas'!$C$55,'Tabla Ahorro Futuro Reservas'!C1249*'FR_Mantenimiento tasas'!$E$55/360,IF(C1249&lt;='FR_Mantenimiento tasas'!$C$56,'Tabla Ahorro Futuro Reservas'!C1249*'FR_Mantenimiento tasas'!$E$56/360,IF(C1249&lt;='FR_Mantenimiento tasas'!$C$57,'Tabla Ahorro Futuro Reservas'!C1249*'FR_Mantenimiento tasas'!$E$57/360,""))),5)</f>
        <v>0</v>
      </c>
    </row>
    <row r="1250" spans="1:5">
      <c r="A1250" s="123">
        <f t="shared" si="38"/>
        <v>1248</v>
      </c>
      <c r="B1250" s="122">
        <f>IF(DAY(A1250)=DAY('F-Ahorro Futuro Reservas'!$H$10),'F-Ahorro Futuro Reservas'!$H$9,0)</f>
        <v>0</v>
      </c>
      <c r="C1250" s="122">
        <f t="shared" si="39"/>
        <v>0</v>
      </c>
      <c r="D1250" s="121">
        <f>ROUND(IF(C1250&lt;='FR_Mantenimiento tasas'!$C$55,'Tabla Ahorro Futuro Reservas'!C1250*'FR_Mantenimiento tasas'!$D$55/360,IF(C1250&lt;='FR_Mantenimiento tasas'!$C$56,'Tabla Ahorro Futuro Reservas'!C1250*'FR_Mantenimiento tasas'!$D$56/360,IF(C1250&lt;='FR_Mantenimiento tasas'!$C$57,'Tabla Ahorro Futuro Reservas'!C1250*'FR_Mantenimiento tasas'!$D$57/360,""))),5)</f>
        <v>0</v>
      </c>
      <c r="E1250" s="121">
        <f>ROUND(IF(C1250&lt;='FR_Mantenimiento tasas'!$C$55,'Tabla Ahorro Futuro Reservas'!C1250*'FR_Mantenimiento tasas'!$E$55/360,IF(C1250&lt;='FR_Mantenimiento tasas'!$C$56,'Tabla Ahorro Futuro Reservas'!C1250*'FR_Mantenimiento tasas'!$E$56/360,IF(C1250&lt;='FR_Mantenimiento tasas'!$C$57,'Tabla Ahorro Futuro Reservas'!C1250*'FR_Mantenimiento tasas'!$E$57/360,""))),5)</f>
        <v>0</v>
      </c>
    </row>
    <row r="1251" spans="1:5">
      <c r="A1251" s="123">
        <f t="shared" si="38"/>
        <v>1249</v>
      </c>
      <c r="B1251" s="122">
        <f>IF(DAY(A1251)=DAY('F-Ahorro Futuro Reservas'!$H$10),'F-Ahorro Futuro Reservas'!$H$9,0)</f>
        <v>0</v>
      </c>
      <c r="C1251" s="122">
        <f t="shared" si="39"/>
        <v>0</v>
      </c>
      <c r="D1251" s="121">
        <f>ROUND(IF(C1251&lt;='FR_Mantenimiento tasas'!$C$55,'Tabla Ahorro Futuro Reservas'!C1251*'FR_Mantenimiento tasas'!$D$55/360,IF(C1251&lt;='FR_Mantenimiento tasas'!$C$56,'Tabla Ahorro Futuro Reservas'!C1251*'FR_Mantenimiento tasas'!$D$56/360,IF(C1251&lt;='FR_Mantenimiento tasas'!$C$57,'Tabla Ahorro Futuro Reservas'!C1251*'FR_Mantenimiento tasas'!$D$57/360,""))),5)</f>
        <v>0</v>
      </c>
      <c r="E1251" s="121">
        <f>ROUND(IF(C1251&lt;='FR_Mantenimiento tasas'!$C$55,'Tabla Ahorro Futuro Reservas'!C1251*'FR_Mantenimiento tasas'!$E$55/360,IF(C1251&lt;='FR_Mantenimiento tasas'!$C$56,'Tabla Ahorro Futuro Reservas'!C1251*'FR_Mantenimiento tasas'!$E$56/360,IF(C1251&lt;='FR_Mantenimiento tasas'!$C$57,'Tabla Ahorro Futuro Reservas'!C1251*'FR_Mantenimiento tasas'!$E$57/360,""))),5)</f>
        <v>0</v>
      </c>
    </row>
    <row r="1252" spans="1:5">
      <c r="A1252" s="123">
        <f t="shared" si="38"/>
        <v>1250</v>
      </c>
      <c r="B1252" s="122">
        <f>IF(DAY(A1252)=DAY('F-Ahorro Futuro Reservas'!$H$10),'F-Ahorro Futuro Reservas'!$H$9,0)</f>
        <v>0</v>
      </c>
      <c r="C1252" s="122">
        <f t="shared" si="39"/>
        <v>0</v>
      </c>
      <c r="D1252" s="121">
        <f>ROUND(IF(C1252&lt;='FR_Mantenimiento tasas'!$C$55,'Tabla Ahorro Futuro Reservas'!C1252*'FR_Mantenimiento tasas'!$D$55/360,IF(C1252&lt;='FR_Mantenimiento tasas'!$C$56,'Tabla Ahorro Futuro Reservas'!C1252*'FR_Mantenimiento tasas'!$D$56/360,IF(C1252&lt;='FR_Mantenimiento tasas'!$C$57,'Tabla Ahorro Futuro Reservas'!C1252*'FR_Mantenimiento tasas'!$D$57/360,""))),5)</f>
        <v>0</v>
      </c>
      <c r="E1252" s="121">
        <f>ROUND(IF(C1252&lt;='FR_Mantenimiento tasas'!$C$55,'Tabla Ahorro Futuro Reservas'!C1252*'FR_Mantenimiento tasas'!$E$55/360,IF(C1252&lt;='FR_Mantenimiento tasas'!$C$56,'Tabla Ahorro Futuro Reservas'!C1252*'FR_Mantenimiento tasas'!$E$56/360,IF(C1252&lt;='FR_Mantenimiento tasas'!$C$57,'Tabla Ahorro Futuro Reservas'!C1252*'FR_Mantenimiento tasas'!$E$57/360,""))),5)</f>
        <v>0</v>
      </c>
    </row>
    <row r="1253" spans="1:5">
      <c r="A1253" s="123">
        <f t="shared" si="38"/>
        <v>1251</v>
      </c>
      <c r="B1253" s="122">
        <f>IF(DAY(A1253)=DAY('F-Ahorro Futuro Reservas'!$H$10),'F-Ahorro Futuro Reservas'!$H$9,0)</f>
        <v>0</v>
      </c>
      <c r="C1253" s="122">
        <f t="shared" si="39"/>
        <v>0</v>
      </c>
      <c r="D1253" s="121">
        <f>ROUND(IF(C1253&lt;='FR_Mantenimiento tasas'!$C$55,'Tabla Ahorro Futuro Reservas'!C1253*'FR_Mantenimiento tasas'!$D$55/360,IF(C1253&lt;='FR_Mantenimiento tasas'!$C$56,'Tabla Ahorro Futuro Reservas'!C1253*'FR_Mantenimiento tasas'!$D$56/360,IF(C1253&lt;='FR_Mantenimiento tasas'!$C$57,'Tabla Ahorro Futuro Reservas'!C1253*'FR_Mantenimiento tasas'!$D$57/360,""))),5)</f>
        <v>0</v>
      </c>
      <c r="E1253" s="121">
        <f>ROUND(IF(C1253&lt;='FR_Mantenimiento tasas'!$C$55,'Tabla Ahorro Futuro Reservas'!C1253*'FR_Mantenimiento tasas'!$E$55/360,IF(C1253&lt;='FR_Mantenimiento tasas'!$C$56,'Tabla Ahorro Futuro Reservas'!C1253*'FR_Mantenimiento tasas'!$E$56/360,IF(C1253&lt;='FR_Mantenimiento tasas'!$C$57,'Tabla Ahorro Futuro Reservas'!C1253*'FR_Mantenimiento tasas'!$E$57/360,""))),5)</f>
        <v>0</v>
      </c>
    </row>
    <row r="1254" spans="1:5">
      <c r="A1254" s="123">
        <f t="shared" si="38"/>
        <v>1252</v>
      </c>
      <c r="B1254" s="122">
        <f>IF(DAY(A1254)=DAY('F-Ahorro Futuro Reservas'!$H$10),'F-Ahorro Futuro Reservas'!$H$9,0)</f>
        <v>0</v>
      </c>
      <c r="C1254" s="122">
        <f t="shared" si="39"/>
        <v>0</v>
      </c>
      <c r="D1254" s="121">
        <f>ROUND(IF(C1254&lt;='FR_Mantenimiento tasas'!$C$55,'Tabla Ahorro Futuro Reservas'!C1254*'FR_Mantenimiento tasas'!$D$55/360,IF(C1254&lt;='FR_Mantenimiento tasas'!$C$56,'Tabla Ahorro Futuro Reservas'!C1254*'FR_Mantenimiento tasas'!$D$56/360,IF(C1254&lt;='FR_Mantenimiento tasas'!$C$57,'Tabla Ahorro Futuro Reservas'!C1254*'FR_Mantenimiento tasas'!$D$57/360,""))),5)</f>
        <v>0</v>
      </c>
      <c r="E1254" s="121">
        <f>ROUND(IF(C1254&lt;='FR_Mantenimiento tasas'!$C$55,'Tabla Ahorro Futuro Reservas'!C1254*'FR_Mantenimiento tasas'!$E$55/360,IF(C1254&lt;='FR_Mantenimiento tasas'!$C$56,'Tabla Ahorro Futuro Reservas'!C1254*'FR_Mantenimiento tasas'!$E$56/360,IF(C1254&lt;='FR_Mantenimiento tasas'!$C$57,'Tabla Ahorro Futuro Reservas'!C1254*'FR_Mantenimiento tasas'!$E$57/360,""))),5)</f>
        <v>0</v>
      </c>
    </row>
    <row r="1255" spans="1:5">
      <c r="A1255" s="123">
        <f t="shared" si="38"/>
        <v>1253</v>
      </c>
      <c r="B1255" s="122">
        <f>IF(DAY(A1255)=DAY('F-Ahorro Futuro Reservas'!$H$10),'F-Ahorro Futuro Reservas'!$H$9,0)</f>
        <v>0</v>
      </c>
      <c r="C1255" s="122">
        <f t="shared" si="39"/>
        <v>0</v>
      </c>
      <c r="D1255" s="121">
        <f>ROUND(IF(C1255&lt;='FR_Mantenimiento tasas'!$C$55,'Tabla Ahorro Futuro Reservas'!C1255*'FR_Mantenimiento tasas'!$D$55/360,IF(C1255&lt;='FR_Mantenimiento tasas'!$C$56,'Tabla Ahorro Futuro Reservas'!C1255*'FR_Mantenimiento tasas'!$D$56/360,IF(C1255&lt;='FR_Mantenimiento tasas'!$C$57,'Tabla Ahorro Futuro Reservas'!C1255*'FR_Mantenimiento tasas'!$D$57/360,""))),5)</f>
        <v>0</v>
      </c>
      <c r="E1255" s="121">
        <f>ROUND(IF(C1255&lt;='FR_Mantenimiento tasas'!$C$55,'Tabla Ahorro Futuro Reservas'!C1255*'FR_Mantenimiento tasas'!$E$55/360,IF(C1255&lt;='FR_Mantenimiento tasas'!$C$56,'Tabla Ahorro Futuro Reservas'!C1255*'FR_Mantenimiento tasas'!$E$56/360,IF(C1255&lt;='FR_Mantenimiento tasas'!$C$57,'Tabla Ahorro Futuro Reservas'!C1255*'FR_Mantenimiento tasas'!$E$57/360,""))),5)</f>
        <v>0</v>
      </c>
    </row>
    <row r="1256" spans="1:5">
      <c r="A1256" s="123">
        <f t="shared" si="38"/>
        <v>1254</v>
      </c>
      <c r="B1256" s="122">
        <f>IF(DAY(A1256)=DAY('F-Ahorro Futuro Reservas'!$H$10),'F-Ahorro Futuro Reservas'!$H$9,0)</f>
        <v>0</v>
      </c>
      <c r="C1256" s="122">
        <f t="shared" si="39"/>
        <v>0</v>
      </c>
      <c r="D1256" s="121">
        <f>ROUND(IF(C1256&lt;='FR_Mantenimiento tasas'!$C$55,'Tabla Ahorro Futuro Reservas'!C1256*'FR_Mantenimiento tasas'!$D$55/360,IF(C1256&lt;='FR_Mantenimiento tasas'!$C$56,'Tabla Ahorro Futuro Reservas'!C1256*'FR_Mantenimiento tasas'!$D$56/360,IF(C1256&lt;='FR_Mantenimiento tasas'!$C$57,'Tabla Ahorro Futuro Reservas'!C1256*'FR_Mantenimiento tasas'!$D$57/360,""))),5)</f>
        <v>0</v>
      </c>
      <c r="E1256" s="121">
        <f>ROUND(IF(C1256&lt;='FR_Mantenimiento tasas'!$C$55,'Tabla Ahorro Futuro Reservas'!C1256*'FR_Mantenimiento tasas'!$E$55/360,IF(C1256&lt;='FR_Mantenimiento tasas'!$C$56,'Tabla Ahorro Futuro Reservas'!C1256*'FR_Mantenimiento tasas'!$E$56/360,IF(C1256&lt;='FR_Mantenimiento tasas'!$C$57,'Tabla Ahorro Futuro Reservas'!C1256*'FR_Mantenimiento tasas'!$E$57/360,""))),5)</f>
        <v>0</v>
      </c>
    </row>
    <row r="1257" spans="1:5">
      <c r="A1257" s="123">
        <f t="shared" si="38"/>
        <v>1255</v>
      </c>
      <c r="B1257" s="122">
        <f>IF(DAY(A1257)=DAY('F-Ahorro Futuro Reservas'!$H$10),'F-Ahorro Futuro Reservas'!$H$9,0)</f>
        <v>0</v>
      </c>
      <c r="C1257" s="122">
        <f t="shared" si="39"/>
        <v>0</v>
      </c>
      <c r="D1257" s="121">
        <f>ROUND(IF(C1257&lt;='FR_Mantenimiento tasas'!$C$55,'Tabla Ahorro Futuro Reservas'!C1257*'FR_Mantenimiento tasas'!$D$55/360,IF(C1257&lt;='FR_Mantenimiento tasas'!$C$56,'Tabla Ahorro Futuro Reservas'!C1257*'FR_Mantenimiento tasas'!$D$56/360,IF(C1257&lt;='FR_Mantenimiento tasas'!$C$57,'Tabla Ahorro Futuro Reservas'!C1257*'FR_Mantenimiento tasas'!$D$57/360,""))),5)</f>
        <v>0</v>
      </c>
      <c r="E1257" s="121">
        <f>ROUND(IF(C1257&lt;='FR_Mantenimiento tasas'!$C$55,'Tabla Ahorro Futuro Reservas'!C1257*'FR_Mantenimiento tasas'!$E$55/360,IF(C1257&lt;='FR_Mantenimiento tasas'!$C$56,'Tabla Ahorro Futuro Reservas'!C1257*'FR_Mantenimiento tasas'!$E$56/360,IF(C1257&lt;='FR_Mantenimiento tasas'!$C$57,'Tabla Ahorro Futuro Reservas'!C1257*'FR_Mantenimiento tasas'!$E$57/360,""))),5)</f>
        <v>0</v>
      </c>
    </row>
    <row r="1258" spans="1:5">
      <c r="A1258" s="123">
        <f t="shared" si="38"/>
        <v>1256</v>
      </c>
      <c r="B1258" s="122">
        <f>IF(DAY(A1258)=DAY('F-Ahorro Futuro Reservas'!$H$10),'F-Ahorro Futuro Reservas'!$H$9,0)</f>
        <v>0</v>
      </c>
      <c r="C1258" s="122">
        <f t="shared" si="39"/>
        <v>0</v>
      </c>
      <c r="D1258" s="121">
        <f>ROUND(IF(C1258&lt;='FR_Mantenimiento tasas'!$C$55,'Tabla Ahorro Futuro Reservas'!C1258*'FR_Mantenimiento tasas'!$D$55/360,IF(C1258&lt;='FR_Mantenimiento tasas'!$C$56,'Tabla Ahorro Futuro Reservas'!C1258*'FR_Mantenimiento tasas'!$D$56/360,IF(C1258&lt;='FR_Mantenimiento tasas'!$C$57,'Tabla Ahorro Futuro Reservas'!C1258*'FR_Mantenimiento tasas'!$D$57/360,""))),5)</f>
        <v>0</v>
      </c>
      <c r="E1258" s="121">
        <f>ROUND(IF(C1258&lt;='FR_Mantenimiento tasas'!$C$55,'Tabla Ahorro Futuro Reservas'!C1258*'FR_Mantenimiento tasas'!$E$55/360,IF(C1258&lt;='FR_Mantenimiento tasas'!$C$56,'Tabla Ahorro Futuro Reservas'!C1258*'FR_Mantenimiento tasas'!$E$56/360,IF(C1258&lt;='FR_Mantenimiento tasas'!$C$57,'Tabla Ahorro Futuro Reservas'!C1258*'FR_Mantenimiento tasas'!$E$57/360,""))),5)</f>
        <v>0</v>
      </c>
    </row>
    <row r="1259" spans="1:5">
      <c r="A1259" s="123">
        <f t="shared" si="38"/>
        <v>1257</v>
      </c>
      <c r="B1259" s="122">
        <f>IF(DAY(A1259)=DAY('F-Ahorro Futuro Reservas'!$H$10),'F-Ahorro Futuro Reservas'!$H$9,0)</f>
        <v>0</v>
      </c>
      <c r="C1259" s="122">
        <f t="shared" si="39"/>
        <v>0</v>
      </c>
      <c r="D1259" s="121">
        <f>ROUND(IF(C1259&lt;='FR_Mantenimiento tasas'!$C$55,'Tabla Ahorro Futuro Reservas'!C1259*'FR_Mantenimiento tasas'!$D$55/360,IF(C1259&lt;='FR_Mantenimiento tasas'!$C$56,'Tabla Ahorro Futuro Reservas'!C1259*'FR_Mantenimiento tasas'!$D$56/360,IF(C1259&lt;='FR_Mantenimiento tasas'!$C$57,'Tabla Ahorro Futuro Reservas'!C1259*'FR_Mantenimiento tasas'!$D$57/360,""))),5)</f>
        <v>0</v>
      </c>
      <c r="E1259" s="121">
        <f>ROUND(IF(C1259&lt;='FR_Mantenimiento tasas'!$C$55,'Tabla Ahorro Futuro Reservas'!C1259*'FR_Mantenimiento tasas'!$E$55/360,IF(C1259&lt;='FR_Mantenimiento tasas'!$C$56,'Tabla Ahorro Futuro Reservas'!C1259*'FR_Mantenimiento tasas'!$E$56/360,IF(C1259&lt;='FR_Mantenimiento tasas'!$C$57,'Tabla Ahorro Futuro Reservas'!C1259*'FR_Mantenimiento tasas'!$E$57/360,""))),5)</f>
        <v>0</v>
      </c>
    </row>
    <row r="1260" spans="1:5">
      <c r="A1260" s="123">
        <f t="shared" si="38"/>
        <v>1258</v>
      </c>
      <c r="B1260" s="122">
        <f>IF(DAY(A1260)=DAY('F-Ahorro Futuro Reservas'!$H$10),'F-Ahorro Futuro Reservas'!$H$9,0)</f>
        <v>0</v>
      </c>
      <c r="C1260" s="122">
        <f t="shared" si="39"/>
        <v>0</v>
      </c>
      <c r="D1260" s="121">
        <f>ROUND(IF(C1260&lt;='FR_Mantenimiento tasas'!$C$55,'Tabla Ahorro Futuro Reservas'!C1260*'FR_Mantenimiento tasas'!$D$55/360,IF(C1260&lt;='FR_Mantenimiento tasas'!$C$56,'Tabla Ahorro Futuro Reservas'!C1260*'FR_Mantenimiento tasas'!$D$56/360,IF(C1260&lt;='FR_Mantenimiento tasas'!$C$57,'Tabla Ahorro Futuro Reservas'!C1260*'FR_Mantenimiento tasas'!$D$57/360,""))),5)</f>
        <v>0</v>
      </c>
      <c r="E1260" s="121">
        <f>ROUND(IF(C1260&lt;='FR_Mantenimiento tasas'!$C$55,'Tabla Ahorro Futuro Reservas'!C1260*'FR_Mantenimiento tasas'!$E$55/360,IF(C1260&lt;='FR_Mantenimiento tasas'!$C$56,'Tabla Ahorro Futuro Reservas'!C1260*'FR_Mantenimiento tasas'!$E$56/360,IF(C1260&lt;='FR_Mantenimiento tasas'!$C$57,'Tabla Ahorro Futuro Reservas'!C1260*'FR_Mantenimiento tasas'!$E$57/360,""))),5)</f>
        <v>0</v>
      </c>
    </row>
    <row r="1261" spans="1:5">
      <c r="A1261" s="123">
        <f t="shared" si="38"/>
        <v>1259</v>
      </c>
      <c r="B1261" s="122">
        <f>IF(DAY(A1261)=DAY('F-Ahorro Futuro Reservas'!$H$10),'F-Ahorro Futuro Reservas'!$H$9,0)</f>
        <v>0</v>
      </c>
      <c r="C1261" s="122">
        <f t="shared" si="39"/>
        <v>0</v>
      </c>
      <c r="D1261" s="121">
        <f>ROUND(IF(C1261&lt;='FR_Mantenimiento tasas'!$C$55,'Tabla Ahorro Futuro Reservas'!C1261*'FR_Mantenimiento tasas'!$D$55/360,IF(C1261&lt;='FR_Mantenimiento tasas'!$C$56,'Tabla Ahorro Futuro Reservas'!C1261*'FR_Mantenimiento tasas'!$D$56/360,IF(C1261&lt;='FR_Mantenimiento tasas'!$C$57,'Tabla Ahorro Futuro Reservas'!C1261*'FR_Mantenimiento tasas'!$D$57/360,""))),5)</f>
        <v>0</v>
      </c>
      <c r="E1261" s="121">
        <f>ROUND(IF(C1261&lt;='FR_Mantenimiento tasas'!$C$55,'Tabla Ahorro Futuro Reservas'!C1261*'FR_Mantenimiento tasas'!$E$55/360,IF(C1261&lt;='FR_Mantenimiento tasas'!$C$56,'Tabla Ahorro Futuro Reservas'!C1261*'FR_Mantenimiento tasas'!$E$56/360,IF(C1261&lt;='FR_Mantenimiento tasas'!$C$57,'Tabla Ahorro Futuro Reservas'!C1261*'FR_Mantenimiento tasas'!$E$57/360,""))),5)</f>
        <v>0</v>
      </c>
    </row>
    <row r="1262" spans="1:5">
      <c r="A1262" s="123">
        <f t="shared" si="38"/>
        <v>1260</v>
      </c>
      <c r="B1262" s="122">
        <f>IF(DAY(A1262)=DAY('F-Ahorro Futuro Reservas'!$H$10),'F-Ahorro Futuro Reservas'!$H$9,0)</f>
        <v>0</v>
      </c>
      <c r="C1262" s="122">
        <f t="shared" si="39"/>
        <v>0</v>
      </c>
      <c r="D1262" s="121">
        <f>ROUND(IF(C1262&lt;='FR_Mantenimiento tasas'!$C$55,'Tabla Ahorro Futuro Reservas'!C1262*'FR_Mantenimiento tasas'!$D$55/360,IF(C1262&lt;='FR_Mantenimiento tasas'!$C$56,'Tabla Ahorro Futuro Reservas'!C1262*'FR_Mantenimiento tasas'!$D$56/360,IF(C1262&lt;='FR_Mantenimiento tasas'!$C$57,'Tabla Ahorro Futuro Reservas'!C1262*'FR_Mantenimiento tasas'!$D$57/360,""))),5)</f>
        <v>0</v>
      </c>
      <c r="E1262" s="121">
        <f>ROUND(IF(C1262&lt;='FR_Mantenimiento tasas'!$C$55,'Tabla Ahorro Futuro Reservas'!C1262*'FR_Mantenimiento tasas'!$E$55/360,IF(C1262&lt;='FR_Mantenimiento tasas'!$C$56,'Tabla Ahorro Futuro Reservas'!C1262*'FR_Mantenimiento tasas'!$E$56/360,IF(C1262&lt;='FR_Mantenimiento tasas'!$C$57,'Tabla Ahorro Futuro Reservas'!C1262*'FR_Mantenimiento tasas'!$E$57/360,""))),5)</f>
        <v>0</v>
      </c>
    </row>
    <row r="1263" spans="1:5">
      <c r="A1263" s="123">
        <f t="shared" si="38"/>
        <v>1261</v>
      </c>
      <c r="B1263" s="122">
        <f>IF(DAY(A1263)=DAY('F-Ahorro Futuro Reservas'!$H$10),'F-Ahorro Futuro Reservas'!$H$9,0)</f>
        <v>0</v>
      </c>
      <c r="C1263" s="122">
        <f t="shared" si="39"/>
        <v>0</v>
      </c>
      <c r="D1263" s="121">
        <f>ROUND(IF(C1263&lt;='FR_Mantenimiento tasas'!$C$55,'Tabla Ahorro Futuro Reservas'!C1263*'FR_Mantenimiento tasas'!$D$55/360,IF(C1263&lt;='FR_Mantenimiento tasas'!$C$56,'Tabla Ahorro Futuro Reservas'!C1263*'FR_Mantenimiento tasas'!$D$56/360,IF(C1263&lt;='FR_Mantenimiento tasas'!$C$57,'Tabla Ahorro Futuro Reservas'!C1263*'FR_Mantenimiento tasas'!$D$57/360,""))),5)</f>
        <v>0</v>
      </c>
      <c r="E1263" s="121">
        <f>ROUND(IF(C1263&lt;='FR_Mantenimiento tasas'!$C$55,'Tabla Ahorro Futuro Reservas'!C1263*'FR_Mantenimiento tasas'!$E$55/360,IF(C1263&lt;='FR_Mantenimiento tasas'!$C$56,'Tabla Ahorro Futuro Reservas'!C1263*'FR_Mantenimiento tasas'!$E$56/360,IF(C1263&lt;='FR_Mantenimiento tasas'!$C$57,'Tabla Ahorro Futuro Reservas'!C1263*'FR_Mantenimiento tasas'!$E$57/360,""))),5)</f>
        <v>0</v>
      </c>
    </row>
    <row r="1264" spans="1:5">
      <c r="A1264" s="123">
        <f t="shared" si="38"/>
        <v>1262</v>
      </c>
      <c r="B1264" s="122">
        <f>IF(DAY(A1264)=DAY('F-Ahorro Futuro Reservas'!$H$10),'F-Ahorro Futuro Reservas'!$H$9,0)</f>
        <v>0</v>
      </c>
      <c r="C1264" s="122">
        <f t="shared" si="39"/>
        <v>0</v>
      </c>
      <c r="D1264" s="121">
        <f>ROUND(IF(C1264&lt;='FR_Mantenimiento tasas'!$C$55,'Tabla Ahorro Futuro Reservas'!C1264*'FR_Mantenimiento tasas'!$D$55/360,IF(C1264&lt;='FR_Mantenimiento tasas'!$C$56,'Tabla Ahorro Futuro Reservas'!C1264*'FR_Mantenimiento tasas'!$D$56/360,IF(C1264&lt;='FR_Mantenimiento tasas'!$C$57,'Tabla Ahorro Futuro Reservas'!C1264*'FR_Mantenimiento tasas'!$D$57/360,""))),5)</f>
        <v>0</v>
      </c>
      <c r="E1264" s="121">
        <f>ROUND(IF(C1264&lt;='FR_Mantenimiento tasas'!$C$55,'Tabla Ahorro Futuro Reservas'!C1264*'FR_Mantenimiento tasas'!$E$55/360,IF(C1264&lt;='FR_Mantenimiento tasas'!$C$56,'Tabla Ahorro Futuro Reservas'!C1264*'FR_Mantenimiento tasas'!$E$56/360,IF(C1264&lt;='FR_Mantenimiento tasas'!$C$57,'Tabla Ahorro Futuro Reservas'!C1264*'FR_Mantenimiento tasas'!$E$57/360,""))),5)</f>
        <v>0</v>
      </c>
    </row>
    <row r="1265" spans="1:5">
      <c r="A1265" s="123">
        <f t="shared" si="38"/>
        <v>1263</v>
      </c>
      <c r="B1265" s="122">
        <f>IF(DAY(A1265)=DAY('F-Ahorro Futuro Reservas'!$H$10),'F-Ahorro Futuro Reservas'!$H$9,0)</f>
        <v>0</v>
      </c>
      <c r="C1265" s="122">
        <f t="shared" si="39"/>
        <v>0</v>
      </c>
      <c r="D1265" s="121">
        <f>ROUND(IF(C1265&lt;='FR_Mantenimiento tasas'!$C$55,'Tabla Ahorro Futuro Reservas'!C1265*'FR_Mantenimiento tasas'!$D$55/360,IF(C1265&lt;='FR_Mantenimiento tasas'!$C$56,'Tabla Ahorro Futuro Reservas'!C1265*'FR_Mantenimiento tasas'!$D$56/360,IF(C1265&lt;='FR_Mantenimiento tasas'!$C$57,'Tabla Ahorro Futuro Reservas'!C1265*'FR_Mantenimiento tasas'!$D$57/360,""))),5)</f>
        <v>0</v>
      </c>
      <c r="E1265" s="121">
        <f>ROUND(IF(C1265&lt;='FR_Mantenimiento tasas'!$C$55,'Tabla Ahorro Futuro Reservas'!C1265*'FR_Mantenimiento tasas'!$E$55/360,IF(C1265&lt;='FR_Mantenimiento tasas'!$C$56,'Tabla Ahorro Futuro Reservas'!C1265*'FR_Mantenimiento tasas'!$E$56/360,IF(C1265&lt;='FR_Mantenimiento tasas'!$C$57,'Tabla Ahorro Futuro Reservas'!C1265*'FR_Mantenimiento tasas'!$E$57/360,""))),5)</f>
        <v>0</v>
      </c>
    </row>
    <row r="1266" spans="1:5">
      <c r="A1266" s="123">
        <f t="shared" si="38"/>
        <v>1264</v>
      </c>
      <c r="B1266" s="122">
        <f>IF(DAY(A1266)=DAY('F-Ahorro Futuro Reservas'!$H$10),'F-Ahorro Futuro Reservas'!$H$9,0)</f>
        <v>0</v>
      </c>
      <c r="C1266" s="122">
        <f t="shared" si="39"/>
        <v>0</v>
      </c>
      <c r="D1266" s="121">
        <f>ROUND(IF(C1266&lt;='FR_Mantenimiento tasas'!$C$55,'Tabla Ahorro Futuro Reservas'!C1266*'FR_Mantenimiento tasas'!$D$55/360,IF(C1266&lt;='FR_Mantenimiento tasas'!$C$56,'Tabla Ahorro Futuro Reservas'!C1266*'FR_Mantenimiento tasas'!$D$56/360,IF(C1266&lt;='FR_Mantenimiento tasas'!$C$57,'Tabla Ahorro Futuro Reservas'!C1266*'FR_Mantenimiento tasas'!$D$57/360,""))),5)</f>
        <v>0</v>
      </c>
      <c r="E1266" s="121">
        <f>ROUND(IF(C1266&lt;='FR_Mantenimiento tasas'!$C$55,'Tabla Ahorro Futuro Reservas'!C1266*'FR_Mantenimiento tasas'!$E$55/360,IF(C1266&lt;='FR_Mantenimiento tasas'!$C$56,'Tabla Ahorro Futuro Reservas'!C1266*'FR_Mantenimiento tasas'!$E$56/360,IF(C1266&lt;='FR_Mantenimiento tasas'!$C$57,'Tabla Ahorro Futuro Reservas'!C1266*'FR_Mantenimiento tasas'!$E$57/360,""))),5)</f>
        <v>0</v>
      </c>
    </row>
    <row r="1267" spans="1:5">
      <c r="A1267" s="123">
        <f t="shared" si="38"/>
        <v>1265</v>
      </c>
      <c r="B1267" s="122">
        <f>IF(DAY(A1267)=DAY('F-Ahorro Futuro Reservas'!$H$10),'F-Ahorro Futuro Reservas'!$H$9,0)</f>
        <v>0</v>
      </c>
      <c r="C1267" s="122">
        <f t="shared" si="39"/>
        <v>0</v>
      </c>
      <c r="D1267" s="121">
        <f>ROUND(IF(C1267&lt;='FR_Mantenimiento tasas'!$C$55,'Tabla Ahorro Futuro Reservas'!C1267*'FR_Mantenimiento tasas'!$D$55/360,IF(C1267&lt;='FR_Mantenimiento tasas'!$C$56,'Tabla Ahorro Futuro Reservas'!C1267*'FR_Mantenimiento tasas'!$D$56/360,IF(C1267&lt;='FR_Mantenimiento tasas'!$C$57,'Tabla Ahorro Futuro Reservas'!C1267*'FR_Mantenimiento tasas'!$D$57/360,""))),5)</f>
        <v>0</v>
      </c>
      <c r="E1267" s="121">
        <f>ROUND(IF(C1267&lt;='FR_Mantenimiento tasas'!$C$55,'Tabla Ahorro Futuro Reservas'!C1267*'FR_Mantenimiento tasas'!$E$55/360,IF(C1267&lt;='FR_Mantenimiento tasas'!$C$56,'Tabla Ahorro Futuro Reservas'!C1267*'FR_Mantenimiento tasas'!$E$56/360,IF(C1267&lt;='FR_Mantenimiento tasas'!$C$57,'Tabla Ahorro Futuro Reservas'!C1267*'FR_Mantenimiento tasas'!$E$57/360,""))),5)</f>
        <v>0</v>
      </c>
    </row>
    <row r="1268" spans="1:5">
      <c r="A1268" s="123">
        <f t="shared" si="38"/>
        <v>1266</v>
      </c>
      <c r="B1268" s="122">
        <f>IF(DAY(A1268)=DAY('F-Ahorro Futuro Reservas'!$H$10),'F-Ahorro Futuro Reservas'!$H$9,0)</f>
        <v>0</v>
      </c>
      <c r="C1268" s="122">
        <f t="shared" si="39"/>
        <v>0</v>
      </c>
      <c r="D1268" s="121">
        <f>ROUND(IF(C1268&lt;='FR_Mantenimiento tasas'!$C$55,'Tabla Ahorro Futuro Reservas'!C1268*'FR_Mantenimiento tasas'!$D$55/360,IF(C1268&lt;='FR_Mantenimiento tasas'!$C$56,'Tabla Ahorro Futuro Reservas'!C1268*'FR_Mantenimiento tasas'!$D$56/360,IF(C1268&lt;='FR_Mantenimiento tasas'!$C$57,'Tabla Ahorro Futuro Reservas'!C1268*'FR_Mantenimiento tasas'!$D$57/360,""))),5)</f>
        <v>0</v>
      </c>
      <c r="E1268" s="121">
        <f>ROUND(IF(C1268&lt;='FR_Mantenimiento tasas'!$C$55,'Tabla Ahorro Futuro Reservas'!C1268*'FR_Mantenimiento tasas'!$E$55/360,IF(C1268&lt;='FR_Mantenimiento tasas'!$C$56,'Tabla Ahorro Futuro Reservas'!C1268*'FR_Mantenimiento tasas'!$E$56/360,IF(C1268&lt;='FR_Mantenimiento tasas'!$C$57,'Tabla Ahorro Futuro Reservas'!C1268*'FR_Mantenimiento tasas'!$E$57/360,""))),5)</f>
        <v>0</v>
      </c>
    </row>
    <row r="1269" spans="1:5">
      <c r="A1269" s="123">
        <f t="shared" si="38"/>
        <v>1267</v>
      </c>
      <c r="B1269" s="122">
        <f>IF(DAY(A1269)=DAY('F-Ahorro Futuro Reservas'!$H$10),'F-Ahorro Futuro Reservas'!$H$9,0)</f>
        <v>0</v>
      </c>
      <c r="C1269" s="122">
        <f t="shared" si="39"/>
        <v>0</v>
      </c>
      <c r="D1269" s="121">
        <f>ROUND(IF(C1269&lt;='FR_Mantenimiento tasas'!$C$55,'Tabla Ahorro Futuro Reservas'!C1269*'FR_Mantenimiento tasas'!$D$55/360,IF(C1269&lt;='FR_Mantenimiento tasas'!$C$56,'Tabla Ahorro Futuro Reservas'!C1269*'FR_Mantenimiento tasas'!$D$56/360,IF(C1269&lt;='FR_Mantenimiento tasas'!$C$57,'Tabla Ahorro Futuro Reservas'!C1269*'FR_Mantenimiento tasas'!$D$57/360,""))),5)</f>
        <v>0</v>
      </c>
      <c r="E1269" s="121">
        <f>ROUND(IF(C1269&lt;='FR_Mantenimiento tasas'!$C$55,'Tabla Ahorro Futuro Reservas'!C1269*'FR_Mantenimiento tasas'!$E$55/360,IF(C1269&lt;='FR_Mantenimiento tasas'!$C$56,'Tabla Ahorro Futuro Reservas'!C1269*'FR_Mantenimiento tasas'!$E$56/360,IF(C1269&lt;='FR_Mantenimiento tasas'!$C$57,'Tabla Ahorro Futuro Reservas'!C1269*'FR_Mantenimiento tasas'!$E$57/360,""))),5)</f>
        <v>0</v>
      </c>
    </row>
    <row r="1270" spans="1:5">
      <c r="A1270" s="123">
        <f t="shared" si="38"/>
        <v>1268</v>
      </c>
      <c r="B1270" s="122">
        <f>IF(DAY(A1270)=DAY('F-Ahorro Futuro Reservas'!$H$10),'F-Ahorro Futuro Reservas'!$H$9,0)</f>
        <v>0</v>
      </c>
      <c r="C1270" s="122">
        <f t="shared" si="39"/>
        <v>0</v>
      </c>
      <c r="D1270" s="121">
        <f>ROUND(IF(C1270&lt;='FR_Mantenimiento tasas'!$C$55,'Tabla Ahorro Futuro Reservas'!C1270*'FR_Mantenimiento tasas'!$D$55/360,IF(C1270&lt;='FR_Mantenimiento tasas'!$C$56,'Tabla Ahorro Futuro Reservas'!C1270*'FR_Mantenimiento tasas'!$D$56/360,IF(C1270&lt;='FR_Mantenimiento tasas'!$C$57,'Tabla Ahorro Futuro Reservas'!C1270*'FR_Mantenimiento tasas'!$D$57/360,""))),5)</f>
        <v>0</v>
      </c>
      <c r="E1270" s="121">
        <f>ROUND(IF(C1270&lt;='FR_Mantenimiento tasas'!$C$55,'Tabla Ahorro Futuro Reservas'!C1270*'FR_Mantenimiento tasas'!$E$55/360,IF(C1270&lt;='FR_Mantenimiento tasas'!$C$56,'Tabla Ahorro Futuro Reservas'!C1270*'FR_Mantenimiento tasas'!$E$56/360,IF(C1270&lt;='FR_Mantenimiento tasas'!$C$57,'Tabla Ahorro Futuro Reservas'!C1270*'FR_Mantenimiento tasas'!$E$57/360,""))),5)</f>
        <v>0</v>
      </c>
    </row>
    <row r="1271" spans="1:5">
      <c r="A1271" s="123">
        <f t="shared" si="38"/>
        <v>1269</v>
      </c>
      <c r="B1271" s="122">
        <f>IF(DAY(A1271)=DAY('F-Ahorro Futuro Reservas'!$H$10),'F-Ahorro Futuro Reservas'!$H$9,0)</f>
        <v>0</v>
      </c>
      <c r="C1271" s="122">
        <f t="shared" si="39"/>
        <v>0</v>
      </c>
      <c r="D1271" s="121">
        <f>ROUND(IF(C1271&lt;='FR_Mantenimiento tasas'!$C$55,'Tabla Ahorro Futuro Reservas'!C1271*'FR_Mantenimiento tasas'!$D$55/360,IF(C1271&lt;='FR_Mantenimiento tasas'!$C$56,'Tabla Ahorro Futuro Reservas'!C1271*'FR_Mantenimiento tasas'!$D$56/360,IF(C1271&lt;='FR_Mantenimiento tasas'!$C$57,'Tabla Ahorro Futuro Reservas'!C1271*'FR_Mantenimiento tasas'!$D$57/360,""))),5)</f>
        <v>0</v>
      </c>
      <c r="E1271" s="121">
        <f>ROUND(IF(C1271&lt;='FR_Mantenimiento tasas'!$C$55,'Tabla Ahorro Futuro Reservas'!C1271*'FR_Mantenimiento tasas'!$E$55/360,IF(C1271&lt;='FR_Mantenimiento tasas'!$C$56,'Tabla Ahorro Futuro Reservas'!C1271*'FR_Mantenimiento tasas'!$E$56/360,IF(C1271&lt;='FR_Mantenimiento tasas'!$C$57,'Tabla Ahorro Futuro Reservas'!C1271*'FR_Mantenimiento tasas'!$E$57/360,""))),5)</f>
        <v>0</v>
      </c>
    </row>
    <row r="1272" spans="1:5">
      <c r="A1272" s="123">
        <f t="shared" si="38"/>
        <v>1270</v>
      </c>
      <c r="B1272" s="122">
        <f>IF(DAY(A1272)=DAY('F-Ahorro Futuro Reservas'!$H$10),'F-Ahorro Futuro Reservas'!$H$9,0)</f>
        <v>0</v>
      </c>
      <c r="C1272" s="122">
        <f t="shared" si="39"/>
        <v>0</v>
      </c>
      <c r="D1272" s="121">
        <f>ROUND(IF(C1272&lt;='FR_Mantenimiento tasas'!$C$55,'Tabla Ahorro Futuro Reservas'!C1272*'FR_Mantenimiento tasas'!$D$55/360,IF(C1272&lt;='FR_Mantenimiento tasas'!$C$56,'Tabla Ahorro Futuro Reservas'!C1272*'FR_Mantenimiento tasas'!$D$56/360,IF(C1272&lt;='FR_Mantenimiento tasas'!$C$57,'Tabla Ahorro Futuro Reservas'!C1272*'FR_Mantenimiento tasas'!$D$57/360,""))),5)</f>
        <v>0</v>
      </c>
      <c r="E1272" s="121">
        <f>ROUND(IF(C1272&lt;='FR_Mantenimiento tasas'!$C$55,'Tabla Ahorro Futuro Reservas'!C1272*'FR_Mantenimiento tasas'!$E$55/360,IF(C1272&lt;='FR_Mantenimiento tasas'!$C$56,'Tabla Ahorro Futuro Reservas'!C1272*'FR_Mantenimiento tasas'!$E$56/360,IF(C1272&lt;='FR_Mantenimiento tasas'!$C$57,'Tabla Ahorro Futuro Reservas'!C1272*'FR_Mantenimiento tasas'!$E$57/360,""))),5)</f>
        <v>0</v>
      </c>
    </row>
    <row r="1273" spans="1:5">
      <c r="A1273" s="123">
        <f t="shared" si="38"/>
        <v>1271</v>
      </c>
      <c r="B1273" s="122">
        <f>IF(DAY(A1273)=DAY('F-Ahorro Futuro Reservas'!$H$10),'F-Ahorro Futuro Reservas'!$H$9,0)</f>
        <v>0</v>
      </c>
      <c r="C1273" s="122">
        <f t="shared" si="39"/>
        <v>0</v>
      </c>
      <c r="D1273" s="121">
        <f>ROUND(IF(C1273&lt;='FR_Mantenimiento tasas'!$C$55,'Tabla Ahorro Futuro Reservas'!C1273*'FR_Mantenimiento tasas'!$D$55/360,IF(C1273&lt;='FR_Mantenimiento tasas'!$C$56,'Tabla Ahorro Futuro Reservas'!C1273*'FR_Mantenimiento tasas'!$D$56/360,IF(C1273&lt;='FR_Mantenimiento tasas'!$C$57,'Tabla Ahorro Futuro Reservas'!C1273*'FR_Mantenimiento tasas'!$D$57/360,""))),5)</f>
        <v>0</v>
      </c>
      <c r="E1273" s="121">
        <f>ROUND(IF(C1273&lt;='FR_Mantenimiento tasas'!$C$55,'Tabla Ahorro Futuro Reservas'!C1273*'FR_Mantenimiento tasas'!$E$55/360,IF(C1273&lt;='FR_Mantenimiento tasas'!$C$56,'Tabla Ahorro Futuro Reservas'!C1273*'FR_Mantenimiento tasas'!$E$56/360,IF(C1273&lt;='FR_Mantenimiento tasas'!$C$57,'Tabla Ahorro Futuro Reservas'!C1273*'FR_Mantenimiento tasas'!$E$57/360,""))),5)</f>
        <v>0</v>
      </c>
    </row>
    <row r="1274" spans="1:5">
      <c r="A1274" s="123">
        <f t="shared" si="38"/>
        <v>1272</v>
      </c>
      <c r="B1274" s="122">
        <f>IF(DAY(A1274)=DAY('F-Ahorro Futuro Reservas'!$H$10),'F-Ahorro Futuro Reservas'!$H$9,0)</f>
        <v>0</v>
      </c>
      <c r="C1274" s="122">
        <f t="shared" si="39"/>
        <v>0</v>
      </c>
      <c r="D1274" s="121">
        <f>ROUND(IF(C1274&lt;='FR_Mantenimiento tasas'!$C$55,'Tabla Ahorro Futuro Reservas'!C1274*'FR_Mantenimiento tasas'!$D$55/360,IF(C1274&lt;='FR_Mantenimiento tasas'!$C$56,'Tabla Ahorro Futuro Reservas'!C1274*'FR_Mantenimiento tasas'!$D$56/360,IF(C1274&lt;='FR_Mantenimiento tasas'!$C$57,'Tabla Ahorro Futuro Reservas'!C1274*'FR_Mantenimiento tasas'!$D$57/360,""))),5)</f>
        <v>0</v>
      </c>
      <c r="E1274" s="121">
        <f>ROUND(IF(C1274&lt;='FR_Mantenimiento tasas'!$C$55,'Tabla Ahorro Futuro Reservas'!C1274*'FR_Mantenimiento tasas'!$E$55/360,IF(C1274&lt;='FR_Mantenimiento tasas'!$C$56,'Tabla Ahorro Futuro Reservas'!C1274*'FR_Mantenimiento tasas'!$E$56/360,IF(C1274&lt;='FR_Mantenimiento tasas'!$C$57,'Tabla Ahorro Futuro Reservas'!C1274*'FR_Mantenimiento tasas'!$E$57/360,""))),5)</f>
        <v>0</v>
      </c>
    </row>
    <row r="1275" spans="1:5">
      <c r="A1275" s="123">
        <f t="shared" si="38"/>
        <v>1273</v>
      </c>
      <c r="B1275" s="122">
        <f>IF(DAY(A1275)=DAY('F-Ahorro Futuro Reservas'!$H$10),'F-Ahorro Futuro Reservas'!$H$9,0)</f>
        <v>0</v>
      </c>
      <c r="C1275" s="122">
        <f t="shared" si="39"/>
        <v>0</v>
      </c>
      <c r="D1275" s="121">
        <f>ROUND(IF(C1275&lt;='FR_Mantenimiento tasas'!$C$55,'Tabla Ahorro Futuro Reservas'!C1275*'FR_Mantenimiento tasas'!$D$55/360,IF(C1275&lt;='FR_Mantenimiento tasas'!$C$56,'Tabla Ahorro Futuro Reservas'!C1275*'FR_Mantenimiento tasas'!$D$56/360,IF(C1275&lt;='FR_Mantenimiento tasas'!$C$57,'Tabla Ahorro Futuro Reservas'!C1275*'FR_Mantenimiento tasas'!$D$57/360,""))),5)</f>
        <v>0</v>
      </c>
      <c r="E1275" s="121">
        <f>ROUND(IF(C1275&lt;='FR_Mantenimiento tasas'!$C$55,'Tabla Ahorro Futuro Reservas'!C1275*'FR_Mantenimiento tasas'!$E$55/360,IF(C1275&lt;='FR_Mantenimiento tasas'!$C$56,'Tabla Ahorro Futuro Reservas'!C1275*'FR_Mantenimiento tasas'!$E$56/360,IF(C1275&lt;='FR_Mantenimiento tasas'!$C$57,'Tabla Ahorro Futuro Reservas'!C1275*'FR_Mantenimiento tasas'!$E$57/360,""))),5)</f>
        <v>0</v>
      </c>
    </row>
    <row r="1276" spans="1:5">
      <c r="A1276" s="123">
        <f t="shared" si="38"/>
        <v>1274</v>
      </c>
      <c r="B1276" s="122">
        <f>IF(DAY(A1276)=DAY('F-Ahorro Futuro Reservas'!$H$10),'F-Ahorro Futuro Reservas'!$H$9,0)</f>
        <v>0</v>
      </c>
      <c r="C1276" s="122">
        <f t="shared" si="39"/>
        <v>0</v>
      </c>
      <c r="D1276" s="121">
        <f>ROUND(IF(C1276&lt;='FR_Mantenimiento tasas'!$C$55,'Tabla Ahorro Futuro Reservas'!C1276*'FR_Mantenimiento tasas'!$D$55/360,IF(C1276&lt;='FR_Mantenimiento tasas'!$C$56,'Tabla Ahorro Futuro Reservas'!C1276*'FR_Mantenimiento tasas'!$D$56/360,IF(C1276&lt;='FR_Mantenimiento tasas'!$C$57,'Tabla Ahorro Futuro Reservas'!C1276*'FR_Mantenimiento tasas'!$D$57/360,""))),5)</f>
        <v>0</v>
      </c>
      <c r="E1276" s="121">
        <f>ROUND(IF(C1276&lt;='FR_Mantenimiento tasas'!$C$55,'Tabla Ahorro Futuro Reservas'!C1276*'FR_Mantenimiento tasas'!$E$55/360,IF(C1276&lt;='FR_Mantenimiento tasas'!$C$56,'Tabla Ahorro Futuro Reservas'!C1276*'FR_Mantenimiento tasas'!$E$56/360,IF(C1276&lt;='FR_Mantenimiento tasas'!$C$57,'Tabla Ahorro Futuro Reservas'!C1276*'FR_Mantenimiento tasas'!$E$57/360,""))),5)</f>
        <v>0</v>
      </c>
    </row>
    <row r="1277" spans="1:5">
      <c r="A1277" s="123">
        <f t="shared" si="38"/>
        <v>1275</v>
      </c>
      <c r="B1277" s="122">
        <f>IF(DAY(A1277)=DAY('F-Ahorro Futuro Reservas'!$H$10),'F-Ahorro Futuro Reservas'!$H$9,0)</f>
        <v>0</v>
      </c>
      <c r="C1277" s="122">
        <f t="shared" si="39"/>
        <v>0</v>
      </c>
      <c r="D1277" s="121">
        <f>ROUND(IF(C1277&lt;='FR_Mantenimiento tasas'!$C$55,'Tabla Ahorro Futuro Reservas'!C1277*'FR_Mantenimiento tasas'!$D$55/360,IF(C1277&lt;='FR_Mantenimiento tasas'!$C$56,'Tabla Ahorro Futuro Reservas'!C1277*'FR_Mantenimiento tasas'!$D$56/360,IF(C1277&lt;='FR_Mantenimiento tasas'!$C$57,'Tabla Ahorro Futuro Reservas'!C1277*'FR_Mantenimiento tasas'!$D$57/360,""))),5)</f>
        <v>0</v>
      </c>
      <c r="E1277" s="121">
        <f>ROUND(IF(C1277&lt;='FR_Mantenimiento tasas'!$C$55,'Tabla Ahorro Futuro Reservas'!C1277*'FR_Mantenimiento tasas'!$E$55/360,IF(C1277&lt;='FR_Mantenimiento tasas'!$C$56,'Tabla Ahorro Futuro Reservas'!C1277*'FR_Mantenimiento tasas'!$E$56/360,IF(C1277&lt;='FR_Mantenimiento tasas'!$C$57,'Tabla Ahorro Futuro Reservas'!C1277*'FR_Mantenimiento tasas'!$E$57/360,""))),5)</f>
        <v>0</v>
      </c>
    </row>
    <row r="1278" spans="1:5">
      <c r="A1278" s="123">
        <f t="shared" si="38"/>
        <v>1276</v>
      </c>
      <c r="B1278" s="122">
        <f>IF(DAY(A1278)=DAY('F-Ahorro Futuro Reservas'!$H$10),'F-Ahorro Futuro Reservas'!$H$9,0)</f>
        <v>0</v>
      </c>
      <c r="C1278" s="122">
        <f t="shared" si="39"/>
        <v>0</v>
      </c>
      <c r="D1278" s="121">
        <f>ROUND(IF(C1278&lt;='FR_Mantenimiento tasas'!$C$55,'Tabla Ahorro Futuro Reservas'!C1278*'FR_Mantenimiento tasas'!$D$55/360,IF(C1278&lt;='FR_Mantenimiento tasas'!$C$56,'Tabla Ahorro Futuro Reservas'!C1278*'FR_Mantenimiento tasas'!$D$56/360,IF(C1278&lt;='FR_Mantenimiento tasas'!$C$57,'Tabla Ahorro Futuro Reservas'!C1278*'FR_Mantenimiento tasas'!$D$57/360,""))),5)</f>
        <v>0</v>
      </c>
      <c r="E1278" s="121">
        <f>ROUND(IF(C1278&lt;='FR_Mantenimiento tasas'!$C$55,'Tabla Ahorro Futuro Reservas'!C1278*'FR_Mantenimiento tasas'!$E$55/360,IF(C1278&lt;='FR_Mantenimiento tasas'!$C$56,'Tabla Ahorro Futuro Reservas'!C1278*'FR_Mantenimiento tasas'!$E$56/360,IF(C1278&lt;='FR_Mantenimiento tasas'!$C$57,'Tabla Ahorro Futuro Reservas'!C1278*'FR_Mantenimiento tasas'!$E$57/360,""))),5)</f>
        <v>0</v>
      </c>
    </row>
    <row r="1279" spans="1:5">
      <c r="A1279" s="123">
        <f t="shared" si="38"/>
        <v>1277</v>
      </c>
      <c r="B1279" s="122">
        <f>IF(DAY(A1279)=DAY('F-Ahorro Futuro Reservas'!$H$10),'F-Ahorro Futuro Reservas'!$H$9,0)</f>
        <v>0</v>
      </c>
      <c r="C1279" s="122">
        <f t="shared" si="39"/>
        <v>0</v>
      </c>
      <c r="D1279" s="121">
        <f>ROUND(IF(C1279&lt;='FR_Mantenimiento tasas'!$C$55,'Tabla Ahorro Futuro Reservas'!C1279*'FR_Mantenimiento tasas'!$D$55/360,IF(C1279&lt;='FR_Mantenimiento tasas'!$C$56,'Tabla Ahorro Futuro Reservas'!C1279*'FR_Mantenimiento tasas'!$D$56/360,IF(C1279&lt;='FR_Mantenimiento tasas'!$C$57,'Tabla Ahorro Futuro Reservas'!C1279*'FR_Mantenimiento tasas'!$D$57/360,""))),5)</f>
        <v>0</v>
      </c>
      <c r="E1279" s="121">
        <f>ROUND(IF(C1279&lt;='FR_Mantenimiento tasas'!$C$55,'Tabla Ahorro Futuro Reservas'!C1279*'FR_Mantenimiento tasas'!$E$55/360,IF(C1279&lt;='FR_Mantenimiento tasas'!$C$56,'Tabla Ahorro Futuro Reservas'!C1279*'FR_Mantenimiento tasas'!$E$56/360,IF(C1279&lt;='FR_Mantenimiento tasas'!$C$57,'Tabla Ahorro Futuro Reservas'!C1279*'FR_Mantenimiento tasas'!$E$57/360,""))),5)</f>
        <v>0</v>
      </c>
    </row>
    <row r="1280" spans="1:5">
      <c r="A1280" s="123">
        <f t="shared" si="38"/>
        <v>1278</v>
      </c>
      <c r="B1280" s="122">
        <f>IF(DAY(A1280)=DAY('F-Ahorro Futuro Reservas'!$H$10),'F-Ahorro Futuro Reservas'!$H$9,0)</f>
        <v>0</v>
      </c>
      <c r="C1280" s="122">
        <f t="shared" si="39"/>
        <v>0</v>
      </c>
      <c r="D1280" s="121">
        <f>ROUND(IF(C1280&lt;='FR_Mantenimiento tasas'!$C$55,'Tabla Ahorro Futuro Reservas'!C1280*'FR_Mantenimiento tasas'!$D$55/360,IF(C1280&lt;='FR_Mantenimiento tasas'!$C$56,'Tabla Ahorro Futuro Reservas'!C1280*'FR_Mantenimiento tasas'!$D$56/360,IF(C1280&lt;='FR_Mantenimiento tasas'!$C$57,'Tabla Ahorro Futuro Reservas'!C1280*'FR_Mantenimiento tasas'!$D$57/360,""))),5)</f>
        <v>0</v>
      </c>
      <c r="E1280" s="121">
        <f>ROUND(IF(C1280&lt;='FR_Mantenimiento tasas'!$C$55,'Tabla Ahorro Futuro Reservas'!C1280*'FR_Mantenimiento tasas'!$E$55/360,IF(C1280&lt;='FR_Mantenimiento tasas'!$C$56,'Tabla Ahorro Futuro Reservas'!C1280*'FR_Mantenimiento tasas'!$E$56/360,IF(C1280&lt;='FR_Mantenimiento tasas'!$C$57,'Tabla Ahorro Futuro Reservas'!C1280*'FR_Mantenimiento tasas'!$E$57/360,""))),5)</f>
        <v>0</v>
      </c>
    </row>
    <row r="1281" spans="1:5">
      <c r="A1281" s="123">
        <f t="shared" si="38"/>
        <v>1279</v>
      </c>
      <c r="B1281" s="122">
        <f>IF(DAY(A1281)=DAY('F-Ahorro Futuro Reservas'!$H$10),'F-Ahorro Futuro Reservas'!$H$9,0)</f>
        <v>0</v>
      </c>
      <c r="C1281" s="122">
        <f t="shared" si="39"/>
        <v>0</v>
      </c>
      <c r="D1281" s="121">
        <f>ROUND(IF(C1281&lt;='FR_Mantenimiento tasas'!$C$55,'Tabla Ahorro Futuro Reservas'!C1281*'FR_Mantenimiento tasas'!$D$55/360,IF(C1281&lt;='FR_Mantenimiento tasas'!$C$56,'Tabla Ahorro Futuro Reservas'!C1281*'FR_Mantenimiento tasas'!$D$56/360,IF(C1281&lt;='FR_Mantenimiento tasas'!$C$57,'Tabla Ahorro Futuro Reservas'!C1281*'FR_Mantenimiento tasas'!$D$57/360,""))),5)</f>
        <v>0</v>
      </c>
      <c r="E1281" s="121">
        <f>ROUND(IF(C1281&lt;='FR_Mantenimiento tasas'!$C$55,'Tabla Ahorro Futuro Reservas'!C1281*'FR_Mantenimiento tasas'!$E$55/360,IF(C1281&lt;='FR_Mantenimiento tasas'!$C$56,'Tabla Ahorro Futuro Reservas'!C1281*'FR_Mantenimiento tasas'!$E$56/360,IF(C1281&lt;='FR_Mantenimiento tasas'!$C$57,'Tabla Ahorro Futuro Reservas'!C1281*'FR_Mantenimiento tasas'!$E$57/360,""))),5)</f>
        <v>0</v>
      </c>
    </row>
    <row r="1282" spans="1:5">
      <c r="A1282" s="123">
        <f t="shared" si="38"/>
        <v>1280</v>
      </c>
      <c r="B1282" s="122">
        <f>IF(DAY(A1282)=DAY('F-Ahorro Futuro Reservas'!$H$10),'F-Ahorro Futuro Reservas'!$H$9,0)</f>
        <v>0</v>
      </c>
      <c r="C1282" s="122">
        <f t="shared" si="39"/>
        <v>0</v>
      </c>
      <c r="D1282" s="121">
        <f>ROUND(IF(C1282&lt;='FR_Mantenimiento tasas'!$C$55,'Tabla Ahorro Futuro Reservas'!C1282*'FR_Mantenimiento tasas'!$D$55/360,IF(C1282&lt;='FR_Mantenimiento tasas'!$C$56,'Tabla Ahorro Futuro Reservas'!C1282*'FR_Mantenimiento tasas'!$D$56/360,IF(C1282&lt;='FR_Mantenimiento tasas'!$C$57,'Tabla Ahorro Futuro Reservas'!C1282*'FR_Mantenimiento tasas'!$D$57/360,""))),5)</f>
        <v>0</v>
      </c>
      <c r="E1282" s="121">
        <f>ROUND(IF(C1282&lt;='FR_Mantenimiento tasas'!$C$55,'Tabla Ahorro Futuro Reservas'!C1282*'FR_Mantenimiento tasas'!$E$55/360,IF(C1282&lt;='FR_Mantenimiento tasas'!$C$56,'Tabla Ahorro Futuro Reservas'!C1282*'FR_Mantenimiento tasas'!$E$56/360,IF(C1282&lt;='FR_Mantenimiento tasas'!$C$57,'Tabla Ahorro Futuro Reservas'!C1282*'FR_Mantenimiento tasas'!$E$57/360,""))),5)</f>
        <v>0</v>
      </c>
    </row>
    <row r="1283" spans="1:5">
      <c r="A1283" s="123">
        <f t="shared" si="38"/>
        <v>1281</v>
      </c>
      <c r="B1283" s="122">
        <f>IF(DAY(A1283)=DAY('F-Ahorro Futuro Reservas'!$H$10),'F-Ahorro Futuro Reservas'!$H$9,0)</f>
        <v>0</v>
      </c>
      <c r="C1283" s="122">
        <f t="shared" si="39"/>
        <v>0</v>
      </c>
      <c r="D1283" s="121">
        <f>ROUND(IF(C1283&lt;='FR_Mantenimiento tasas'!$C$55,'Tabla Ahorro Futuro Reservas'!C1283*'FR_Mantenimiento tasas'!$D$55/360,IF(C1283&lt;='FR_Mantenimiento tasas'!$C$56,'Tabla Ahorro Futuro Reservas'!C1283*'FR_Mantenimiento tasas'!$D$56/360,IF(C1283&lt;='FR_Mantenimiento tasas'!$C$57,'Tabla Ahorro Futuro Reservas'!C1283*'FR_Mantenimiento tasas'!$D$57/360,""))),5)</f>
        <v>0</v>
      </c>
      <c r="E1283" s="121">
        <f>ROUND(IF(C1283&lt;='FR_Mantenimiento tasas'!$C$55,'Tabla Ahorro Futuro Reservas'!C1283*'FR_Mantenimiento tasas'!$E$55/360,IF(C1283&lt;='FR_Mantenimiento tasas'!$C$56,'Tabla Ahorro Futuro Reservas'!C1283*'FR_Mantenimiento tasas'!$E$56/360,IF(C1283&lt;='FR_Mantenimiento tasas'!$C$57,'Tabla Ahorro Futuro Reservas'!C1283*'FR_Mantenimiento tasas'!$E$57/360,""))),5)</f>
        <v>0</v>
      </c>
    </row>
    <row r="1284" spans="1:5">
      <c r="A1284" s="123">
        <f t="shared" ref="A1284:A1347" si="40">+A1283+1</f>
        <v>1282</v>
      </c>
      <c r="B1284" s="122">
        <f>IF(DAY(A1284)=DAY('F-Ahorro Futuro Reservas'!$H$10),'F-Ahorro Futuro Reservas'!$H$9,0)</f>
        <v>0</v>
      </c>
      <c r="C1284" s="122">
        <f t="shared" ref="C1284:C1347" si="41">+B1284+C1283+D1283</f>
        <v>0</v>
      </c>
      <c r="D1284" s="121">
        <f>ROUND(IF(C1284&lt;='FR_Mantenimiento tasas'!$C$55,'Tabla Ahorro Futuro Reservas'!C1284*'FR_Mantenimiento tasas'!$D$55/360,IF(C1284&lt;='FR_Mantenimiento tasas'!$C$56,'Tabla Ahorro Futuro Reservas'!C1284*'FR_Mantenimiento tasas'!$D$56/360,IF(C1284&lt;='FR_Mantenimiento tasas'!$C$57,'Tabla Ahorro Futuro Reservas'!C1284*'FR_Mantenimiento tasas'!$D$57/360,""))),5)</f>
        <v>0</v>
      </c>
      <c r="E1284" s="121">
        <f>ROUND(IF(C1284&lt;='FR_Mantenimiento tasas'!$C$55,'Tabla Ahorro Futuro Reservas'!C1284*'FR_Mantenimiento tasas'!$E$55/360,IF(C1284&lt;='FR_Mantenimiento tasas'!$C$56,'Tabla Ahorro Futuro Reservas'!C1284*'FR_Mantenimiento tasas'!$E$56/360,IF(C1284&lt;='FR_Mantenimiento tasas'!$C$57,'Tabla Ahorro Futuro Reservas'!C1284*'FR_Mantenimiento tasas'!$E$57/360,""))),5)</f>
        <v>0</v>
      </c>
    </row>
    <row r="1285" spans="1:5">
      <c r="A1285" s="123">
        <f t="shared" si="40"/>
        <v>1283</v>
      </c>
      <c r="B1285" s="122">
        <f>IF(DAY(A1285)=DAY('F-Ahorro Futuro Reservas'!$H$10),'F-Ahorro Futuro Reservas'!$H$9,0)</f>
        <v>0</v>
      </c>
      <c r="C1285" s="122">
        <f t="shared" si="41"/>
        <v>0</v>
      </c>
      <c r="D1285" s="121">
        <f>ROUND(IF(C1285&lt;='FR_Mantenimiento tasas'!$C$55,'Tabla Ahorro Futuro Reservas'!C1285*'FR_Mantenimiento tasas'!$D$55/360,IF(C1285&lt;='FR_Mantenimiento tasas'!$C$56,'Tabla Ahorro Futuro Reservas'!C1285*'FR_Mantenimiento tasas'!$D$56/360,IF(C1285&lt;='FR_Mantenimiento tasas'!$C$57,'Tabla Ahorro Futuro Reservas'!C1285*'FR_Mantenimiento tasas'!$D$57/360,""))),5)</f>
        <v>0</v>
      </c>
      <c r="E1285" s="121">
        <f>ROUND(IF(C1285&lt;='FR_Mantenimiento tasas'!$C$55,'Tabla Ahorro Futuro Reservas'!C1285*'FR_Mantenimiento tasas'!$E$55/360,IF(C1285&lt;='FR_Mantenimiento tasas'!$C$56,'Tabla Ahorro Futuro Reservas'!C1285*'FR_Mantenimiento tasas'!$E$56/360,IF(C1285&lt;='FR_Mantenimiento tasas'!$C$57,'Tabla Ahorro Futuro Reservas'!C1285*'FR_Mantenimiento tasas'!$E$57/360,""))),5)</f>
        <v>0</v>
      </c>
    </row>
    <row r="1286" spans="1:5">
      <c r="A1286" s="123">
        <f t="shared" si="40"/>
        <v>1284</v>
      </c>
      <c r="B1286" s="122">
        <f>IF(DAY(A1286)=DAY('F-Ahorro Futuro Reservas'!$H$10),'F-Ahorro Futuro Reservas'!$H$9,0)</f>
        <v>0</v>
      </c>
      <c r="C1286" s="122">
        <f t="shared" si="41"/>
        <v>0</v>
      </c>
      <c r="D1286" s="121">
        <f>ROUND(IF(C1286&lt;='FR_Mantenimiento tasas'!$C$55,'Tabla Ahorro Futuro Reservas'!C1286*'FR_Mantenimiento tasas'!$D$55/360,IF(C1286&lt;='FR_Mantenimiento tasas'!$C$56,'Tabla Ahorro Futuro Reservas'!C1286*'FR_Mantenimiento tasas'!$D$56/360,IF(C1286&lt;='FR_Mantenimiento tasas'!$C$57,'Tabla Ahorro Futuro Reservas'!C1286*'FR_Mantenimiento tasas'!$D$57/360,""))),5)</f>
        <v>0</v>
      </c>
      <c r="E1286" s="121">
        <f>ROUND(IF(C1286&lt;='FR_Mantenimiento tasas'!$C$55,'Tabla Ahorro Futuro Reservas'!C1286*'FR_Mantenimiento tasas'!$E$55/360,IF(C1286&lt;='FR_Mantenimiento tasas'!$C$56,'Tabla Ahorro Futuro Reservas'!C1286*'FR_Mantenimiento tasas'!$E$56/360,IF(C1286&lt;='FR_Mantenimiento tasas'!$C$57,'Tabla Ahorro Futuro Reservas'!C1286*'FR_Mantenimiento tasas'!$E$57/360,""))),5)</f>
        <v>0</v>
      </c>
    </row>
    <row r="1287" spans="1:5">
      <c r="A1287" s="123">
        <f t="shared" si="40"/>
        <v>1285</v>
      </c>
      <c r="B1287" s="122">
        <f>IF(DAY(A1287)=DAY('F-Ahorro Futuro Reservas'!$H$10),'F-Ahorro Futuro Reservas'!$H$9,0)</f>
        <v>0</v>
      </c>
      <c r="C1287" s="122">
        <f t="shared" si="41"/>
        <v>0</v>
      </c>
      <c r="D1287" s="121">
        <f>ROUND(IF(C1287&lt;='FR_Mantenimiento tasas'!$C$55,'Tabla Ahorro Futuro Reservas'!C1287*'FR_Mantenimiento tasas'!$D$55/360,IF(C1287&lt;='FR_Mantenimiento tasas'!$C$56,'Tabla Ahorro Futuro Reservas'!C1287*'FR_Mantenimiento tasas'!$D$56/360,IF(C1287&lt;='FR_Mantenimiento tasas'!$C$57,'Tabla Ahorro Futuro Reservas'!C1287*'FR_Mantenimiento tasas'!$D$57/360,""))),5)</f>
        <v>0</v>
      </c>
      <c r="E1287" s="121">
        <f>ROUND(IF(C1287&lt;='FR_Mantenimiento tasas'!$C$55,'Tabla Ahorro Futuro Reservas'!C1287*'FR_Mantenimiento tasas'!$E$55/360,IF(C1287&lt;='FR_Mantenimiento tasas'!$C$56,'Tabla Ahorro Futuro Reservas'!C1287*'FR_Mantenimiento tasas'!$E$56/360,IF(C1287&lt;='FR_Mantenimiento tasas'!$C$57,'Tabla Ahorro Futuro Reservas'!C1287*'FR_Mantenimiento tasas'!$E$57/360,""))),5)</f>
        <v>0</v>
      </c>
    </row>
    <row r="1288" spans="1:5">
      <c r="A1288" s="123">
        <f t="shared" si="40"/>
        <v>1286</v>
      </c>
      <c r="B1288" s="122">
        <f>IF(DAY(A1288)=DAY('F-Ahorro Futuro Reservas'!$H$10),'F-Ahorro Futuro Reservas'!$H$9,0)</f>
        <v>0</v>
      </c>
      <c r="C1288" s="122">
        <f t="shared" si="41"/>
        <v>0</v>
      </c>
      <c r="D1288" s="121">
        <f>ROUND(IF(C1288&lt;='FR_Mantenimiento tasas'!$C$55,'Tabla Ahorro Futuro Reservas'!C1288*'FR_Mantenimiento tasas'!$D$55/360,IF(C1288&lt;='FR_Mantenimiento tasas'!$C$56,'Tabla Ahorro Futuro Reservas'!C1288*'FR_Mantenimiento tasas'!$D$56/360,IF(C1288&lt;='FR_Mantenimiento tasas'!$C$57,'Tabla Ahorro Futuro Reservas'!C1288*'FR_Mantenimiento tasas'!$D$57/360,""))),5)</f>
        <v>0</v>
      </c>
      <c r="E1288" s="121">
        <f>ROUND(IF(C1288&lt;='FR_Mantenimiento tasas'!$C$55,'Tabla Ahorro Futuro Reservas'!C1288*'FR_Mantenimiento tasas'!$E$55/360,IF(C1288&lt;='FR_Mantenimiento tasas'!$C$56,'Tabla Ahorro Futuro Reservas'!C1288*'FR_Mantenimiento tasas'!$E$56/360,IF(C1288&lt;='FR_Mantenimiento tasas'!$C$57,'Tabla Ahorro Futuro Reservas'!C1288*'FR_Mantenimiento tasas'!$E$57/360,""))),5)</f>
        <v>0</v>
      </c>
    </row>
    <row r="1289" spans="1:5">
      <c r="A1289" s="123">
        <f t="shared" si="40"/>
        <v>1287</v>
      </c>
      <c r="B1289" s="122">
        <f>IF(DAY(A1289)=DAY('F-Ahorro Futuro Reservas'!$H$10),'F-Ahorro Futuro Reservas'!$H$9,0)</f>
        <v>0</v>
      </c>
      <c r="C1289" s="122">
        <f t="shared" si="41"/>
        <v>0</v>
      </c>
      <c r="D1289" s="121">
        <f>ROUND(IF(C1289&lt;='FR_Mantenimiento tasas'!$C$55,'Tabla Ahorro Futuro Reservas'!C1289*'FR_Mantenimiento tasas'!$D$55/360,IF(C1289&lt;='FR_Mantenimiento tasas'!$C$56,'Tabla Ahorro Futuro Reservas'!C1289*'FR_Mantenimiento tasas'!$D$56/360,IF(C1289&lt;='FR_Mantenimiento tasas'!$C$57,'Tabla Ahorro Futuro Reservas'!C1289*'FR_Mantenimiento tasas'!$D$57/360,""))),5)</f>
        <v>0</v>
      </c>
      <c r="E1289" s="121">
        <f>ROUND(IF(C1289&lt;='FR_Mantenimiento tasas'!$C$55,'Tabla Ahorro Futuro Reservas'!C1289*'FR_Mantenimiento tasas'!$E$55/360,IF(C1289&lt;='FR_Mantenimiento tasas'!$C$56,'Tabla Ahorro Futuro Reservas'!C1289*'FR_Mantenimiento tasas'!$E$56/360,IF(C1289&lt;='FR_Mantenimiento tasas'!$C$57,'Tabla Ahorro Futuro Reservas'!C1289*'FR_Mantenimiento tasas'!$E$57/360,""))),5)</f>
        <v>0</v>
      </c>
    </row>
    <row r="1290" spans="1:5">
      <c r="A1290" s="123">
        <f t="shared" si="40"/>
        <v>1288</v>
      </c>
      <c r="B1290" s="122">
        <f>IF(DAY(A1290)=DAY('F-Ahorro Futuro Reservas'!$H$10),'F-Ahorro Futuro Reservas'!$H$9,0)</f>
        <v>0</v>
      </c>
      <c r="C1290" s="122">
        <f t="shared" si="41"/>
        <v>0</v>
      </c>
      <c r="D1290" s="121">
        <f>ROUND(IF(C1290&lt;='FR_Mantenimiento tasas'!$C$55,'Tabla Ahorro Futuro Reservas'!C1290*'FR_Mantenimiento tasas'!$D$55/360,IF(C1290&lt;='FR_Mantenimiento tasas'!$C$56,'Tabla Ahorro Futuro Reservas'!C1290*'FR_Mantenimiento tasas'!$D$56/360,IF(C1290&lt;='FR_Mantenimiento tasas'!$C$57,'Tabla Ahorro Futuro Reservas'!C1290*'FR_Mantenimiento tasas'!$D$57/360,""))),5)</f>
        <v>0</v>
      </c>
      <c r="E1290" s="121">
        <f>ROUND(IF(C1290&lt;='FR_Mantenimiento tasas'!$C$55,'Tabla Ahorro Futuro Reservas'!C1290*'FR_Mantenimiento tasas'!$E$55/360,IF(C1290&lt;='FR_Mantenimiento tasas'!$C$56,'Tabla Ahorro Futuro Reservas'!C1290*'FR_Mantenimiento tasas'!$E$56/360,IF(C1290&lt;='FR_Mantenimiento tasas'!$C$57,'Tabla Ahorro Futuro Reservas'!C1290*'FR_Mantenimiento tasas'!$E$57/360,""))),5)</f>
        <v>0</v>
      </c>
    </row>
    <row r="1291" spans="1:5">
      <c r="A1291" s="123">
        <f t="shared" si="40"/>
        <v>1289</v>
      </c>
      <c r="B1291" s="122">
        <f>IF(DAY(A1291)=DAY('F-Ahorro Futuro Reservas'!$H$10),'F-Ahorro Futuro Reservas'!$H$9,0)</f>
        <v>0</v>
      </c>
      <c r="C1291" s="122">
        <f t="shared" si="41"/>
        <v>0</v>
      </c>
      <c r="D1291" s="121">
        <f>ROUND(IF(C1291&lt;='FR_Mantenimiento tasas'!$C$55,'Tabla Ahorro Futuro Reservas'!C1291*'FR_Mantenimiento tasas'!$D$55/360,IF(C1291&lt;='FR_Mantenimiento tasas'!$C$56,'Tabla Ahorro Futuro Reservas'!C1291*'FR_Mantenimiento tasas'!$D$56/360,IF(C1291&lt;='FR_Mantenimiento tasas'!$C$57,'Tabla Ahorro Futuro Reservas'!C1291*'FR_Mantenimiento tasas'!$D$57/360,""))),5)</f>
        <v>0</v>
      </c>
      <c r="E1291" s="121">
        <f>ROUND(IF(C1291&lt;='FR_Mantenimiento tasas'!$C$55,'Tabla Ahorro Futuro Reservas'!C1291*'FR_Mantenimiento tasas'!$E$55/360,IF(C1291&lt;='FR_Mantenimiento tasas'!$C$56,'Tabla Ahorro Futuro Reservas'!C1291*'FR_Mantenimiento tasas'!$E$56/360,IF(C1291&lt;='FR_Mantenimiento tasas'!$C$57,'Tabla Ahorro Futuro Reservas'!C1291*'FR_Mantenimiento tasas'!$E$57/360,""))),5)</f>
        <v>0</v>
      </c>
    </row>
    <row r="1292" spans="1:5">
      <c r="A1292" s="123">
        <f t="shared" si="40"/>
        <v>1290</v>
      </c>
      <c r="B1292" s="122">
        <f>IF(DAY(A1292)=DAY('F-Ahorro Futuro Reservas'!$H$10),'F-Ahorro Futuro Reservas'!$H$9,0)</f>
        <v>0</v>
      </c>
      <c r="C1292" s="122">
        <f t="shared" si="41"/>
        <v>0</v>
      </c>
      <c r="D1292" s="121">
        <f>ROUND(IF(C1292&lt;='FR_Mantenimiento tasas'!$C$55,'Tabla Ahorro Futuro Reservas'!C1292*'FR_Mantenimiento tasas'!$D$55/360,IF(C1292&lt;='FR_Mantenimiento tasas'!$C$56,'Tabla Ahorro Futuro Reservas'!C1292*'FR_Mantenimiento tasas'!$D$56/360,IF(C1292&lt;='FR_Mantenimiento tasas'!$C$57,'Tabla Ahorro Futuro Reservas'!C1292*'FR_Mantenimiento tasas'!$D$57/360,""))),5)</f>
        <v>0</v>
      </c>
      <c r="E1292" s="121">
        <f>ROUND(IF(C1292&lt;='FR_Mantenimiento tasas'!$C$55,'Tabla Ahorro Futuro Reservas'!C1292*'FR_Mantenimiento tasas'!$E$55/360,IF(C1292&lt;='FR_Mantenimiento tasas'!$C$56,'Tabla Ahorro Futuro Reservas'!C1292*'FR_Mantenimiento tasas'!$E$56/360,IF(C1292&lt;='FR_Mantenimiento tasas'!$C$57,'Tabla Ahorro Futuro Reservas'!C1292*'FR_Mantenimiento tasas'!$E$57/360,""))),5)</f>
        <v>0</v>
      </c>
    </row>
    <row r="1293" spans="1:5">
      <c r="A1293" s="123">
        <f t="shared" si="40"/>
        <v>1291</v>
      </c>
      <c r="B1293" s="122">
        <f>IF(DAY(A1293)=DAY('F-Ahorro Futuro Reservas'!$H$10),'F-Ahorro Futuro Reservas'!$H$9,0)</f>
        <v>0</v>
      </c>
      <c r="C1293" s="122">
        <f t="shared" si="41"/>
        <v>0</v>
      </c>
      <c r="D1293" s="121">
        <f>ROUND(IF(C1293&lt;='FR_Mantenimiento tasas'!$C$55,'Tabla Ahorro Futuro Reservas'!C1293*'FR_Mantenimiento tasas'!$D$55/360,IF(C1293&lt;='FR_Mantenimiento tasas'!$C$56,'Tabla Ahorro Futuro Reservas'!C1293*'FR_Mantenimiento tasas'!$D$56/360,IF(C1293&lt;='FR_Mantenimiento tasas'!$C$57,'Tabla Ahorro Futuro Reservas'!C1293*'FR_Mantenimiento tasas'!$D$57/360,""))),5)</f>
        <v>0</v>
      </c>
      <c r="E1293" s="121">
        <f>ROUND(IF(C1293&lt;='FR_Mantenimiento tasas'!$C$55,'Tabla Ahorro Futuro Reservas'!C1293*'FR_Mantenimiento tasas'!$E$55/360,IF(C1293&lt;='FR_Mantenimiento tasas'!$C$56,'Tabla Ahorro Futuro Reservas'!C1293*'FR_Mantenimiento tasas'!$E$56/360,IF(C1293&lt;='FR_Mantenimiento tasas'!$C$57,'Tabla Ahorro Futuro Reservas'!C1293*'FR_Mantenimiento tasas'!$E$57/360,""))),5)</f>
        <v>0</v>
      </c>
    </row>
    <row r="1294" spans="1:5">
      <c r="A1294" s="123">
        <f t="shared" si="40"/>
        <v>1292</v>
      </c>
      <c r="B1294" s="122">
        <f>IF(DAY(A1294)=DAY('F-Ahorro Futuro Reservas'!$H$10),'F-Ahorro Futuro Reservas'!$H$9,0)</f>
        <v>0</v>
      </c>
      <c r="C1294" s="122">
        <f t="shared" si="41"/>
        <v>0</v>
      </c>
      <c r="D1294" s="121">
        <f>ROUND(IF(C1294&lt;='FR_Mantenimiento tasas'!$C$55,'Tabla Ahorro Futuro Reservas'!C1294*'FR_Mantenimiento tasas'!$D$55/360,IF(C1294&lt;='FR_Mantenimiento tasas'!$C$56,'Tabla Ahorro Futuro Reservas'!C1294*'FR_Mantenimiento tasas'!$D$56/360,IF(C1294&lt;='FR_Mantenimiento tasas'!$C$57,'Tabla Ahorro Futuro Reservas'!C1294*'FR_Mantenimiento tasas'!$D$57/360,""))),5)</f>
        <v>0</v>
      </c>
      <c r="E1294" s="121">
        <f>ROUND(IF(C1294&lt;='FR_Mantenimiento tasas'!$C$55,'Tabla Ahorro Futuro Reservas'!C1294*'FR_Mantenimiento tasas'!$E$55/360,IF(C1294&lt;='FR_Mantenimiento tasas'!$C$56,'Tabla Ahorro Futuro Reservas'!C1294*'FR_Mantenimiento tasas'!$E$56/360,IF(C1294&lt;='FR_Mantenimiento tasas'!$C$57,'Tabla Ahorro Futuro Reservas'!C1294*'FR_Mantenimiento tasas'!$E$57/360,""))),5)</f>
        <v>0</v>
      </c>
    </row>
    <row r="1295" spans="1:5">
      <c r="A1295" s="123">
        <f t="shared" si="40"/>
        <v>1293</v>
      </c>
      <c r="B1295" s="122">
        <f>IF(DAY(A1295)=DAY('F-Ahorro Futuro Reservas'!$H$10),'F-Ahorro Futuro Reservas'!$H$9,0)</f>
        <v>0</v>
      </c>
      <c r="C1295" s="122">
        <f t="shared" si="41"/>
        <v>0</v>
      </c>
      <c r="D1295" s="121">
        <f>ROUND(IF(C1295&lt;='FR_Mantenimiento tasas'!$C$55,'Tabla Ahorro Futuro Reservas'!C1295*'FR_Mantenimiento tasas'!$D$55/360,IF(C1295&lt;='FR_Mantenimiento tasas'!$C$56,'Tabla Ahorro Futuro Reservas'!C1295*'FR_Mantenimiento tasas'!$D$56/360,IF(C1295&lt;='FR_Mantenimiento tasas'!$C$57,'Tabla Ahorro Futuro Reservas'!C1295*'FR_Mantenimiento tasas'!$D$57/360,""))),5)</f>
        <v>0</v>
      </c>
      <c r="E1295" s="121">
        <f>ROUND(IF(C1295&lt;='FR_Mantenimiento tasas'!$C$55,'Tabla Ahorro Futuro Reservas'!C1295*'FR_Mantenimiento tasas'!$E$55/360,IF(C1295&lt;='FR_Mantenimiento tasas'!$C$56,'Tabla Ahorro Futuro Reservas'!C1295*'FR_Mantenimiento tasas'!$E$56/360,IF(C1295&lt;='FR_Mantenimiento tasas'!$C$57,'Tabla Ahorro Futuro Reservas'!C1295*'FR_Mantenimiento tasas'!$E$57/360,""))),5)</f>
        <v>0</v>
      </c>
    </row>
    <row r="1296" spans="1:5">
      <c r="A1296" s="123">
        <f t="shared" si="40"/>
        <v>1294</v>
      </c>
      <c r="B1296" s="122">
        <f>IF(DAY(A1296)=DAY('F-Ahorro Futuro Reservas'!$H$10),'F-Ahorro Futuro Reservas'!$H$9,0)</f>
        <v>0</v>
      </c>
      <c r="C1296" s="122">
        <f t="shared" si="41"/>
        <v>0</v>
      </c>
      <c r="D1296" s="121">
        <f>ROUND(IF(C1296&lt;='FR_Mantenimiento tasas'!$C$55,'Tabla Ahorro Futuro Reservas'!C1296*'FR_Mantenimiento tasas'!$D$55/360,IF(C1296&lt;='FR_Mantenimiento tasas'!$C$56,'Tabla Ahorro Futuro Reservas'!C1296*'FR_Mantenimiento tasas'!$D$56/360,IF(C1296&lt;='FR_Mantenimiento tasas'!$C$57,'Tabla Ahorro Futuro Reservas'!C1296*'FR_Mantenimiento tasas'!$D$57/360,""))),5)</f>
        <v>0</v>
      </c>
      <c r="E1296" s="121">
        <f>ROUND(IF(C1296&lt;='FR_Mantenimiento tasas'!$C$55,'Tabla Ahorro Futuro Reservas'!C1296*'FR_Mantenimiento tasas'!$E$55/360,IF(C1296&lt;='FR_Mantenimiento tasas'!$C$56,'Tabla Ahorro Futuro Reservas'!C1296*'FR_Mantenimiento tasas'!$E$56/360,IF(C1296&lt;='FR_Mantenimiento tasas'!$C$57,'Tabla Ahorro Futuro Reservas'!C1296*'FR_Mantenimiento tasas'!$E$57/360,""))),5)</f>
        <v>0</v>
      </c>
    </row>
    <row r="1297" spans="1:5">
      <c r="A1297" s="123">
        <f t="shared" si="40"/>
        <v>1295</v>
      </c>
      <c r="B1297" s="122">
        <f>IF(DAY(A1297)=DAY('F-Ahorro Futuro Reservas'!$H$10),'F-Ahorro Futuro Reservas'!$H$9,0)</f>
        <v>0</v>
      </c>
      <c r="C1297" s="122">
        <f t="shared" si="41"/>
        <v>0</v>
      </c>
      <c r="D1297" s="121">
        <f>ROUND(IF(C1297&lt;='FR_Mantenimiento tasas'!$C$55,'Tabla Ahorro Futuro Reservas'!C1297*'FR_Mantenimiento tasas'!$D$55/360,IF(C1297&lt;='FR_Mantenimiento tasas'!$C$56,'Tabla Ahorro Futuro Reservas'!C1297*'FR_Mantenimiento tasas'!$D$56/360,IF(C1297&lt;='FR_Mantenimiento tasas'!$C$57,'Tabla Ahorro Futuro Reservas'!C1297*'FR_Mantenimiento tasas'!$D$57/360,""))),5)</f>
        <v>0</v>
      </c>
      <c r="E1297" s="121">
        <f>ROUND(IF(C1297&lt;='FR_Mantenimiento tasas'!$C$55,'Tabla Ahorro Futuro Reservas'!C1297*'FR_Mantenimiento tasas'!$E$55/360,IF(C1297&lt;='FR_Mantenimiento tasas'!$C$56,'Tabla Ahorro Futuro Reservas'!C1297*'FR_Mantenimiento tasas'!$E$56/360,IF(C1297&lt;='FR_Mantenimiento tasas'!$C$57,'Tabla Ahorro Futuro Reservas'!C1297*'FR_Mantenimiento tasas'!$E$57/360,""))),5)</f>
        <v>0</v>
      </c>
    </row>
    <row r="1298" spans="1:5">
      <c r="A1298" s="123">
        <f t="shared" si="40"/>
        <v>1296</v>
      </c>
      <c r="B1298" s="122">
        <f>IF(DAY(A1298)=DAY('F-Ahorro Futuro Reservas'!$H$10),'F-Ahorro Futuro Reservas'!$H$9,0)</f>
        <v>0</v>
      </c>
      <c r="C1298" s="122">
        <f t="shared" si="41"/>
        <v>0</v>
      </c>
      <c r="D1298" s="121">
        <f>ROUND(IF(C1298&lt;='FR_Mantenimiento tasas'!$C$55,'Tabla Ahorro Futuro Reservas'!C1298*'FR_Mantenimiento tasas'!$D$55/360,IF(C1298&lt;='FR_Mantenimiento tasas'!$C$56,'Tabla Ahorro Futuro Reservas'!C1298*'FR_Mantenimiento tasas'!$D$56/360,IF(C1298&lt;='FR_Mantenimiento tasas'!$C$57,'Tabla Ahorro Futuro Reservas'!C1298*'FR_Mantenimiento tasas'!$D$57/360,""))),5)</f>
        <v>0</v>
      </c>
      <c r="E1298" s="121">
        <f>ROUND(IF(C1298&lt;='FR_Mantenimiento tasas'!$C$55,'Tabla Ahorro Futuro Reservas'!C1298*'FR_Mantenimiento tasas'!$E$55/360,IF(C1298&lt;='FR_Mantenimiento tasas'!$C$56,'Tabla Ahorro Futuro Reservas'!C1298*'FR_Mantenimiento tasas'!$E$56/360,IF(C1298&lt;='FR_Mantenimiento tasas'!$C$57,'Tabla Ahorro Futuro Reservas'!C1298*'FR_Mantenimiento tasas'!$E$57/360,""))),5)</f>
        <v>0</v>
      </c>
    </row>
    <row r="1299" spans="1:5">
      <c r="A1299" s="123">
        <f t="shared" si="40"/>
        <v>1297</v>
      </c>
      <c r="B1299" s="122">
        <f>IF(DAY(A1299)=DAY('F-Ahorro Futuro Reservas'!$H$10),'F-Ahorro Futuro Reservas'!$H$9,0)</f>
        <v>0</v>
      </c>
      <c r="C1299" s="122">
        <f t="shared" si="41"/>
        <v>0</v>
      </c>
      <c r="D1299" s="121">
        <f>ROUND(IF(C1299&lt;='FR_Mantenimiento tasas'!$C$55,'Tabla Ahorro Futuro Reservas'!C1299*'FR_Mantenimiento tasas'!$D$55/360,IF(C1299&lt;='FR_Mantenimiento tasas'!$C$56,'Tabla Ahorro Futuro Reservas'!C1299*'FR_Mantenimiento tasas'!$D$56/360,IF(C1299&lt;='FR_Mantenimiento tasas'!$C$57,'Tabla Ahorro Futuro Reservas'!C1299*'FR_Mantenimiento tasas'!$D$57/360,""))),5)</f>
        <v>0</v>
      </c>
      <c r="E1299" s="121">
        <f>ROUND(IF(C1299&lt;='FR_Mantenimiento tasas'!$C$55,'Tabla Ahorro Futuro Reservas'!C1299*'FR_Mantenimiento tasas'!$E$55/360,IF(C1299&lt;='FR_Mantenimiento tasas'!$C$56,'Tabla Ahorro Futuro Reservas'!C1299*'FR_Mantenimiento tasas'!$E$56/360,IF(C1299&lt;='FR_Mantenimiento tasas'!$C$57,'Tabla Ahorro Futuro Reservas'!C1299*'FR_Mantenimiento tasas'!$E$57/360,""))),5)</f>
        <v>0</v>
      </c>
    </row>
    <row r="1300" spans="1:5">
      <c r="A1300" s="123">
        <f t="shared" si="40"/>
        <v>1298</v>
      </c>
      <c r="B1300" s="122">
        <f>IF(DAY(A1300)=DAY('F-Ahorro Futuro Reservas'!$H$10),'F-Ahorro Futuro Reservas'!$H$9,0)</f>
        <v>0</v>
      </c>
      <c r="C1300" s="122">
        <f t="shared" si="41"/>
        <v>0</v>
      </c>
      <c r="D1300" s="121">
        <f>ROUND(IF(C1300&lt;='FR_Mantenimiento tasas'!$C$55,'Tabla Ahorro Futuro Reservas'!C1300*'FR_Mantenimiento tasas'!$D$55/360,IF(C1300&lt;='FR_Mantenimiento tasas'!$C$56,'Tabla Ahorro Futuro Reservas'!C1300*'FR_Mantenimiento tasas'!$D$56/360,IF(C1300&lt;='FR_Mantenimiento tasas'!$C$57,'Tabla Ahorro Futuro Reservas'!C1300*'FR_Mantenimiento tasas'!$D$57/360,""))),5)</f>
        <v>0</v>
      </c>
      <c r="E1300" s="121">
        <f>ROUND(IF(C1300&lt;='FR_Mantenimiento tasas'!$C$55,'Tabla Ahorro Futuro Reservas'!C1300*'FR_Mantenimiento tasas'!$E$55/360,IF(C1300&lt;='FR_Mantenimiento tasas'!$C$56,'Tabla Ahorro Futuro Reservas'!C1300*'FR_Mantenimiento tasas'!$E$56/360,IF(C1300&lt;='FR_Mantenimiento tasas'!$C$57,'Tabla Ahorro Futuro Reservas'!C1300*'FR_Mantenimiento tasas'!$E$57/360,""))),5)</f>
        <v>0</v>
      </c>
    </row>
    <row r="1301" spans="1:5">
      <c r="A1301" s="123">
        <f t="shared" si="40"/>
        <v>1299</v>
      </c>
      <c r="B1301" s="122">
        <f>IF(DAY(A1301)=DAY('F-Ahorro Futuro Reservas'!$H$10),'F-Ahorro Futuro Reservas'!$H$9,0)</f>
        <v>0</v>
      </c>
      <c r="C1301" s="122">
        <f t="shared" si="41"/>
        <v>0</v>
      </c>
      <c r="D1301" s="121">
        <f>ROUND(IF(C1301&lt;='FR_Mantenimiento tasas'!$C$55,'Tabla Ahorro Futuro Reservas'!C1301*'FR_Mantenimiento tasas'!$D$55/360,IF(C1301&lt;='FR_Mantenimiento tasas'!$C$56,'Tabla Ahorro Futuro Reservas'!C1301*'FR_Mantenimiento tasas'!$D$56/360,IF(C1301&lt;='FR_Mantenimiento tasas'!$C$57,'Tabla Ahorro Futuro Reservas'!C1301*'FR_Mantenimiento tasas'!$D$57/360,""))),5)</f>
        <v>0</v>
      </c>
      <c r="E1301" s="121">
        <f>ROUND(IF(C1301&lt;='FR_Mantenimiento tasas'!$C$55,'Tabla Ahorro Futuro Reservas'!C1301*'FR_Mantenimiento tasas'!$E$55/360,IF(C1301&lt;='FR_Mantenimiento tasas'!$C$56,'Tabla Ahorro Futuro Reservas'!C1301*'FR_Mantenimiento tasas'!$E$56/360,IF(C1301&lt;='FR_Mantenimiento tasas'!$C$57,'Tabla Ahorro Futuro Reservas'!C1301*'FR_Mantenimiento tasas'!$E$57/360,""))),5)</f>
        <v>0</v>
      </c>
    </row>
    <row r="1302" spans="1:5">
      <c r="A1302" s="123">
        <f t="shared" si="40"/>
        <v>1300</v>
      </c>
      <c r="B1302" s="122">
        <f>IF(DAY(A1302)=DAY('F-Ahorro Futuro Reservas'!$H$10),'F-Ahorro Futuro Reservas'!$H$9,0)</f>
        <v>0</v>
      </c>
      <c r="C1302" s="122">
        <f t="shared" si="41"/>
        <v>0</v>
      </c>
      <c r="D1302" s="121">
        <f>ROUND(IF(C1302&lt;='FR_Mantenimiento tasas'!$C$55,'Tabla Ahorro Futuro Reservas'!C1302*'FR_Mantenimiento tasas'!$D$55/360,IF(C1302&lt;='FR_Mantenimiento tasas'!$C$56,'Tabla Ahorro Futuro Reservas'!C1302*'FR_Mantenimiento tasas'!$D$56/360,IF(C1302&lt;='FR_Mantenimiento tasas'!$C$57,'Tabla Ahorro Futuro Reservas'!C1302*'FR_Mantenimiento tasas'!$D$57/360,""))),5)</f>
        <v>0</v>
      </c>
      <c r="E1302" s="121">
        <f>ROUND(IF(C1302&lt;='FR_Mantenimiento tasas'!$C$55,'Tabla Ahorro Futuro Reservas'!C1302*'FR_Mantenimiento tasas'!$E$55/360,IF(C1302&lt;='FR_Mantenimiento tasas'!$C$56,'Tabla Ahorro Futuro Reservas'!C1302*'FR_Mantenimiento tasas'!$E$56/360,IF(C1302&lt;='FR_Mantenimiento tasas'!$C$57,'Tabla Ahorro Futuro Reservas'!C1302*'FR_Mantenimiento tasas'!$E$57/360,""))),5)</f>
        <v>0</v>
      </c>
    </row>
    <row r="1303" spans="1:5">
      <c r="A1303" s="123">
        <f t="shared" si="40"/>
        <v>1301</v>
      </c>
      <c r="B1303" s="122">
        <f>IF(DAY(A1303)=DAY('F-Ahorro Futuro Reservas'!$H$10),'F-Ahorro Futuro Reservas'!$H$9,0)</f>
        <v>0</v>
      </c>
      <c r="C1303" s="122">
        <f t="shared" si="41"/>
        <v>0</v>
      </c>
      <c r="D1303" s="121">
        <f>ROUND(IF(C1303&lt;='FR_Mantenimiento tasas'!$C$55,'Tabla Ahorro Futuro Reservas'!C1303*'FR_Mantenimiento tasas'!$D$55/360,IF(C1303&lt;='FR_Mantenimiento tasas'!$C$56,'Tabla Ahorro Futuro Reservas'!C1303*'FR_Mantenimiento tasas'!$D$56/360,IF(C1303&lt;='FR_Mantenimiento tasas'!$C$57,'Tabla Ahorro Futuro Reservas'!C1303*'FR_Mantenimiento tasas'!$D$57/360,""))),5)</f>
        <v>0</v>
      </c>
      <c r="E1303" s="121">
        <f>ROUND(IF(C1303&lt;='FR_Mantenimiento tasas'!$C$55,'Tabla Ahorro Futuro Reservas'!C1303*'FR_Mantenimiento tasas'!$E$55/360,IF(C1303&lt;='FR_Mantenimiento tasas'!$C$56,'Tabla Ahorro Futuro Reservas'!C1303*'FR_Mantenimiento tasas'!$E$56/360,IF(C1303&lt;='FR_Mantenimiento tasas'!$C$57,'Tabla Ahorro Futuro Reservas'!C1303*'FR_Mantenimiento tasas'!$E$57/360,""))),5)</f>
        <v>0</v>
      </c>
    </row>
    <row r="1304" spans="1:5">
      <c r="A1304" s="123">
        <f t="shared" si="40"/>
        <v>1302</v>
      </c>
      <c r="B1304" s="122">
        <f>IF(DAY(A1304)=DAY('F-Ahorro Futuro Reservas'!$H$10),'F-Ahorro Futuro Reservas'!$H$9,0)</f>
        <v>0</v>
      </c>
      <c r="C1304" s="122">
        <f t="shared" si="41"/>
        <v>0</v>
      </c>
      <c r="D1304" s="121">
        <f>ROUND(IF(C1304&lt;='FR_Mantenimiento tasas'!$C$55,'Tabla Ahorro Futuro Reservas'!C1304*'FR_Mantenimiento tasas'!$D$55/360,IF(C1304&lt;='FR_Mantenimiento tasas'!$C$56,'Tabla Ahorro Futuro Reservas'!C1304*'FR_Mantenimiento tasas'!$D$56/360,IF(C1304&lt;='FR_Mantenimiento tasas'!$C$57,'Tabla Ahorro Futuro Reservas'!C1304*'FR_Mantenimiento tasas'!$D$57/360,""))),5)</f>
        <v>0</v>
      </c>
      <c r="E1304" s="121">
        <f>ROUND(IF(C1304&lt;='FR_Mantenimiento tasas'!$C$55,'Tabla Ahorro Futuro Reservas'!C1304*'FR_Mantenimiento tasas'!$E$55/360,IF(C1304&lt;='FR_Mantenimiento tasas'!$C$56,'Tabla Ahorro Futuro Reservas'!C1304*'FR_Mantenimiento tasas'!$E$56/360,IF(C1304&lt;='FR_Mantenimiento tasas'!$C$57,'Tabla Ahorro Futuro Reservas'!C1304*'FR_Mantenimiento tasas'!$E$57/360,""))),5)</f>
        <v>0</v>
      </c>
    </row>
    <row r="1305" spans="1:5">
      <c r="A1305" s="123">
        <f t="shared" si="40"/>
        <v>1303</v>
      </c>
      <c r="B1305" s="122">
        <f>IF(DAY(A1305)=DAY('F-Ahorro Futuro Reservas'!$H$10),'F-Ahorro Futuro Reservas'!$H$9,0)</f>
        <v>0</v>
      </c>
      <c r="C1305" s="122">
        <f t="shared" si="41"/>
        <v>0</v>
      </c>
      <c r="D1305" s="121">
        <f>ROUND(IF(C1305&lt;='FR_Mantenimiento tasas'!$C$55,'Tabla Ahorro Futuro Reservas'!C1305*'FR_Mantenimiento tasas'!$D$55/360,IF(C1305&lt;='FR_Mantenimiento tasas'!$C$56,'Tabla Ahorro Futuro Reservas'!C1305*'FR_Mantenimiento tasas'!$D$56/360,IF(C1305&lt;='FR_Mantenimiento tasas'!$C$57,'Tabla Ahorro Futuro Reservas'!C1305*'FR_Mantenimiento tasas'!$D$57/360,""))),5)</f>
        <v>0</v>
      </c>
      <c r="E1305" s="121">
        <f>ROUND(IF(C1305&lt;='FR_Mantenimiento tasas'!$C$55,'Tabla Ahorro Futuro Reservas'!C1305*'FR_Mantenimiento tasas'!$E$55/360,IF(C1305&lt;='FR_Mantenimiento tasas'!$C$56,'Tabla Ahorro Futuro Reservas'!C1305*'FR_Mantenimiento tasas'!$E$56/360,IF(C1305&lt;='FR_Mantenimiento tasas'!$C$57,'Tabla Ahorro Futuro Reservas'!C1305*'FR_Mantenimiento tasas'!$E$57/360,""))),5)</f>
        <v>0</v>
      </c>
    </row>
    <row r="1306" spans="1:5">
      <c r="A1306" s="123">
        <f t="shared" si="40"/>
        <v>1304</v>
      </c>
      <c r="B1306" s="122">
        <f>IF(DAY(A1306)=DAY('F-Ahorro Futuro Reservas'!$H$10),'F-Ahorro Futuro Reservas'!$H$9,0)</f>
        <v>0</v>
      </c>
      <c r="C1306" s="122">
        <f t="shared" si="41"/>
        <v>0</v>
      </c>
      <c r="D1306" s="121">
        <f>ROUND(IF(C1306&lt;='FR_Mantenimiento tasas'!$C$55,'Tabla Ahorro Futuro Reservas'!C1306*'FR_Mantenimiento tasas'!$D$55/360,IF(C1306&lt;='FR_Mantenimiento tasas'!$C$56,'Tabla Ahorro Futuro Reservas'!C1306*'FR_Mantenimiento tasas'!$D$56/360,IF(C1306&lt;='FR_Mantenimiento tasas'!$C$57,'Tabla Ahorro Futuro Reservas'!C1306*'FR_Mantenimiento tasas'!$D$57/360,""))),5)</f>
        <v>0</v>
      </c>
      <c r="E1306" s="121">
        <f>ROUND(IF(C1306&lt;='FR_Mantenimiento tasas'!$C$55,'Tabla Ahorro Futuro Reservas'!C1306*'FR_Mantenimiento tasas'!$E$55/360,IF(C1306&lt;='FR_Mantenimiento tasas'!$C$56,'Tabla Ahorro Futuro Reservas'!C1306*'FR_Mantenimiento tasas'!$E$56/360,IF(C1306&lt;='FR_Mantenimiento tasas'!$C$57,'Tabla Ahorro Futuro Reservas'!C1306*'FR_Mantenimiento tasas'!$E$57/360,""))),5)</f>
        <v>0</v>
      </c>
    </row>
    <row r="1307" spans="1:5">
      <c r="A1307" s="123">
        <f t="shared" si="40"/>
        <v>1305</v>
      </c>
      <c r="B1307" s="122">
        <f>IF(DAY(A1307)=DAY('F-Ahorro Futuro Reservas'!$H$10),'F-Ahorro Futuro Reservas'!$H$9,0)</f>
        <v>0</v>
      </c>
      <c r="C1307" s="122">
        <f t="shared" si="41"/>
        <v>0</v>
      </c>
      <c r="D1307" s="121">
        <f>ROUND(IF(C1307&lt;='FR_Mantenimiento tasas'!$C$55,'Tabla Ahorro Futuro Reservas'!C1307*'FR_Mantenimiento tasas'!$D$55/360,IF(C1307&lt;='FR_Mantenimiento tasas'!$C$56,'Tabla Ahorro Futuro Reservas'!C1307*'FR_Mantenimiento tasas'!$D$56/360,IF(C1307&lt;='FR_Mantenimiento tasas'!$C$57,'Tabla Ahorro Futuro Reservas'!C1307*'FR_Mantenimiento tasas'!$D$57/360,""))),5)</f>
        <v>0</v>
      </c>
      <c r="E1307" s="121">
        <f>ROUND(IF(C1307&lt;='FR_Mantenimiento tasas'!$C$55,'Tabla Ahorro Futuro Reservas'!C1307*'FR_Mantenimiento tasas'!$E$55/360,IF(C1307&lt;='FR_Mantenimiento tasas'!$C$56,'Tabla Ahorro Futuro Reservas'!C1307*'FR_Mantenimiento tasas'!$E$56/360,IF(C1307&lt;='FR_Mantenimiento tasas'!$C$57,'Tabla Ahorro Futuro Reservas'!C1307*'FR_Mantenimiento tasas'!$E$57/360,""))),5)</f>
        <v>0</v>
      </c>
    </row>
    <row r="1308" spans="1:5">
      <c r="A1308" s="123">
        <f t="shared" si="40"/>
        <v>1306</v>
      </c>
      <c r="B1308" s="122">
        <f>IF(DAY(A1308)=DAY('F-Ahorro Futuro Reservas'!$H$10),'F-Ahorro Futuro Reservas'!$H$9,0)</f>
        <v>0</v>
      </c>
      <c r="C1308" s="122">
        <f t="shared" si="41"/>
        <v>0</v>
      </c>
      <c r="D1308" s="121">
        <f>ROUND(IF(C1308&lt;='FR_Mantenimiento tasas'!$C$55,'Tabla Ahorro Futuro Reservas'!C1308*'FR_Mantenimiento tasas'!$D$55/360,IF(C1308&lt;='FR_Mantenimiento tasas'!$C$56,'Tabla Ahorro Futuro Reservas'!C1308*'FR_Mantenimiento tasas'!$D$56/360,IF(C1308&lt;='FR_Mantenimiento tasas'!$C$57,'Tabla Ahorro Futuro Reservas'!C1308*'FR_Mantenimiento tasas'!$D$57/360,""))),5)</f>
        <v>0</v>
      </c>
      <c r="E1308" s="121">
        <f>ROUND(IF(C1308&lt;='FR_Mantenimiento tasas'!$C$55,'Tabla Ahorro Futuro Reservas'!C1308*'FR_Mantenimiento tasas'!$E$55/360,IF(C1308&lt;='FR_Mantenimiento tasas'!$C$56,'Tabla Ahorro Futuro Reservas'!C1308*'FR_Mantenimiento tasas'!$E$56/360,IF(C1308&lt;='FR_Mantenimiento tasas'!$C$57,'Tabla Ahorro Futuro Reservas'!C1308*'FR_Mantenimiento tasas'!$E$57/360,""))),5)</f>
        <v>0</v>
      </c>
    </row>
    <row r="1309" spans="1:5">
      <c r="A1309" s="123">
        <f t="shared" si="40"/>
        <v>1307</v>
      </c>
      <c r="B1309" s="122">
        <f>IF(DAY(A1309)=DAY('F-Ahorro Futuro Reservas'!$H$10),'F-Ahorro Futuro Reservas'!$H$9,0)</f>
        <v>0</v>
      </c>
      <c r="C1309" s="122">
        <f t="shared" si="41"/>
        <v>0</v>
      </c>
      <c r="D1309" s="121">
        <f>ROUND(IF(C1309&lt;='FR_Mantenimiento tasas'!$C$55,'Tabla Ahorro Futuro Reservas'!C1309*'FR_Mantenimiento tasas'!$D$55/360,IF(C1309&lt;='FR_Mantenimiento tasas'!$C$56,'Tabla Ahorro Futuro Reservas'!C1309*'FR_Mantenimiento tasas'!$D$56/360,IF(C1309&lt;='FR_Mantenimiento tasas'!$C$57,'Tabla Ahorro Futuro Reservas'!C1309*'FR_Mantenimiento tasas'!$D$57/360,""))),5)</f>
        <v>0</v>
      </c>
      <c r="E1309" s="121">
        <f>ROUND(IF(C1309&lt;='FR_Mantenimiento tasas'!$C$55,'Tabla Ahorro Futuro Reservas'!C1309*'FR_Mantenimiento tasas'!$E$55/360,IF(C1309&lt;='FR_Mantenimiento tasas'!$C$56,'Tabla Ahorro Futuro Reservas'!C1309*'FR_Mantenimiento tasas'!$E$56/360,IF(C1309&lt;='FR_Mantenimiento tasas'!$C$57,'Tabla Ahorro Futuro Reservas'!C1309*'FR_Mantenimiento tasas'!$E$57/360,""))),5)</f>
        <v>0</v>
      </c>
    </row>
    <row r="1310" spans="1:5">
      <c r="A1310" s="123">
        <f t="shared" si="40"/>
        <v>1308</v>
      </c>
      <c r="B1310" s="122">
        <f>IF(DAY(A1310)=DAY('F-Ahorro Futuro Reservas'!$H$10),'F-Ahorro Futuro Reservas'!$H$9,0)</f>
        <v>0</v>
      </c>
      <c r="C1310" s="122">
        <f t="shared" si="41"/>
        <v>0</v>
      </c>
      <c r="D1310" s="121">
        <f>ROUND(IF(C1310&lt;='FR_Mantenimiento tasas'!$C$55,'Tabla Ahorro Futuro Reservas'!C1310*'FR_Mantenimiento tasas'!$D$55/360,IF(C1310&lt;='FR_Mantenimiento tasas'!$C$56,'Tabla Ahorro Futuro Reservas'!C1310*'FR_Mantenimiento tasas'!$D$56/360,IF(C1310&lt;='FR_Mantenimiento tasas'!$C$57,'Tabla Ahorro Futuro Reservas'!C1310*'FR_Mantenimiento tasas'!$D$57/360,""))),5)</f>
        <v>0</v>
      </c>
      <c r="E1310" s="121">
        <f>ROUND(IF(C1310&lt;='FR_Mantenimiento tasas'!$C$55,'Tabla Ahorro Futuro Reservas'!C1310*'FR_Mantenimiento tasas'!$E$55/360,IF(C1310&lt;='FR_Mantenimiento tasas'!$C$56,'Tabla Ahorro Futuro Reservas'!C1310*'FR_Mantenimiento tasas'!$E$56/360,IF(C1310&lt;='FR_Mantenimiento tasas'!$C$57,'Tabla Ahorro Futuro Reservas'!C1310*'FR_Mantenimiento tasas'!$E$57/360,""))),5)</f>
        <v>0</v>
      </c>
    </row>
    <row r="1311" spans="1:5">
      <c r="A1311" s="123">
        <f t="shared" si="40"/>
        <v>1309</v>
      </c>
      <c r="B1311" s="122">
        <f>IF(DAY(A1311)=DAY('F-Ahorro Futuro Reservas'!$H$10),'F-Ahorro Futuro Reservas'!$H$9,0)</f>
        <v>0</v>
      </c>
      <c r="C1311" s="122">
        <f t="shared" si="41"/>
        <v>0</v>
      </c>
      <c r="D1311" s="121">
        <f>ROUND(IF(C1311&lt;='FR_Mantenimiento tasas'!$C$55,'Tabla Ahorro Futuro Reservas'!C1311*'FR_Mantenimiento tasas'!$D$55/360,IF(C1311&lt;='FR_Mantenimiento tasas'!$C$56,'Tabla Ahorro Futuro Reservas'!C1311*'FR_Mantenimiento tasas'!$D$56/360,IF(C1311&lt;='FR_Mantenimiento tasas'!$C$57,'Tabla Ahorro Futuro Reservas'!C1311*'FR_Mantenimiento tasas'!$D$57/360,""))),5)</f>
        <v>0</v>
      </c>
      <c r="E1311" s="121">
        <f>ROUND(IF(C1311&lt;='FR_Mantenimiento tasas'!$C$55,'Tabla Ahorro Futuro Reservas'!C1311*'FR_Mantenimiento tasas'!$E$55/360,IF(C1311&lt;='FR_Mantenimiento tasas'!$C$56,'Tabla Ahorro Futuro Reservas'!C1311*'FR_Mantenimiento tasas'!$E$56/360,IF(C1311&lt;='FR_Mantenimiento tasas'!$C$57,'Tabla Ahorro Futuro Reservas'!C1311*'FR_Mantenimiento tasas'!$E$57/360,""))),5)</f>
        <v>0</v>
      </c>
    </row>
    <row r="1312" spans="1:5">
      <c r="A1312" s="123">
        <f t="shared" si="40"/>
        <v>1310</v>
      </c>
      <c r="B1312" s="122">
        <f>IF(DAY(A1312)=DAY('F-Ahorro Futuro Reservas'!$H$10),'F-Ahorro Futuro Reservas'!$H$9,0)</f>
        <v>0</v>
      </c>
      <c r="C1312" s="122">
        <f t="shared" si="41"/>
        <v>0</v>
      </c>
      <c r="D1312" s="121">
        <f>ROUND(IF(C1312&lt;='FR_Mantenimiento tasas'!$C$55,'Tabla Ahorro Futuro Reservas'!C1312*'FR_Mantenimiento tasas'!$D$55/360,IF(C1312&lt;='FR_Mantenimiento tasas'!$C$56,'Tabla Ahorro Futuro Reservas'!C1312*'FR_Mantenimiento tasas'!$D$56/360,IF(C1312&lt;='FR_Mantenimiento tasas'!$C$57,'Tabla Ahorro Futuro Reservas'!C1312*'FR_Mantenimiento tasas'!$D$57/360,""))),5)</f>
        <v>0</v>
      </c>
      <c r="E1312" s="121">
        <f>ROUND(IF(C1312&lt;='FR_Mantenimiento tasas'!$C$55,'Tabla Ahorro Futuro Reservas'!C1312*'FR_Mantenimiento tasas'!$E$55/360,IF(C1312&lt;='FR_Mantenimiento tasas'!$C$56,'Tabla Ahorro Futuro Reservas'!C1312*'FR_Mantenimiento tasas'!$E$56/360,IF(C1312&lt;='FR_Mantenimiento tasas'!$C$57,'Tabla Ahorro Futuro Reservas'!C1312*'FR_Mantenimiento tasas'!$E$57/360,""))),5)</f>
        <v>0</v>
      </c>
    </row>
    <row r="1313" spans="1:5">
      <c r="A1313" s="123">
        <f t="shared" si="40"/>
        <v>1311</v>
      </c>
      <c r="B1313" s="122">
        <f>IF(DAY(A1313)=DAY('F-Ahorro Futuro Reservas'!$H$10),'F-Ahorro Futuro Reservas'!$H$9,0)</f>
        <v>0</v>
      </c>
      <c r="C1313" s="122">
        <f t="shared" si="41"/>
        <v>0</v>
      </c>
      <c r="D1313" s="121">
        <f>ROUND(IF(C1313&lt;='FR_Mantenimiento tasas'!$C$55,'Tabla Ahorro Futuro Reservas'!C1313*'FR_Mantenimiento tasas'!$D$55/360,IF(C1313&lt;='FR_Mantenimiento tasas'!$C$56,'Tabla Ahorro Futuro Reservas'!C1313*'FR_Mantenimiento tasas'!$D$56/360,IF(C1313&lt;='FR_Mantenimiento tasas'!$C$57,'Tabla Ahorro Futuro Reservas'!C1313*'FR_Mantenimiento tasas'!$D$57/360,""))),5)</f>
        <v>0</v>
      </c>
      <c r="E1313" s="121">
        <f>ROUND(IF(C1313&lt;='FR_Mantenimiento tasas'!$C$55,'Tabla Ahorro Futuro Reservas'!C1313*'FR_Mantenimiento tasas'!$E$55/360,IF(C1313&lt;='FR_Mantenimiento tasas'!$C$56,'Tabla Ahorro Futuro Reservas'!C1313*'FR_Mantenimiento tasas'!$E$56/360,IF(C1313&lt;='FR_Mantenimiento tasas'!$C$57,'Tabla Ahorro Futuro Reservas'!C1313*'FR_Mantenimiento tasas'!$E$57/360,""))),5)</f>
        <v>0</v>
      </c>
    </row>
    <row r="1314" spans="1:5">
      <c r="A1314" s="123">
        <f t="shared" si="40"/>
        <v>1312</v>
      </c>
      <c r="B1314" s="122">
        <f>IF(DAY(A1314)=DAY('F-Ahorro Futuro Reservas'!$H$10),'F-Ahorro Futuro Reservas'!$H$9,0)</f>
        <v>0</v>
      </c>
      <c r="C1314" s="122">
        <f t="shared" si="41"/>
        <v>0</v>
      </c>
      <c r="D1314" s="121">
        <f>ROUND(IF(C1314&lt;='FR_Mantenimiento tasas'!$C$55,'Tabla Ahorro Futuro Reservas'!C1314*'FR_Mantenimiento tasas'!$D$55/360,IF(C1314&lt;='FR_Mantenimiento tasas'!$C$56,'Tabla Ahorro Futuro Reservas'!C1314*'FR_Mantenimiento tasas'!$D$56/360,IF(C1314&lt;='FR_Mantenimiento tasas'!$C$57,'Tabla Ahorro Futuro Reservas'!C1314*'FR_Mantenimiento tasas'!$D$57/360,""))),5)</f>
        <v>0</v>
      </c>
      <c r="E1314" s="121">
        <f>ROUND(IF(C1314&lt;='FR_Mantenimiento tasas'!$C$55,'Tabla Ahorro Futuro Reservas'!C1314*'FR_Mantenimiento tasas'!$E$55/360,IF(C1314&lt;='FR_Mantenimiento tasas'!$C$56,'Tabla Ahorro Futuro Reservas'!C1314*'FR_Mantenimiento tasas'!$E$56/360,IF(C1314&lt;='FR_Mantenimiento tasas'!$C$57,'Tabla Ahorro Futuro Reservas'!C1314*'FR_Mantenimiento tasas'!$E$57/360,""))),5)</f>
        <v>0</v>
      </c>
    </row>
    <row r="1315" spans="1:5">
      <c r="A1315" s="123">
        <f t="shared" si="40"/>
        <v>1313</v>
      </c>
      <c r="B1315" s="122">
        <f>IF(DAY(A1315)=DAY('F-Ahorro Futuro Reservas'!$H$10),'F-Ahorro Futuro Reservas'!$H$9,0)</f>
        <v>0</v>
      </c>
      <c r="C1315" s="122">
        <f t="shared" si="41"/>
        <v>0</v>
      </c>
      <c r="D1315" s="121">
        <f>ROUND(IF(C1315&lt;='FR_Mantenimiento tasas'!$C$55,'Tabla Ahorro Futuro Reservas'!C1315*'FR_Mantenimiento tasas'!$D$55/360,IF(C1315&lt;='FR_Mantenimiento tasas'!$C$56,'Tabla Ahorro Futuro Reservas'!C1315*'FR_Mantenimiento tasas'!$D$56/360,IF(C1315&lt;='FR_Mantenimiento tasas'!$C$57,'Tabla Ahorro Futuro Reservas'!C1315*'FR_Mantenimiento tasas'!$D$57/360,""))),5)</f>
        <v>0</v>
      </c>
      <c r="E1315" s="121">
        <f>ROUND(IF(C1315&lt;='FR_Mantenimiento tasas'!$C$55,'Tabla Ahorro Futuro Reservas'!C1315*'FR_Mantenimiento tasas'!$E$55/360,IF(C1315&lt;='FR_Mantenimiento tasas'!$C$56,'Tabla Ahorro Futuro Reservas'!C1315*'FR_Mantenimiento tasas'!$E$56/360,IF(C1315&lt;='FR_Mantenimiento tasas'!$C$57,'Tabla Ahorro Futuro Reservas'!C1315*'FR_Mantenimiento tasas'!$E$57/360,""))),5)</f>
        <v>0</v>
      </c>
    </row>
    <row r="1316" spans="1:5">
      <c r="A1316" s="123">
        <f t="shared" si="40"/>
        <v>1314</v>
      </c>
      <c r="B1316" s="122">
        <f>IF(DAY(A1316)=DAY('F-Ahorro Futuro Reservas'!$H$10),'F-Ahorro Futuro Reservas'!$H$9,0)</f>
        <v>0</v>
      </c>
      <c r="C1316" s="122">
        <f t="shared" si="41"/>
        <v>0</v>
      </c>
      <c r="D1316" s="121">
        <f>ROUND(IF(C1316&lt;='FR_Mantenimiento tasas'!$C$55,'Tabla Ahorro Futuro Reservas'!C1316*'FR_Mantenimiento tasas'!$D$55/360,IF(C1316&lt;='FR_Mantenimiento tasas'!$C$56,'Tabla Ahorro Futuro Reservas'!C1316*'FR_Mantenimiento tasas'!$D$56/360,IF(C1316&lt;='FR_Mantenimiento tasas'!$C$57,'Tabla Ahorro Futuro Reservas'!C1316*'FR_Mantenimiento tasas'!$D$57/360,""))),5)</f>
        <v>0</v>
      </c>
      <c r="E1316" s="121">
        <f>ROUND(IF(C1316&lt;='FR_Mantenimiento tasas'!$C$55,'Tabla Ahorro Futuro Reservas'!C1316*'FR_Mantenimiento tasas'!$E$55/360,IF(C1316&lt;='FR_Mantenimiento tasas'!$C$56,'Tabla Ahorro Futuro Reservas'!C1316*'FR_Mantenimiento tasas'!$E$56/360,IF(C1316&lt;='FR_Mantenimiento tasas'!$C$57,'Tabla Ahorro Futuro Reservas'!C1316*'FR_Mantenimiento tasas'!$E$57/360,""))),5)</f>
        <v>0</v>
      </c>
    </row>
    <row r="1317" spans="1:5">
      <c r="A1317" s="123">
        <f t="shared" si="40"/>
        <v>1315</v>
      </c>
      <c r="B1317" s="122">
        <f>IF(DAY(A1317)=DAY('F-Ahorro Futuro Reservas'!$H$10),'F-Ahorro Futuro Reservas'!$H$9,0)</f>
        <v>0</v>
      </c>
      <c r="C1317" s="122">
        <f t="shared" si="41"/>
        <v>0</v>
      </c>
      <c r="D1317" s="121">
        <f>ROUND(IF(C1317&lt;='FR_Mantenimiento tasas'!$C$55,'Tabla Ahorro Futuro Reservas'!C1317*'FR_Mantenimiento tasas'!$D$55/360,IF(C1317&lt;='FR_Mantenimiento tasas'!$C$56,'Tabla Ahorro Futuro Reservas'!C1317*'FR_Mantenimiento tasas'!$D$56/360,IF(C1317&lt;='FR_Mantenimiento tasas'!$C$57,'Tabla Ahorro Futuro Reservas'!C1317*'FR_Mantenimiento tasas'!$D$57/360,""))),5)</f>
        <v>0</v>
      </c>
      <c r="E1317" s="121">
        <f>ROUND(IF(C1317&lt;='FR_Mantenimiento tasas'!$C$55,'Tabla Ahorro Futuro Reservas'!C1317*'FR_Mantenimiento tasas'!$E$55/360,IF(C1317&lt;='FR_Mantenimiento tasas'!$C$56,'Tabla Ahorro Futuro Reservas'!C1317*'FR_Mantenimiento tasas'!$E$56/360,IF(C1317&lt;='FR_Mantenimiento tasas'!$C$57,'Tabla Ahorro Futuro Reservas'!C1317*'FR_Mantenimiento tasas'!$E$57/360,""))),5)</f>
        <v>0</v>
      </c>
    </row>
    <row r="1318" spans="1:5">
      <c r="A1318" s="123">
        <f t="shared" si="40"/>
        <v>1316</v>
      </c>
      <c r="B1318" s="122">
        <f>IF(DAY(A1318)=DAY('F-Ahorro Futuro Reservas'!$H$10),'F-Ahorro Futuro Reservas'!$H$9,0)</f>
        <v>0</v>
      </c>
      <c r="C1318" s="122">
        <f t="shared" si="41"/>
        <v>0</v>
      </c>
      <c r="D1318" s="121">
        <f>ROUND(IF(C1318&lt;='FR_Mantenimiento tasas'!$C$55,'Tabla Ahorro Futuro Reservas'!C1318*'FR_Mantenimiento tasas'!$D$55/360,IF(C1318&lt;='FR_Mantenimiento tasas'!$C$56,'Tabla Ahorro Futuro Reservas'!C1318*'FR_Mantenimiento tasas'!$D$56/360,IF(C1318&lt;='FR_Mantenimiento tasas'!$C$57,'Tabla Ahorro Futuro Reservas'!C1318*'FR_Mantenimiento tasas'!$D$57/360,""))),5)</f>
        <v>0</v>
      </c>
      <c r="E1318" s="121">
        <f>ROUND(IF(C1318&lt;='FR_Mantenimiento tasas'!$C$55,'Tabla Ahorro Futuro Reservas'!C1318*'FR_Mantenimiento tasas'!$E$55/360,IF(C1318&lt;='FR_Mantenimiento tasas'!$C$56,'Tabla Ahorro Futuro Reservas'!C1318*'FR_Mantenimiento tasas'!$E$56/360,IF(C1318&lt;='FR_Mantenimiento tasas'!$C$57,'Tabla Ahorro Futuro Reservas'!C1318*'FR_Mantenimiento tasas'!$E$57/360,""))),5)</f>
        <v>0</v>
      </c>
    </row>
    <row r="1319" spans="1:5">
      <c r="A1319" s="123">
        <f t="shared" si="40"/>
        <v>1317</v>
      </c>
      <c r="B1319" s="122">
        <f>IF(DAY(A1319)=DAY('F-Ahorro Futuro Reservas'!$H$10),'F-Ahorro Futuro Reservas'!$H$9,0)</f>
        <v>0</v>
      </c>
      <c r="C1319" s="122">
        <f t="shared" si="41"/>
        <v>0</v>
      </c>
      <c r="D1319" s="121">
        <f>ROUND(IF(C1319&lt;='FR_Mantenimiento tasas'!$C$55,'Tabla Ahorro Futuro Reservas'!C1319*'FR_Mantenimiento tasas'!$D$55/360,IF(C1319&lt;='FR_Mantenimiento tasas'!$C$56,'Tabla Ahorro Futuro Reservas'!C1319*'FR_Mantenimiento tasas'!$D$56/360,IF(C1319&lt;='FR_Mantenimiento tasas'!$C$57,'Tabla Ahorro Futuro Reservas'!C1319*'FR_Mantenimiento tasas'!$D$57/360,""))),5)</f>
        <v>0</v>
      </c>
      <c r="E1319" s="121">
        <f>ROUND(IF(C1319&lt;='FR_Mantenimiento tasas'!$C$55,'Tabla Ahorro Futuro Reservas'!C1319*'FR_Mantenimiento tasas'!$E$55/360,IF(C1319&lt;='FR_Mantenimiento tasas'!$C$56,'Tabla Ahorro Futuro Reservas'!C1319*'FR_Mantenimiento tasas'!$E$56/360,IF(C1319&lt;='FR_Mantenimiento tasas'!$C$57,'Tabla Ahorro Futuro Reservas'!C1319*'FR_Mantenimiento tasas'!$E$57/360,""))),5)</f>
        <v>0</v>
      </c>
    </row>
    <row r="1320" spans="1:5">
      <c r="A1320" s="123">
        <f t="shared" si="40"/>
        <v>1318</v>
      </c>
      <c r="B1320" s="122">
        <f>IF(DAY(A1320)=DAY('F-Ahorro Futuro Reservas'!$H$10),'F-Ahorro Futuro Reservas'!$H$9,0)</f>
        <v>0</v>
      </c>
      <c r="C1320" s="122">
        <f t="shared" si="41"/>
        <v>0</v>
      </c>
      <c r="D1320" s="121">
        <f>ROUND(IF(C1320&lt;='FR_Mantenimiento tasas'!$C$55,'Tabla Ahorro Futuro Reservas'!C1320*'FR_Mantenimiento tasas'!$D$55/360,IF(C1320&lt;='FR_Mantenimiento tasas'!$C$56,'Tabla Ahorro Futuro Reservas'!C1320*'FR_Mantenimiento tasas'!$D$56/360,IF(C1320&lt;='FR_Mantenimiento tasas'!$C$57,'Tabla Ahorro Futuro Reservas'!C1320*'FR_Mantenimiento tasas'!$D$57/360,""))),5)</f>
        <v>0</v>
      </c>
      <c r="E1320" s="121">
        <f>ROUND(IF(C1320&lt;='FR_Mantenimiento tasas'!$C$55,'Tabla Ahorro Futuro Reservas'!C1320*'FR_Mantenimiento tasas'!$E$55/360,IF(C1320&lt;='FR_Mantenimiento tasas'!$C$56,'Tabla Ahorro Futuro Reservas'!C1320*'FR_Mantenimiento tasas'!$E$56/360,IF(C1320&lt;='FR_Mantenimiento tasas'!$C$57,'Tabla Ahorro Futuro Reservas'!C1320*'FR_Mantenimiento tasas'!$E$57/360,""))),5)</f>
        <v>0</v>
      </c>
    </row>
    <row r="1321" spans="1:5">
      <c r="A1321" s="123">
        <f t="shared" si="40"/>
        <v>1319</v>
      </c>
      <c r="B1321" s="122">
        <f>IF(DAY(A1321)=DAY('F-Ahorro Futuro Reservas'!$H$10),'F-Ahorro Futuro Reservas'!$H$9,0)</f>
        <v>0</v>
      </c>
      <c r="C1321" s="122">
        <f t="shared" si="41"/>
        <v>0</v>
      </c>
      <c r="D1321" s="121">
        <f>ROUND(IF(C1321&lt;='FR_Mantenimiento tasas'!$C$55,'Tabla Ahorro Futuro Reservas'!C1321*'FR_Mantenimiento tasas'!$D$55/360,IF(C1321&lt;='FR_Mantenimiento tasas'!$C$56,'Tabla Ahorro Futuro Reservas'!C1321*'FR_Mantenimiento tasas'!$D$56/360,IF(C1321&lt;='FR_Mantenimiento tasas'!$C$57,'Tabla Ahorro Futuro Reservas'!C1321*'FR_Mantenimiento tasas'!$D$57/360,""))),5)</f>
        <v>0</v>
      </c>
      <c r="E1321" s="121">
        <f>ROUND(IF(C1321&lt;='FR_Mantenimiento tasas'!$C$55,'Tabla Ahorro Futuro Reservas'!C1321*'FR_Mantenimiento tasas'!$E$55/360,IF(C1321&lt;='FR_Mantenimiento tasas'!$C$56,'Tabla Ahorro Futuro Reservas'!C1321*'FR_Mantenimiento tasas'!$E$56/360,IF(C1321&lt;='FR_Mantenimiento tasas'!$C$57,'Tabla Ahorro Futuro Reservas'!C1321*'FR_Mantenimiento tasas'!$E$57/360,""))),5)</f>
        <v>0</v>
      </c>
    </row>
    <row r="1322" spans="1:5">
      <c r="A1322" s="123">
        <f t="shared" si="40"/>
        <v>1320</v>
      </c>
      <c r="B1322" s="122">
        <f>IF(DAY(A1322)=DAY('F-Ahorro Futuro Reservas'!$H$10),'F-Ahorro Futuro Reservas'!$H$9,0)</f>
        <v>0</v>
      </c>
      <c r="C1322" s="122">
        <f t="shared" si="41"/>
        <v>0</v>
      </c>
      <c r="D1322" s="121">
        <f>ROUND(IF(C1322&lt;='FR_Mantenimiento tasas'!$C$55,'Tabla Ahorro Futuro Reservas'!C1322*'FR_Mantenimiento tasas'!$D$55/360,IF(C1322&lt;='FR_Mantenimiento tasas'!$C$56,'Tabla Ahorro Futuro Reservas'!C1322*'FR_Mantenimiento tasas'!$D$56/360,IF(C1322&lt;='FR_Mantenimiento tasas'!$C$57,'Tabla Ahorro Futuro Reservas'!C1322*'FR_Mantenimiento tasas'!$D$57/360,""))),5)</f>
        <v>0</v>
      </c>
      <c r="E1322" s="121">
        <f>ROUND(IF(C1322&lt;='FR_Mantenimiento tasas'!$C$55,'Tabla Ahorro Futuro Reservas'!C1322*'FR_Mantenimiento tasas'!$E$55/360,IF(C1322&lt;='FR_Mantenimiento tasas'!$C$56,'Tabla Ahorro Futuro Reservas'!C1322*'FR_Mantenimiento tasas'!$E$56/360,IF(C1322&lt;='FR_Mantenimiento tasas'!$C$57,'Tabla Ahorro Futuro Reservas'!C1322*'FR_Mantenimiento tasas'!$E$57/360,""))),5)</f>
        <v>0</v>
      </c>
    </row>
    <row r="1323" spans="1:5">
      <c r="A1323" s="123">
        <f t="shared" si="40"/>
        <v>1321</v>
      </c>
      <c r="B1323" s="122">
        <f>IF(DAY(A1323)=DAY('F-Ahorro Futuro Reservas'!$H$10),'F-Ahorro Futuro Reservas'!$H$9,0)</f>
        <v>0</v>
      </c>
      <c r="C1323" s="122">
        <f t="shared" si="41"/>
        <v>0</v>
      </c>
      <c r="D1323" s="121">
        <f>ROUND(IF(C1323&lt;='FR_Mantenimiento tasas'!$C$55,'Tabla Ahorro Futuro Reservas'!C1323*'FR_Mantenimiento tasas'!$D$55/360,IF(C1323&lt;='FR_Mantenimiento tasas'!$C$56,'Tabla Ahorro Futuro Reservas'!C1323*'FR_Mantenimiento tasas'!$D$56/360,IF(C1323&lt;='FR_Mantenimiento tasas'!$C$57,'Tabla Ahorro Futuro Reservas'!C1323*'FR_Mantenimiento tasas'!$D$57/360,""))),5)</f>
        <v>0</v>
      </c>
      <c r="E1323" s="121">
        <f>ROUND(IF(C1323&lt;='FR_Mantenimiento tasas'!$C$55,'Tabla Ahorro Futuro Reservas'!C1323*'FR_Mantenimiento tasas'!$E$55/360,IF(C1323&lt;='FR_Mantenimiento tasas'!$C$56,'Tabla Ahorro Futuro Reservas'!C1323*'FR_Mantenimiento tasas'!$E$56/360,IF(C1323&lt;='FR_Mantenimiento tasas'!$C$57,'Tabla Ahorro Futuro Reservas'!C1323*'FR_Mantenimiento tasas'!$E$57/360,""))),5)</f>
        <v>0</v>
      </c>
    </row>
    <row r="1324" spans="1:5">
      <c r="A1324" s="123">
        <f t="shared" si="40"/>
        <v>1322</v>
      </c>
      <c r="B1324" s="122">
        <f>IF(DAY(A1324)=DAY('F-Ahorro Futuro Reservas'!$H$10),'F-Ahorro Futuro Reservas'!$H$9,0)</f>
        <v>0</v>
      </c>
      <c r="C1324" s="122">
        <f t="shared" si="41"/>
        <v>0</v>
      </c>
      <c r="D1324" s="121">
        <f>ROUND(IF(C1324&lt;='FR_Mantenimiento tasas'!$C$55,'Tabla Ahorro Futuro Reservas'!C1324*'FR_Mantenimiento tasas'!$D$55/360,IF(C1324&lt;='FR_Mantenimiento tasas'!$C$56,'Tabla Ahorro Futuro Reservas'!C1324*'FR_Mantenimiento tasas'!$D$56/360,IF(C1324&lt;='FR_Mantenimiento tasas'!$C$57,'Tabla Ahorro Futuro Reservas'!C1324*'FR_Mantenimiento tasas'!$D$57/360,""))),5)</f>
        <v>0</v>
      </c>
      <c r="E1324" s="121">
        <f>ROUND(IF(C1324&lt;='FR_Mantenimiento tasas'!$C$55,'Tabla Ahorro Futuro Reservas'!C1324*'FR_Mantenimiento tasas'!$E$55/360,IF(C1324&lt;='FR_Mantenimiento tasas'!$C$56,'Tabla Ahorro Futuro Reservas'!C1324*'FR_Mantenimiento tasas'!$E$56/360,IF(C1324&lt;='FR_Mantenimiento tasas'!$C$57,'Tabla Ahorro Futuro Reservas'!C1324*'FR_Mantenimiento tasas'!$E$57/360,""))),5)</f>
        <v>0</v>
      </c>
    </row>
    <row r="1325" spans="1:5">
      <c r="A1325" s="123">
        <f t="shared" si="40"/>
        <v>1323</v>
      </c>
      <c r="B1325" s="122">
        <f>IF(DAY(A1325)=DAY('F-Ahorro Futuro Reservas'!$H$10),'F-Ahorro Futuro Reservas'!$H$9,0)</f>
        <v>0</v>
      </c>
      <c r="C1325" s="122">
        <f t="shared" si="41"/>
        <v>0</v>
      </c>
      <c r="D1325" s="121">
        <f>ROUND(IF(C1325&lt;='FR_Mantenimiento tasas'!$C$55,'Tabla Ahorro Futuro Reservas'!C1325*'FR_Mantenimiento tasas'!$D$55/360,IF(C1325&lt;='FR_Mantenimiento tasas'!$C$56,'Tabla Ahorro Futuro Reservas'!C1325*'FR_Mantenimiento tasas'!$D$56/360,IF(C1325&lt;='FR_Mantenimiento tasas'!$C$57,'Tabla Ahorro Futuro Reservas'!C1325*'FR_Mantenimiento tasas'!$D$57/360,""))),5)</f>
        <v>0</v>
      </c>
      <c r="E1325" s="121">
        <f>ROUND(IF(C1325&lt;='FR_Mantenimiento tasas'!$C$55,'Tabla Ahorro Futuro Reservas'!C1325*'FR_Mantenimiento tasas'!$E$55/360,IF(C1325&lt;='FR_Mantenimiento tasas'!$C$56,'Tabla Ahorro Futuro Reservas'!C1325*'FR_Mantenimiento tasas'!$E$56/360,IF(C1325&lt;='FR_Mantenimiento tasas'!$C$57,'Tabla Ahorro Futuro Reservas'!C1325*'FR_Mantenimiento tasas'!$E$57/360,""))),5)</f>
        <v>0</v>
      </c>
    </row>
    <row r="1326" spans="1:5">
      <c r="A1326" s="123">
        <f t="shared" si="40"/>
        <v>1324</v>
      </c>
      <c r="B1326" s="122">
        <f>IF(DAY(A1326)=DAY('F-Ahorro Futuro Reservas'!$H$10),'F-Ahorro Futuro Reservas'!$H$9,0)</f>
        <v>0</v>
      </c>
      <c r="C1326" s="122">
        <f t="shared" si="41"/>
        <v>0</v>
      </c>
      <c r="D1326" s="121">
        <f>ROUND(IF(C1326&lt;='FR_Mantenimiento tasas'!$C$55,'Tabla Ahorro Futuro Reservas'!C1326*'FR_Mantenimiento tasas'!$D$55/360,IF(C1326&lt;='FR_Mantenimiento tasas'!$C$56,'Tabla Ahorro Futuro Reservas'!C1326*'FR_Mantenimiento tasas'!$D$56/360,IF(C1326&lt;='FR_Mantenimiento tasas'!$C$57,'Tabla Ahorro Futuro Reservas'!C1326*'FR_Mantenimiento tasas'!$D$57/360,""))),5)</f>
        <v>0</v>
      </c>
      <c r="E1326" s="121">
        <f>ROUND(IF(C1326&lt;='FR_Mantenimiento tasas'!$C$55,'Tabla Ahorro Futuro Reservas'!C1326*'FR_Mantenimiento tasas'!$E$55/360,IF(C1326&lt;='FR_Mantenimiento tasas'!$C$56,'Tabla Ahorro Futuro Reservas'!C1326*'FR_Mantenimiento tasas'!$E$56/360,IF(C1326&lt;='FR_Mantenimiento tasas'!$C$57,'Tabla Ahorro Futuro Reservas'!C1326*'FR_Mantenimiento tasas'!$E$57/360,""))),5)</f>
        <v>0</v>
      </c>
    </row>
    <row r="1327" spans="1:5">
      <c r="A1327" s="123">
        <f t="shared" si="40"/>
        <v>1325</v>
      </c>
      <c r="B1327" s="122">
        <f>IF(DAY(A1327)=DAY('F-Ahorro Futuro Reservas'!$H$10),'F-Ahorro Futuro Reservas'!$H$9,0)</f>
        <v>0</v>
      </c>
      <c r="C1327" s="122">
        <f t="shared" si="41"/>
        <v>0</v>
      </c>
      <c r="D1327" s="121">
        <f>ROUND(IF(C1327&lt;='FR_Mantenimiento tasas'!$C$55,'Tabla Ahorro Futuro Reservas'!C1327*'FR_Mantenimiento tasas'!$D$55/360,IF(C1327&lt;='FR_Mantenimiento tasas'!$C$56,'Tabla Ahorro Futuro Reservas'!C1327*'FR_Mantenimiento tasas'!$D$56/360,IF(C1327&lt;='FR_Mantenimiento tasas'!$C$57,'Tabla Ahorro Futuro Reservas'!C1327*'FR_Mantenimiento tasas'!$D$57/360,""))),5)</f>
        <v>0</v>
      </c>
      <c r="E1327" s="121">
        <f>ROUND(IF(C1327&lt;='FR_Mantenimiento tasas'!$C$55,'Tabla Ahorro Futuro Reservas'!C1327*'FR_Mantenimiento tasas'!$E$55/360,IF(C1327&lt;='FR_Mantenimiento tasas'!$C$56,'Tabla Ahorro Futuro Reservas'!C1327*'FR_Mantenimiento tasas'!$E$56/360,IF(C1327&lt;='FR_Mantenimiento tasas'!$C$57,'Tabla Ahorro Futuro Reservas'!C1327*'FR_Mantenimiento tasas'!$E$57/360,""))),5)</f>
        <v>0</v>
      </c>
    </row>
    <row r="1328" spans="1:5">
      <c r="A1328" s="123">
        <f t="shared" si="40"/>
        <v>1326</v>
      </c>
      <c r="B1328" s="122">
        <f>IF(DAY(A1328)=DAY('F-Ahorro Futuro Reservas'!$H$10),'F-Ahorro Futuro Reservas'!$H$9,0)</f>
        <v>0</v>
      </c>
      <c r="C1328" s="122">
        <f t="shared" si="41"/>
        <v>0</v>
      </c>
      <c r="D1328" s="121">
        <f>ROUND(IF(C1328&lt;='FR_Mantenimiento tasas'!$C$55,'Tabla Ahorro Futuro Reservas'!C1328*'FR_Mantenimiento tasas'!$D$55/360,IF(C1328&lt;='FR_Mantenimiento tasas'!$C$56,'Tabla Ahorro Futuro Reservas'!C1328*'FR_Mantenimiento tasas'!$D$56/360,IF(C1328&lt;='FR_Mantenimiento tasas'!$C$57,'Tabla Ahorro Futuro Reservas'!C1328*'FR_Mantenimiento tasas'!$D$57/360,""))),5)</f>
        <v>0</v>
      </c>
      <c r="E1328" s="121">
        <f>ROUND(IF(C1328&lt;='FR_Mantenimiento tasas'!$C$55,'Tabla Ahorro Futuro Reservas'!C1328*'FR_Mantenimiento tasas'!$E$55/360,IF(C1328&lt;='FR_Mantenimiento tasas'!$C$56,'Tabla Ahorro Futuro Reservas'!C1328*'FR_Mantenimiento tasas'!$E$56/360,IF(C1328&lt;='FR_Mantenimiento tasas'!$C$57,'Tabla Ahorro Futuro Reservas'!C1328*'FR_Mantenimiento tasas'!$E$57/360,""))),5)</f>
        <v>0</v>
      </c>
    </row>
    <row r="1329" spans="1:5">
      <c r="A1329" s="123">
        <f t="shared" si="40"/>
        <v>1327</v>
      </c>
      <c r="B1329" s="122">
        <f>IF(DAY(A1329)=DAY('F-Ahorro Futuro Reservas'!$H$10),'F-Ahorro Futuro Reservas'!$H$9,0)</f>
        <v>0</v>
      </c>
      <c r="C1329" s="122">
        <f t="shared" si="41"/>
        <v>0</v>
      </c>
      <c r="D1329" s="121">
        <f>ROUND(IF(C1329&lt;='FR_Mantenimiento tasas'!$C$55,'Tabla Ahorro Futuro Reservas'!C1329*'FR_Mantenimiento tasas'!$D$55/360,IF(C1329&lt;='FR_Mantenimiento tasas'!$C$56,'Tabla Ahorro Futuro Reservas'!C1329*'FR_Mantenimiento tasas'!$D$56/360,IF(C1329&lt;='FR_Mantenimiento tasas'!$C$57,'Tabla Ahorro Futuro Reservas'!C1329*'FR_Mantenimiento tasas'!$D$57/360,""))),5)</f>
        <v>0</v>
      </c>
      <c r="E1329" s="121">
        <f>ROUND(IF(C1329&lt;='FR_Mantenimiento tasas'!$C$55,'Tabla Ahorro Futuro Reservas'!C1329*'FR_Mantenimiento tasas'!$E$55/360,IF(C1329&lt;='FR_Mantenimiento tasas'!$C$56,'Tabla Ahorro Futuro Reservas'!C1329*'FR_Mantenimiento tasas'!$E$56/360,IF(C1329&lt;='FR_Mantenimiento tasas'!$C$57,'Tabla Ahorro Futuro Reservas'!C1329*'FR_Mantenimiento tasas'!$E$57/360,""))),5)</f>
        <v>0</v>
      </c>
    </row>
    <row r="1330" spans="1:5">
      <c r="A1330" s="123">
        <f t="shared" si="40"/>
        <v>1328</v>
      </c>
      <c r="B1330" s="122">
        <f>IF(DAY(A1330)=DAY('F-Ahorro Futuro Reservas'!$H$10),'F-Ahorro Futuro Reservas'!$H$9,0)</f>
        <v>0</v>
      </c>
      <c r="C1330" s="122">
        <f t="shared" si="41"/>
        <v>0</v>
      </c>
      <c r="D1330" s="121">
        <f>ROUND(IF(C1330&lt;='FR_Mantenimiento tasas'!$C$55,'Tabla Ahorro Futuro Reservas'!C1330*'FR_Mantenimiento tasas'!$D$55/360,IF(C1330&lt;='FR_Mantenimiento tasas'!$C$56,'Tabla Ahorro Futuro Reservas'!C1330*'FR_Mantenimiento tasas'!$D$56/360,IF(C1330&lt;='FR_Mantenimiento tasas'!$C$57,'Tabla Ahorro Futuro Reservas'!C1330*'FR_Mantenimiento tasas'!$D$57/360,""))),5)</f>
        <v>0</v>
      </c>
      <c r="E1330" s="121">
        <f>ROUND(IF(C1330&lt;='FR_Mantenimiento tasas'!$C$55,'Tabla Ahorro Futuro Reservas'!C1330*'FR_Mantenimiento tasas'!$E$55/360,IF(C1330&lt;='FR_Mantenimiento tasas'!$C$56,'Tabla Ahorro Futuro Reservas'!C1330*'FR_Mantenimiento tasas'!$E$56/360,IF(C1330&lt;='FR_Mantenimiento tasas'!$C$57,'Tabla Ahorro Futuro Reservas'!C1330*'FR_Mantenimiento tasas'!$E$57/360,""))),5)</f>
        <v>0</v>
      </c>
    </row>
    <row r="1331" spans="1:5">
      <c r="A1331" s="123">
        <f t="shared" si="40"/>
        <v>1329</v>
      </c>
      <c r="B1331" s="122">
        <f>IF(DAY(A1331)=DAY('F-Ahorro Futuro Reservas'!$H$10),'F-Ahorro Futuro Reservas'!$H$9,0)</f>
        <v>0</v>
      </c>
      <c r="C1331" s="122">
        <f t="shared" si="41"/>
        <v>0</v>
      </c>
      <c r="D1331" s="121">
        <f>ROUND(IF(C1331&lt;='FR_Mantenimiento tasas'!$C$55,'Tabla Ahorro Futuro Reservas'!C1331*'FR_Mantenimiento tasas'!$D$55/360,IF(C1331&lt;='FR_Mantenimiento tasas'!$C$56,'Tabla Ahorro Futuro Reservas'!C1331*'FR_Mantenimiento tasas'!$D$56/360,IF(C1331&lt;='FR_Mantenimiento tasas'!$C$57,'Tabla Ahorro Futuro Reservas'!C1331*'FR_Mantenimiento tasas'!$D$57/360,""))),5)</f>
        <v>0</v>
      </c>
      <c r="E1331" s="121">
        <f>ROUND(IF(C1331&lt;='FR_Mantenimiento tasas'!$C$55,'Tabla Ahorro Futuro Reservas'!C1331*'FR_Mantenimiento tasas'!$E$55/360,IF(C1331&lt;='FR_Mantenimiento tasas'!$C$56,'Tabla Ahorro Futuro Reservas'!C1331*'FR_Mantenimiento tasas'!$E$56/360,IF(C1331&lt;='FR_Mantenimiento tasas'!$C$57,'Tabla Ahorro Futuro Reservas'!C1331*'FR_Mantenimiento tasas'!$E$57/360,""))),5)</f>
        <v>0</v>
      </c>
    </row>
    <row r="1332" spans="1:5">
      <c r="A1332" s="123">
        <f t="shared" si="40"/>
        <v>1330</v>
      </c>
      <c r="B1332" s="122">
        <f>IF(DAY(A1332)=DAY('F-Ahorro Futuro Reservas'!$H$10),'F-Ahorro Futuro Reservas'!$H$9,0)</f>
        <v>0</v>
      </c>
      <c r="C1332" s="122">
        <f t="shared" si="41"/>
        <v>0</v>
      </c>
      <c r="D1332" s="121">
        <f>ROUND(IF(C1332&lt;='FR_Mantenimiento tasas'!$C$55,'Tabla Ahorro Futuro Reservas'!C1332*'FR_Mantenimiento tasas'!$D$55/360,IF(C1332&lt;='FR_Mantenimiento tasas'!$C$56,'Tabla Ahorro Futuro Reservas'!C1332*'FR_Mantenimiento tasas'!$D$56/360,IF(C1332&lt;='FR_Mantenimiento tasas'!$C$57,'Tabla Ahorro Futuro Reservas'!C1332*'FR_Mantenimiento tasas'!$D$57/360,""))),5)</f>
        <v>0</v>
      </c>
      <c r="E1332" s="121">
        <f>ROUND(IF(C1332&lt;='FR_Mantenimiento tasas'!$C$55,'Tabla Ahorro Futuro Reservas'!C1332*'FR_Mantenimiento tasas'!$E$55/360,IF(C1332&lt;='FR_Mantenimiento tasas'!$C$56,'Tabla Ahorro Futuro Reservas'!C1332*'FR_Mantenimiento tasas'!$E$56/360,IF(C1332&lt;='FR_Mantenimiento tasas'!$C$57,'Tabla Ahorro Futuro Reservas'!C1332*'FR_Mantenimiento tasas'!$E$57/360,""))),5)</f>
        <v>0</v>
      </c>
    </row>
    <row r="1333" spans="1:5">
      <c r="A1333" s="123">
        <f t="shared" si="40"/>
        <v>1331</v>
      </c>
      <c r="B1333" s="122">
        <f>IF(DAY(A1333)=DAY('F-Ahorro Futuro Reservas'!$H$10),'F-Ahorro Futuro Reservas'!$H$9,0)</f>
        <v>0</v>
      </c>
      <c r="C1333" s="122">
        <f t="shared" si="41"/>
        <v>0</v>
      </c>
      <c r="D1333" s="121">
        <f>ROUND(IF(C1333&lt;='FR_Mantenimiento tasas'!$C$55,'Tabla Ahorro Futuro Reservas'!C1333*'FR_Mantenimiento tasas'!$D$55/360,IF(C1333&lt;='FR_Mantenimiento tasas'!$C$56,'Tabla Ahorro Futuro Reservas'!C1333*'FR_Mantenimiento tasas'!$D$56/360,IF(C1333&lt;='FR_Mantenimiento tasas'!$C$57,'Tabla Ahorro Futuro Reservas'!C1333*'FR_Mantenimiento tasas'!$D$57/360,""))),5)</f>
        <v>0</v>
      </c>
      <c r="E1333" s="121">
        <f>ROUND(IF(C1333&lt;='FR_Mantenimiento tasas'!$C$55,'Tabla Ahorro Futuro Reservas'!C1333*'FR_Mantenimiento tasas'!$E$55/360,IF(C1333&lt;='FR_Mantenimiento tasas'!$C$56,'Tabla Ahorro Futuro Reservas'!C1333*'FR_Mantenimiento tasas'!$E$56/360,IF(C1333&lt;='FR_Mantenimiento tasas'!$C$57,'Tabla Ahorro Futuro Reservas'!C1333*'FR_Mantenimiento tasas'!$E$57/360,""))),5)</f>
        <v>0</v>
      </c>
    </row>
    <row r="1334" spans="1:5">
      <c r="A1334" s="123">
        <f t="shared" si="40"/>
        <v>1332</v>
      </c>
      <c r="B1334" s="122">
        <f>IF(DAY(A1334)=DAY('F-Ahorro Futuro Reservas'!$H$10),'F-Ahorro Futuro Reservas'!$H$9,0)</f>
        <v>0</v>
      </c>
      <c r="C1334" s="122">
        <f t="shared" si="41"/>
        <v>0</v>
      </c>
      <c r="D1334" s="121">
        <f>ROUND(IF(C1334&lt;='FR_Mantenimiento tasas'!$C$55,'Tabla Ahorro Futuro Reservas'!C1334*'FR_Mantenimiento tasas'!$D$55/360,IF(C1334&lt;='FR_Mantenimiento tasas'!$C$56,'Tabla Ahorro Futuro Reservas'!C1334*'FR_Mantenimiento tasas'!$D$56/360,IF(C1334&lt;='FR_Mantenimiento tasas'!$C$57,'Tabla Ahorro Futuro Reservas'!C1334*'FR_Mantenimiento tasas'!$D$57/360,""))),5)</f>
        <v>0</v>
      </c>
      <c r="E1334" s="121">
        <f>ROUND(IF(C1334&lt;='FR_Mantenimiento tasas'!$C$55,'Tabla Ahorro Futuro Reservas'!C1334*'FR_Mantenimiento tasas'!$E$55/360,IF(C1334&lt;='FR_Mantenimiento tasas'!$C$56,'Tabla Ahorro Futuro Reservas'!C1334*'FR_Mantenimiento tasas'!$E$56/360,IF(C1334&lt;='FR_Mantenimiento tasas'!$C$57,'Tabla Ahorro Futuro Reservas'!C1334*'FR_Mantenimiento tasas'!$E$57/360,""))),5)</f>
        <v>0</v>
      </c>
    </row>
    <row r="1335" spans="1:5">
      <c r="A1335" s="123">
        <f t="shared" si="40"/>
        <v>1333</v>
      </c>
      <c r="B1335" s="122">
        <f>IF(DAY(A1335)=DAY('F-Ahorro Futuro Reservas'!$H$10),'F-Ahorro Futuro Reservas'!$H$9,0)</f>
        <v>0</v>
      </c>
      <c r="C1335" s="122">
        <f t="shared" si="41"/>
        <v>0</v>
      </c>
      <c r="D1335" s="121">
        <f>ROUND(IF(C1335&lt;='FR_Mantenimiento tasas'!$C$55,'Tabla Ahorro Futuro Reservas'!C1335*'FR_Mantenimiento tasas'!$D$55/360,IF(C1335&lt;='FR_Mantenimiento tasas'!$C$56,'Tabla Ahorro Futuro Reservas'!C1335*'FR_Mantenimiento tasas'!$D$56/360,IF(C1335&lt;='FR_Mantenimiento tasas'!$C$57,'Tabla Ahorro Futuro Reservas'!C1335*'FR_Mantenimiento tasas'!$D$57/360,""))),5)</f>
        <v>0</v>
      </c>
      <c r="E1335" s="121">
        <f>ROUND(IF(C1335&lt;='FR_Mantenimiento tasas'!$C$55,'Tabla Ahorro Futuro Reservas'!C1335*'FR_Mantenimiento tasas'!$E$55/360,IF(C1335&lt;='FR_Mantenimiento tasas'!$C$56,'Tabla Ahorro Futuro Reservas'!C1335*'FR_Mantenimiento tasas'!$E$56/360,IF(C1335&lt;='FR_Mantenimiento tasas'!$C$57,'Tabla Ahorro Futuro Reservas'!C1335*'FR_Mantenimiento tasas'!$E$57/360,""))),5)</f>
        <v>0</v>
      </c>
    </row>
    <row r="1336" spans="1:5">
      <c r="A1336" s="123">
        <f t="shared" si="40"/>
        <v>1334</v>
      </c>
      <c r="B1336" s="122">
        <f>IF(DAY(A1336)=DAY('F-Ahorro Futuro Reservas'!$H$10),'F-Ahorro Futuro Reservas'!$H$9,0)</f>
        <v>0</v>
      </c>
      <c r="C1336" s="122">
        <f t="shared" si="41"/>
        <v>0</v>
      </c>
      <c r="D1336" s="121">
        <f>ROUND(IF(C1336&lt;='FR_Mantenimiento tasas'!$C$55,'Tabla Ahorro Futuro Reservas'!C1336*'FR_Mantenimiento tasas'!$D$55/360,IF(C1336&lt;='FR_Mantenimiento tasas'!$C$56,'Tabla Ahorro Futuro Reservas'!C1336*'FR_Mantenimiento tasas'!$D$56/360,IF(C1336&lt;='FR_Mantenimiento tasas'!$C$57,'Tabla Ahorro Futuro Reservas'!C1336*'FR_Mantenimiento tasas'!$D$57/360,""))),5)</f>
        <v>0</v>
      </c>
      <c r="E1336" s="121">
        <f>ROUND(IF(C1336&lt;='FR_Mantenimiento tasas'!$C$55,'Tabla Ahorro Futuro Reservas'!C1336*'FR_Mantenimiento tasas'!$E$55/360,IF(C1336&lt;='FR_Mantenimiento tasas'!$C$56,'Tabla Ahorro Futuro Reservas'!C1336*'FR_Mantenimiento tasas'!$E$56/360,IF(C1336&lt;='FR_Mantenimiento tasas'!$C$57,'Tabla Ahorro Futuro Reservas'!C1336*'FR_Mantenimiento tasas'!$E$57/360,""))),5)</f>
        <v>0</v>
      </c>
    </row>
    <row r="1337" spans="1:5">
      <c r="A1337" s="123">
        <f t="shared" si="40"/>
        <v>1335</v>
      </c>
      <c r="B1337" s="122">
        <f>IF(DAY(A1337)=DAY('F-Ahorro Futuro Reservas'!$H$10),'F-Ahorro Futuro Reservas'!$H$9,0)</f>
        <v>0</v>
      </c>
      <c r="C1337" s="122">
        <f t="shared" si="41"/>
        <v>0</v>
      </c>
      <c r="D1337" s="121">
        <f>ROUND(IF(C1337&lt;='FR_Mantenimiento tasas'!$C$55,'Tabla Ahorro Futuro Reservas'!C1337*'FR_Mantenimiento tasas'!$D$55/360,IF(C1337&lt;='FR_Mantenimiento tasas'!$C$56,'Tabla Ahorro Futuro Reservas'!C1337*'FR_Mantenimiento tasas'!$D$56/360,IF(C1337&lt;='FR_Mantenimiento tasas'!$C$57,'Tabla Ahorro Futuro Reservas'!C1337*'FR_Mantenimiento tasas'!$D$57/360,""))),5)</f>
        <v>0</v>
      </c>
      <c r="E1337" s="121">
        <f>ROUND(IF(C1337&lt;='FR_Mantenimiento tasas'!$C$55,'Tabla Ahorro Futuro Reservas'!C1337*'FR_Mantenimiento tasas'!$E$55/360,IF(C1337&lt;='FR_Mantenimiento tasas'!$C$56,'Tabla Ahorro Futuro Reservas'!C1337*'FR_Mantenimiento tasas'!$E$56/360,IF(C1337&lt;='FR_Mantenimiento tasas'!$C$57,'Tabla Ahorro Futuro Reservas'!C1337*'FR_Mantenimiento tasas'!$E$57/360,""))),5)</f>
        <v>0</v>
      </c>
    </row>
    <row r="1338" spans="1:5">
      <c r="A1338" s="123">
        <f t="shared" si="40"/>
        <v>1336</v>
      </c>
      <c r="B1338" s="122">
        <f>IF(DAY(A1338)=DAY('F-Ahorro Futuro Reservas'!$H$10),'F-Ahorro Futuro Reservas'!$H$9,0)</f>
        <v>0</v>
      </c>
      <c r="C1338" s="122">
        <f t="shared" si="41"/>
        <v>0</v>
      </c>
      <c r="D1338" s="121">
        <f>ROUND(IF(C1338&lt;='FR_Mantenimiento tasas'!$C$55,'Tabla Ahorro Futuro Reservas'!C1338*'FR_Mantenimiento tasas'!$D$55/360,IF(C1338&lt;='FR_Mantenimiento tasas'!$C$56,'Tabla Ahorro Futuro Reservas'!C1338*'FR_Mantenimiento tasas'!$D$56/360,IF(C1338&lt;='FR_Mantenimiento tasas'!$C$57,'Tabla Ahorro Futuro Reservas'!C1338*'FR_Mantenimiento tasas'!$D$57/360,""))),5)</f>
        <v>0</v>
      </c>
      <c r="E1338" s="121">
        <f>ROUND(IF(C1338&lt;='FR_Mantenimiento tasas'!$C$55,'Tabla Ahorro Futuro Reservas'!C1338*'FR_Mantenimiento tasas'!$E$55/360,IF(C1338&lt;='FR_Mantenimiento tasas'!$C$56,'Tabla Ahorro Futuro Reservas'!C1338*'FR_Mantenimiento tasas'!$E$56/360,IF(C1338&lt;='FR_Mantenimiento tasas'!$C$57,'Tabla Ahorro Futuro Reservas'!C1338*'FR_Mantenimiento tasas'!$E$57/360,""))),5)</f>
        <v>0</v>
      </c>
    </row>
    <row r="1339" spans="1:5">
      <c r="A1339" s="123">
        <f t="shared" si="40"/>
        <v>1337</v>
      </c>
      <c r="B1339" s="122">
        <f>IF(DAY(A1339)=DAY('F-Ahorro Futuro Reservas'!$H$10),'F-Ahorro Futuro Reservas'!$H$9,0)</f>
        <v>0</v>
      </c>
      <c r="C1339" s="122">
        <f t="shared" si="41"/>
        <v>0</v>
      </c>
      <c r="D1339" s="121">
        <f>ROUND(IF(C1339&lt;='FR_Mantenimiento tasas'!$C$55,'Tabla Ahorro Futuro Reservas'!C1339*'FR_Mantenimiento tasas'!$D$55/360,IF(C1339&lt;='FR_Mantenimiento tasas'!$C$56,'Tabla Ahorro Futuro Reservas'!C1339*'FR_Mantenimiento tasas'!$D$56/360,IF(C1339&lt;='FR_Mantenimiento tasas'!$C$57,'Tabla Ahorro Futuro Reservas'!C1339*'FR_Mantenimiento tasas'!$D$57/360,""))),5)</f>
        <v>0</v>
      </c>
      <c r="E1339" s="121">
        <f>ROUND(IF(C1339&lt;='FR_Mantenimiento tasas'!$C$55,'Tabla Ahorro Futuro Reservas'!C1339*'FR_Mantenimiento tasas'!$E$55/360,IF(C1339&lt;='FR_Mantenimiento tasas'!$C$56,'Tabla Ahorro Futuro Reservas'!C1339*'FR_Mantenimiento tasas'!$E$56/360,IF(C1339&lt;='FR_Mantenimiento tasas'!$C$57,'Tabla Ahorro Futuro Reservas'!C1339*'FR_Mantenimiento tasas'!$E$57/360,""))),5)</f>
        <v>0</v>
      </c>
    </row>
    <row r="1340" spans="1:5">
      <c r="A1340" s="123">
        <f t="shared" si="40"/>
        <v>1338</v>
      </c>
      <c r="B1340" s="122">
        <f>IF(DAY(A1340)=DAY('F-Ahorro Futuro Reservas'!$H$10),'F-Ahorro Futuro Reservas'!$H$9,0)</f>
        <v>0</v>
      </c>
      <c r="C1340" s="122">
        <f t="shared" si="41"/>
        <v>0</v>
      </c>
      <c r="D1340" s="121">
        <f>ROUND(IF(C1340&lt;='FR_Mantenimiento tasas'!$C$55,'Tabla Ahorro Futuro Reservas'!C1340*'FR_Mantenimiento tasas'!$D$55/360,IF(C1340&lt;='FR_Mantenimiento tasas'!$C$56,'Tabla Ahorro Futuro Reservas'!C1340*'FR_Mantenimiento tasas'!$D$56/360,IF(C1340&lt;='FR_Mantenimiento tasas'!$C$57,'Tabla Ahorro Futuro Reservas'!C1340*'FR_Mantenimiento tasas'!$D$57/360,""))),5)</f>
        <v>0</v>
      </c>
      <c r="E1340" s="121">
        <f>ROUND(IF(C1340&lt;='FR_Mantenimiento tasas'!$C$55,'Tabla Ahorro Futuro Reservas'!C1340*'FR_Mantenimiento tasas'!$E$55/360,IF(C1340&lt;='FR_Mantenimiento tasas'!$C$56,'Tabla Ahorro Futuro Reservas'!C1340*'FR_Mantenimiento tasas'!$E$56/360,IF(C1340&lt;='FR_Mantenimiento tasas'!$C$57,'Tabla Ahorro Futuro Reservas'!C1340*'FR_Mantenimiento tasas'!$E$57/360,""))),5)</f>
        <v>0</v>
      </c>
    </row>
    <row r="1341" spans="1:5">
      <c r="A1341" s="123">
        <f t="shared" si="40"/>
        <v>1339</v>
      </c>
      <c r="B1341" s="122">
        <f>IF(DAY(A1341)=DAY('F-Ahorro Futuro Reservas'!$H$10),'F-Ahorro Futuro Reservas'!$H$9,0)</f>
        <v>0</v>
      </c>
      <c r="C1341" s="122">
        <f t="shared" si="41"/>
        <v>0</v>
      </c>
      <c r="D1341" s="121">
        <f>ROUND(IF(C1341&lt;='FR_Mantenimiento tasas'!$C$55,'Tabla Ahorro Futuro Reservas'!C1341*'FR_Mantenimiento tasas'!$D$55/360,IF(C1341&lt;='FR_Mantenimiento tasas'!$C$56,'Tabla Ahorro Futuro Reservas'!C1341*'FR_Mantenimiento tasas'!$D$56/360,IF(C1341&lt;='FR_Mantenimiento tasas'!$C$57,'Tabla Ahorro Futuro Reservas'!C1341*'FR_Mantenimiento tasas'!$D$57/360,""))),5)</f>
        <v>0</v>
      </c>
      <c r="E1341" s="121">
        <f>ROUND(IF(C1341&lt;='FR_Mantenimiento tasas'!$C$55,'Tabla Ahorro Futuro Reservas'!C1341*'FR_Mantenimiento tasas'!$E$55/360,IF(C1341&lt;='FR_Mantenimiento tasas'!$C$56,'Tabla Ahorro Futuro Reservas'!C1341*'FR_Mantenimiento tasas'!$E$56/360,IF(C1341&lt;='FR_Mantenimiento tasas'!$C$57,'Tabla Ahorro Futuro Reservas'!C1341*'FR_Mantenimiento tasas'!$E$57/360,""))),5)</f>
        <v>0</v>
      </c>
    </row>
    <row r="1342" spans="1:5">
      <c r="A1342" s="123">
        <f t="shared" si="40"/>
        <v>1340</v>
      </c>
      <c r="B1342" s="122">
        <f>IF(DAY(A1342)=DAY('F-Ahorro Futuro Reservas'!$H$10),'F-Ahorro Futuro Reservas'!$H$9,0)</f>
        <v>0</v>
      </c>
      <c r="C1342" s="122">
        <f t="shared" si="41"/>
        <v>0</v>
      </c>
      <c r="D1342" s="121">
        <f>ROUND(IF(C1342&lt;='FR_Mantenimiento tasas'!$C$55,'Tabla Ahorro Futuro Reservas'!C1342*'FR_Mantenimiento tasas'!$D$55/360,IF(C1342&lt;='FR_Mantenimiento tasas'!$C$56,'Tabla Ahorro Futuro Reservas'!C1342*'FR_Mantenimiento tasas'!$D$56/360,IF(C1342&lt;='FR_Mantenimiento tasas'!$C$57,'Tabla Ahorro Futuro Reservas'!C1342*'FR_Mantenimiento tasas'!$D$57/360,""))),5)</f>
        <v>0</v>
      </c>
      <c r="E1342" s="121">
        <f>ROUND(IF(C1342&lt;='FR_Mantenimiento tasas'!$C$55,'Tabla Ahorro Futuro Reservas'!C1342*'FR_Mantenimiento tasas'!$E$55/360,IF(C1342&lt;='FR_Mantenimiento tasas'!$C$56,'Tabla Ahorro Futuro Reservas'!C1342*'FR_Mantenimiento tasas'!$E$56/360,IF(C1342&lt;='FR_Mantenimiento tasas'!$C$57,'Tabla Ahorro Futuro Reservas'!C1342*'FR_Mantenimiento tasas'!$E$57/360,""))),5)</f>
        <v>0</v>
      </c>
    </row>
    <row r="1343" spans="1:5">
      <c r="A1343" s="123">
        <f t="shared" si="40"/>
        <v>1341</v>
      </c>
      <c r="B1343" s="122">
        <f>IF(DAY(A1343)=DAY('F-Ahorro Futuro Reservas'!$H$10),'F-Ahorro Futuro Reservas'!$H$9,0)</f>
        <v>0</v>
      </c>
      <c r="C1343" s="122">
        <f t="shared" si="41"/>
        <v>0</v>
      </c>
      <c r="D1343" s="121">
        <f>ROUND(IF(C1343&lt;='FR_Mantenimiento tasas'!$C$55,'Tabla Ahorro Futuro Reservas'!C1343*'FR_Mantenimiento tasas'!$D$55/360,IF(C1343&lt;='FR_Mantenimiento tasas'!$C$56,'Tabla Ahorro Futuro Reservas'!C1343*'FR_Mantenimiento tasas'!$D$56/360,IF(C1343&lt;='FR_Mantenimiento tasas'!$C$57,'Tabla Ahorro Futuro Reservas'!C1343*'FR_Mantenimiento tasas'!$D$57/360,""))),5)</f>
        <v>0</v>
      </c>
      <c r="E1343" s="121">
        <f>ROUND(IF(C1343&lt;='FR_Mantenimiento tasas'!$C$55,'Tabla Ahorro Futuro Reservas'!C1343*'FR_Mantenimiento tasas'!$E$55/360,IF(C1343&lt;='FR_Mantenimiento tasas'!$C$56,'Tabla Ahorro Futuro Reservas'!C1343*'FR_Mantenimiento tasas'!$E$56/360,IF(C1343&lt;='FR_Mantenimiento tasas'!$C$57,'Tabla Ahorro Futuro Reservas'!C1343*'FR_Mantenimiento tasas'!$E$57/360,""))),5)</f>
        <v>0</v>
      </c>
    </row>
    <row r="1344" spans="1:5">
      <c r="A1344" s="123">
        <f t="shared" si="40"/>
        <v>1342</v>
      </c>
      <c r="B1344" s="122">
        <f>IF(DAY(A1344)=DAY('F-Ahorro Futuro Reservas'!$H$10),'F-Ahorro Futuro Reservas'!$H$9,0)</f>
        <v>0</v>
      </c>
      <c r="C1344" s="122">
        <f t="shared" si="41"/>
        <v>0</v>
      </c>
      <c r="D1344" s="121">
        <f>ROUND(IF(C1344&lt;='FR_Mantenimiento tasas'!$C$55,'Tabla Ahorro Futuro Reservas'!C1344*'FR_Mantenimiento tasas'!$D$55/360,IF(C1344&lt;='FR_Mantenimiento tasas'!$C$56,'Tabla Ahorro Futuro Reservas'!C1344*'FR_Mantenimiento tasas'!$D$56/360,IF(C1344&lt;='FR_Mantenimiento tasas'!$C$57,'Tabla Ahorro Futuro Reservas'!C1344*'FR_Mantenimiento tasas'!$D$57/360,""))),5)</f>
        <v>0</v>
      </c>
      <c r="E1344" s="121">
        <f>ROUND(IF(C1344&lt;='FR_Mantenimiento tasas'!$C$55,'Tabla Ahorro Futuro Reservas'!C1344*'FR_Mantenimiento tasas'!$E$55/360,IF(C1344&lt;='FR_Mantenimiento tasas'!$C$56,'Tabla Ahorro Futuro Reservas'!C1344*'FR_Mantenimiento tasas'!$E$56/360,IF(C1344&lt;='FR_Mantenimiento tasas'!$C$57,'Tabla Ahorro Futuro Reservas'!C1344*'FR_Mantenimiento tasas'!$E$57/360,""))),5)</f>
        <v>0</v>
      </c>
    </row>
    <row r="1345" spans="1:5">
      <c r="A1345" s="123">
        <f t="shared" si="40"/>
        <v>1343</v>
      </c>
      <c r="B1345" s="122">
        <f>IF(DAY(A1345)=DAY('F-Ahorro Futuro Reservas'!$H$10),'F-Ahorro Futuro Reservas'!$H$9,0)</f>
        <v>0</v>
      </c>
      <c r="C1345" s="122">
        <f t="shared" si="41"/>
        <v>0</v>
      </c>
      <c r="D1345" s="121">
        <f>ROUND(IF(C1345&lt;='FR_Mantenimiento tasas'!$C$55,'Tabla Ahorro Futuro Reservas'!C1345*'FR_Mantenimiento tasas'!$D$55/360,IF(C1345&lt;='FR_Mantenimiento tasas'!$C$56,'Tabla Ahorro Futuro Reservas'!C1345*'FR_Mantenimiento tasas'!$D$56/360,IF(C1345&lt;='FR_Mantenimiento tasas'!$C$57,'Tabla Ahorro Futuro Reservas'!C1345*'FR_Mantenimiento tasas'!$D$57/360,""))),5)</f>
        <v>0</v>
      </c>
      <c r="E1345" s="121">
        <f>ROUND(IF(C1345&lt;='FR_Mantenimiento tasas'!$C$55,'Tabla Ahorro Futuro Reservas'!C1345*'FR_Mantenimiento tasas'!$E$55/360,IF(C1345&lt;='FR_Mantenimiento tasas'!$C$56,'Tabla Ahorro Futuro Reservas'!C1345*'FR_Mantenimiento tasas'!$E$56/360,IF(C1345&lt;='FR_Mantenimiento tasas'!$C$57,'Tabla Ahorro Futuro Reservas'!C1345*'FR_Mantenimiento tasas'!$E$57/360,""))),5)</f>
        <v>0</v>
      </c>
    </row>
    <row r="1346" spans="1:5">
      <c r="A1346" s="123">
        <f t="shared" si="40"/>
        <v>1344</v>
      </c>
      <c r="B1346" s="122">
        <f>IF(DAY(A1346)=DAY('F-Ahorro Futuro Reservas'!$H$10),'F-Ahorro Futuro Reservas'!$H$9,0)</f>
        <v>0</v>
      </c>
      <c r="C1346" s="122">
        <f t="shared" si="41"/>
        <v>0</v>
      </c>
      <c r="D1346" s="121">
        <f>ROUND(IF(C1346&lt;='FR_Mantenimiento tasas'!$C$55,'Tabla Ahorro Futuro Reservas'!C1346*'FR_Mantenimiento tasas'!$D$55/360,IF(C1346&lt;='FR_Mantenimiento tasas'!$C$56,'Tabla Ahorro Futuro Reservas'!C1346*'FR_Mantenimiento tasas'!$D$56/360,IF(C1346&lt;='FR_Mantenimiento tasas'!$C$57,'Tabla Ahorro Futuro Reservas'!C1346*'FR_Mantenimiento tasas'!$D$57/360,""))),5)</f>
        <v>0</v>
      </c>
      <c r="E1346" s="121">
        <f>ROUND(IF(C1346&lt;='FR_Mantenimiento tasas'!$C$55,'Tabla Ahorro Futuro Reservas'!C1346*'FR_Mantenimiento tasas'!$E$55/360,IF(C1346&lt;='FR_Mantenimiento tasas'!$C$56,'Tabla Ahorro Futuro Reservas'!C1346*'FR_Mantenimiento tasas'!$E$56/360,IF(C1346&lt;='FR_Mantenimiento tasas'!$C$57,'Tabla Ahorro Futuro Reservas'!C1346*'FR_Mantenimiento tasas'!$E$57/360,""))),5)</f>
        <v>0</v>
      </c>
    </row>
    <row r="1347" spans="1:5">
      <c r="A1347" s="123">
        <f t="shared" si="40"/>
        <v>1345</v>
      </c>
      <c r="B1347" s="122">
        <f>IF(DAY(A1347)=DAY('F-Ahorro Futuro Reservas'!$H$10),'F-Ahorro Futuro Reservas'!$H$9,0)</f>
        <v>0</v>
      </c>
      <c r="C1347" s="122">
        <f t="shared" si="41"/>
        <v>0</v>
      </c>
      <c r="D1347" s="121">
        <f>ROUND(IF(C1347&lt;='FR_Mantenimiento tasas'!$C$55,'Tabla Ahorro Futuro Reservas'!C1347*'FR_Mantenimiento tasas'!$D$55/360,IF(C1347&lt;='FR_Mantenimiento tasas'!$C$56,'Tabla Ahorro Futuro Reservas'!C1347*'FR_Mantenimiento tasas'!$D$56/360,IF(C1347&lt;='FR_Mantenimiento tasas'!$C$57,'Tabla Ahorro Futuro Reservas'!C1347*'FR_Mantenimiento tasas'!$D$57/360,""))),5)</f>
        <v>0</v>
      </c>
      <c r="E1347" s="121">
        <f>ROUND(IF(C1347&lt;='FR_Mantenimiento tasas'!$C$55,'Tabla Ahorro Futuro Reservas'!C1347*'FR_Mantenimiento tasas'!$E$55/360,IF(C1347&lt;='FR_Mantenimiento tasas'!$C$56,'Tabla Ahorro Futuro Reservas'!C1347*'FR_Mantenimiento tasas'!$E$56/360,IF(C1347&lt;='FR_Mantenimiento tasas'!$C$57,'Tabla Ahorro Futuro Reservas'!C1347*'FR_Mantenimiento tasas'!$E$57/360,""))),5)</f>
        <v>0</v>
      </c>
    </row>
    <row r="1348" spans="1:5">
      <c r="A1348" s="123">
        <f t="shared" ref="A1348:A1411" si="42">+A1347+1</f>
        <v>1346</v>
      </c>
      <c r="B1348" s="122">
        <f>IF(DAY(A1348)=DAY('F-Ahorro Futuro Reservas'!$H$10),'F-Ahorro Futuro Reservas'!$H$9,0)</f>
        <v>0</v>
      </c>
      <c r="C1348" s="122">
        <f t="shared" ref="C1348:C1411" si="43">+B1348+C1347+D1347</f>
        <v>0</v>
      </c>
      <c r="D1348" s="121">
        <f>ROUND(IF(C1348&lt;='FR_Mantenimiento tasas'!$C$55,'Tabla Ahorro Futuro Reservas'!C1348*'FR_Mantenimiento tasas'!$D$55/360,IF(C1348&lt;='FR_Mantenimiento tasas'!$C$56,'Tabla Ahorro Futuro Reservas'!C1348*'FR_Mantenimiento tasas'!$D$56/360,IF(C1348&lt;='FR_Mantenimiento tasas'!$C$57,'Tabla Ahorro Futuro Reservas'!C1348*'FR_Mantenimiento tasas'!$D$57/360,""))),5)</f>
        <v>0</v>
      </c>
      <c r="E1348" s="121">
        <f>ROUND(IF(C1348&lt;='FR_Mantenimiento tasas'!$C$55,'Tabla Ahorro Futuro Reservas'!C1348*'FR_Mantenimiento tasas'!$E$55/360,IF(C1348&lt;='FR_Mantenimiento tasas'!$C$56,'Tabla Ahorro Futuro Reservas'!C1348*'FR_Mantenimiento tasas'!$E$56/360,IF(C1348&lt;='FR_Mantenimiento tasas'!$C$57,'Tabla Ahorro Futuro Reservas'!C1348*'FR_Mantenimiento tasas'!$E$57/360,""))),5)</f>
        <v>0</v>
      </c>
    </row>
    <row r="1349" spans="1:5">
      <c r="A1349" s="123">
        <f t="shared" si="42"/>
        <v>1347</v>
      </c>
      <c r="B1349" s="122">
        <f>IF(DAY(A1349)=DAY('F-Ahorro Futuro Reservas'!$H$10),'F-Ahorro Futuro Reservas'!$H$9,0)</f>
        <v>0</v>
      </c>
      <c r="C1349" s="122">
        <f t="shared" si="43"/>
        <v>0</v>
      </c>
      <c r="D1349" s="121">
        <f>ROUND(IF(C1349&lt;='FR_Mantenimiento tasas'!$C$55,'Tabla Ahorro Futuro Reservas'!C1349*'FR_Mantenimiento tasas'!$D$55/360,IF(C1349&lt;='FR_Mantenimiento tasas'!$C$56,'Tabla Ahorro Futuro Reservas'!C1349*'FR_Mantenimiento tasas'!$D$56/360,IF(C1349&lt;='FR_Mantenimiento tasas'!$C$57,'Tabla Ahorro Futuro Reservas'!C1349*'FR_Mantenimiento tasas'!$D$57/360,""))),5)</f>
        <v>0</v>
      </c>
      <c r="E1349" s="121">
        <f>ROUND(IF(C1349&lt;='FR_Mantenimiento tasas'!$C$55,'Tabla Ahorro Futuro Reservas'!C1349*'FR_Mantenimiento tasas'!$E$55/360,IF(C1349&lt;='FR_Mantenimiento tasas'!$C$56,'Tabla Ahorro Futuro Reservas'!C1349*'FR_Mantenimiento tasas'!$E$56/360,IF(C1349&lt;='FR_Mantenimiento tasas'!$C$57,'Tabla Ahorro Futuro Reservas'!C1349*'FR_Mantenimiento tasas'!$E$57/360,""))),5)</f>
        <v>0</v>
      </c>
    </row>
    <row r="1350" spans="1:5">
      <c r="A1350" s="123">
        <f t="shared" si="42"/>
        <v>1348</v>
      </c>
      <c r="B1350" s="122">
        <f>IF(DAY(A1350)=DAY('F-Ahorro Futuro Reservas'!$H$10),'F-Ahorro Futuro Reservas'!$H$9,0)</f>
        <v>0</v>
      </c>
      <c r="C1350" s="122">
        <f t="shared" si="43"/>
        <v>0</v>
      </c>
      <c r="D1350" s="121">
        <f>ROUND(IF(C1350&lt;='FR_Mantenimiento tasas'!$C$55,'Tabla Ahorro Futuro Reservas'!C1350*'FR_Mantenimiento tasas'!$D$55/360,IF(C1350&lt;='FR_Mantenimiento tasas'!$C$56,'Tabla Ahorro Futuro Reservas'!C1350*'FR_Mantenimiento tasas'!$D$56/360,IF(C1350&lt;='FR_Mantenimiento tasas'!$C$57,'Tabla Ahorro Futuro Reservas'!C1350*'FR_Mantenimiento tasas'!$D$57/360,""))),5)</f>
        <v>0</v>
      </c>
      <c r="E1350" s="121">
        <f>ROUND(IF(C1350&lt;='FR_Mantenimiento tasas'!$C$55,'Tabla Ahorro Futuro Reservas'!C1350*'FR_Mantenimiento tasas'!$E$55/360,IF(C1350&lt;='FR_Mantenimiento tasas'!$C$56,'Tabla Ahorro Futuro Reservas'!C1350*'FR_Mantenimiento tasas'!$E$56/360,IF(C1350&lt;='FR_Mantenimiento tasas'!$C$57,'Tabla Ahorro Futuro Reservas'!C1350*'FR_Mantenimiento tasas'!$E$57/360,""))),5)</f>
        <v>0</v>
      </c>
    </row>
    <row r="1351" spans="1:5">
      <c r="A1351" s="123">
        <f t="shared" si="42"/>
        <v>1349</v>
      </c>
      <c r="B1351" s="122">
        <f>IF(DAY(A1351)=DAY('F-Ahorro Futuro Reservas'!$H$10),'F-Ahorro Futuro Reservas'!$H$9,0)</f>
        <v>0</v>
      </c>
      <c r="C1351" s="122">
        <f t="shared" si="43"/>
        <v>0</v>
      </c>
      <c r="D1351" s="121">
        <f>ROUND(IF(C1351&lt;='FR_Mantenimiento tasas'!$C$55,'Tabla Ahorro Futuro Reservas'!C1351*'FR_Mantenimiento tasas'!$D$55/360,IF(C1351&lt;='FR_Mantenimiento tasas'!$C$56,'Tabla Ahorro Futuro Reservas'!C1351*'FR_Mantenimiento tasas'!$D$56/360,IF(C1351&lt;='FR_Mantenimiento tasas'!$C$57,'Tabla Ahorro Futuro Reservas'!C1351*'FR_Mantenimiento tasas'!$D$57/360,""))),5)</f>
        <v>0</v>
      </c>
      <c r="E1351" s="121">
        <f>ROUND(IF(C1351&lt;='FR_Mantenimiento tasas'!$C$55,'Tabla Ahorro Futuro Reservas'!C1351*'FR_Mantenimiento tasas'!$E$55/360,IF(C1351&lt;='FR_Mantenimiento tasas'!$C$56,'Tabla Ahorro Futuro Reservas'!C1351*'FR_Mantenimiento tasas'!$E$56/360,IF(C1351&lt;='FR_Mantenimiento tasas'!$C$57,'Tabla Ahorro Futuro Reservas'!C1351*'FR_Mantenimiento tasas'!$E$57/360,""))),5)</f>
        <v>0</v>
      </c>
    </row>
    <row r="1352" spans="1:5">
      <c r="A1352" s="123">
        <f t="shared" si="42"/>
        <v>1350</v>
      </c>
      <c r="B1352" s="122">
        <f>IF(DAY(A1352)=DAY('F-Ahorro Futuro Reservas'!$H$10),'F-Ahorro Futuro Reservas'!$H$9,0)</f>
        <v>0</v>
      </c>
      <c r="C1352" s="122">
        <f t="shared" si="43"/>
        <v>0</v>
      </c>
      <c r="D1352" s="121">
        <f>ROUND(IF(C1352&lt;='FR_Mantenimiento tasas'!$C$55,'Tabla Ahorro Futuro Reservas'!C1352*'FR_Mantenimiento tasas'!$D$55/360,IF(C1352&lt;='FR_Mantenimiento tasas'!$C$56,'Tabla Ahorro Futuro Reservas'!C1352*'FR_Mantenimiento tasas'!$D$56/360,IF(C1352&lt;='FR_Mantenimiento tasas'!$C$57,'Tabla Ahorro Futuro Reservas'!C1352*'FR_Mantenimiento tasas'!$D$57/360,""))),5)</f>
        <v>0</v>
      </c>
      <c r="E1352" s="121">
        <f>ROUND(IF(C1352&lt;='FR_Mantenimiento tasas'!$C$55,'Tabla Ahorro Futuro Reservas'!C1352*'FR_Mantenimiento tasas'!$E$55/360,IF(C1352&lt;='FR_Mantenimiento tasas'!$C$56,'Tabla Ahorro Futuro Reservas'!C1352*'FR_Mantenimiento tasas'!$E$56/360,IF(C1352&lt;='FR_Mantenimiento tasas'!$C$57,'Tabla Ahorro Futuro Reservas'!C1352*'FR_Mantenimiento tasas'!$E$57/360,""))),5)</f>
        <v>0</v>
      </c>
    </row>
    <row r="1353" spans="1:5">
      <c r="A1353" s="123">
        <f t="shared" si="42"/>
        <v>1351</v>
      </c>
      <c r="B1353" s="122">
        <f>IF(DAY(A1353)=DAY('F-Ahorro Futuro Reservas'!$H$10),'F-Ahorro Futuro Reservas'!$H$9,0)</f>
        <v>0</v>
      </c>
      <c r="C1353" s="122">
        <f t="shared" si="43"/>
        <v>0</v>
      </c>
      <c r="D1353" s="121">
        <f>ROUND(IF(C1353&lt;='FR_Mantenimiento tasas'!$C$55,'Tabla Ahorro Futuro Reservas'!C1353*'FR_Mantenimiento tasas'!$D$55/360,IF(C1353&lt;='FR_Mantenimiento tasas'!$C$56,'Tabla Ahorro Futuro Reservas'!C1353*'FR_Mantenimiento tasas'!$D$56/360,IF(C1353&lt;='FR_Mantenimiento tasas'!$C$57,'Tabla Ahorro Futuro Reservas'!C1353*'FR_Mantenimiento tasas'!$D$57/360,""))),5)</f>
        <v>0</v>
      </c>
      <c r="E1353" s="121">
        <f>ROUND(IF(C1353&lt;='FR_Mantenimiento tasas'!$C$55,'Tabla Ahorro Futuro Reservas'!C1353*'FR_Mantenimiento tasas'!$E$55/360,IF(C1353&lt;='FR_Mantenimiento tasas'!$C$56,'Tabla Ahorro Futuro Reservas'!C1353*'FR_Mantenimiento tasas'!$E$56/360,IF(C1353&lt;='FR_Mantenimiento tasas'!$C$57,'Tabla Ahorro Futuro Reservas'!C1353*'FR_Mantenimiento tasas'!$E$57/360,""))),5)</f>
        <v>0</v>
      </c>
    </row>
    <row r="1354" spans="1:5">
      <c r="A1354" s="123">
        <f t="shared" si="42"/>
        <v>1352</v>
      </c>
      <c r="B1354" s="122">
        <f>IF(DAY(A1354)=DAY('F-Ahorro Futuro Reservas'!$H$10),'F-Ahorro Futuro Reservas'!$H$9,0)</f>
        <v>0</v>
      </c>
      <c r="C1354" s="122">
        <f t="shared" si="43"/>
        <v>0</v>
      </c>
      <c r="D1354" s="121">
        <f>ROUND(IF(C1354&lt;='FR_Mantenimiento tasas'!$C$55,'Tabla Ahorro Futuro Reservas'!C1354*'FR_Mantenimiento tasas'!$D$55/360,IF(C1354&lt;='FR_Mantenimiento tasas'!$C$56,'Tabla Ahorro Futuro Reservas'!C1354*'FR_Mantenimiento tasas'!$D$56/360,IF(C1354&lt;='FR_Mantenimiento tasas'!$C$57,'Tabla Ahorro Futuro Reservas'!C1354*'FR_Mantenimiento tasas'!$D$57/360,""))),5)</f>
        <v>0</v>
      </c>
      <c r="E1354" s="121">
        <f>ROUND(IF(C1354&lt;='FR_Mantenimiento tasas'!$C$55,'Tabla Ahorro Futuro Reservas'!C1354*'FR_Mantenimiento tasas'!$E$55/360,IF(C1354&lt;='FR_Mantenimiento tasas'!$C$56,'Tabla Ahorro Futuro Reservas'!C1354*'FR_Mantenimiento tasas'!$E$56/360,IF(C1354&lt;='FR_Mantenimiento tasas'!$C$57,'Tabla Ahorro Futuro Reservas'!C1354*'FR_Mantenimiento tasas'!$E$57/360,""))),5)</f>
        <v>0</v>
      </c>
    </row>
    <row r="1355" spans="1:5">
      <c r="A1355" s="123">
        <f t="shared" si="42"/>
        <v>1353</v>
      </c>
      <c r="B1355" s="122">
        <f>IF(DAY(A1355)=DAY('F-Ahorro Futuro Reservas'!$H$10),'F-Ahorro Futuro Reservas'!$H$9,0)</f>
        <v>0</v>
      </c>
      <c r="C1355" s="122">
        <f t="shared" si="43"/>
        <v>0</v>
      </c>
      <c r="D1355" s="121">
        <f>ROUND(IF(C1355&lt;='FR_Mantenimiento tasas'!$C$55,'Tabla Ahorro Futuro Reservas'!C1355*'FR_Mantenimiento tasas'!$D$55/360,IF(C1355&lt;='FR_Mantenimiento tasas'!$C$56,'Tabla Ahorro Futuro Reservas'!C1355*'FR_Mantenimiento tasas'!$D$56/360,IF(C1355&lt;='FR_Mantenimiento tasas'!$C$57,'Tabla Ahorro Futuro Reservas'!C1355*'FR_Mantenimiento tasas'!$D$57/360,""))),5)</f>
        <v>0</v>
      </c>
      <c r="E1355" s="121">
        <f>ROUND(IF(C1355&lt;='FR_Mantenimiento tasas'!$C$55,'Tabla Ahorro Futuro Reservas'!C1355*'FR_Mantenimiento tasas'!$E$55/360,IF(C1355&lt;='FR_Mantenimiento tasas'!$C$56,'Tabla Ahorro Futuro Reservas'!C1355*'FR_Mantenimiento tasas'!$E$56/360,IF(C1355&lt;='FR_Mantenimiento tasas'!$C$57,'Tabla Ahorro Futuro Reservas'!C1355*'FR_Mantenimiento tasas'!$E$57/360,""))),5)</f>
        <v>0</v>
      </c>
    </row>
    <row r="1356" spans="1:5">
      <c r="A1356" s="123">
        <f t="shared" si="42"/>
        <v>1354</v>
      </c>
      <c r="B1356" s="122">
        <f>IF(DAY(A1356)=DAY('F-Ahorro Futuro Reservas'!$H$10),'F-Ahorro Futuro Reservas'!$H$9,0)</f>
        <v>0</v>
      </c>
      <c r="C1356" s="122">
        <f t="shared" si="43"/>
        <v>0</v>
      </c>
      <c r="D1356" s="121">
        <f>ROUND(IF(C1356&lt;='FR_Mantenimiento tasas'!$C$55,'Tabla Ahorro Futuro Reservas'!C1356*'FR_Mantenimiento tasas'!$D$55/360,IF(C1356&lt;='FR_Mantenimiento tasas'!$C$56,'Tabla Ahorro Futuro Reservas'!C1356*'FR_Mantenimiento tasas'!$D$56/360,IF(C1356&lt;='FR_Mantenimiento tasas'!$C$57,'Tabla Ahorro Futuro Reservas'!C1356*'FR_Mantenimiento tasas'!$D$57/360,""))),5)</f>
        <v>0</v>
      </c>
      <c r="E1356" s="121">
        <f>ROUND(IF(C1356&lt;='FR_Mantenimiento tasas'!$C$55,'Tabla Ahorro Futuro Reservas'!C1356*'FR_Mantenimiento tasas'!$E$55/360,IF(C1356&lt;='FR_Mantenimiento tasas'!$C$56,'Tabla Ahorro Futuro Reservas'!C1356*'FR_Mantenimiento tasas'!$E$56/360,IF(C1356&lt;='FR_Mantenimiento tasas'!$C$57,'Tabla Ahorro Futuro Reservas'!C1356*'FR_Mantenimiento tasas'!$E$57/360,""))),5)</f>
        <v>0</v>
      </c>
    </row>
    <row r="1357" spans="1:5">
      <c r="A1357" s="123">
        <f t="shared" si="42"/>
        <v>1355</v>
      </c>
      <c r="B1357" s="122">
        <f>IF(DAY(A1357)=DAY('F-Ahorro Futuro Reservas'!$H$10),'F-Ahorro Futuro Reservas'!$H$9,0)</f>
        <v>0</v>
      </c>
      <c r="C1357" s="122">
        <f t="shared" si="43"/>
        <v>0</v>
      </c>
      <c r="D1357" s="121">
        <f>ROUND(IF(C1357&lt;='FR_Mantenimiento tasas'!$C$55,'Tabla Ahorro Futuro Reservas'!C1357*'FR_Mantenimiento tasas'!$D$55/360,IF(C1357&lt;='FR_Mantenimiento tasas'!$C$56,'Tabla Ahorro Futuro Reservas'!C1357*'FR_Mantenimiento tasas'!$D$56/360,IF(C1357&lt;='FR_Mantenimiento tasas'!$C$57,'Tabla Ahorro Futuro Reservas'!C1357*'FR_Mantenimiento tasas'!$D$57/360,""))),5)</f>
        <v>0</v>
      </c>
      <c r="E1357" s="121">
        <f>ROUND(IF(C1357&lt;='FR_Mantenimiento tasas'!$C$55,'Tabla Ahorro Futuro Reservas'!C1357*'FR_Mantenimiento tasas'!$E$55/360,IF(C1357&lt;='FR_Mantenimiento tasas'!$C$56,'Tabla Ahorro Futuro Reservas'!C1357*'FR_Mantenimiento tasas'!$E$56/360,IF(C1357&lt;='FR_Mantenimiento tasas'!$C$57,'Tabla Ahorro Futuro Reservas'!C1357*'FR_Mantenimiento tasas'!$E$57/360,""))),5)</f>
        <v>0</v>
      </c>
    </row>
    <row r="1358" spans="1:5">
      <c r="A1358" s="123">
        <f t="shared" si="42"/>
        <v>1356</v>
      </c>
      <c r="B1358" s="122">
        <f>IF(DAY(A1358)=DAY('F-Ahorro Futuro Reservas'!$H$10),'F-Ahorro Futuro Reservas'!$H$9,0)</f>
        <v>0</v>
      </c>
      <c r="C1358" s="122">
        <f t="shared" si="43"/>
        <v>0</v>
      </c>
      <c r="D1358" s="121">
        <f>ROUND(IF(C1358&lt;='FR_Mantenimiento tasas'!$C$55,'Tabla Ahorro Futuro Reservas'!C1358*'FR_Mantenimiento tasas'!$D$55/360,IF(C1358&lt;='FR_Mantenimiento tasas'!$C$56,'Tabla Ahorro Futuro Reservas'!C1358*'FR_Mantenimiento tasas'!$D$56/360,IF(C1358&lt;='FR_Mantenimiento tasas'!$C$57,'Tabla Ahorro Futuro Reservas'!C1358*'FR_Mantenimiento tasas'!$D$57/360,""))),5)</f>
        <v>0</v>
      </c>
      <c r="E1358" s="121">
        <f>ROUND(IF(C1358&lt;='FR_Mantenimiento tasas'!$C$55,'Tabla Ahorro Futuro Reservas'!C1358*'FR_Mantenimiento tasas'!$E$55/360,IF(C1358&lt;='FR_Mantenimiento tasas'!$C$56,'Tabla Ahorro Futuro Reservas'!C1358*'FR_Mantenimiento tasas'!$E$56/360,IF(C1358&lt;='FR_Mantenimiento tasas'!$C$57,'Tabla Ahorro Futuro Reservas'!C1358*'FR_Mantenimiento tasas'!$E$57/360,""))),5)</f>
        <v>0</v>
      </c>
    </row>
    <row r="1359" spans="1:5">
      <c r="A1359" s="123">
        <f t="shared" si="42"/>
        <v>1357</v>
      </c>
      <c r="B1359" s="122">
        <f>IF(DAY(A1359)=DAY('F-Ahorro Futuro Reservas'!$H$10),'F-Ahorro Futuro Reservas'!$H$9,0)</f>
        <v>0</v>
      </c>
      <c r="C1359" s="122">
        <f t="shared" si="43"/>
        <v>0</v>
      </c>
      <c r="D1359" s="121">
        <f>ROUND(IF(C1359&lt;='FR_Mantenimiento tasas'!$C$55,'Tabla Ahorro Futuro Reservas'!C1359*'FR_Mantenimiento tasas'!$D$55/360,IF(C1359&lt;='FR_Mantenimiento tasas'!$C$56,'Tabla Ahorro Futuro Reservas'!C1359*'FR_Mantenimiento tasas'!$D$56/360,IF(C1359&lt;='FR_Mantenimiento tasas'!$C$57,'Tabla Ahorro Futuro Reservas'!C1359*'FR_Mantenimiento tasas'!$D$57/360,""))),5)</f>
        <v>0</v>
      </c>
      <c r="E1359" s="121">
        <f>ROUND(IF(C1359&lt;='FR_Mantenimiento tasas'!$C$55,'Tabla Ahorro Futuro Reservas'!C1359*'FR_Mantenimiento tasas'!$E$55/360,IF(C1359&lt;='FR_Mantenimiento tasas'!$C$56,'Tabla Ahorro Futuro Reservas'!C1359*'FR_Mantenimiento tasas'!$E$56/360,IF(C1359&lt;='FR_Mantenimiento tasas'!$C$57,'Tabla Ahorro Futuro Reservas'!C1359*'FR_Mantenimiento tasas'!$E$57/360,""))),5)</f>
        <v>0</v>
      </c>
    </row>
    <row r="1360" spans="1:5">
      <c r="A1360" s="123">
        <f t="shared" si="42"/>
        <v>1358</v>
      </c>
      <c r="B1360" s="122">
        <f>IF(DAY(A1360)=DAY('F-Ahorro Futuro Reservas'!$H$10),'F-Ahorro Futuro Reservas'!$H$9,0)</f>
        <v>0</v>
      </c>
      <c r="C1360" s="122">
        <f t="shared" si="43"/>
        <v>0</v>
      </c>
      <c r="D1360" s="121">
        <f>ROUND(IF(C1360&lt;='FR_Mantenimiento tasas'!$C$55,'Tabla Ahorro Futuro Reservas'!C1360*'FR_Mantenimiento tasas'!$D$55/360,IF(C1360&lt;='FR_Mantenimiento tasas'!$C$56,'Tabla Ahorro Futuro Reservas'!C1360*'FR_Mantenimiento tasas'!$D$56/360,IF(C1360&lt;='FR_Mantenimiento tasas'!$C$57,'Tabla Ahorro Futuro Reservas'!C1360*'FR_Mantenimiento tasas'!$D$57/360,""))),5)</f>
        <v>0</v>
      </c>
      <c r="E1360" s="121">
        <f>ROUND(IF(C1360&lt;='FR_Mantenimiento tasas'!$C$55,'Tabla Ahorro Futuro Reservas'!C1360*'FR_Mantenimiento tasas'!$E$55/360,IF(C1360&lt;='FR_Mantenimiento tasas'!$C$56,'Tabla Ahorro Futuro Reservas'!C1360*'FR_Mantenimiento tasas'!$E$56/360,IF(C1360&lt;='FR_Mantenimiento tasas'!$C$57,'Tabla Ahorro Futuro Reservas'!C1360*'FR_Mantenimiento tasas'!$E$57/360,""))),5)</f>
        <v>0</v>
      </c>
    </row>
    <row r="1361" spans="1:5">
      <c r="A1361" s="123">
        <f t="shared" si="42"/>
        <v>1359</v>
      </c>
      <c r="B1361" s="122">
        <f>IF(DAY(A1361)=DAY('F-Ahorro Futuro Reservas'!$H$10),'F-Ahorro Futuro Reservas'!$H$9,0)</f>
        <v>0</v>
      </c>
      <c r="C1361" s="122">
        <f t="shared" si="43"/>
        <v>0</v>
      </c>
      <c r="D1361" s="121">
        <f>ROUND(IF(C1361&lt;='FR_Mantenimiento tasas'!$C$55,'Tabla Ahorro Futuro Reservas'!C1361*'FR_Mantenimiento tasas'!$D$55/360,IF(C1361&lt;='FR_Mantenimiento tasas'!$C$56,'Tabla Ahorro Futuro Reservas'!C1361*'FR_Mantenimiento tasas'!$D$56/360,IF(C1361&lt;='FR_Mantenimiento tasas'!$C$57,'Tabla Ahorro Futuro Reservas'!C1361*'FR_Mantenimiento tasas'!$D$57/360,""))),5)</f>
        <v>0</v>
      </c>
      <c r="E1361" s="121">
        <f>ROUND(IF(C1361&lt;='FR_Mantenimiento tasas'!$C$55,'Tabla Ahorro Futuro Reservas'!C1361*'FR_Mantenimiento tasas'!$E$55/360,IF(C1361&lt;='FR_Mantenimiento tasas'!$C$56,'Tabla Ahorro Futuro Reservas'!C1361*'FR_Mantenimiento tasas'!$E$56/360,IF(C1361&lt;='FR_Mantenimiento tasas'!$C$57,'Tabla Ahorro Futuro Reservas'!C1361*'FR_Mantenimiento tasas'!$E$57/360,""))),5)</f>
        <v>0</v>
      </c>
    </row>
    <row r="1362" spans="1:5">
      <c r="A1362" s="123">
        <f t="shared" si="42"/>
        <v>1360</v>
      </c>
      <c r="B1362" s="122">
        <f>IF(DAY(A1362)=DAY('F-Ahorro Futuro Reservas'!$H$10),'F-Ahorro Futuro Reservas'!$H$9,0)</f>
        <v>0</v>
      </c>
      <c r="C1362" s="122">
        <f t="shared" si="43"/>
        <v>0</v>
      </c>
      <c r="D1362" s="121">
        <f>ROUND(IF(C1362&lt;='FR_Mantenimiento tasas'!$C$55,'Tabla Ahorro Futuro Reservas'!C1362*'FR_Mantenimiento tasas'!$D$55/360,IF(C1362&lt;='FR_Mantenimiento tasas'!$C$56,'Tabla Ahorro Futuro Reservas'!C1362*'FR_Mantenimiento tasas'!$D$56/360,IF(C1362&lt;='FR_Mantenimiento tasas'!$C$57,'Tabla Ahorro Futuro Reservas'!C1362*'FR_Mantenimiento tasas'!$D$57/360,""))),5)</f>
        <v>0</v>
      </c>
      <c r="E1362" s="121">
        <f>ROUND(IF(C1362&lt;='FR_Mantenimiento tasas'!$C$55,'Tabla Ahorro Futuro Reservas'!C1362*'FR_Mantenimiento tasas'!$E$55/360,IF(C1362&lt;='FR_Mantenimiento tasas'!$C$56,'Tabla Ahorro Futuro Reservas'!C1362*'FR_Mantenimiento tasas'!$E$56/360,IF(C1362&lt;='FR_Mantenimiento tasas'!$C$57,'Tabla Ahorro Futuro Reservas'!C1362*'FR_Mantenimiento tasas'!$E$57/360,""))),5)</f>
        <v>0</v>
      </c>
    </row>
    <row r="1363" spans="1:5">
      <c r="A1363" s="123">
        <f t="shared" si="42"/>
        <v>1361</v>
      </c>
      <c r="B1363" s="122">
        <f>IF(DAY(A1363)=DAY('F-Ahorro Futuro Reservas'!$H$10),'F-Ahorro Futuro Reservas'!$H$9,0)</f>
        <v>0</v>
      </c>
      <c r="C1363" s="122">
        <f t="shared" si="43"/>
        <v>0</v>
      </c>
      <c r="D1363" s="121">
        <f>ROUND(IF(C1363&lt;='FR_Mantenimiento tasas'!$C$55,'Tabla Ahorro Futuro Reservas'!C1363*'FR_Mantenimiento tasas'!$D$55/360,IF(C1363&lt;='FR_Mantenimiento tasas'!$C$56,'Tabla Ahorro Futuro Reservas'!C1363*'FR_Mantenimiento tasas'!$D$56/360,IF(C1363&lt;='FR_Mantenimiento tasas'!$C$57,'Tabla Ahorro Futuro Reservas'!C1363*'FR_Mantenimiento tasas'!$D$57/360,""))),5)</f>
        <v>0</v>
      </c>
      <c r="E1363" s="121">
        <f>ROUND(IF(C1363&lt;='FR_Mantenimiento tasas'!$C$55,'Tabla Ahorro Futuro Reservas'!C1363*'FR_Mantenimiento tasas'!$E$55/360,IF(C1363&lt;='FR_Mantenimiento tasas'!$C$56,'Tabla Ahorro Futuro Reservas'!C1363*'FR_Mantenimiento tasas'!$E$56/360,IF(C1363&lt;='FR_Mantenimiento tasas'!$C$57,'Tabla Ahorro Futuro Reservas'!C1363*'FR_Mantenimiento tasas'!$E$57/360,""))),5)</f>
        <v>0</v>
      </c>
    </row>
    <row r="1364" spans="1:5">
      <c r="A1364" s="123">
        <f t="shared" si="42"/>
        <v>1362</v>
      </c>
      <c r="B1364" s="122">
        <f>IF(DAY(A1364)=DAY('F-Ahorro Futuro Reservas'!$H$10),'F-Ahorro Futuro Reservas'!$H$9,0)</f>
        <v>0</v>
      </c>
      <c r="C1364" s="122">
        <f t="shared" si="43"/>
        <v>0</v>
      </c>
      <c r="D1364" s="121">
        <f>ROUND(IF(C1364&lt;='FR_Mantenimiento tasas'!$C$55,'Tabla Ahorro Futuro Reservas'!C1364*'FR_Mantenimiento tasas'!$D$55/360,IF(C1364&lt;='FR_Mantenimiento tasas'!$C$56,'Tabla Ahorro Futuro Reservas'!C1364*'FR_Mantenimiento tasas'!$D$56/360,IF(C1364&lt;='FR_Mantenimiento tasas'!$C$57,'Tabla Ahorro Futuro Reservas'!C1364*'FR_Mantenimiento tasas'!$D$57/360,""))),5)</f>
        <v>0</v>
      </c>
      <c r="E1364" s="121">
        <f>ROUND(IF(C1364&lt;='FR_Mantenimiento tasas'!$C$55,'Tabla Ahorro Futuro Reservas'!C1364*'FR_Mantenimiento tasas'!$E$55/360,IF(C1364&lt;='FR_Mantenimiento tasas'!$C$56,'Tabla Ahorro Futuro Reservas'!C1364*'FR_Mantenimiento tasas'!$E$56/360,IF(C1364&lt;='FR_Mantenimiento tasas'!$C$57,'Tabla Ahorro Futuro Reservas'!C1364*'FR_Mantenimiento tasas'!$E$57/360,""))),5)</f>
        <v>0</v>
      </c>
    </row>
    <row r="1365" spans="1:5">
      <c r="A1365" s="123">
        <f t="shared" si="42"/>
        <v>1363</v>
      </c>
      <c r="B1365" s="122">
        <f>IF(DAY(A1365)=DAY('F-Ahorro Futuro Reservas'!$H$10),'F-Ahorro Futuro Reservas'!$H$9,0)</f>
        <v>0</v>
      </c>
      <c r="C1365" s="122">
        <f t="shared" si="43"/>
        <v>0</v>
      </c>
      <c r="D1365" s="121">
        <f>ROUND(IF(C1365&lt;='FR_Mantenimiento tasas'!$C$55,'Tabla Ahorro Futuro Reservas'!C1365*'FR_Mantenimiento tasas'!$D$55/360,IF(C1365&lt;='FR_Mantenimiento tasas'!$C$56,'Tabla Ahorro Futuro Reservas'!C1365*'FR_Mantenimiento tasas'!$D$56/360,IF(C1365&lt;='FR_Mantenimiento tasas'!$C$57,'Tabla Ahorro Futuro Reservas'!C1365*'FR_Mantenimiento tasas'!$D$57/360,""))),5)</f>
        <v>0</v>
      </c>
      <c r="E1365" s="121">
        <f>ROUND(IF(C1365&lt;='FR_Mantenimiento tasas'!$C$55,'Tabla Ahorro Futuro Reservas'!C1365*'FR_Mantenimiento tasas'!$E$55/360,IF(C1365&lt;='FR_Mantenimiento tasas'!$C$56,'Tabla Ahorro Futuro Reservas'!C1365*'FR_Mantenimiento tasas'!$E$56/360,IF(C1365&lt;='FR_Mantenimiento tasas'!$C$57,'Tabla Ahorro Futuro Reservas'!C1365*'FR_Mantenimiento tasas'!$E$57/360,""))),5)</f>
        <v>0</v>
      </c>
    </row>
    <row r="1366" spans="1:5">
      <c r="A1366" s="123">
        <f t="shared" si="42"/>
        <v>1364</v>
      </c>
      <c r="B1366" s="122">
        <f>IF(DAY(A1366)=DAY('F-Ahorro Futuro Reservas'!$H$10),'F-Ahorro Futuro Reservas'!$H$9,0)</f>
        <v>0</v>
      </c>
      <c r="C1366" s="122">
        <f t="shared" si="43"/>
        <v>0</v>
      </c>
      <c r="D1366" s="121">
        <f>ROUND(IF(C1366&lt;='FR_Mantenimiento tasas'!$C$55,'Tabla Ahorro Futuro Reservas'!C1366*'FR_Mantenimiento tasas'!$D$55/360,IF(C1366&lt;='FR_Mantenimiento tasas'!$C$56,'Tabla Ahorro Futuro Reservas'!C1366*'FR_Mantenimiento tasas'!$D$56/360,IF(C1366&lt;='FR_Mantenimiento tasas'!$C$57,'Tabla Ahorro Futuro Reservas'!C1366*'FR_Mantenimiento tasas'!$D$57/360,""))),5)</f>
        <v>0</v>
      </c>
      <c r="E1366" s="121">
        <f>ROUND(IF(C1366&lt;='FR_Mantenimiento tasas'!$C$55,'Tabla Ahorro Futuro Reservas'!C1366*'FR_Mantenimiento tasas'!$E$55/360,IF(C1366&lt;='FR_Mantenimiento tasas'!$C$56,'Tabla Ahorro Futuro Reservas'!C1366*'FR_Mantenimiento tasas'!$E$56/360,IF(C1366&lt;='FR_Mantenimiento tasas'!$C$57,'Tabla Ahorro Futuro Reservas'!C1366*'FR_Mantenimiento tasas'!$E$57/360,""))),5)</f>
        <v>0</v>
      </c>
    </row>
    <row r="1367" spans="1:5">
      <c r="A1367" s="123">
        <f t="shared" si="42"/>
        <v>1365</v>
      </c>
      <c r="B1367" s="122">
        <f>IF(DAY(A1367)=DAY('F-Ahorro Futuro Reservas'!$H$10),'F-Ahorro Futuro Reservas'!$H$9,0)</f>
        <v>0</v>
      </c>
      <c r="C1367" s="122">
        <f t="shared" si="43"/>
        <v>0</v>
      </c>
      <c r="D1367" s="121">
        <f>ROUND(IF(C1367&lt;='FR_Mantenimiento tasas'!$C$55,'Tabla Ahorro Futuro Reservas'!C1367*'FR_Mantenimiento tasas'!$D$55/360,IF(C1367&lt;='FR_Mantenimiento tasas'!$C$56,'Tabla Ahorro Futuro Reservas'!C1367*'FR_Mantenimiento tasas'!$D$56/360,IF(C1367&lt;='FR_Mantenimiento tasas'!$C$57,'Tabla Ahorro Futuro Reservas'!C1367*'FR_Mantenimiento tasas'!$D$57/360,""))),5)</f>
        <v>0</v>
      </c>
      <c r="E1367" s="121">
        <f>ROUND(IF(C1367&lt;='FR_Mantenimiento tasas'!$C$55,'Tabla Ahorro Futuro Reservas'!C1367*'FR_Mantenimiento tasas'!$E$55/360,IF(C1367&lt;='FR_Mantenimiento tasas'!$C$56,'Tabla Ahorro Futuro Reservas'!C1367*'FR_Mantenimiento tasas'!$E$56/360,IF(C1367&lt;='FR_Mantenimiento tasas'!$C$57,'Tabla Ahorro Futuro Reservas'!C1367*'FR_Mantenimiento tasas'!$E$57/360,""))),5)</f>
        <v>0</v>
      </c>
    </row>
    <row r="1368" spans="1:5">
      <c r="A1368" s="123">
        <f t="shared" si="42"/>
        <v>1366</v>
      </c>
      <c r="B1368" s="122">
        <f>IF(DAY(A1368)=DAY('F-Ahorro Futuro Reservas'!$H$10),'F-Ahorro Futuro Reservas'!$H$9,0)</f>
        <v>0</v>
      </c>
      <c r="C1368" s="122">
        <f t="shared" si="43"/>
        <v>0</v>
      </c>
      <c r="D1368" s="121">
        <f>ROUND(IF(C1368&lt;='FR_Mantenimiento tasas'!$C$55,'Tabla Ahorro Futuro Reservas'!C1368*'FR_Mantenimiento tasas'!$D$55/360,IF(C1368&lt;='FR_Mantenimiento tasas'!$C$56,'Tabla Ahorro Futuro Reservas'!C1368*'FR_Mantenimiento tasas'!$D$56/360,IF(C1368&lt;='FR_Mantenimiento tasas'!$C$57,'Tabla Ahorro Futuro Reservas'!C1368*'FR_Mantenimiento tasas'!$D$57/360,""))),5)</f>
        <v>0</v>
      </c>
      <c r="E1368" s="121">
        <f>ROUND(IF(C1368&lt;='FR_Mantenimiento tasas'!$C$55,'Tabla Ahorro Futuro Reservas'!C1368*'FR_Mantenimiento tasas'!$E$55/360,IF(C1368&lt;='FR_Mantenimiento tasas'!$C$56,'Tabla Ahorro Futuro Reservas'!C1368*'FR_Mantenimiento tasas'!$E$56/360,IF(C1368&lt;='FR_Mantenimiento tasas'!$C$57,'Tabla Ahorro Futuro Reservas'!C1368*'FR_Mantenimiento tasas'!$E$57/360,""))),5)</f>
        <v>0</v>
      </c>
    </row>
    <row r="1369" spans="1:5">
      <c r="A1369" s="123">
        <f t="shared" si="42"/>
        <v>1367</v>
      </c>
      <c r="B1369" s="122">
        <f>IF(DAY(A1369)=DAY('F-Ahorro Futuro Reservas'!$H$10),'F-Ahorro Futuro Reservas'!$H$9,0)</f>
        <v>0</v>
      </c>
      <c r="C1369" s="122">
        <f t="shared" si="43"/>
        <v>0</v>
      </c>
      <c r="D1369" s="121">
        <f>ROUND(IF(C1369&lt;='FR_Mantenimiento tasas'!$C$55,'Tabla Ahorro Futuro Reservas'!C1369*'FR_Mantenimiento tasas'!$D$55/360,IF(C1369&lt;='FR_Mantenimiento tasas'!$C$56,'Tabla Ahorro Futuro Reservas'!C1369*'FR_Mantenimiento tasas'!$D$56/360,IF(C1369&lt;='FR_Mantenimiento tasas'!$C$57,'Tabla Ahorro Futuro Reservas'!C1369*'FR_Mantenimiento tasas'!$D$57/360,""))),5)</f>
        <v>0</v>
      </c>
      <c r="E1369" s="121">
        <f>ROUND(IF(C1369&lt;='FR_Mantenimiento tasas'!$C$55,'Tabla Ahorro Futuro Reservas'!C1369*'FR_Mantenimiento tasas'!$E$55/360,IF(C1369&lt;='FR_Mantenimiento tasas'!$C$56,'Tabla Ahorro Futuro Reservas'!C1369*'FR_Mantenimiento tasas'!$E$56/360,IF(C1369&lt;='FR_Mantenimiento tasas'!$C$57,'Tabla Ahorro Futuro Reservas'!C1369*'FR_Mantenimiento tasas'!$E$57/360,""))),5)</f>
        <v>0</v>
      </c>
    </row>
    <row r="1370" spans="1:5">
      <c r="A1370" s="123">
        <f t="shared" si="42"/>
        <v>1368</v>
      </c>
      <c r="B1370" s="122">
        <f>IF(DAY(A1370)=DAY('F-Ahorro Futuro Reservas'!$H$10),'F-Ahorro Futuro Reservas'!$H$9,0)</f>
        <v>0</v>
      </c>
      <c r="C1370" s="122">
        <f t="shared" si="43"/>
        <v>0</v>
      </c>
      <c r="D1370" s="121">
        <f>ROUND(IF(C1370&lt;='FR_Mantenimiento tasas'!$C$55,'Tabla Ahorro Futuro Reservas'!C1370*'FR_Mantenimiento tasas'!$D$55/360,IF(C1370&lt;='FR_Mantenimiento tasas'!$C$56,'Tabla Ahorro Futuro Reservas'!C1370*'FR_Mantenimiento tasas'!$D$56/360,IF(C1370&lt;='FR_Mantenimiento tasas'!$C$57,'Tabla Ahorro Futuro Reservas'!C1370*'FR_Mantenimiento tasas'!$D$57/360,""))),5)</f>
        <v>0</v>
      </c>
      <c r="E1370" s="121">
        <f>ROUND(IF(C1370&lt;='FR_Mantenimiento tasas'!$C$55,'Tabla Ahorro Futuro Reservas'!C1370*'FR_Mantenimiento tasas'!$E$55/360,IF(C1370&lt;='FR_Mantenimiento tasas'!$C$56,'Tabla Ahorro Futuro Reservas'!C1370*'FR_Mantenimiento tasas'!$E$56/360,IF(C1370&lt;='FR_Mantenimiento tasas'!$C$57,'Tabla Ahorro Futuro Reservas'!C1370*'FR_Mantenimiento tasas'!$E$57/360,""))),5)</f>
        <v>0</v>
      </c>
    </row>
    <row r="1371" spans="1:5">
      <c r="A1371" s="123">
        <f t="shared" si="42"/>
        <v>1369</v>
      </c>
      <c r="B1371" s="122">
        <f>IF(DAY(A1371)=DAY('F-Ahorro Futuro Reservas'!$H$10),'F-Ahorro Futuro Reservas'!$H$9,0)</f>
        <v>0</v>
      </c>
      <c r="C1371" s="122">
        <f t="shared" si="43"/>
        <v>0</v>
      </c>
      <c r="D1371" s="121">
        <f>ROUND(IF(C1371&lt;='FR_Mantenimiento tasas'!$C$55,'Tabla Ahorro Futuro Reservas'!C1371*'FR_Mantenimiento tasas'!$D$55/360,IF(C1371&lt;='FR_Mantenimiento tasas'!$C$56,'Tabla Ahorro Futuro Reservas'!C1371*'FR_Mantenimiento tasas'!$D$56/360,IF(C1371&lt;='FR_Mantenimiento tasas'!$C$57,'Tabla Ahorro Futuro Reservas'!C1371*'FR_Mantenimiento tasas'!$D$57/360,""))),5)</f>
        <v>0</v>
      </c>
      <c r="E1371" s="121">
        <f>ROUND(IF(C1371&lt;='FR_Mantenimiento tasas'!$C$55,'Tabla Ahorro Futuro Reservas'!C1371*'FR_Mantenimiento tasas'!$E$55/360,IF(C1371&lt;='FR_Mantenimiento tasas'!$C$56,'Tabla Ahorro Futuro Reservas'!C1371*'FR_Mantenimiento tasas'!$E$56/360,IF(C1371&lt;='FR_Mantenimiento tasas'!$C$57,'Tabla Ahorro Futuro Reservas'!C1371*'FR_Mantenimiento tasas'!$E$57/360,""))),5)</f>
        <v>0</v>
      </c>
    </row>
    <row r="1372" spans="1:5">
      <c r="A1372" s="123">
        <f t="shared" si="42"/>
        <v>1370</v>
      </c>
      <c r="B1372" s="122">
        <f>IF(DAY(A1372)=DAY('F-Ahorro Futuro Reservas'!$H$10),'F-Ahorro Futuro Reservas'!$H$9,0)</f>
        <v>0</v>
      </c>
      <c r="C1372" s="122">
        <f t="shared" si="43"/>
        <v>0</v>
      </c>
      <c r="D1372" s="121">
        <f>ROUND(IF(C1372&lt;='FR_Mantenimiento tasas'!$C$55,'Tabla Ahorro Futuro Reservas'!C1372*'FR_Mantenimiento tasas'!$D$55/360,IF(C1372&lt;='FR_Mantenimiento tasas'!$C$56,'Tabla Ahorro Futuro Reservas'!C1372*'FR_Mantenimiento tasas'!$D$56/360,IF(C1372&lt;='FR_Mantenimiento tasas'!$C$57,'Tabla Ahorro Futuro Reservas'!C1372*'FR_Mantenimiento tasas'!$D$57/360,""))),5)</f>
        <v>0</v>
      </c>
      <c r="E1372" s="121">
        <f>ROUND(IF(C1372&lt;='FR_Mantenimiento tasas'!$C$55,'Tabla Ahorro Futuro Reservas'!C1372*'FR_Mantenimiento tasas'!$E$55/360,IF(C1372&lt;='FR_Mantenimiento tasas'!$C$56,'Tabla Ahorro Futuro Reservas'!C1372*'FR_Mantenimiento tasas'!$E$56/360,IF(C1372&lt;='FR_Mantenimiento tasas'!$C$57,'Tabla Ahorro Futuro Reservas'!C1372*'FR_Mantenimiento tasas'!$E$57/360,""))),5)</f>
        <v>0</v>
      </c>
    </row>
    <row r="1373" spans="1:5">
      <c r="A1373" s="123">
        <f t="shared" si="42"/>
        <v>1371</v>
      </c>
      <c r="B1373" s="122">
        <f>IF(DAY(A1373)=DAY('F-Ahorro Futuro Reservas'!$H$10),'F-Ahorro Futuro Reservas'!$H$9,0)</f>
        <v>0</v>
      </c>
      <c r="C1373" s="122">
        <f t="shared" si="43"/>
        <v>0</v>
      </c>
      <c r="D1373" s="121">
        <f>ROUND(IF(C1373&lt;='FR_Mantenimiento tasas'!$C$55,'Tabla Ahorro Futuro Reservas'!C1373*'FR_Mantenimiento tasas'!$D$55/360,IF(C1373&lt;='FR_Mantenimiento tasas'!$C$56,'Tabla Ahorro Futuro Reservas'!C1373*'FR_Mantenimiento tasas'!$D$56/360,IF(C1373&lt;='FR_Mantenimiento tasas'!$C$57,'Tabla Ahorro Futuro Reservas'!C1373*'FR_Mantenimiento tasas'!$D$57/360,""))),5)</f>
        <v>0</v>
      </c>
      <c r="E1373" s="121">
        <f>ROUND(IF(C1373&lt;='FR_Mantenimiento tasas'!$C$55,'Tabla Ahorro Futuro Reservas'!C1373*'FR_Mantenimiento tasas'!$E$55/360,IF(C1373&lt;='FR_Mantenimiento tasas'!$C$56,'Tabla Ahorro Futuro Reservas'!C1373*'FR_Mantenimiento tasas'!$E$56/360,IF(C1373&lt;='FR_Mantenimiento tasas'!$C$57,'Tabla Ahorro Futuro Reservas'!C1373*'FR_Mantenimiento tasas'!$E$57/360,""))),5)</f>
        <v>0</v>
      </c>
    </row>
    <row r="1374" spans="1:5">
      <c r="A1374" s="123">
        <f t="shared" si="42"/>
        <v>1372</v>
      </c>
      <c r="B1374" s="122">
        <f>IF(DAY(A1374)=DAY('F-Ahorro Futuro Reservas'!$H$10),'F-Ahorro Futuro Reservas'!$H$9,0)</f>
        <v>0</v>
      </c>
      <c r="C1374" s="122">
        <f t="shared" si="43"/>
        <v>0</v>
      </c>
      <c r="D1374" s="121">
        <f>ROUND(IF(C1374&lt;='FR_Mantenimiento tasas'!$C$55,'Tabla Ahorro Futuro Reservas'!C1374*'FR_Mantenimiento tasas'!$D$55/360,IF(C1374&lt;='FR_Mantenimiento tasas'!$C$56,'Tabla Ahorro Futuro Reservas'!C1374*'FR_Mantenimiento tasas'!$D$56/360,IF(C1374&lt;='FR_Mantenimiento tasas'!$C$57,'Tabla Ahorro Futuro Reservas'!C1374*'FR_Mantenimiento tasas'!$D$57/360,""))),5)</f>
        <v>0</v>
      </c>
      <c r="E1374" s="121">
        <f>ROUND(IF(C1374&lt;='FR_Mantenimiento tasas'!$C$55,'Tabla Ahorro Futuro Reservas'!C1374*'FR_Mantenimiento tasas'!$E$55/360,IF(C1374&lt;='FR_Mantenimiento tasas'!$C$56,'Tabla Ahorro Futuro Reservas'!C1374*'FR_Mantenimiento tasas'!$E$56/360,IF(C1374&lt;='FR_Mantenimiento tasas'!$C$57,'Tabla Ahorro Futuro Reservas'!C1374*'FR_Mantenimiento tasas'!$E$57/360,""))),5)</f>
        <v>0</v>
      </c>
    </row>
    <row r="1375" spans="1:5">
      <c r="A1375" s="123">
        <f t="shared" si="42"/>
        <v>1373</v>
      </c>
      <c r="B1375" s="122">
        <f>IF(DAY(A1375)=DAY('F-Ahorro Futuro Reservas'!$H$10),'F-Ahorro Futuro Reservas'!$H$9,0)</f>
        <v>0</v>
      </c>
      <c r="C1375" s="122">
        <f t="shared" si="43"/>
        <v>0</v>
      </c>
      <c r="D1375" s="121">
        <f>ROUND(IF(C1375&lt;='FR_Mantenimiento tasas'!$C$55,'Tabla Ahorro Futuro Reservas'!C1375*'FR_Mantenimiento tasas'!$D$55/360,IF(C1375&lt;='FR_Mantenimiento tasas'!$C$56,'Tabla Ahorro Futuro Reservas'!C1375*'FR_Mantenimiento tasas'!$D$56/360,IF(C1375&lt;='FR_Mantenimiento tasas'!$C$57,'Tabla Ahorro Futuro Reservas'!C1375*'FR_Mantenimiento tasas'!$D$57/360,""))),5)</f>
        <v>0</v>
      </c>
      <c r="E1375" s="121">
        <f>ROUND(IF(C1375&lt;='FR_Mantenimiento tasas'!$C$55,'Tabla Ahorro Futuro Reservas'!C1375*'FR_Mantenimiento tasas'!$E$55/360,IF(C1375&lt;='FR_Mantenimiento tasas'!$C$56,'Tabla Ahorro Futuro Reservas'!C1375*'FR_Mantenimiento tasas'!$E$56/360,IF(C1375&lt;='FR_Mantenimiento tasas'!$C$57,'Tabla Ahorro Futuro Reservas'!C1375*'FR_Mantenimiento tasas'!$E$57/360,""))),5)</f>
        <v>0</v>
      </c>
    </row>
    <row r="1376" spans="1:5">
      <c r="A1376" s="123">
        <f t="shared" si="42"/>
        <v>1374</v>
      </c>
      <c r="B1376" s="122">
        <f>IF(DAY(A1376)=DAY('F-Ahorro Futuro Reservas'!$H$10),'F-Ahorro Futuro Reservas'!$H$9,0)</f>
        <v>0</v>
      </c>
      <c r="C1376" s="122">
        <f t="shared" si="43"/>
        <v>0</v>
      </c>
      <c r="D1376" s="121">
        <f>ROUND(IF(C1376&lt;='FR_Mantenimiento tasas'!$C$55,'Tabla Ahorro Futuro Reservas'!C1376*'FR_Mantenimiento tasas'!$D$55/360,IF(C1376&lt;='FR_Mantenimiento tasas'!$C$56,'Tabla Ahorro Futuro Reservas'!C1376*'FR_Mantenimiento tasas'!$D$56/360,IF(C1376&lt;='FR_Mantenimiento tasas'!$C$57,'Tabla Ahorro Futuro Reservas'!C1376*'FR_Mantenimiento tasas'!$D$57/360,""))),5)</f>
        <v>0</v>
      </c>
      <c r="E1376" s="121">
        <f>ROUND(IF(C1376&lt;='FR_Mantenimiento tasas'!$C$55,'Tabla Ahorro Futuro Reservas'!C1376*'FR_Mantenimiento tasas'!$E$55/360,IF(C1376&lt;='FR_Mantenimiento tasas'!$C$56,'Tabla Ahorro Futuro Reservas'!C1376*'FR_Mantenimiento tasas'!$E$56/360,IF(C1376&lt;='FR_Mantenimiento tasas'!$C$57,'Tabla Ahorro Futuro Reservas'!C1376*'FR_Mantenimiento tasas'!$E$57/360,""))),5)</f>
        <v>0</v>
      </c>
    </row>
    <row r="1377" spans="1:5">
      <c r="A1377" s="123">
        <f t="shared" si="42"/>
        <v>1375</v>
      </c>
      <c r="B1377" s="122">
        <f>IF(DAY(A1377)=DAY('F-Ahorro Futuro Reservas'!$H$10),'F-Ahorro Futuro Reservas'!$H$9,0)</f>
        <v>0</v>
      </c>
      <c r="C1377" s="122">
        <f t="shared" si="43"/>
        <v>0</v>
      </c>
      <c r="D1377" s="121">
        <f>ROUND(IF(C1377&lt;='FR_Mantenimiento tasas'!$C$55,'Tabla Ahorro Futuro Reservas'!C1377*'FR_Mantenimiento tasas'!$D$55/360,IF(C1377&lt;='FR_Mantenimiento tasas'!$C$56,'Tabla Ahorro Futuro Reservas'!C1377*'FR_Mantenimiento tasas'!$D$56/360,IF(C1377&lt;='FR_Mantenimiento tasas'!$C$57,'Tabla Ahorro Futuro Reservas'!C1377*'FR_Mantenimiento tasas'!$D$57/360,""))),5)</f>
        <v>0</v>
      </c>
      <c r="E1377" s="121">
        <f>ROUND(IF(C1377&lt;='FR_Mantenimiento tasas'!$C$55,'Tabla Ahorro Futuro Reservas'!C1377*'FR_Mantenimiento tasas'!$E$55/360,IF(C1377&lt;='FR_Mantenimiento tasas'!$C$56,'Tabla Ahorro Futuro Reservas'!C1377*'FR_Mantenimiento tasas'!$E$56/360,IF(C1377&lt;='FR_Mantenimiento tasas'!$C$57,'Tabla Ahorro Futuro Reservas'!C1377*'FR_Mantenimiento tasas'!$E$57/360,""))),5)</f>
        <v>0</v>
      </c>
    </row>
    <row r="1378" spans="1:5">
      <c r="A1378" s="123">
        <f t="shared" si="42"/>
        <v>1376</v>
      </c>
      <c r="B1378" s="122">
        <f>IF(DAY(A1378)=DAY('F-Ahorro Futuro Reservas'!$H$10),'F-Ahorro Futuro Reservas'!$H$9,0)</f>
        <v>0</v>
      </c>
      <c r="C1378" s="122">
        <f t="shared" si="43"/>
        <v>0</v>
      </c>
      <c r="D1378" s="121">
        <f>ROUND(IF(C1378&lt;='FR_Mantenimiento tasas'!$C$55,'Tabla Ahorro Futuro Reservas'!C1378*'FR_Mantenimiento tasas'!$D$55/360,IF(C1378&lt;='FR_Mantenimiento tasas'!$C$56,'Tabla Ahorro Futuro Reservas'!C1378*'FR_Mantenimiento tasas'!$D$56/360,IF(C1378&lt;='FR_Mantenimiento tasas'!$C$57,'Tabla Ahorro Futuro Reservas'!C1378*'FR_Mantenimiento tasas'!$D$57/360,""))),5)</f>
        <v>0</v>
      </c>
      <c r="E1378" s="121">
        <f>ROUND(IF(C1378&lt;='FR_Mantenimiento tasas'!$C$55,'Tabla Ahorro Futuro Reservas'!C1378*'FR_Mantenimiento tasas'!$E$55/360,IF(C1378&lt;='FR_Mantenimiento tasas'!$C$56,'Tabla Ahorro Futuro Reservas'!C1378*'FR_Mantenimiento tasas'!$E$56/360,IF(C1378&lt;='FR_Mantenimiento tasas'!$C$57,'Tabla Ahorro Futuro Reservas'!C1378*'FR_Mantenimiento tasas'!$E$57/360,""))),5)</f>
        <v>0</v>
      </c>
    </row>
    <row r="1379" spans="1:5">
      <c r="A1379" s="123">
        <f t="shared" si="42"/>
        <v>1377</v>
      </c>
      <c r="B1379" s="122">
        <f>IF(DAY(A1379)=DAY('F-Ahorro Futuro Reservas'!$H$10),'F-Ahorro Futuro Reservas'!$H$9,0)</f>
        <v>0</v>
      </c>
      <c r="C1379" s="122">
        <f t="shared" si="43"/>
        <v>0</v>
      </c>
      <c r="D1379" s="121">
        <f>ROUND(IF(C1379&lt;='FR_Mantenimiento tasas'!$C$55,'Tabla Ahorro Futuro Reservas'!C1379*'FR_Mantenimiento tasas'!$D$55/360,IF(C1379&lt;='FR_Mantenimiento tasas'!$C$56,'Tabla Ahorro Futuro Reservas'!C1379*'FR_Mantenimiento tasas'!$D$56/360,IF(C1379&lt;='FR_Mantenimiento tasas'!$C$57,'Tabla Ahorro Futuro Reservas'!C1379*'FR_Mantenimiento tasas'!$D$57/360,""))),5)</f>
        <v>0</v>
      </c>
      <c r="E1379" s="121">
        <f>ROUND(IF(C1379&lt;='FR_Mantenimiento tasas'!$C$55,'Tabla Ahorro Futuro Reservas'!C1379*'FR_Mantenimiento tasas'!$E$55/360,IF(C1379&lt;='FR_Mantenimiento tasas'!$C$56,'Tabla Ahorro Futuro Reservas'!C1379*'FR_Mantenimiento tasas'!$E$56/360,IF(C1379&lt;='FR_Mantenimiento tasas'!$C$57,'Tabla Ahorro Futuro Reservas'!C1379*'FR_Mantenimiento tasas'!$E$57/360,""))),5)</f>
        <v>0</v>
      </c>
    </row>
    <row r="1380" spans="1:5">
      <c r="A1380" s="123">
        <f t="shared" si="42"/>
        <v>1378</v>
      </c>
      <c r="B1380" s="122">
        <f>IF(DAY(A1380)=DAY('F-Ahorro Futuro Reservas'!$H$10),'F-Ahorro Futuro Reservas'!$H$9,0)</f>
        <v>0</v>
      </c>
      <c r="C1380" s="122">
        <f t="shared" si="43"/>
        <v>0</v>
      </c>
      <c r="D1380" s="121">
        <f>ROUND(IF(C1380&lt;='FR_Mantenimiento tasas'!$C$55,'Tabla Ahorro Futuro Reservas'!C1380*'FR_Mantenimiento tasas'!$D$55/360,IF(C1380&lt;='FR_Mantenimiento tasas'!$C$56,'Tabla Ahorro Futuro Reservas'!C1380*'FR_Mantenimiento tasas'!$D$56/360,IF(C1380&lt;='FR_Mantenimiento tasas'!$C$57,'Tabla Ahorro Futuro Reservas'!C1380*'FR_Mantenimiento tasas'!$D$57/360,""))),5)</f>
        <v>0</v>
      </c>
      <c r="E1380" s="121">
        <f>ROUND(IF(C1380&lt;='FR_Mantenimiento tasas'!$C$55,'Tabla Ahorro Futuro Reservas'!C1380*'FR_Mantenimiento tasas'!$E$55/360,IF(C1380&lt;='FR_Mantenimiento tasas'!$C$56,'Tabla Ahorro Futuro Reservas'!C1380*'FR_Mantenimiento tasas'!$E$56/360,IF(C1380&lt;='FR_Mantenimiento tasas'!$C$57,'Tabla Ahorro Futuro Reservas'!C1380*'FR_Mantenimiento tasas'!$E$57/360,""))),5)</f>
        <v>0</v>
      </c>
    </row>
    <row r="1381" spans="1:5">
      <c r="A1381" s="123">
        <f t="shared" si="42"/>
        <v>1379</v>
      </c>
      <c r="B1381" s="122">
        <f>IF(DAY(A1381)=DAY('F-Ahorro Futuro Reservas'!$H$10),'F-Ahorro Futuro Reservas'!$H$9,0)</f>
        <v>0</v>
      </c>
      <c r="C1381" s="122">
        <f t="shared" si="43"/>
        <v>0</v>
      </c>
      <c r="D1381" s="121">
        <f>ROUND(IF(C1381&lt;='FR_Mantenimiento tasas'!$C$55,'Tabla Ahorro Futuro Reservas'!C1381*'FR_Mantenimiento tasas'!$D$55/360,IF(C1381&lt;='FR_Mantenimiento tasas'!$C$56,'Tabla Ahorro Futuro Reservas'!C1381*'FR_Mantenimiento tasas'!$D$56/360,IF(C1381&lt;='FR_Mantenimiento tasas'!$C$57,'Tabla Ahorro Futuro Reservas'!C1381*'FR_Mantenimiento tasas'!$D$57/360,""))),5)</f>
        <v>0</v>
      </c>
      <c r="E1381" s="121">
        <f>ROUND(IF(C1381&lt;='FR_Mantenimiento tasas'!$C$55,'Tabla Ahorro Futuro Reservas'!C1381*'FR_Mantenimiento tasas'!$E$55/360,IF(C1381&lt;='FR_Mantenimiento tasas'!$C$56,'Tabla Ahorro Futuro Reservas'!C1381*'FR_Mantenimiento tasas'!$E$56/360,IF(C1381&lt;='FR_Mantenimiento tasas'!$C$57,'Tabla Ahorro Futuro Reservas'!C1381*'FR_Mantenimiento tasas'!$E$57/360,""))),5)</f>
        <v>0</v>
      </c>
    </row>
    <row r="1382" spans="1:5">
      <c r="A1382" s="123">
        <f t="shared" si="42"/>
        <v>1380</v>
      </c>
      <c r="B1382" s="122">
        <f>IF(DAY(A1382)=DAY('F-Ahorro Futuro Reservas'!$H$10),'F-Ahorro Futuro Reservas'!$H$9,0)</f>
        <v>0</v>
      </c>
      <c r="C1382" s="122">
        <f t="shared" si="43"/>
        <v>0</v>
      </c>
      <c r="D1382" s="121">
        <f>ROUND(IF(C1382&lt;='FR_Mantenimiento tasas'!$C$55,'Tabla Ahorro Futuro Reservas'!C1382*'FR_Mantenimiento tasas'!$D$55/360,IF(C1382&lt;='FR_Mantenimiento tasas'!$C$56,'Tabla Ahorro Futuro Reservas'!C1382*'FR_Mantenimiento tasas'!$D$56/360,IF(C1382&lt;='FR_Mantenimiento tasas'!$C$57,'Tabla Ahorro Futuro Reservas'!C1382*'FR_Mantenimiento tasas'!$D$57/360,""))),5)</f>
        <v>0</v>
      </c>
      <c r="E1382" s="121">
        <f>ROUND(IF(C1382&lt;='FR_Mantenimiento tasas'!$C$55,'Tabla Ahorro Futuro Reservas'!C1382*'FR_Mantenimiento tasas'!$E$55/360,IF(C1382&lt;='FR_Mantenimiento tasas'!$C$56,'Tabla Ahorro Futuro Reservas'!C1382*'FR_Mantenimiento tasas'!$E$56/360,IF(C1382&lt;='FR_Mantenimiento tasas'!$C$57,'Tabla Ahorro Futuro Reservas'!C1382*'FR_Mantenimiento tasas'!$E$57/360,""))),5)</f>
        <v>0</v>
      </c>
    </row>
    <row r="1383" spans="1:5">
      <c r="A1383" s="123">
        <f t="shared" si="42"/>
        <v>1381</v>
      </c>
      <c r="B1383" s="122">
        <f>IF(DAY(A1383)=DAY('F-Ahorro Futuro Reservas'!$H$10),'F-Ahorro Futuro Reservas'!$H$9,0)</f>
        <v>0</v>
      </c>
      <c r="C1383" s="122">
        <f t="shared" si="43"/>
        <v>0</v>
      </c>
      <c r="D1383" s="121">
        <f>ROUND(IF(C1383&lt;='FR_Mantenimiento tasas'!$C$55,'Tabla Ahorro Futuro Reservas'!C1383*'FR_Mantenimiento tasas'!$D$55/360,IF(C1383&lt;='FR_Mantenimiento tasas'!$C$56,'Tabla Ahorro Futuro Reservas'!C1383*'FR_Mantenimiento tasas'!$D$56/360,IF(C1383&lt;='FR_Mantenimiento tasas'!$C$57,'Tabla Ahorro Futuro Reservas'!C1383*'FR_Mantenimiento tasas'!$D$57/360,""))),5)</f>
        <v>0</v>
      </c>
      <c r="E1383" s="121">
        <f>ROUND(IF(C1383&lt;='FR_Mantenimiento tasas'!$C$55,'Tabla Ahorro Futuro Reservas'!C1383*'FR_Mantenimiento tasas'!$E$55/360,IF(C1383&lt;='FR_Mantenimiento tasas'!$C$56,'Tabla Ahorro Futuro Reservas'!C1383*'FR_Mantenimiento tasas'!$E$56/360,IF(C1383&lt;='FR_Mantenimiento tasas'!$C$57,'Tabla Ahorro Futuro Reservas'!C1383*'FR_Mantenimiento tasas'!$E$57/360,""))),5)</f>
        <v>0</v>
      </c>
    </row>
    <row r="1384" spans="1:5">
      <c r="A1384" s="123">
        <f t="shared" si="42"/>
        <v>1382</v>
      </c>
      <c r="B1384" s="122">
        <f>IF(DAY(A1384)=DAY('F-Ahorro Futuro Reservas'!$H$10),'F-Ahorro Futuro Reservas'!$H$9,0)</f>
        <v>0</v>
      </c>
      <c r="C1384" s="122">
        <f t="shared" si="43"/>
        <v>0</v>
      </c>
      <c r="D1384" s="121">
        <f>ROUND(IF(C1384&lt;='FR_Mantenimiento tasas'!$C$55,'Tabla Ahorro Futuro Reservas'!C1384*'FR_Mantenimiento tasas'!$D$55/360,IF(C1384&lt;='FR_Mantenimiento tasas'!$C$56,'Tabla Ahorro Futuro Reservas'!C1384*'FR_Mantenimiento tasas'!$D$56/360,IF(C1384&lt;='FR_Mantenimiento tasas'!$C$57,'Tabla Ahorro Futuro Reservas'!C1384*'FR_Mantenimiento tasas'!$D$57/360,""))),5)</f>
        <v>0</v>
      </c>
      <c r="E1384" s="121">
        <f>ROUND(IF(C1384&lt;='FR_Mantenimiento tasas'!$C$55,'Tabla Ahorro Futuro Reservas'!C1384*'FR_Mantenimiento tasas'!$E$55/360,IF(C1384&lt;='FR_Mantenimiento tasas'!$C$56,'Tabla Ahorro Futuro Reservas'!C1384*'FR_Mantenimiento tasas'!$E$56/360,IF(C1384&lt;='FR_Mantenimiento tasas'!$C$57,'Tabla Ahorro Futuro Reservas'!C1384*'FR_Mantenimiento tasas'!$E$57/360,""))),5)</f>
        <v>0</v>
      </c>
    </row>
    <row r="1385" spans="1:5">
      <c r="A1385" s="123">
        <f t="shared" si="42"/>
        <v>1383</v>
      </c>
      <c r="B1385" s="122">
        <f>IF(DAY(A1385)=DAY('F-Ahorro Futuro Reservas'!$H$10),'F-Ahorro Futuro Reservas'!$H$9,0)</f>
        <v>0</v>
      </c>
      <c r="C1385" s="122">
        <f t="shared" si="43"/>
        <v>0</v>
      </c>
      <c r="D1385" s="121">
        <f>ROUND(IF(C1385&lt;='FR_Mantenimiento tasas'!$C$55,'Tabla Ahorro Futuro Reservas'!C1385*'FR_Mantenimiento tasas'!$D$55/360,IF(C1385&lt;='FR_Mantenimiento tasas'!$C$56,'Tabla Ahorro Futuro Reservas'!C1385*'FR_Mantenimiento tasas'!$D$56/360,IF(C1385&lt;='FR_Mantenimiento tasas'!$C$57,'Tabla Ahorro Futuro Reservas'!C1385*'FR_Mantenimiento tasas'!$D$57/360,""))),5)</f>
        <v>0</v>
      </c>
      <c r="E1385" s="121">
        <f>ROUND(IF(C1385&lt;='FR_Mantenimiento tasas'!$C$55,'Tabla Ahorro Futuro Reservas'!C1385*'FR_Mantenimiento tasas'!$E$55/360,IF(C1385&lt;='FR_Mantenimiento tasas'!$C$56,'Tabla Ahorro Futuro Reservas'!C1385*'FR_Mantenimiento tasas'!$E$56/360,IF(C1385&lt;='FR_Mantenimiento tasas'!$C$57,'Tabla Ahorro Futuro Reservas'!C1385*'FR_Mantenimiento tasas'!$E$57/360,""))),5)</f>
        <v>0</v>
      </c>
    </row>
    <row r="1386" spans="1:5">
      <c r="A1386" s="123">
        <f t="shared" si="42"/>
        <v>1384</v>
      </c>
      <c r="B1386" s="122">
        <f>IF(DAY(A1386)=DAY('F-Ahorro Futuro Reservas'!$H$10),'F-Ahorro Futuro Reservas'!$H$9,0)</f>
        <v>0</v>
      </c>
      <c r="C1386" s="122">
        <f t="shared" si="43"/>
        <v>0</v>
      </c>
      <c r="D1386" s="121">
        <f>ROUND(IF(C1386&lt;='FR_Mantenimiento tasas'!$C$55,'Tabla Ahorro Futuro Reservas'!C1386*'FR_Mantenimiento tasas'!$D$55/360,IF(C1386&lt;='FR_Mantenimiento tasas'!$C$56,'Tabla Ahorro Futuro Reservas'!C1386*'FR_Mantenimiento tasas'!$D$56/360,IF(C1386&lt;='FR_Mantenimiento tasas'!$C$57,'Tabla Ahorro Futuro Reservas'!C1386*'FR_Mantenimiento tasas'!$D$57/360,""))),5)</f>
        <v>0</v>
      </c>
      <c r="E1386" s="121">
        <f>ROUND(IF(C1386&lt;='FR_Mantenimiento tasas'!$C$55,'Tabla Ahorro Futuro Reservas'!C1386*'FR_Mantenimiento tasas'!$E$55/360,IF(C1386&lt;='FR_Mantenimiento tasas'!$C$56,'Tabla Ahorro Futuro Reservas'!C1386*'FR_Mantenimiento tasas'!$E$56/360,IF(C1386&lt;='FR_Mantenimiento tasas'!$C$57,'Tabla Ahorro Futuro Reservas'!C1386*'FR_Mantenimiento tasas'!$E$57/360,""))),5)</f>
        <v>0</v>
      </c>
    </row>
    <row r="1387" spans="1:5">
      <c r="A1387" s="123">
        <f t="shared" si="42"/>
        <v>1385</v>
      </c>
      <c r="B1387" s="122">
        <f>IF(DAY(A1387)=DAY('F-Ahorro Futuro Reservas'!$H$10),'F-Ahorro Futuro Reservas'!$H$9,0)</f>
        <v>0</v>
      </c>
      <c r="C1387" s="122">
        <f t="shared" si="43"/>
        <v>0</v>
      </c>
      <c r="D1387" s="121">
        <f>ROUND(IF(C1387&lt;='FR_Mantenimiento tasas'!$C$55,'Tabla Ahorro Futuro Reservas'!C1387*'FR_Mantenimiento tasas'!$D$55/360,IF(C1387&lt;='FR_Mantenimiento tasas'!$C$56,'Tabla Ahorro Futuro Reservas'!C1387*'FR_Mantenimiento tasas'!$D$56/360,IF(C1387&lt;='FR_Mantenimiento tasas'!$C$57,'Tabla Ahorro Futuro Reservas'!C1387*'FR_Mantenimiento tasas'!$D$57/360,""))),5)</f>
        <v>0</v>
      </c>
      <c r="E1387" s="121">
        <f>ROUND(IF(C1387&lt;='FR_Mantenimiento tasas'!$C$55,'Tabla Ahorro Futuro Reservas'!C1387*'FR_Mantenimiento tasas'!$E$55/360,IF(C1387&lt;='FR_Mantenimiento tasas'!$C$56,'Tabla Ahorro Futuro Reservas'!C1387*'FR_Mantenimiento tasas'!$E$56/360,IF(C1387&lt;='FR_Mantenimiento tasas'!$C$57,'Tabla Ahorro Futuro Reservas'!C1387*'FR_Mantenimiento tasas'!$E$57/360,""))),5)</f>
        <v>0</v>
      </c>
    </row>
    <row r="1388" spans="1:5">
      <c r="A1388" s="123">
        <f t="shared" si="42"/>
        <v>1386</v>
      </c>
      <c r="B1388" s="122">
        <f>IF(DAY(A1388)=DAY('F-Ahorro Futuro Reservas'!$H$10),'F-Ahorro Futuro Reservas'!$H$9,0)</f>
        <v>0</v>
      </c>
      <c r="C1388" s="122">
        <f t="shared" si="43"/>
        <v>0</v>
      </c>
      <c r="D1388" s="121">
        <f>ROUND(IF(C1388&lt;='FR_Mantenimiento tasas'!$C$55,'Tabla Ahorro Futuro Reservas'!C1388*'FR_Mantenimiento tasas'!$D$55/360,IF(C1388&lt;='FR_Mantenimiento tasas'!$C$56,'Tabla Ahorro Futuro Reservas'!C1388*'FR_Mantenimiento tasas'!$D$56/360,IF(C1388&lt;='FR_Mantenimiento tasas'!$C$57,'Tabla Ahorro Futuro Reservas'!C1388*'FR_Mantenimiento tasas'!$D$57/360,""))),5)</f>
        <v>0</v>
      </c>
      <c r="E1388" s="121">
        <f>ROUND(IF(C1388&lt;='FR_Mantenimiento tasas'!$C$55,'Tabla Ahorro Futuro Reservas'!C1388*'FR_Mantenimiento tasas'!$E$55/360,IF(C1388&lt;='FR_Mantenimiento tasas'!$C$56,'Tabla Ahorro Futuro Reservas'!C1388*'FR_Mantenimiento tasas'!$E$56/360,IF(C1388&lt;='FR_Mantenimiento tasas'!$C$57,'Tabla Ahorro Futuro Reservas'!C1388*'FR_Mantenimiento tasas'!$E$57/360,""))),5)</f>
        <v>0</v>
      </c>
    </row>
    <row r="1389" spans="1:5">
      <c r="A1389" s="123">
        <f t="shared" si="42"/>
        <v>1387</v>
      </c>
      <c r="B1389" s="122">
        <f>IF(DAY(A1389)=DAY('F-Ahorro Futuro Reservas'!$H$10),'F-Ahorro Futuro Reservas'!$H$9,0)</f>
        <v>0</v>
      </c>
      <c r="C1389" s="122">
        <f t="shared" si="43"/>
        <v>0</v>
      </c>
      <c r="D1389" s="121">
        <f>ROUND(IF(C1389&lt;='FR_Mantenimiento tasas'!$C$55,'Tabla Ahorro Futuro Reservas'!C1389*'FR_Mantenimiento tasas'!$D$55/360,IF(C1389&lt;='FR_Mantenimiento tasas'!$C$56,'Tabla Ahorro Futuro Reservas'!C1389*'FR_Mantenimiento tasas'!$D$56/360,IF(C1389&lt;='FR_Mantenimiento tasas'!$C$57,'Tabla Ahorro Futuro Reservas'!C1389*'FR_Mantenimiento tasas'!$D$57/360,""))),5)</f>
        <v>0</v>
      </c>
      <c r="E1389" s="121">
        <f>ROUND(IF(C1389&lt;='FR_Mantenimiento tasas'!$C$55,'Tabla Ahorro Futuro Reservas'!C1389*'FR_Mantenimiento tasas'!$E$55/360,IF(C1389&lt;='FR_Mantenimiento tasas'!$C$56,'Tabla Ahorro Futuro Reservas'!C1389*'FR_Mantenimiento tasas'!$E$56/360,IF(C1389&lt;='FR_Mantenimiento tasas'!$C$57,'Tabla Ahorro Futuro Reservas'!C1389*'FR_Mantenimiento tasas'!$E$57/360,""))),5)</f>
        <v>0</v>
      </c>
    </row>
    <row r="1390" spans="1:5">
      <c r="A1390" s="123">
        <f t="shared" si="42"/>
        <v>1388</v>
      </c>
      <c r="B1390" s="122">
        <f>IF(DAY(A1390)=DAY('F-Ahorro Futuro Reservas'!$H$10),'F-Ahorro Futuro Reservas'!$H$9,0)</f>
        <v>0</v>
      </c>
      <c r="C1390" s="122">
        <f t="shared" si="43"/>
        <v>0</v>
      </c>
      <c r="D1390" s="121">
        <f>ROUND(IF(C1390&lt;='FR_Mantenimiento tasas'!$C$55,'Tabla Ahorro Futuro Reservas'!C1390*'FR_Mantenimiento tasas'!$D$55/360,IF(C1390&lt;='FR_Mantenimiento tasas'!$C$56,'Tabla Ahorro Futuro Reservas'!C1390*'FR_Mantenimiento tasas'!$D$56/360,IF(C1390&lt;='FR_Mantenimiento tasas'!$C$57,'Tabla Ahorro Futuro Reservas'!C1390*'FR_Mantenimiento tasas'!$D$57/360,""))),5)</f>
        <v>0</v>
      </c>
      <c r="E1390" s="121">
        <f>ROUND(IF(C1390&lt;='FR_Mantenimiento tasas'!$C$55,'Tabla Ahorro Futuro Reservas'!C1390*'FR_Mantenimiento tasas'!$E$55/360,IF(C1390&lt;='FR_Mantenimiento tasas'!$C$56,'Tabla Ahorro Futuro Reservas'!C1390*'FR_Mantenimiento tasas'!$E$56/360,IF(C1390&lt;='FR_Mantenimiento tasas'!$C$57,'Tabla Ahorro Futuro Reservas'!C1390*'FR_Mantenimiento tasas'!$E$57/360,""))),5)</f>
        <v>0</v>
      </c>
    </row>
    <row r="1391" spans="1:5">
      <c r="A1391" s="123">
        <f t="shared" si="42"/>
        <v>1389</v>
      </c>
      <c r="B1391" s="122">
        <f>IF(DAY(A1391)=DAY('F-Ahorro Futuro Reservas'!$H$10),'F-Ahorro Futuro Reservas'!$H$9,0)</f>
        <v>0</v>
      </c>
      <c r="C1391" s="122">
        <f t="shared" si="43"/>
        <v>0</v>
      </c>
      <c r="D1391" s="121">
        <f>ROUND(IF(C1391&lt;='FR_Mantenimiento tasas'!$C$55,'Tabla Ahorro Futuro Reservas'!C1391*'FR_Mantenimiento tasas'!$D$55/360,IF(C1391&lt;='FR_Mantenimiento tasas'!$C$56,'Tabla Ahorro Futuro Reservas'!C1391*'FR_Mantenimiento tasas'!$D$56/360,IF(C1391&lt;='FR_Mantenimiento tasas'!$C$57,'Tabla Ahorro Futuro Reservas'!C1391*'FR_Mantenimiento tasas'!$D$57/360,""))),5)</f>
        <v>0</v>
      </c>
      <c r="E1391" s="121">
        <f>ROUND(IF(C1391&lt;='FR_Mantenimiento tasas'!$C$55,'Tabla Ahorro Futuro Reservas'!C1391*'FR_Mantenimiento tasas'!$E$55/360,IF(C1391&lt;='FR_Mantenimiento tasas'!$C$56,'Tabla Ahorro Futuro Reservas'!C1391*'FR_Mantenimiento tasas'!$E$56/360,IF(C1391&lt;='FR_Mantenimiento tasas'!$C$57,'Tabla Ahorro Futuro Reservas'!C1391*'FR_Mantenimiento tasas'!$E$57/360,""))),5)</f>
        <v>0</v>
      </c>
    </row>
    <row r="1392" spans="1:5">
      <c r="A1392" s="123">
        <f t="shared" si="42"/>
        <v>1390</v>
      </c>
      <c r="B1392" s="122">
        <f>IF(DAY(A1392)=DAY('F-Ahorro Futuro Reservas'!$H$10),'F-Ahorro Futuro Reservas'!$H$9,0)</f>
        <v>0</v>
      </c>
      <c r="C1392" s="122">
        <f t="shared" si="43"/>
        <v>0</v>
      </c>
      <c r="D1392" s="121">
        <f>ROUND(IF(C1392&lt;='FR_Mantenimiento tasas'!$C$55,'Tabla Ahorro Futuro Reservas'!C1392*'FR_Mantenimiento tasas'!$D$55/360,IF(C1392&lt;='FR_Mantenimiento tasas'!$C$56,'Tabla Ahorro Futuro Reservas'!C1392*'FR_Mantenimiento tasas'!$D$56/360,IF(C1392&lt;='FR_Mantenimiento tasas'!$C$57,'Tabla Ahorro Futuro Reservas'!C1392*'FR_Mantenimiento tasas'!$D$57/360,""))),5)</f>
        <v>0</v>
      </c>
      <c r="E1392" s="121">
        <f>ROUND(IF(C1392&lt;='FR_Mantenimiento tasas'!$C$55,'Tabla Ahorro Futuro Reservas'!C1392*'FR_Mantenimiento tasas'!$E$55/360,IF(C1392&lt;='FR_Mantenimiento tasas'!$C$56,'Tabla Ahorro Futuro Reservas'!C1392*'FR_Mantenimiento tasas'!$E$56/360,IF(C1392&lt;='FR_Mantenimiento tasas'!$C$57,'Tabla Ahorro Futuro Reservas'!C1392*'FR_Mantenimiento tasas'!$E$57/360,""))),5)</f>
        <v>0</v>
      </c>
    </row>
    <row r="1393" spans="1:5">
      <c r="A1393" s="123">
        <f t="shared" si="42"/>
        <v>1391</v>
      </c>
      <c r="B1393" s="122">
        <f>IF(DAY(A1393)=DAY('F-Ahorro Futuro Reservas'!$H$10),'F-Ahorro Futuro Reservas'!$H$9,0)</f>
        <v>0</v>
      </c>
      <c r="C1393" s="122">
        <f t="shared" si="43"/>
        <v>0</v>
      </c>
      <c r="D1393" s="121">
        <f>ROUND(IF(C1393&lt;='FR_Mantenimiento tasas'!$C$55,'Tabla Ahorro Futuro Reservas'!C1393*'FR_Mantenimiento tasas'!$D$55/360,IF(C1393&lt;='FR_Mantenimiento tasas'!$C$56,'Tabla Ahorro Futuro Reservas'!C1393*'FR_Mantenimiento tasas'!$D$56/360,IF(C1393&lt;='FR_Mantenimiento tasas'!$C$57,'Tabla Ahorro Futuro Reservas'!C1393*'FR_Mantenimiento tasas'!$D$57/360,""))),5)</f>
        <v>0</v>
      </c>
      <c r="E1393" s="121">
        <f>ROUND(IF(C1393&lt;='FR_Mantenimiento tasas'!$C$55,'Tabla Ahorro Futuro Reservas'!C1393*'FR_Mantenimiento tasas'!$E$55/360,IF(C1393&lt;='FR_Mantenimiento tasas'!$C$56,'Tabla Ahorro Futuro Reservas'!C1393*'FR_Mantenimiento tasas'!$E$56/360,IF(C1393&lt;='FR_Mantenimiento tasas'!$C$57,'Tabla Ahorro Futuro Reservas'!C1393*'FR_Mantenimiento tasas'!$E$57/360,""))),5)</f>
        <v>0</v>
      </c>
    </row>
    <row r="1394" spans="1:5">
      <c r="A1394" s="123">
        <f t="shared" si="42"/>
        <v>1392</v>
      </c>
      <c r="B1394" s="122">
        <f>IF(DAY(A1394)=DAY('F-Ahorro Futuro Reservas'!$H$10),'F-Ahorro Futuro Reservas'!$H$9,0)</f>
        <v>0</v>
      </c>
      <c r="C1394" s="122">
        <f t="shared" si="43"/>
        <v>0</v>
      </c>
      <c r="D1394" s="121">
        <f>ROUND(IF(C1394&lt;='FR_Mantenimiento tasas'!$C$55,'Tabla Ahorro Futuro Reservas'!C1394*'FR_Mantenimiento tasas'!$D$55/360,IF(C1394&lt;='FR_Mantenimiento tasas'!$C$56,'Tabla Ahorro Futuro Reservas'!C1394*'FR_Mantenimiento tasas'!$D$56/360,IF(C1394&lt;='FR_Mantenimiento tasas'!$C$57,'Tabla Ahorro Futuro Reservas'!C1394*'FR_Mantenimiento tasas'!$D$57/360,""))),5)</f>
        <v>0</v>
      </c>
      <c r="E1394" s="121">
        <f>ROUND(IF(C1394&lt;='FR_Mantenimiento tasas'!$C$55,'Tabla Ahorro Futuro Reservas'!C1394*'FR_Mantenimiento tasas'!$E$55/360,IF(C1394&lt;='FR_Mantenimiento tasas'!$C$56,'Tabla Ahorro Futuro Reservas'!C1394*'FR_Mantenimiento tasas'!$E$56/360,IF(C1394&lt;='FR_Mantenimiento tasas'!$C$57,'Tabla Ahorro Futuro Reservas'!C1394*'FR_Mantenimiento tasas'!$E$57/360,""))),5)</f>
        <v>0</v>
      </c>
    </row>
    <row r="1395" spans="1:5">
      <c r="A1395" s="123">
        <f t="shared" si="42"/>
        <v>1393</v>
      </c>
      <c r="B1395" s="122">
        <f>IF(DAY(A1395)=DAY('F-Ahorro Futuro Reservas'!$H$10),'F-Ahorro Futuro Reservas'!$H$9,0)</f>
        <v>0</v>
      </c>
      <c r="C1395" s="122">
        <f t="shared" si="43"/>
        <v>0</v>
      </c>
      <c r="D1395" s="121">
        <f>ROUND(IF(C1395&lt;='FR_Mantenimiento tasas'!$C$55,'Tabla Ahorro Futuro Reservas'!C1395*'FR_Mantenimiento tasas'!$D$55/360,IF(C1395&lt;='FR_Mantenimiento tasas'!$C$56,'Tabla Ahorro Futuro Reservas'!C1395*'FR_Mantenimiento tasas'!$D$56/360,IF(C1395&lt;='FR_Mantenimiento tasas'!$C$57,'Tabla Ahorro Futuro Reservas'!C1395*'FR_Mantenimiento tasas'!$D$57/360,""))),5)</f>
        <v>0</v>
      </c>
      <c r="E1395" s="121">
        <f>ROUND(IF(C1395&lt;='FR_Mantenimiento tasas'!$C$55,'Tabla Ahorro Futuro Reservas'!C1395*'FR_Mantenimiento tasas'!$E$55/360,IF(C1395&lt;='FR_Mantenimiento tasas'!$C$56,'Tabla Ahorro Futuro Reservas'!C1395*'FR_Mantenimiento tasas'!$E$56/360,IF(C1395&lt;='FR_Mantenimiento tasas'!$C$57,'Tabla Ahorro Futuro Reservas'!C1395*'FR_Mantenimiento tasas'!$E$57/360,""))),5)</f>
        <v>0</v>
      </c>
    </row>
    <row r="1396" spans="1:5">
      <c r="A1396" s="123">
        <f t="shared" si="42"/>
        <v>1394</v>
      </c>
      <c r="B1396" s="122">
        <f>IF(DAY(A1396)=DAY('F-Ahorro Futuro Reservas'!$H$10),'F-Ahorro Futuro Reservas'!$H$9,0)</f>
        <v>0</v>
      </c>
      <c r="C1396" s="122">
        <f t="shared" si="43"/>
        <v>0</v>
      </c>
      <c r="D1396" s="121">
        <f>ROUND(IF(C1396&lt;='FR_Mantenimiento tasas'!$C$55,'Tabla Ahorro Futuro Reservas'!C1396*'FR_Mantenimiento tasas'!$D$55/360,IF(C1396&lt;='FR_Mantenimiento tasas'!$C$56,'Tabla Ahorro Futuro Reservas'!C1396*'FR_Mantenimiento tasas'!$D$56/360,IF(C1396&lt;='FR_Mantenimiento tasas'!$C$57,'Tabla Ahorro Futuro Reservas'!C1396*'FR_Mantenimiento tasas'!$D$57/360,""))),5)</f>
        <v>0</v>
      </c>
      <c r="E1396" s="121">
        <f>ROUND(IF(C1396&lt;='FR_Mantenimiento tasas'!$C$55,'Tabla Ahorro Futuro Reservas'!C1396*'FR_Mantenimiento tasas'!$E$55/360,IF(C1396&lt;='FR_Mantenimiento tasas'!$C$56,'Tabla Ahorro Futuro Reservas'!C1396*'FR_Mantenimiento tasas'!$E$56/360,IF(C1396&lt;='FR_Mantenimiento tasas'!$C$57,'Tabla Ahorro Futuro Reservas'!C1396*'FR_Mantenimiento tasas'!$E$57/360,""))),5)</f>
        <v>0</v>
      </c>
    </row>
    <row r="1397" spans="1:5">
      <c r="A1397" s="123">
        <f t="shared" si="42"/>
        <v>1395</v>
      </c>
      <c r="B1397" s="122">
        <f>IF(DAY(A1397)=DAY('F-Ahorro Futuro Reservas'!$H$10),'F-Ahorro Futuro Reservas'!$H$9,0)</f>
        <v>0</v>
      </c>
      <c r="C1397" s="122">
        <f t="shared" si="43"/>
        <v>0</v>
      </c>
      <c r="D1397" s="121">
        <f>ROUND(IF(C1397&lt;='FR_Mantenimiento tasas'!$C$55,'Tabla Ahorro Futuro Reservas'!C1397*'FR_Mantenimiento tasas'!$D$55/360,IF(C1397&lt;='FR_Mantenimiento tasas'!$C$56,'Tabla Ahorro Futuro Reservas'!C1397*'FR_Mantenimiento tasas'!$D$56/360,IF(C1397&lt;='FR_Mantenimiento tasas'!$C$57,'Tabla Ahorro Futuro Reservas'!C1397*'FR_Mantenimiento tasas'!$D$57/360,""))),5)</f>
        <v>0</v>
      </c>
      <c r="E1397" s="121">
        <f>ROUND(IF(C1397&lt;='FR_Mantenimiento tasas'!$C$55,'Tabla Ahorro Futuro Reservas'!C1397*'FR_Mantenimiento tasas'!$E$55/360,IF(C1397&lt;='FR_Mantenimiento tasas'!$C$56,'Tabla Ahorro Futuro Reservas'!C1397*'FR_Mantenimiento tasas'!$E$56/360,IF(C1397&lt;='FR_Mantenimiento tasas'!$C$57,'Tabla Ahorro Futuro Reservas'!C1397*'FR_Mantenimiento tasas'!$E$57/360,""))),5)</f>
        <v>0</v>
      </c>
    </row>
    <row r="1398" spans="1:5">
      <c r="A1398" s="123">
        <f t="shared" si="42"/>
        <v>1396</v>
      </c>
      <c r="B1398" s="122">
        <f>IF(DAY(A1398)=DAY('F-Ahorro Futuro Reservas'!$H$10),'F-Ahorro Futuro Reservas'!$H$9,0)</f>
        <v>0</v>
      </c>
      <c r="C1398" s="122">
        <f t="shared" si="43"/>
        <v>0</v>
      </c>
      <c r="D1398" s="121">
        <f>ROUND(IF(C1398&lt;='FR_Mantenimiento tasas'!$C$55,'Tabla Ahorro Futuro Reservas'!C1398*'FR_Mantenimiento tasas'!$D$55/360,IF(C1398&lt;='FR_Mantenimiento tasas'!$C$56,'Tabla Ahorro Futuro Reservas'!C1398*'FR_Mantenimiento tasas'!$D$56/360,IF(C1398&lt;='FR_Mantenimiento tasas'!$C$57,'Tabla Ahorro Futuro Reservas'!C1398*'FR_Mantenimiento tasas'!$D$57/360,""))),5)</f>
        <v>0</v>
      </c>
      <c r="E1398" s="121">
        <f>ROUND(IF(C1398&lt;='FR_Mantenimiento tasas'!$C$55,'Tabla Ahorro Futuro Reservas'!C1398*'FR_Mantenimiento tasas'!$E$55/360,IF(C1398&lt;='FR_Mantenimiento tasas'!$C$56,'Tabla Ahorro Futuro Reservas'!C1398*'FR_Mantenimiento tasas'!$E$56/360,IF(C1398&lt;='FR_Mantenimiento tasas'!$C$57,'Tabla Ahorro Futuro Reservas'!C1398*'FR_Mantenimiento tasas'!$E$57/360,""))),5)</f>
        <v>0</v>
      </c>
    </row>
    <row r="1399" spans="1:5">
      <c r="A1399" s="123">
        <f t="shared" si="42"/>
        <v>1397</v>
      </c>
      <c r="B1399" s="122">
        <f>IF(DAY(A1399)=DAY('F-Ahorro Futuro Reservas'!$H$10),'F-Ahorro Futuro Reservas'!$H$9,0)</f>
        <v>0</v>
      </c>
      <c r="C1399" s="122">
        <f t="shared" si="43"/>
        <v>0</v>
      </c>
      <c r="D1399" s="121">
        <f>ROUND(IF(C1399&lt;='FR_Mantenimiento tasas'!$C$55,'Tabla Ahorro Futuro Reservas'!C1399*'FR_Mantenimiento tasas'!$D$55/360,IF(C1399&lt;='FR_Mantenimiento tasas'!$C$56,'Tabla Ahorro Futuro Reservas'!C1399*'FR_Mantenimiento tasas'!$D$56/360,IF(C1399&lt;='FR_Mantenimiento tasas'!$C$57,'Tabla Ahorro Futuro Reservas'!C1399*'FR_Mantenimiento tasas'!$D$57/360,""))),5)</f>
        <v>0</v>
      </c>
      <c r="E1399" s="121">
        <f>ROUND(IF(C1399&lt;='FR_Mantenimiento tasas'!$C$55,'Tabla Ahorro Futuro Reservas'!C1399*'FR_Mantenimiento tasas'!$E$55/360,IF(C1399&lt;='FR_Mantenimiento tasas'!$C$56,'Tabla Ahorro Futuro Reservas'!C1399*'FR_Mantenimiento tasas'!$E$56/360,IF(C1399&lt;='FR_Mantenimiento tasas'!$C$57,'Tabla Ahorro Futuro Reservas'!C1399*'FR_Mantenimiento tasas'!$E$57/360,""))),5)</f>
        <v>0</v>
      </c>
    </row>
    <row r="1400" spans="1:5">
      <c r="A1400" s="123">
        <f t="shared" si="42"/>
        <v>1398</v>
      </c>
      <c r="B1400" s="122">
        <f>IF(DAY(A1400)=DAY('F-Ahorro Futuro Reservas'!$H$10),'F-Ahorro Futuro Reservas'!$H$9,0)</f>
        <v>0</v>
      </c>
      <c r="C1400" s="122">
        <f t="shared" si="43"/>
        <v>0</v>
      </c>
      <c r="D1400" s="121">
        <f>ROUND(IF(C1400&lt;='FR_Mantenimiento tasas'!$C$55,'Tabla Ahorro Futuro Reservas'!C1400*'FR_Mantenimiento tasas'!$D$55/360,IF(C1400&lt;='FR_Mantenimiento tasas'!$C$56,'Tabla Ahorro Futuro Reservas'!C1400*'FR_Mantenimiento tasas'!$D$56/360,IF(C1400&lt;='FR_Mantenimiento tasas'!$C$57,'Tabla Ahorro Futuro Reservas'!C1400*'FR_Mantenimiento tasas'!$D$57/360,""))),5)</f>
        <v>0</v>
      </c>
      <c r="E1400" s="121">
        <f>ROUND(IF(C1400&lt;='FR_Mantenimiento tasas'!$C$55,'Tabla Ahorro Futuro Reservas'!C1400*'FR_Mantenimiento tasas'!$E$55/360,IF(C1400&lt;='FR_Mantenimiento tasas'!$C$56,'Tabla Ahorro Futuro Reservas'!C1400*'FR_Mantenimiento tasas'!$E$56/360,IF(C1400&lt;='FR_Mantenimiento tasas'!$C$57,'Tabla Ahorro Futuro Reservas'!C1400*'FR_Mantenimiento tasas'!$E$57/360,""))),5)</f>
        <v>0</v>
      </c>
    </row>
    <row r="1401" spans="1:5">
      <c r="A1401" s="123">
        <f t="shared" si="42"/>
        <v>1399</v>
      </c>
      <c r="B1401" s="122">
        <f>IF(DAY(A1401)=DAY('F-Ahorro Futuro Reservas'!$H$10),'F-Ahorro Futuro Reservas'!$H$9,0)</f>
        <v>0</v>
      </c>
      <c r="C1401" s="122">
        <f t="shared" si="43"/>
        <v>0</v>
      </c>
      <c r="D1401" s="121">
        <f>ROUND(IF(C1401&lt;='FR_Mantenimiento tasas'!$C$55,'Tabla Ahorro Futuro Reservas'!C1401*'FR_Mantenimiento tasas'!$D$55/360,IF(C1401&lt;='FR_Mantenimiento tasas'!$C$56,'Tabla Ahorro Futuro Reservas'!C1401*'FR_Mantenimiento tasas'!$D$56/360,IF(C1401&lt;='FR_Mantenimiento tasas'!$C$57,'Tabla Ahorro Futuro Reservas'!C1401*'FR_Mantenimiento tasas'!$D$57/360,""))),5)</f>
        <v>0</v>
      </c>
      <c r="E1401" s="121">
        <f>ROUND(IF(C1401&lt;='FR_Mantenimiento tasas'!$C$55,'Tabla Ahorro Futuro Reservas'!C1401*'FR_Mantenimiento tasas'!$E$55/360,IF(C1401&lt;='FR_Mantenimiento tasas'!$C$56,'Tabla Ahorro Futuro Reservas'!C1401*'FR_Mantenimiento tasas'!$E$56/360,IF(C1401&lt;='FR_Mantenimiento tasas'!$C$57,'Tabla Ahorro Futuro Reservas'!C1401*'FR_Mantenimiento tasas'!$E$57/360,""))),5)</f>
        <v>0</v>
      </c>
    </row>
    <row r="1402" spans="1:5">
      <c r="A1402" s="123">
        <f t="shared" si="42"/>
        <v>1400</v>
      </c>
      <c r="B1402" s="122">
        <f>IF(DAY(A1402)=DAY('F-Ahorro Futuro Reservas'!$H$10),'F-Ahorro Futuro Reservas'!$H$9,0)</f>
        <v>0</v>
      </c>
      <c r="C1402" s="122">
        <f t="shared" si="43"/>
        <v>0</v>
      </c>
      <c r="D1402" s="121">
        <f>ROUND(IF(C1402&lt;='FR_Mantenimiento tasas'!$C$55,'Tabla Ahorro Futuro Reservas'!C1402*'FR_Mantenimiento tasas'!$D$55/360,IF(C1402&lt;='FR_Mantenimiento tasas'!$C$56,'Tabla Ahorro Futuro Reservas'!C1402*'FR_Mantenimiento tasas'!$D$56/360,IF(C1402&lt;='FR_Mantenimiento tasas'!$C$57,'Tabla Ahorro Futuro Reservas'!C1402*'FR_Mantenimiento tasas'!$D$57/360,""))),5)</f>
        <v>0</v>
      </c>
      <c r="E1402" s="121">
        <f>ROUND(IF(C1402&lt;='FR_Mantenimiento tasas'!$C$55,'Tabla Ahorro Futuro Reservas'!C1402*'FR_Mantenimiento tasas'!$E$55/360,IF(C1402&lt;='FR_Mantenimiento tasas'!$C$56,'Tabla Ahorro Futuro Reservas'!C1402*'FR_Mantenimiento tasas'!$E$56/360,IF(C1402&lt;='FR_Mantenimiento tasas'!$C$57,'Tabla Ahorro Futuro Reservas'!C1402*'FR_Mantenimiento tasas'!$E$57/360,""))),5)</f>
        <v>0</v>
      </c>
    </row>
    <row r="1403" spans="1:5">
      <c r="A1403" s="123">
        <f t="shared" si="42"/>
        <v>1401</v>
      </c>
      <c r="B1403" s="122">
        <f>IF(DAY(A1403)=DAY('F-Ahorro Futuro Reservas'!$H$10),'F-Ahorro Futuro Reservas'!$H$9,0)</f>
        <v>0</v>
      </c>
      <c r="C1403" s="122">
        <f t="shared" si="43"/>
        <v>0</v>
      </c>
      <c r="D1403" s="121">
        <f>ROUND(IF(C1403&lt;='FR_Mantenimiento tasas'!$C$55,'Tabla Ahorro Futuro Reservas'!C1403*'FR_Mantenimiento tasas'!$D$55/360,IF(C1403&lt;='FR_Mantenimiento tasas'!$C$56,'Tabla Ahorro Futuro Reservas'!C1403*'FR_Mantenimiento tasas'!$D$56/360,IF(C1403&lt;='FR_Mantenimiento tasas'!$C$57,'Tabla Ahorro Futuro Reservas'!C1403*'FR_Mantenimiento tasas'!$D$57/360,""))),5)</f>
        <v>0</v>
      </c>
      <c r="E1403" s="121">
        <f>ROUND(IF(C1403&lt;='FR_Mantenimiento tasas'!$C$55,'Tabla Ahorro Futuro Reservas'!C1403*'FR_Mantenimiento tasas'!$E$55/360,IF(C1403&lt;='FR_Mantenimiento tasas'!$C$56,'Tabla Ahorro Futuro Reservas'!C1403*'FR_Mantenimiento tasas'!$E$56/360,IF(C1403&lt;='FR_Mantenimiento tasas'!$C$57,'Tabla Ahorro Futuro Reservas'!C1403*'FR_Mantenimiento tasas'!$E$57/360,""))),5)</f>
        <v>0</v>
      </c>
    </row>
    <row r="1404" spans="1:5">
      <c r="A1404" s="123">
        <f t="shared" si="42"/>
        <v>1402</v>
      </c>
      <c r="B1404" s="122">
        <f>IF(DAY(A1404)=DAY('F-Ahorro Futuro Reservas'!$H$10),'F-Ahorro Futuro Reservas'!$H$9,0)</f>
        <v>0</v>
      </c>
      <c r="C1404" s="122">
        <f t="shared" si="43"/>
        <v>0</v>
      </c>
      <c r="D1404" s="121">
        <f>ROUND(IF(C1404&lt;='FR_Mantenimiento tasas'!$C$55,'Tabla Ahorro Futuro Reservas'!C1404*'FR_Mantenimiento tasas'!$D$55/360,IF(C1404&lt;='FR_Mantenimiento tasas'!$C$56,'Tabla Ahorro Futuro Reservas'!C1404*'FR_Mantenimiento tasas'!$D$56/360,IF(C1404&lt;='FR_Mantenimiento tasas'!$C$57,'Tabla Ahorro Futuro Reservas'!C1404*'FR_Mantenimiento tasas'!$D$57/360,""))),5)</f>
        <v>0</v>
      </c>
      <c r="E1404" s="121">
        <f>ROUND(IF(C1404&lt;='FR_Mantenimiento tasas'!$C$55,'Tabla Ahorro Futuro Reservas'!C1404*'FR_Mantenimiento tasas'!$E$55/360,IF(C1404&lt;='FR_Mantenimiento tasas'!$C$56,'Tabla Ahorro Futuro Reservas'!C1404*'FR_Mantenimiento tasas'!$E$56/360,IF(C1404&lt;='FR_Mantenimiento tasas'!$C$57,'Tabla Ahorro Futuro Reservas'!C1404*'FR_Mantenimiento tasas'!$E$57/360,""))),5)</f>
        <v>0</v>
      </c>
    </row>
    <row r="1405" spans="1:5">
      <c r="A1405" s="123">
        <f t="shared" si="42"/>
        <v>1403</v>
      </c>
      <c r="B1405" s="122">
        <f>IF(DAY(A1405)=DAY('F-Ahorro Futuro Reservas'!$H$10),'F-Ahorro Futuro Reservas'!$H$9,0)</f>
        <v>0</v>
      </c>
      <c r="C1405" s="122">
        <f t="shared" si="43"/>
        <v>0</v>
      </c>
      <c r="D1405" s="121">
        <f>ROUND(IF(C1405&lt;='FR_Mantenimiento tasas'!$C$55,'Tabla Ahorro Futuro Reservas'!C1405*'FR_Mantenimiento tasas'!$D$55/360,IF(C1405&lt;='FR_Mantenimiento tasas'!$C$56,'Tabla Ahorro Futuro Reservas'!C1405*'FR_Mantenimiento tasas'!$D$56/360,IF(C1405&lt;='FR_Mantenimiento tasas'!$C$57,'Tabla Ahorro Futuro Reservas'!C1405*'FR_Mantenimiento tasas'!$D$57/360,""))),5)</f>
        <v>0</v>
      </c>
      <c r="E1405" s="121">
        <f>ROUND(IF(C1405&lt;='FR_Mantenimiento tasas'!$C$55,'Tabla Ahorro Futuro Reservas'!C1405*'FR_Mantenimiento tasas'!$E$55/360,IF(C1405&lt;='FR_Mantenimiento tasas'!$C$56,'Tabla Ahorro Futuro Reservas'!C1405*'FR_Mantenimiento tasas'!$E$56/360,IF(C1405&lt;='FR_Mantenimiento tasas'!$C$57,'Tabla Ahorro Futuro Reservas'!C1405*'FR_Mantenimiento tasas'!$E$57/360,""))),5)</f>
        <v>0</v>
      </c>
    </row>
    <row r="1406" spans="1:5">
      <c r="A1406" s="123">
        <f t="shared" si="42"/>
        <v>1404</v>
      </c>
      <c r="B1406" s="122">
        <f>IF(DAY(A1406)=DAY('F-Ahorro Futuro Reservas'!$H$10),'F-Ahorro Futuro Reservas'!$H$9,0)</f>
        <v>0</v>
      </c>
      <c r="C1406" s="122">
        <f t="shared" si="43"/>
        <v>0</v>
      </c>
      <c r="D1406" s="121">
        <f>ROUND(IF(C1406&lt;='FR_Mantenimiento tasas'!$C$55,'Tabla Ahorro Futuro Reservas'!C1406*'FR_Mantenimiento tasas'!$D$55/360,IF(C1406&lt;='FR_Mantenimiento tasas'!$C$56,'Tabla Ahorro Futuro Reservas'!C1406*'FR_Mantenimiento tasas'!$D$56/360,IF(C1406&lt;='FR_Mantenimiento tasas'!$C$57,'Tabla Ahorro Futuro Reservas'!C1406*'FR_Mantenimiento tasas'!$D$57/360,""))),5)</f>
        <v>0</v>
      </c>
      <c r="E1406" s="121">
        <f>ROUND(IF(C1406&lt;='FR_Mantenimiento tasas'!$C$55,'Tabla Ahorro Futuro Reservas'!C1406*'FR_Mantenimiento tasas'!$E$55/360,IF(C1406&lt;='FR_Mantenimiento tasas'!$C$56,'Tabla Ahorro Futuro Reservas'!C1406*'FR_Mantenimiento tasas'!$E$56/360,IF(C1406&lt;='FR_Mantenimiento tasas'!$C$57,'Tabla Ahorro Futuro Reservas'!C1406*'FR_Mantenimiento tasas'!$E$57/360,""))),5)</f>
        <v>0</v>
      </c>
    </row>
    <row r="1407" spans="1:5">
      <c r="A1407" s="123">
        <f t="shared" si="42"/>
        <v>1405</v>
      </c>
      <c r="B1407" s="122">
        <f>IF(DAY(A1407)=DAY('F-Ahorro Futuro Reservas'!$H$10),'F-Ahorro Futuro Reservas'!$H$9,0)</f>
        <v>0</v>
      </c>
      <c r="C1407" s="122">
        <f t="shared" si="43"/>
        <v>0</v>
      </c>
      <c r="D1407" s="121">
        <f>ROUND(IF(C1407&lt;='FR_Mantenimiento tasas'!$C$55,'Tabla Ahorro Futuro Reservas'!C1407*'FR_Mantenimiento tasas'!$D$55/360,IF(C1407&lt;='FR_Mantenimiento tasas'!$C$56,'Tabla Ahorro Futuro Reservas'!C1407*'FR_Mantenimiento tasas'!$D$56/360,IF(C1407&lt;='FR_Mantenimiento tasas'!$C$57,'Tabla Ahorro Futuro Reservas'!C1407*'FR_Mantenimiento tasas'!$D$57/360,""))),5)</f>
        <v>0</v>
      </c>
      <c r="E1407" s="121">
        <f>ROUND(IF(C1407&lt;='FR_Mantenimiento tasas'!$C$55,'Tabla Ahorro Futuro Reservas'!C1407*'FR_Mantenimiento tasas'!$E$55/360,IF(C1407&lt;='FR_Mantenimiento tasas'!$C$56,'Tabla Ahorro Futuro Reservas'!C1407*'FR_Mantenimiento tasas'!$E$56/360,IF(C1407&lt;='FR_Mantenimiento tasas'!$C$57,'Tabla Ahorro Futuro Reservas'!C1407*'FR_Mantenimiento tasas'!$E$57/360,""))),5)</f>
        <v>0</v>
      </c>
    </row>
    <row r="1408" spans="1:5">
      <c r="A1408" s="123">
        <f t="shared" si="42"/>
        <v>1406</v>
      </c>
      <c r="B1408" s="122">
        <f>IF(DAY(A1408)=DAY('F-Ahorro Futuro Reservas'!$H$10),'F-Ahorro Futuro Reservas'!$H$9,0)</f>
        <v>0</v>
      </c>
      <c r="C1408" s="122">
        <f t="shared" si="43"/>
        <v>0</v>
      </c>
      <c r="D1408" s="121">
        <f>ROUND(IF(C1408&lt;='FR_Mantenimiento tasas'!$C$55,'Tabla Ahorro Futuro Reservas'!C1408*'FR_Mantenimiento tasas'!$D$55/360,IF(C1408&lt;='FR_Mantenimiento tasas'!$C$56,'Tabla Ahorro Futuro Reservas'!C1408*'FR_Mantenimiento tasas'!$D$56/360,IF(C1408&lt;='FR_Mantenimiento tasas'!$C$57,'Tabla Ahorro Futuro Reservas'!C1408*'FR_Mantenimiento tasas'!$D$57/360,""))),5)</f>
        <v>0</v>
      </c>
      <c r="E1408" s="121">
        <f>ROUND(IF(C1408&lt;='FR_Mantenimiento tasas'!$C$55,'Tabla Ahorro Futuro Reservas'!C1408*'FR_Mantenimiento tasas'!$E$55/360,IF(C1408&lt;='FR_Mantenimiento tasas'!$C$56,'Tabla Ahorro Futuro Reservas'!C1408*'FR_Mantenimiento tasas'!$E$56/360,IF(C1408&lt;='FR_Mantenimiento tasas'!$C$57,'Tabla Ahorro Futuro Reservas'!C1408*'FR_Mantenimiento tasas'!$E$57/360,""))),5)</f>
        <v>0</v>
      </c>
    </row>
    <row r="1409" spans="1:5">
      <c r="A1409" s="123">
        <f t="shared" si="42"/>
        <v>1407</v>
      </c>
      <c r="B1409" s="122">
        <f>IF(DAY(A1409)=DAY('F-Ahorro Futuro Reservas'!$H$10),'F-Ahorro Futuro Reservas'!$H$9,0)</f>
        <v>0</v>
      </c>
      <c r="C1409" s="122">
        <f t="shared" si="43"/>
        <v>0</v>
      </c>
      <c r="D1409" s="121">
        <f>ROUND(IF(C1409&lt;='FR_Mantenimiento tasas'!$C$55,'Tabla Ahorro Futuro Reservas'!C1409*'FR_Mantenimiento tasas'!$D$55/360,IF(C1409&lt;='FR_Mantenimiento tasas'!$C$56,'Tabla Ahorro Futuro Reservas'!C1409*'FR_Mantenimiento tasas'!$D$56/360,IF(C1409&lt;='FR_Mantenimiento tasas'!$C$57,'Tabla Ahorro Futuro Reservas'!C1409*'FR_Mantenimiento tasas'!$D$57/360,""))),5)</f>
        <v>0</v>
      </c>
      <c r="E1409" s="121">
        <f>ROUND(IF(C1409&lt;='FR_Mantenimiento tasas'!$C$55,'Tabla Ahorro Futuro Reservas'!C1409*'FR_Mantenimiento tasas'!$E$55/360,IF(C1409&lt;='FR_Mantenimiento tasas'!$C$56,'Tabla Ahorro Futuro Reservas'!C1409*'FR_Mantenimiento tasas'!$E$56/360,IF(C1409&lt;='FR_Mantenimiento tasas'!$C$57,'Tabla Ahorro Futuro Reservas'!C1409*'FR_Mantenimiento tasas'!$E$57/360,""))),5)</f>
        <v>0</v>
      </c>
    </row>
    <row r="1410" spans="1:5">
      <c r="A1410" s="123">
        <f t="shared" si="42"/>
        <v>1408</v>
      </c>
      <c r="B1410" s="122">
        <f>IF(DAY(A1410)=DAY('F-Ahorro Futuro Reservas'!$H$10),'F-Ahorro Futuro Reservas'!$H$9,0)</f>
        <v>0</v>
      </c>
      <c r="C1410" s="122">
        <f t="shared" si="43"/>
        <v>0</v>
      </c>
      <c r="D1410" s="121">
        <f>ROUND(IF(C1410&lt;='FR_Mantenimiento tasas'!$C$55,'Tabla Ahorro Futuro Reservas'!C1410*'FR_Mantenimiento tasas'!$D$55/360,IF(C1410&lt;='FR_Mantenimiento tasas'!$C$56,'Tabla Ahorro Futuro Reservas'!C1410*'FR_Mantenimiento tasas'!$D$56/360,IF(C1410&lt;='FR_Mantenimiento tasas'!$C$57,'Tabla Ahorro Futuro Reservas'!C1410*'FR_Mantenimiento tasas'!$D$57/360,""))),5)</f>
        <v>0</v>
      </c>
      <c r="E1410" s="121">
        <f>ROUND(IF(C1410&lt;='FR_Mantenimiento tasas'!$C$55,'Tabla Ahorro Futuro Reservas'!C1410*'FR_Mantenimiento tasas'!$E$55/360,IF(C1410&lt;='FR_Mantenimiento tasas'!$C$56,'Tabla Ahorro Futuro Reservas'!C1410*'FR_Mantenimiento tasas'!$E$56/360,IF(C1410&lt;='FR_Mantenimiento tasas'!$C$57,'Tabla Ahorro Futuro Reservas'!C1410*'FR_Mantenimiento tasas'!$E$57/360,""))),5)</f>
        <v>0</v>
      </c>
    </row>
    <row r="1411" spans="1:5">
      <c r="A1411" s="123">
        <f t="shared" si="42"/>
        <v>1409</v>
      </c>
      <c r="B1411" s="122">
        <f>IF(DAY(A1411)=DAY('F-Ahorro Futuro Reservas'!$H$10),'F-Ahorro Futuro Reservas'!$H$9,0)</f>
        <v>0</v>
      </c>
      <c r="C1411" s="122">
        <f t="shared" si="43"/>
        <v>0</v>
      </c>
      <c r="D1411" s="121">
        <f>ROUND(IF(C1411&lt;='FR_Mantenimiento tasas'!$C$55,'Tabla Ahorro Futuro Reservas'!C1411*'FR_Mantenimiento tasas'!$D$55/360,IF(C1411&lt;='FR_Mantenimiento tasas'!$C$56,'Tabla Ahorro Futuro Reservas'!C1411*'FR_Mantenimiento tasas'!$D$56/360,IF(C1411&lt;='FR_Mantenimiento tasas'!$C$57,'Tabla Ahorro Futuro Reservas'!C1411*'FR_Mantenimiento tasas'!$D$57/360,""))),5)</f>
        <v>0</v>
      </c>
      <c r="E1411" s="121">
        <f>ROUND(IF(C1411&lt;='FR_Mantenimiento tasas'!$C$55,'Tabla Ahorro Futuro Reservas'!C1411*'FR_Mantenimiento tasas'!$E$55/360,IF(C1411&lt;='FR_Mantenimiento tasas'!$C$56,'Tabla Ahorro Futuro Reservas'!C1411*'FR_Mantenimiento tasas'!$E$56/360,IF(C1411&lt;='FR_Mantenimiento tasas'!$C$57,'Tabla Ahorro Futuro Reservas'!C1411*'FR_Mantenimiento tasas'!$E$57/360,""))),5)</f>
        <v>0</v>
      </c>
    </row>
    <row r="1412" spans="1:5">
      <c r="A1412" s="123">
        <f t="shared" ref="A1412:A1475" si="44">+A1411+1</f>
        <v>1410</v>
      </c>
      <c r="B1412" s="122">
        <f>IF(DAY(A1412)=DAY('F-Ahorro Futuro Reservas'!$H$10),'F-Ahorro Futuro Reservas'!$H$9,0)</f>
        <v>0</v>
      </c>
      <c r="C1412" s="122">
        <f t="shared" ref="C1412:C1475" si="45">+B1412+C1411+D1411</f>
        <v>0</v>
      </c>
      <c r="D1412" s="121">
        <f>ROUND(IF(C1412&lt;='FR_Mantenimiento tasas'!$C$55,'Tabla Ahorro Futuro Reservas'!C1412*'FR_Mantenimiento tasas'!$D$55/360,IF(C1412&lt;='FR_Mantenimiento tasas'!$C$56,'Tabla Ahorro Futuro Reservas'!C1412*'FR_Mantenimiento tasas'!$D$56/360,IF(C1412&lt;='FR_Mantenimiento tasas'!$C$57,'Tabla Ahorro Futuro Reservas'!C1412*'FR_Mantenimiento tasas'!$D$57/360,""))),5)</f>
        <v>0</v>
      </c>
      <c r="E1412" s="121">
        <f>ROUND(IF(C1412&lt;='FR_Mantenimiento tasas'!$C$55,'Tabla Ahorro Futuro Reservas'!C1412*'FR_Mantenimiento tasas'!$E$55/360,IF(C1412&lt;='FR_Mantenimiento tasas'!$C$56,'Tabla Ahorro Futuro Reservas'!C1412*'FR_Mantenimiento tasas'!$E$56/360,IF(C1412&lt;='FR_Mantenimiento tasas'!$C$57,'Tabla Ahorro Futuro Reservas'!C1412*'FR_Mantenimiento tasas'!$E$57/360,""))),5)</f>
        <v>0</v>
      </c>
    </row>
    <row r="1413" spans="1:5">
      <c r="A1413" s="123">
        <f t="shared" si="44"/>
        <v>1411</v>
      </c>
      <c r="B1413" s="122">
        <f>IF(DAY(A1413)=DAY('F-Ahorro Futuro Reservas'!$H$10),'F-Ahorro Futuro Reservas'!$H$9,0)</f>
        <v>0</v>
      </c>
      <c r="C1413" s="122">
        <f t="shared" si="45"/>
        <v>0</v>
      </c>
      <c r="D1413" s="121">
        <f>ROUND(IF(C1413&lt;='FR_Mantenimiento tasas'!$C$55,'Tabla Ahorro Futuro Reservas'!C1413*'FR_Mantenimiento tasas'!$D$55/360,IF(C1413&lt;='FR_Mantenimiento tasas'!$C$56,'Tabla Ahorro Futuro Reservas'!C1413*'FR_Mantenimiento tasas'!$D$56/360,IF(C1413&lt;='FR_Mantenimiento tasas'!$C$57,'Tabla Ahorro Futuro Reservas'!C1413*'FR_Mantenimiento tasas'!$D$57/360,""))),5)</f>
        <v>0</v>
      </c>
      <c r="E1413" s="121">
        <f>ROUND(IF(C1413&lt;='FR_Mantenimiento tasas'!$C$55,'Tabla Ahorro Futuro Reservas'!C1413*'FR_Mantenimiento tasas'!$E$55/360,IF(C1413&lt;='FR_Mantenimiento tasas'!$C$56,'Tabla Ahorro Futuro Reservas'!C1413*'FR_Mantenimiento tasas'!$E$56/360,IF(C1413&lt;='FR_Mantenimiento tasas'!$C$57,'Tabla Ahorro Futuro Reservas'!C1413*'FR_Mantenimiento tasas'!$E$57/360,""))),5)</f>
        <v>0</v>
      </c>
    </row>
    <row r="1414" spans="1:5">
      <c r="A1414" s="123">
        <f t="shared" si="44"/>
        <v>1412</v>
      </c>
      <c r="B1414" s="122">
        <f>IF(DAY(A1414)=DAY('F-Ahorro Futuro Reservas'!$H$10),'F-Ahorro Futuro Reservas'!$H$9,0)</f>
        <v>0</v>
      </c>
      <c r="C1414" s="122">
        <f t="shared" si="45"/>
        <v>0</v>
      </c>
      <c r="D1414" s="121">
        <f>ROUND(IF(C1414&lt;='FR_Mantenimiento tasas'!$C$55,'Tabla Ahorro Futuro Reservas'!C1414*'FR_Mantenimiento tasas'!$D$55/360,IF(C1414&lt;='FR_Mantenimiento tasas'!$C$56,'Tabla Ahorro Futuro Reservas'!C1414*'FR_Mantenimiento tasas'!$D$56/360,IF(C1414&lt;='FR_Mantenimiento tasas'!$C$57,'Tabla Ahorro Futuro Reservas'!C1414*'FR_Mantenimiento tasas'!$D$57/360,""))),5)</f>
        <v>0</v>
      </c>
      <c r="E1414" s="121">
        <f>ROUND(IF(C1414&lt;='FR_Mantenimiento tasas'!$C$55,'Tabla Ahorro Futuro Reservas'!C1414*'FR_Mantenimiento tasas'!$E$55/360,IF(C1414&lt;='FR_Mantenimiento tasas'!$C$56,'Tabla Ahorro Futuro Reservas'!C1414*'FR_Mantenimiento tasas'!$E$56/360,IF(C1414&lt;='FR_Mantenimiento tasas'!$C$57,'Tabla Ahorro Futuro Reservas'!C1414*'FR_Mantenimiento tasas'!$E$57/360,""))),5)</f>
        <v>0</v>
      </c>
    </row>
    <row r="1415" spans="1:5">
      <c r="A1415" s="123">
        <f t="shared" si="44"/>
        <v>1413</v>
      </c>
      <c r="B1415" s="122">
        <f>IF(DAY(A1415)=DAY('F-Ahorro Futuro Reservas'!$H$10),'F-Ahorro Futuro Reservas'!$H$9,0)</f>
        <v>0</v>
      </c>
      <c r="C1415" s="122">
        <f t="shared" si="45"/>
        <v>0</v>
      </c>
      <c r="D1415" s="121">
        <f>ROUND(IF(C1415&lt;='FR_Mantenimiento tasas'!$C$55,'Tabla Ahorro Futuro Reservas'!C1415*'FR_Mantenimiento tasas'!$D$55/360,IF(C1415&lt;='FR_Mantenimiento tasas'!$C$56,'Tabla Ahorro Futuro Reservas'!C1415*'FR_Mantenimiento tasas'!$D$56/360,IF(C1415&lt;='FR_Mantenimiento tasas'!$C$57,'Tabla Ahorro Futuro Reservas'!C1415*'FR_Mantenimiento tasas'!$D$57/360,""))),5)</f>
        <v>0</v>
      </c>
      <c r="E1415" s="121">
        <f>ROUND(IF(C1415&lt;='FR_Mantenimiento tasas'!$C$55,'Tabla Ahorro Futuro Reservas'!C1415*'FR_Mantenimiento tasas'!$E$55/360,IF(C1415&lt;='FR_Mantenimiento tasas'!$C$56,'Tabla Ahorro Futuro Reservas'!C1415*'FR_Mantenimiento tasas'!$E$56/360,IF(C1415&lt;='FR_Mantenimiento tasas'!$C$57,'Tabla Ahorro Futuro Reservas'!C1415*'FR_Mantenimiento tasas'!$E$57/360,""))),5)</f>
        <v>0</v>
      </c>
    </row>
    <row r="1416" spans="1:5">
      <c r="A1416" s="123">
        <f t="shared" si="44"/>
        <v>1414</v>
      </c>
      <c r="B1416" s="122">
        <f>IF(DAY(A1416)=DAY('F-Ahorro Futuro Reservas'!$H$10),'F-Ahorro Futuro Reservas'!$H$9,0)</f>
        <v>0</v>
      </c>
      <c r="C1416" s="122">
        <f t="shared" si="45"/>
        <v>0</v>
      </c>
      <c r="D1416" s="121">
        <f>ROUND(IF(C1416&lt;='FR_Mantenimiento tasas'!$C$55,'Tabla Ahorro Futuro Reservas'!C1416*'FR_Mantenimiento tasas'!$D$55/360,IF(C1416&lt;='FR_Mantenimiento tasas'!$C$56,'Tabla Ahorro Futuro Reservas'!C1416*'FR_Mantenimiento tasas'!$D$56/360,IF(C1416&lt;='FR_Mantenimiento tasas'!$C$57,'Tabla Ahorro Futuro Reservas'!C1416*'FR_Mantenimiento tasas'!$D$57/360,""))),5)</f>
        <v>0</v>
      </c>
      <c r="E1416" s="121">
        <f>ROUND(IF(C1416&lt;='FR_Mantenimiento tasas'!$C$55,'Tabla Ahorro Futuro Reservas'!C1416*'FR_Mantenimiento tasas'!$E$55/360,IF(C1416&lt;='FR_Mantenimiento tasas'!$C$56,'Tabla Ahorro Futuro Reservas'!C1416*'FR_Mantenimiento tasas'!$E$56/360,IF(C1416&lt;='FR_Mantenimiento tasas'!$C$57,'Tabla Ahorro Futuro Reservas'!C1416*'FR_Mantenimiento tasas'!$E$57/360,""))),5)</f>
        <v>0</v>
      </c>
    </row>
    <row r="1417" spans="1:5">
      <c r="A1417" s="123">
        <f t="shared" si="44"/>
        <v>1415</v>
      </c>
      <c r="B1417" s="122">
        <f>IF(DAY(A1417)=DAY('F-Ahorro Futuro Reservas'!$H$10),'F-Ahorro Futuro Reservas'!$H$9,0)</f>
        <v>0</v>
      </c>
      <c r="C1417" s="122">
        <f t="shared" si="45"/>
        <v>0</v>
      </c>
      <c r="D1417" s="121">
        <f>ROUND(IF(C1417&lt;='FR_Mantenimiento tasas'!$C$55,'Tabla Ahorro Futuro Reservas'!C1417*'FR_Mantenimiento tasas'!$D$55/360,IF(C1417&lt;='FR_Mantenimiento tasas'!$C$56,'Tabla Ahorro Futuro Reservas'!C1417*'FR_Mantenimiento tasas'!$D$56/360,IF(C1417&lt;='FR_Mantenimiento tasas'!$C$57,'Tabla Ahorro Futuro Reservas'!C1417*'FR_Mantenimiento tasas'!$D$57/360,""))),5)</f>
        <v>0</v>
      </c>
      <c r="E1417" s="121">
        <f>ROUND(IF(C1417&lt;='FR_Mantenimiento tasas'!$C$55,'Tabla Ahorro Futuro Reservas'!C1417*'FR_Mantenimiento tasas'!$E$55/360,IF(C1417&lt;='FR_Mantenimiento tasas'!$C$56,'Tabla Ahorro Futuro Reservas'!C1417*'FR_Mantenimiento tasas'!$E$56/360,IF(C1417&lt;='FR_Mantenimiento tasas'!$C$57,'Tabla Ahorro Futuro Reservas'!C1417*'FR_Mantenimiento tasas'!$E$57/360,""))),5)</f>
        <v>0</v>
      </c>
    </row>
    <row r="1418" spans="1:5">
      <c r="A1418" s="123">
        <f t="shared" si="44"/>
        <v>1416</v>
      </c>
      <c r="B1418" s="122">
        <f>IF(DAY(A1418)=DAY('F-Ahorro Futuro Reservas'!$H$10),'F-Ahorro Futuro Reservas'!$H$9,0)</f>
        <v>0</v>
      </c>
      <c r="C1418" s="122">
        <f t="shared" si="45"/>
        <v>0</v>
      </c>
      <c r="D1418" s="121">
        <f>ROUND(IF(C1418&lt;='FR_Mantenimiento tasas'!$C$55,'Tabla Ahorro Futuro Reservas'!C1418*'FR_Mantenimiento tasas'!$D$55/360,IF(C1418&lt;='FR_Mantenimiento tasas'!$C$56,'Tabla Ahorro Futuro Reservas'!C1418*'FR_Mantenimiento tasas'!$D$56/360,IF(C1418&lt;='FR_Mantenimiento tasas'!$C$57,'Tabla Ahorro Futuro Reservas'!C1418*'FR_Mantenimiento tasas'!$D$57/360,""))),5)</f>
        <v>0</v>
      </c>
      <c r="E1418" s="121">
        <f>ROUND(IF(C1418&lt;='FR_Mantenimiento tasas'!$C$55,'Tabla Ahorro Futuro Reservas'!C1418*'FR_Mantenimiento tasas'!$E$55/360,IF(C1418&lt;='FR_Mantenimiento tasas'!$C$56,'Tabla Ahorro Futuro Reservas'!C1418*'FR_Mantenimiento tasas'!$E$56/360,IF(C1418&lt;='FR_Mantenimiento tasas'!$C$57,'Tabla Ahorro Futuro Reservas'!C1418*'FR_Mantenimiento tasas'!$E$57/360,""))),5)</f>
        <v>0</v>
      </c>
    </row>
    <row r="1419" spans="1:5">
      <c r="A1419" s="123">
        <f t="shared" si="44"/>
        <v>1417</v>
      </c>
      <c r="B1419" s="122">
        <f>IF(DAY(A1419)=DAY('F-Ahorro Futuro Reservas'!$H$10),'F-Ahorro Futuro Reservas'!$H$9,0)</f>
        <v>0</v>
      </c>
      <c r="C1419" s="122">
        <f t="shared" si="45"/>
        <v>0</v>
      </c>
      <c r="D1419" s="121">
        <f>ROUND(IF(C1419&lt;='FR_Mantenimiento tasas'!$C$55,'Tabla Ahorro Futuro Reservas'!C1419*'FR_Mantenimiento tasas'!$D$55/360,IF(C1419&lt;='FR_Mantenimiento tasas'!$C$56,'Tabla Ahorro Futuro Reservas'!C1419*'FR_Mantenimiento tasas'!$D$56/360,IF(C1419&lt;='FR_Mantenimiento tasas'!$C$57,'Tabla Ahorro Futuro Reservas'!C1419*'FR_Mantenimiento tasas'!$D$57/360,""))),5)</f>
        <v>0</v>
      </c>
      <c r="E1419" s="121">
        <f>ROUND(IF(C1419&lt;='FR_Mantenimiento tasas'!$C$55,'Tabla Ahorro Futuro Reservas'!C1419*'FR_Mantenimiento tasas'!$E$55/360,IF(C1419&lt;='FR_Mantenimiento tasas'!$C$56,'Tabla Ahorro Futuro Reservas'!C1419*'FR_Mantenimiento tasas'!$E$56/360,IF(C1419&lt;='FR_Mantenimiento tasas'!$C$57,'Tabla Ahorro Futuro Reservas'!C1419*'FR_Mantenimiento tasas'!$E$57/360,""))),5)</f>
        <v>0</v>
      </c>
    </row>
    <row r="1420" spans="1:5">
      <c r="A1420" s="123">
        <f t="shared" si="44"/>
        <v>1418</v>
      </c>
      <c r="B1420" s="122">
        <f>IF(DAY(A1420)=DAY('F-Ahorro Futuro Reservas'!$H$10),'F-Ahorro Futuro Reservas'!$H$9,0)</f>
        <v>0</v>
      </c>
      <c r="C1420" s="122">
        <f t="shared" si="45"/>
        <v>0</v>
      </c>
      <c r="D1420" s="121">
        <f>ROUND(IF(C1420&lt;='FR_Mantenimiento tasas'!$C$55,'Tabla Ahorro Futuro Reservas'!C1420*'FR_Mantenimiento tasas'!$D$55/360,IF(C1420&lt;='FR_Mantenimiento tasas'!$C$56,'Tabla Ahorro Futuro Reservas'!C1420*'FR_Mantenimiento tasas'!$D$56/360,IF(C1420&lt;='FR_Mantenimiento tasas'!$C$57,'Tabla Ahorro Futuro Reservas'!C1420*'FR_Mantenimiento tasas'!$D$57/360,""))),5)</f>
        <v>0</v>
      </c>
      <c r="E1420" s="121">
        <f>ROUND(IF(C1420&lt;='FR_Mantenimiento tasas'!$C$55,'Tabla Ahorro Futuro Reservas'!C1420*'FR_Mantenimiento tasas'!$E$55/360,IF(C1420&lt;='FR_Mantenimiento tasas'!$C$56,'Tabla Ahorro Futuro Reservas'!C1420*'FR_Mantenimiento tasas'!$E$56/360,IF(C1420&lt;='FR_Mantenimiento tasas'!$C$57,'Tabla Ahorro Futuro Reservas'!C1420*'FR_Mantenimiento tasas'!$E$57/360,""))),5)</f>
        <v>0</v>
      </c>
    </row>
    <row r="1421" spans="1:5">
      <c r="A1421" s="123">
        <f t="shared" si="44"/>
        <v>1419</v>
      </c>
      <c r="B1421" s="122">
        <f>IF(DAY(A1421)=DAY('F-Ahorro Futuro Reservas'!$H$10),'F-Ahorro Futuro Reservas'!$H$9,0)</f>
        <v>0</v>
      </c>
      <c r="C1421" s="122">
        <f t="shared" si="45"/>
        <v>0</v>
      </c>
      <c r="D1421" s="121">
        <f>ROUND(IF(C1421&lt;='FR_Mantenimiento tasas'!$C$55,'Tabla Ahorro Futuro Reservas'!C1421*'FR_Mantenimiento tasas'!$D$55/360,IF(C1421&lt;='FR_Mantenimiento tasas'!$C$56,'Tabla Ahorro Futuro Reservas'!C1421*'FR_Mantenimiento tasas'!$D$56/360,IF(C1421&lt;='FR_Mantenimiento tasas'!$C$57,'Tabla Ahorro Futuro Reservas'!C1421*'FR_Mantenimiento tasas'!$D$57/360,""))),5)</f>
        <v>0</v>
      </c>
      <c r="E1421" s="121">
        <f>ROUND(IF(C1421&lt;='FR_Mantenimiento tasas'!$C$55,'Tabla Ahorro Futuro Reservas'!C1421*'FR_Mantenimiento tasas'!$E$55/360,IF(C1421&lt;='FR_Mantenimiento tasas'!$C$56,'Tabla Ahorro Futuro Reservas'!C1421*'FR_Mantenimiento tasas'!$E$56/360,IF(C1421&lt;='FR_Mantenimiento tasas'!$C$57,'Tabla Ahorro Futuro Reservas'!C1421*'FR_Mantenimiento tasas'!$E$57/360,""))),5)</f>
        <v>0</v>
      </c>
    </row>
    <row r="1422" spans="1:5">
      <c r="A1422" s="123">
        <f t="shared" si="44"/>
        <v>1420</v>
      </c>
      <c r="B1422" s="122">
        <f>IF(DAY(A1422)=DAY('F-Ahorro Futuro Reservas'!$H$10),'F-Ahorro Futuro Reservas'!$H$9,0)</f>
        <v>0</v>
      </c>
      <c r="C1422" s="122">
        <f t="shared" si="45"/>
        <v>0</v>
      </c>
      <c r="D1422" s="121">
        <f>ROUND(IF(C1422&lt;='FR_Mantenimiento tasas'!$C$55,'Tabla Ahorro Futuro Reservas'!C1422*'FR_Mantenimiento tasas'!$D$55/360,IF(C1422&lt;='FR_Mantenimiento tasas'!$C$56,'Tabla Ahorro Futuro Reservas'!C1422*'FR_Mantenimiento tasas'!$D$56/360,IF(C1422&lt;='FR_Mantenimiento tasas'!$C$57,'Tabla Ahorro Futuro Reservas'!C1422*'FR_Mantenimiento tasas'!$D$57/360,""))),5)</f>
        <v>0</v>
      </c>
      <c r="E1422" s="121">
        <f>ROUND(IF(C1422&lt;='FR_Mantenimiento tasas'!$C$55,'Tabla Ahorro Futuro Reservas'!C1422*'FR_Mantenimiento tasas'!$E$55/360,IF(C1422&lt;='FR_Mantenimiento tasas'!$C$56,'Tabla Ahorro Futuro Reservas'!C1422*'FR_Mantenimiento tasas'!$E$56/360,IF(C1422&lt;='FR_Mantenimiento tasas'!$C$57,'Tabla Ahorro Futuro Reservas'!C1422*'FR_Mantenimiento tasas'!$E$57/360,""))),5)</f>
        <v>0</v>
      </c>
    </row>
    <row r="1423" spans="1:5">
      <c r="A1423" s="123">
        <f t="shared" si="44"/>
        <v>1421</v>
      </c>
      <c r="B1423" s="122">
        <f>IF(DAY(A1423)=DAY('F-Ahorro Futuro Reservas'!$H$10),'F-Ahorro Futuro Reservas'!$H$9,0)</f>
        <v>0</v>
      </c>
      <c r="C1423" s="122">
        <f t="shared" si="45"/>
        <v>0</v>
      </c>
      <c r="D1423" s="121">
        <f>ROUND(IF(C1423&lt;='FR_Mantenimiento tasas'!$C$55,'Tabla Ahorro Futuro Reservas'!C1423*'FR_Mantenimiento tasas'!$D$55/360,IF(C1423&lt;='FR_Mantenimiento tasas'!$C$56,'Tabla Ahorro Futuro Reservas'!C1423*'FR_Mantenimiento tasas'!$D$56/360,IF(C1423&lt;='FR_Mantenimiento tasas'!$C$57,'Tabla Ahorro Futuro Reservas'!C1423*'FR_Mantenimiento tasas'!$D$57/360,""))),5)</f>
        <v>0</v>
      </c>
      <c r="E1423" s="121">
        <f>ROUND(IF(C1423&lt;='FR_Mantenimiento tasas'!$C$55,'Tabla Ahorro Futuro Reservas'!C1423*'FR_Mantenimiento tasas'!$E$55/360,IF(C1423&lt;='FR_Mantenimiento tasas'!$C$56,'Tabla Ahorro Futuro Reservas'!C1423*'FR_Mantenimiento tasas'!$E$56/360,IF(C1423&lt;='FR_Mantenimiento tasas'!$C$57,'Tabla Ahorro Futuro Reservas'!C1423*'FR_Mantenimiento tasas'!$E$57/360,""))),5)</f>
        <v>0</v>
      </c>
    </row>
    <row r="1424" spans="1:5">
      <c r="A1424" s="123">
        <f t="shared" si="44"/>
        <v>1422</v>
      </c>
      <c r="B1424" s="122">
        <f>IF(DAY(A1424)=DAY('F-Ahorro Futuro Reservas'!$H$10),'F-Ahorro Futuro Reservas'!$H$9,0)</f>
        <v>0</v>
      </c>
      <c r="C1424" s="122">
        <f t="shared" si="45"/>
        <v>0</v>
      </c>
      <c r="D1424" s="121">
        <f>ROUND(IF(C1424&lt;='FR_Mantenimiento tasas'!$C$55,'Tabla Ahorro Futuro Reservas'!C1424*'FR_Mantenimiento tasas'!$D$55/360,IF(C1424&lt;='FR_Mantenimiento tasas'!$C$56,'Tabla Ahorro Futuro Reservas'!C1424*'FR_Mantenimiento tasas'!$D$56/360,IF(C1424&lt;='FR_Mantenimiento tasas'!$C$57,'Tabla Ahorro Futuro Reservas'!C1424*'FR_Mantenimiento tasas'!$D$57/360,""))),5)</f>
        <v>0</v>
      </c>
      <c r="E1424" s="121">
        <f>ROUND(IF(C1424&lt;='FR_Mantenimiento tasas'!$C$55,'Tabla Ahorro Futuro Reservas'!C1424*'FR_Mantenimiento tasas'!$E$55/360,IF(C1424&lt;='FR_Mantenimiento tasas'!$C$56,'Tabla Ahorro Futuro Reservas'!C1424*'FR_Mantenimiento tasas'!$E$56/360,IF(C1424&lt;='FR_Mantenimiento tasas'!$C$57,'Tabla Ahorro Futuro Reservas'!C1424*'FR_Mantenimiento tasas'!$E$57/360,""))),5)</f>
        <v>0</v>
      </c>
    </row>
    <row r="1425" spans="1:5">
      <c r="A1425" s="123">
        <f t="shared" si="44"/>
        <v>1423</v>
      </c>
      <c r="B1425" s="122">
        <f>IF(DAY(A1425)=DAY('F-Ahorro Futuro Reservas'!$H$10),'F-Ahorro Futuro Reservas'!$H$9,0)</f>
        <v>0</v>
      </c>
      <c r="C1425" s="122">
        <f t="shared" si="45"/>
        <v>0</v>
      </c>
      <c r="D1425" s="121">
        <f>ROUND(IF(C1425&lt;='FR_Mantenimiento tasas'!$C$55,'Tabla Ahorro Futuro Reservas'!C1425*'FR_Mantenimiento tasas'!$D$55/360,IF(C1425&lt;='FR_Mantenimiento tasas'!$C$56,'Tabla Ahorro Futuro Reservas'!C1425*'FR_Mantenimiento tasas'!$D$56/360,IF(C1425&lt;='FR_Mantenimiento tasas'!$C$57,'Tabla Ahorro Futuro Reservas'!C1425*'FR_Mantenimiento tasas'!$D$57/360,""))),5)</f>
        <v>0</v>
      </c>
      <c r="E1425" s="121">
        <f>ROUND(IF(C1425&lt;='FR_Mantenimiento tasas'!$C$55,'Tabla Ahorro Futuro Reservas'!C1425*'FR_Mantenimiento tasas'!$E$55/360,IF(C1425&lt;='FR_Mantenimiento tasas'!$C$56,'Tabla Ahorro Futuro Reservas'!C1425*'FR_Mantenimiento tasas'!$E$56/360,IF(C1425&lt;='FR_Mantenimiento tasas'!$C$57,'Tabla Ahorro Futuro Reservas'!C1425*'FR_Mantenimiento tasas'!$E$57/360,""))),5)</f>
        <v>0</v>
      </c>
    </row>
    <row r="1426" spans="1:5">
      <c r="A1426" s="123">
        <f t="shared" si="44"/>
        <v>1424</v>
      </c>
      <c r="B1426" s="122">
        <f>IF(DAY(A1426)=DAY('F-Ahorro Futuro Reservas'!$H$10),'F-Ahorro Futuro Reservas'!$H$9,0)</f>
        <v>0</v>
      </c>
      <c r="C1426" s="122">
        <f t="shared" si="45"/>
        <v>0</v>
      </c>
      <c r="D1426" s="121">
        <f>ROUND(IF(C1426&lt;='FR_Mantenimiento tasas'!$C$55,'Tabla Ahorro Futuro Reservas'!C1426*'FR_Mantenimiento tasas'!$D$55/360,IF(C1426&lt;='FR_Mantenimiento tasas'!$C$56,'Tabla Ahorro Futuro Reservas'!C1426*'FR_Mantenimiento tasas'!$D$56/360,IF(C1426&lt;='FR_Mantenimiento tasas'!$C$57,'Tabla Ahorro Futuro Reservas'!C1426*'FR_Mantenimiento tasas'!$D$57/360,""))),5)</f>
        <v>0</v>
      </c>
      <c r="E1426" s="121">
        <f>ROUND(IF(C1426&lt;='FR_Mantenimiento tasas'!$C$55,'Tabla Ahorro Futuro Reservas'!C1426*'FR_Mantenimiento tasas'!$E$55/360,IF(C1426&lt;='FR_Mantenimiento tasas'!$C$56,'Tabla Ahorro Futuro Reservas'!C1426*'FR_Mantenimiento tasas'!$E$56/360,IF(C1426&lt;='FR_Mantenimiento tasas'!$C$57,'Tabla Ahorro Futuro Reservas'!C1426*'FR_Mantenimiento tasas'!$E$57/360,""))),5)</f>
        <v>0</v>
      </c>
    </row>
    <row r="1427" spans="1:5">
      <c r="A1427" s="123">
        <f t="shared" si="44"/>
        <v>1425</v>
      </c>
      <c r="B1427" s="122">
        <f>IF(DAY(A1427)=DAY('F-Ahorro Futuro Reservas'!$H$10),'F-Ahorro Futuro Reservas'!$H$9,0)</f>
        <v>0</v>
      </c>
      <c r="C1427" s="122">
        <f t="shared" si="45"/>
        <v>0</v>
      </c>
      <c r="D1427" s="121">
        <f>ROUND(IF(C1427&lt;='FR_Mantenimiento tasas'!$C$55,'Tabla Ahorro Futuro Reservas'!C1427*'FR_Mantenimiento tasas'!$D$55/360,IF(C1427&lt;='FR_Mantenimiento tasas'!$C$56,'Tabla Ahorro Futuro Reservas'!C1427*'FR_Mantenimiento tasas'!$D$56/360,IF(C1427&lt;='FR_Mantenimiento tasas'!$C$57,'Tabla Ahorro Futuro Reservas'!C1427*'FR_Mantenimiento tasas'!$D$57/360,""))),5)</f>
        <v>0</v>
      </c>
      <c r="E1427" s="121">
        <f>ROUND(IF(C1427&lt;='FR_Mantenimiento tasas'!$C$55,'Tabla Ahorro Futuro Reservas'!C1427*'FR_Mantenimiento tasas'!$E$55/360,IF(C1427&lt;='FR_Mantenimiento tasas'!$C$56,'Tabla Ahorro Futuro Reservas'!C1427*'FR_Mantenimiento tasas'!$E$56/360,IF(C1427&lt;='FR_Mantenimiento tasas'!$C$57,'Tabla Ahorro Futuro Reservas'!C1427*'FR_Mantenimiento tasas'!$E$57/360,""))),5)</f>
        <v>0</v>
      </c>
    </row>
    <row r="1428" spans="1:5">
      <c r="A1428" s="123">
        <f t="shared" si="44"/>
        <v>1426</v>
      </c>
      <c r="B1428" s="122">
        <f>IF(DAY(A1428)=DAY('F-Ahorro Futuro Reservas'!$H$10),'F-Ahorro Futuro Reservas'!$H$9,0)</f>
        <v>0</v>
      </c>
      <c r="C1428" s="122">
        <f t="shared" si="45"/>
        <v>0</v>
      </c>
      <c r="D1428" s="121">
        <f>ROUND(IF(C1428&lt;='FR_Mantenimiento tasas'!$C$55,'Tabla Ahorro Futuro Reservas'!C1428*'FR_Mantenimiento tasas'!$D$55/360,IF(C1428&lt;='FR_Mantenimiento tasas'!$C$56,'Tabla Ahorro Futuro Reservas'!C1428*'FR_Mantenimiento tasas'!$D$56/360,IF(C1428&lt;='FR_Mantenimiento tasas'!$C$57,'Tabla Ahorro Futuro Reservas'!C1428*'FR_Mantenimiento tasas'!$D$57/360,""))),5)</f>
        <v>0</v>
      </c>
      <c r="E1428" s="121">
        <f>ROUND(IF(C1428&lt;='FR_Mantenimiento tasas'!$C$55,'Tabla Ahorro Futuro Reservas'!C1428*'FR_Mantenimiento tasas'!$E$55/360,IF(C1428&lt;='FR_Mantenimiento tasas'!$C$56,'Tabla Ahorro Futuro Reservas'!C1428*'FR_Mantenimiento tasas'!$E$56/360,IF(C1428&lt;='FR_Mantenimiento tasas'!$C$57,'Tabla Ahorro Futuro Reservas'!C1428*'FR_Mantenimiento tasas'!$E$57/360,""))),5)</f>
        <v>0</v>
      </c>
    </row>
    <row r="1429" spans="1:5">
      <c r="A1429" s="123">
        <f t="shared" si="44"/>
        <v>1427</v>
      </c>
      <c r="B1429" s="122">
        <f>IF(DAY(A1429)=DAY('F-Ahorro Futuro Reservas'!$H$10),'F-Ahorro Futuro Reservas'!$H$9,0)</f>
        <v>0</v>
      </c>
      <c r="C1429" s="122">
        <f t="shared" si="45"/>
        <v>0</v>
      </c>
      <c r="D1429" s="121">
        <f>ROUND(IF(C1429&lt;='FR_Mantenimiento tasas'!$C$55,'Tabla Ahorro Futuro Reservas'!C1429*'FR_Mantenimiento tasas'!$D$55/360,IF(C1429&lt;='FR_Mantenimiento tasas'!$C$56,'Tabla Ahorro Futuro Reservas'!C1429*'FR_Mantenimiento tasas'!$D$56/360,IF(C1429&lt;='FR_Mantenimiento tasas'!$C$57,'Tabla Ahorro Futuro Reservas'!C1429*'FR_Mantenimiento tasas'!$D$57/360,""))),5)</f>
        <v>0</v>
      </c>
      <c r="E1429" s="121">
        <f>ROUND(IF(C1429&lt;='FR_Mantenimiento tasas'!$C$55,'Tabla Ahorro Futuro Reservas'!C1429*'FR_Mantenimiento tasas'!$E$55/360,IF(C1429&lt;='FR_Mantenimiento tasas'!$C$56,'Tabla Ahorro Futuro Reservas'!C1429*'FR_Mantenimiento tasas'!$E$56/360,IF(C1429&lt;='FR_Mantenimiento tasas'!$C$57,'Tabla Ahorro Futuro Reservas'!C1429*'FR_Mantenimiento tasas'!$E$57/360,""))),5)</f>
        <v>0</v>
      </c>
    </row>
    <row r="1430" spans="1:5">
      <c r="A1430" s="123">
        <f t="shared" si="44"/>
        <v>1428</v>
      </c>
      <c r="B1430" s="122">
        <f>IF(DAY(A1430)=DAY('F-Ahorro Futuro Reservas'!$H$10),'F-Ahorro Futuro Reservas'!$H$9,0)</f>
        <v>0</v>
      </c>
      <c r="C1430" s="122">
        <f t="shared" si="45"/>
        <v>0</v>
      </c>
      <c r="D1430" s="121">
        <f>ROUND(IF(C1430&lt;='FR_Mantenimiento tasas'!$C$55,'Tabla Ahorro Futuro Reservas'!C1430*'FR_Mantenimiento tasas'!$D$55/360,IF(C1430&lt;='FR_Mantenimiento tasas'!$C$56,'Tabla Ahorro Futuro Reservas'!C1430*'FR_Mantenimiento tasas'!$D$56/360,IF(C1430&lt;='FR_Mantenimiento tasas'!$C$57,'Tabla Ahorro Futuro Reservas'!C1430*'FR_Mantenimiento tasas'!$D$57/360,""))),5)</f>
        <v>0</v>
      </c>
      <c r="E1430" s="121">
        <f>ROUND(IF(C1430&lt;='FR_Mantenimiento tasas'!$C$55,'Tabla Ahorro Futuro Reservas'!C1430*'FR_Mantenimiento tasas'!$E$55/360,IF(C1430&lt;='FR_Mantenimiento tasas'!$C$56,'Tabla Ahorro Futuro Reservas'!C1430*'FR_Mantenimiento tasas'!$E$56/360,IF(C1430&lt;='FR_Mantenimiento tasas'!$C$57,'Tabla Ahorro Futuro Reservas'!C1430*'FR_Mantenimiento tasas'!$E$57/360,""))),5)</f>
        <v>0</v>
      </c>
    </row>
    <row r="1431" spans="1:5">
      <c r="A1431" s="123">
        <f t="shared" si="44"/>
        <v>1429</v>
      </c>
      <c r="B1431" s="122">
        <f>IF(DAY(A1431)=DAY('F-Ahorro Futuro Reservas'!$H$10),'F-Ahorro Futuro Reservas'!$H$9,0)</f>
        <v>0</v>
      </c>
      <c r="C1431" s="122">
        <f t="shared" si="45"/>
        <v>0</v>
      </c>
      <c r="D1431" s="121">
        <f>ROUND(IF(C1431&lt;='FR_Mantenimiento tasas'!$C$55,'Tabla Ahorro Futuro Reservas'!C1431*'FR_Mantenimiento tasas'!$D$55/360,IF(C1431&lt;='FR_Mantenimiento tasas'!$C$56,'Tabla Ahorro Futuro Reservas'!C1431*'FR_Mantenimiento tasas'!$D$56/360,IF(C1431&lt;='FR_Mantenimiento tasas'!$C$57,'Tabla Ahorro Futuro Reservas'!C1431*'FR_Mantenimiento tasas'!$D$57/360,""))),5)</f>
        <v>0</v>
      </c>
      <c r="E1431" s="121">
        <f>ROUND(IF(C1431&lt;='FR_Mantenimiento tasas'!$C$55,'Tabla Ahorro Futuro Reservas'!C1431*'FR_Mantenimiento tasas'!$E$55/360,IF(C1431&lt;='FR_Mantenimiento tasas'!$C$56,'Tabla Ahorro Futuro Reservas'!C1431*'FR_Mantenimiento tasas'!$E$56/360,IF(C1431&lt;='FR_Mantenimiento tasas'!$C$57,'Tabla Ahorro Futuro Reservas'!C1431*'FR_Mantenimiento tasas'!$E$57/360,""))),5)</f>
        <v>0</v>
      </c>
    </row>
    <row r="1432" spans="1:5">
      <c r="A1432" s="123">
        <f t="shared" si="44"/>
        <v>1430</v>
      </c>
      <c r="B1432" s="122">
        <f>IF(DAY(A1432)=DAY('F-Ahorro Futuro Reservas'!$H$10),'F-Ahorro Futuro Reservas'!$H$9,0)</f>
        <v>0</v>
      </c>
      <c r="C1432" s="122">
        <f t="shared" si="45"/>
        <v>0</v>
      </c>
      <c r="D1432" s="121">
        <f>ROUND(IF(C1432&lt;='FR_Mantenimiento tasas'!$C$55,'Tabla Ahorro Futuro Reservas'!C1432*'FR_Mantenimiento tasas'!$D$55/360,IF(C1432&lt;='FR_Mantenimiento tasas'!$C$56,'Tabla Ahorro Futuro Reservas'!C1432*'FR_Mantenimiento tasas'!$D$56/360,IF(C1432&lt;='FR_Mantenimiento tasas'!$C$57,'Tabla Ahorro Futuro Reservas'!C1432*'FR_Mantenimiento tasas'!$D$57/360,""))),5)</f>
        <v>0</v>
      </c>
      <c r="E1432" s="121">
        <f>ROUND(IF(C1432&lt;='FR_Mantenimiento tasas'!$C$55,'Tabla Ahorro Futuro Reservas'!C1432*'FR_Mantenimiento tasas'!$E$55/360,IF(C1432&lt;='FR_Mantenimiento tasas'!$C$56,'Tabla Ahorro Futuro Reservas'!C1432*'FR_Mantenimiento tasas'!$E$56/360,IF(C1432&lt;='FR_Mantenimiento tasas'!$C$57,'Tabla Ahorro Futuro Reservas'!C1432*'FR_Mantenimiento tasas'!$E$57/360,""))),5)</f>
        <v>0</v>
      </c>
    </row>
    <row r="1433" spans="1:5">
      <c r="A1433" s="123">
        <f t="shared" si="44"/>
        <v>1431</v>
      </c>
      <c r="B1433" s="122">
        <f>IF(DAY(A1433)=DAY('F-Ahorro Futuro Reservas'!$H$10),'F-Ahorro Futuro Reservas'!$H$9,0)</f>
        <v>0</v>
      </c>
      <c r="C1433" s="122">
        <f t="shared" si="45"/>
        <v>0</v>
      </c>
      <c r="D1433" s="121">
        <f>ROUND(IF(C1433&lt;='FR_Mantenimiento tasas'!$C$55,'Tabla Ahorro Futuro Reservas'!C1433*'FR_Mantenimiento tasas'!$D$55/360,IF(C1433&lt;='FR_Mantenimiento tasas'!$C$56,'Tabla Ahorro Futuro Reservas'!C1433*'FR_Mantenimiento tasas'!$D$56/360,IF(C1433&lt;='FR_Mantenimiento tasas'!$C$57,'Tabla Ahorro Futuro Reservas'!C1433*'FR_Mantenimiento tasas'!$D$57/360,""))),5)</f>
        <v>0</v>
      </c>
      <c r="E1433" s="121">
        <f>ROUND(IF(C1433&lt;='FR_Mantenimiento tasas'!$C$55,'Tabla Ahorro Futuro Reservas'!C1433*'FR_Mantenimiento tasas'!$E$55/360,IF(C1433&lt;='FR_Mantenimiento tasas'!$C$56,'Tabla Ahorro Futuro Reservas'!C1433*'FR_Mantenimiento tasas'!$E$56/360,IF(C1433&lt;='FR_Mantenimiento tasas'!$C$57,'Tabla Ahorro Futuro Reservas'!C1433*'FR_Mantenimiento tasas'!$E$57/360,""))),5)</f>
        <v>0</v>
      </c>
    </row>
    <row r="1434" spans="1:5">
      <c r="A1434" s="123">
        <f t="shared" si="44"/>
        <v>1432</v>
      </c>
      <c r="B1434" s="122">
        <f>IF(DAY(A1434)=DAY('F-Ahorro Futuro Reservas'!$H$10),'F-Ahorro Futuro Reservas'!$H$9,0)</f>
        <v>0</v>
      </c>
      <c r="C1434" s="122">
        <f t="shared" si="45"/>
        <v>0</v>
      </c>
      <c r="D1434" s="121">
        <f>ROUND(IF(C1434&lt;='FR_Mantenimiento tasas'!$C$55,'Tabla Ahorro Futuro Reservas'!C1434*'FR_Mantenimiento tasas'!$D$55/360,IF(C1434&lt;='FR_Mantenimiento tasas'!$C$56,'Tabla Ahorro Futuro Reservas'!C1434*'FR_Mantenimiento tasas'!$D$56/360,IF(C1434&lt;='FR_Mantenimiento tasas'!$C$57,'Tabla Ahorro Futuro Reservas'!C1434*'FR_Mantenimiento tasas'!$D$57/360,""))),5)</f>
        <v>0</v>
      </c>
      <c r="E1434" s="121">
        <f>ROUND(IF(C1434&lt;='FR_Mantenimiento tasas'!$C$55,'Tabla Ahorro Futuro Reservas'!C1434*'FR_Mantenimiento tasas'!$E$55/360,IF(C1434&lt;='FR_Mantenimiento tasas'!$C$56,'Tabla Ahorro Futuro Reservas'!C1434*'FR_Mantenimiento tasas'!$E$56/360,IF(C1434&lt;='FR_Mantenimiento tasas'!$C$57,'Tabla Ahorro Futuro Reservas'!C1434*'FR_Mantenimiento tasas'!$E$57/360,""))),5)</f>
        <v>0</v>
      </c>
    </row>
    <row r="1435" spans="1:5">
      <c r="A1435" s="123">
        <f t="shared" si="44"/>
        <v>1433</v>
      </c>
      <c r="B1435" s="122">
        <f>IF(DAY(A1435)=DAY('F-Ahorro Futuro Reservas'!$H$10),'F-Ahorro Futuro Reservas'!$H$9,0)</f>
        <v>0</v>
      </c>
      <c r="C1435" s="122">
        <f t="shared" si="45"/>
        <v>0</v>
      </c>
      <c r="D1435" s="121">
        <f>ROUND(IF(C1435&lt;='FR_Mantenimiento tasas'!$C$55,'Tabla Ahorro Futuro Reservas'!C1435*'FR_Mantenimiento tasas'!$D$55/360,IF(C1435&lt;='FR_Mantenimiento tasas'!$C$56,'Tabla Ahorro Futuro Reservas'!C1435*'FR_Mantenimiento tasas'!$D$56/360,IF(C1435&lt;='FR_Mantenimiento tasas'!$C$57,'Tabla Ahorro Futuro Reservas'!C1435*'FR_Mantenimiento tasas'!$D$57/360,""))),5)</f>
        <v>0</v>
      </c>
      <c r="E1435" s="121">
        <f>ROUND(IF(C1435&lt;='FR_Mantenimiento tasas'!$C$55,'Tabla Ahorro Futuro Reservas'!C1435*'FR_Mantenimiento tasas'!$E$55/360,IF(C1435&lt;='FR_Mantenimiento tasas'!$C$56,'Tabla Ahorro Futuro Reservas'!C1435*'FR_Mantenimiento tasas'!$E$56/360,IF(C1435&lt;='FR_Mantenimiento tasas'!$C$57,'Tabla Ahorro Futuro Reservas'!C1435*'FR_Mantenimiento tasas'!$E$57/360,""))),5)</f>
        <v>0</v>
      </c>
    </row>
    <row r="1436" spans="1:5">
      <c r="A1436" s="123">
        <f t="shared" si="44"/>
        <v>1434</v>
      </c>
      <c r="B1436" s="122">
        <f>IF(DAY(A1436)=DAY('F-Ahorro Futuro Reservas'!$H$10),'F-Ahorro Futuro Reservas'!$H$9,0)</f>
        <v>0</v>
      </c>
      <c r="C1436" s="122">
        <f t="shared" si="45"/>
        <v>0</v>
      </c>
      <c r="D1436" s="121">
        <f>ROUND(IF(C1436&lt;='FR_Mantenimiento tasas'!$C$55,'Tabla Ahorro Futuro Reservas'!C1436*'FR_Mantenimiento tasas'!$D$55/360,IF(C1436&lt;='FR_Mantenimiento tasas'!$C$56,'Tabla Ahorro Futuro Reservas'!C1436*'FR_Mantenimiento tasas'!$D$56/360,IF(C1436&lt;='FR_Mantenimiento tasas'!$C$57,'Tabla Ahorro Futuro Reservas'!C1436*'FR_Mantenimiento tasas'!$D$57/360,""))),5)</f>
        <v>0</v>
      </c>
      <c r="E1436" s="121">
        <f>ROUND(IF(C1436&lt;='FR_Mantenimiento tasas'!$C$55,'Tabla Ahorro Futuro Reservas'!C1436*'FR_Mantenimiento tasas'!$E$55/360,IF(C1436&lt;='FR_Mantenimiento tasas'!$C$56,'Tabla Ahorro Futuro Reservas'!C1436*'FR_Mantenimiento tasas'!$E$56/360,IF(C1436&lt;='FR_Mantenimiento tasas'!$C$57,'Tabla Ahorro Futuro Reservas'!C1436*'FR_Mantenimiento tasas'!$E$57/360,""))),5)</f>
        <v>0</v>
      </c>
    </row>
    <row r="1437" spans="1:5">
      <c r="A1437" s="123">
        <f t="shared" si="44"/>
        <v>1435</v>
      </c>
      <c r="B1437" s="122">
        <f>IF(DAY(A1437)=DAY('F-Ahorro Futuro Reservas'!$H$10),'F-Ahorro Futuro Reservas'!$H$9,0)</f>
        <v>0</v>
      </c>
      <c r="C1437" s="122">
        <f t="shared" si="45"/>
        <v>0</v>
      </c>
      <c r="D1437" s="121">
        <f>ROUND(IF(C1437&lt;='FR_Mantenimiento tasas'!$C$55,'Tabla Ahorro Futuro Reservas'!C1437*'FR_Mantenimiento tasas'!$D$55/360,IF(C1437&lt;='FR_Mantenimiento tasas'!$C$56,'Tabla Ahorro Futuro Reservas'!C1437*'FR_Mantenimiento tasas'!$D$56/360,IF(C1437&lt;='FR_Mantenimiento tasas'!$C$57,'Tabla Ahorro Futuro Reservas'!C1437*'FR_Mantenimiento tasas'!$D$57/360,""))),5)</f>
        <v>0</v>
      </c>
      <c r="E1437" s="121">
        <f>ROUND(IF(C1437&lt;='FR_Mantenimiento tasas'!$C$55,'Tabla Ahorro Futuro Reservas'!C1437*'FR_Mantenimiento tasas'!$E$55/360,IF(C1437&lt;='FR_Mantenimiento tasas'!$C$56,'Tabla Ahorro Futuro Reservas'!C1437*'FR_Mantenimiento tasas'!$E$56/360,IF(C1437&lt;='FR_Mantenimiento tasas'!$C$57,'Tabla Ahorro Futuro Reservas'!C1437*'FR_Mantenimiento tasas'!$E$57/360,""))),5)</f>
        <v>0</v>
      </c>
    </row>
    <row r="1438" spans="1:5">
      <c r="A1438" s="123">
        <f t="shared" si="44"/>
        <v>1436</v>
      </c>
      <c r="B1438" s="122">
        <f>IF(DAY(A1438)=DAY('F-Ahorro Futuro Reservas'!$H$10),'F-Ahorro Futuro Reservas'!$H$9,0)</f>
        <v>0</v>
      </c>
      <c r="C1438" s="122">
        <f t="shared" si="45"/>
        <v>0</v>
      </c>
      <c r="D1438" s="121">
        <f>ROUND(IF(C1438&lt;='FR_Mantenimiento tasas'!$C$55,'Tabla Ahorro Futuro Reservas'!C1438*'FR_Mantenimiento tasas'!$D$55/360,IF(C1438&lt;='FR_Mantenimiento tasas'!$C$56,'Tabla Ahorro Futuro Reservas'!C1438*'FR_Mantenimiento tasas'!$D$56/360,IF(C1438&lt;='FR_Mantenimiento tasas'!$C$57,'Tabla Ahorro Futuro Reservas'!C1438*'FR_Mantenimiento tasas'!$D$57/360,""))),5)</f>
        <v>0</v>
      </c>
      <c r="E1438" s="121">
        <f>ROUND(IF(C1438&lt;='FR_Mantenimiento tasas'!$C$55,'Tabla Ahorro Futuro Reservas'!C1438*'FR_Mantenimiento tasas'!$E$55/360,IF(C1438&lt;='FR_Mantenimiento tasas'!$C$56,'Tabla Ahorro Futuro Reservas'!C1438*'FR_Mantenimiento tasas'!$E$56/360,IF(C1438&lt;='FR_Mantenimiento tasas'!$C$57,'Tabla Ahorro Futuro Reservas'!C1438*'FR_Mantenimiento tasas'!$E$57/360,""))),5)</f>
        <v>0</v>
      </c>
    </row>
    <row r="1439" spans="1:5">
      <c r="A1439" s="123">
        <f t="shared" si="44"/>
        <v>1437</v>
      </c>
      <c r="B1439" s="122">
        <f>IF(DAY(A1439)=DAY('F-Ahorro Futuro Reservas'!$H$10),'F-Ahorro Futuro Reservas'!$H$9,0)</f>
        <v>0</v>
      </c>
      <c r="C1439" s="122">
        <f t="shared" si="45"/>
        <v>0</v>
      </c>
      <c r="D1439" s="121">
        <f>ROUND(IF(C1439&lt;='FR_Mantenimiento tasas'!$C$55,'Tabla Ahorro Futuro Reservas'!C1439*'FR_Mantenimiento tasas'!$D$55/360,IF(C1439&lt;='FR_Mantenimiento tasas'!$C$56,'Tabla Ahorro Futuro Reservas'!C1439*'FR_Mantenimiento tasas'!$D$56/360,IF(C1439&lt;='FR_Mantenimiento tasas'!$C$57,'Tabla Ahorro Futuro Reservas'!C1439*'FR_Mantenimiento tasas'!$D$57/360,""))),5)</f>
        <v>0</v>
      </c>
      <c r="E1439" s="121">
        <f>ROUND(IF(C1439&lt;='FR_Mantenimiento tasas'!$C$55,'Tabla Ahorro Futuro Reservas'!C1439*'FR_Mantenimiento tasas'!$E$55/360,IF(C1439&lt;='FR_Mantenimiento tasas'!$C$56,'Tabla Ahorro Futuro Reservas'!C1439*'FR_Mantenimiento tasas'!$E$56/360,IF(C1439&lt;='FR_Mantenimiento tasas'!$C$57,'Tabla Ahorro Futuro Reservas'!C1439*'FR_Mantenimiento tasas'!$E$57/360,""))),5)</f>
        <v>0</v>
      </c>
    </row>
    <row r="1440" spans="1:5">
      <c r="A1440" s="123">
        <f t="shared" si="44"/>
        <v>1438</v>
      </c>
      <c r="B1440" s="122">
        <f>IF(DAY(A1440)=DAY('F-Ahorro Futuro Reservas'!$H$10),'F-Ahorro Futuro Reservas'!$H$9,0)</f>
        <v>0</v>
      </c>
      <c r="C1440" s="122">
        <f t="shared" si="45"/>
        <v>0</v>
      </c>
      <c r="D1440" s="121">
        <f>ROUND(IF(C1440&lt;='FR_Mantenimiento tasas'!$C$55,'Tabla Ahorro Futuro Reservas'!C1440*'FR_Mantenimiento tasas'!$D$55/360,IF(C1440&lt;='FR_Mantenimiento tasas'!$C$56,'Tabla Ahorro Futuro Reservas'!C1440*'FR_Mantenimiento tasas'!$D$56/360,IF(C1440&lt;='FR_Mantenimiento tasas'!$C$57,'Tabla Ahorro Futuro Reservas'!C1440*'FR_Mantenimiento tasas'!$D$57/360,""))),5)</f>
        <v>0</v>
      </c>
      <c r="E1440" s="121">
        <f>ROUND(IF(C1440&lt;='FR_Mantenimiento tasas'!$C$55,'Tabla Ahorro Futuro Reservas'!C1440*'FR_Mantenimiento tasas'!$E$55/360,IF(C1440&lt;='FR_Mantenimiento tasas'!$C$56,'Tabla Ahorro Futuro Reservas'!C1440*'FR_Mantenimiento tasas'!$E$56/360,IF(C1440&lt;='FR_Mantenimiento tasas'!$C$57,'Tabla Ahorro Futuro Reservas'!C1440*'FR_Mantenimiento tasas'!$E$57/360,""))),5)</f>
        <v>0</v>
      </c>
    </row>
    <row r="1441" spans="1:5">
      <c r="A1441" s="123">
        <f t="shared" si="44"/>
        <v>1439</v>
      </c>
      <c r="B1441" s="122">
        <f>IF(DAY(A1441)=DAY('F-Ahorro Futuro Reservas'!$H$10),'F-Ahorro Futuro Reservas'!$H$9,0)</f>
        <v>0</v>
      </c>
      <c r="C1441" s="122">
        <f t="shared" si="45"/>
        <v>0</v>
      </c>
      <c r="D1441" s="121">
        <f>ROUND(IF(C1441&lt;='FR_Mantenimiento tasas'!$C$55,'Tabla Ahorro Futuro Reservas'!C1441*'FR_Mantenimiento tasas'!$D$55/360,IF(C1441&lt;='FR_Mantenimiento tasas'!$C$56,'Tabla Ahorro Futuro Reservas'!C1441*'FR_Mantenimiento tasas'!$D$56/360,IF(C1441&lt;='FR_Mantenimiento tasas'!$C$57,'Tabla Ahorro Futuro Reservas'!C1441*'FR_Mantenimiento tasas'!$D$57/360,""))),5)</f>
        <v>0</v>
      </c>
      <c r="E1441" s="121">
        <f>ROUND(IF(C1441&lt;='FR_Mantenimiento tasas'!$C$55,'Tabla Ahorro Futuro Reservas'!C1441*'FR_Mantenimiento tasas'!$E$55/360,IF(C1441&lt;='FR_Mantenimiento tasas'!$C$56,'Tabla Ahorro Futuro Reservas'!C1441*'FR_Mantenimiento tasas'!$E$56/360,IF(C1441&lt;='FR_Mantenimiento tasas'!$C$57,'Tabla Ahorro Futuro Reservas'!C1441*'FR_Mantenimiento tasas'!$E$57/360,""))),5)</f>
        <v>0</v>
      </c>
    </row>
    <row r="1442" spans="1:5">
      <c r="A1442" s="123">
        <f t="shared" si="44"/>
        <v>1440</v>
      </c>
      <c r="B1442" s="122">
        <f>IF(DAY(A1442)=DAY('F-Ahorro Futuro Reservas'!$H$10),'F-Ahorro Futuro Reservas'!$H$9,0)</f>
        <v>0</v>
      </c>
      <c r="C1442" s="122">
        <f t="shared" si="45"/>
        <v>0</v>
      </c>
      <c r="D1442" s="121">
        <f>ROUND(IF(C1442&lt;='FR_Mantenimiento tasas'!$C$55,'Tabla Ahorro Futuro Reservas'!C1442*'FR_Mantenimiento tasas'!$D$55/360,IF(C1442&lt;='FR_Mantenimiento tasas'!$C$56,'Tabla Ahorro Futuro Reservas'!C1442*'FR_Mantenimiento tasas'!$D$56/360,IF(C1442&lt;='FR_Mantenimiento tasas'!$C$57,'Tabla Ahorro Futuro Reservas'!C1442*'FR_Mantenimiento tasas'!$D$57/360,""))),5)</f>
        <v>0</v>
      </c>
      <c r="E1442" s="121">
        <f>ROUND(IF(C1442&lt;='FR_Mantenimiento tasas'!$C$55,'Tabla Ahorro Futuro Reservas'!C1442*'FR_Mantenimiento tasas'!$E$55/360,IF(C1442&lt;='FR_Mantenimiento tasas'!$C$56,'Tabla Ahorro Futuro Reservas'!C1442*'FR_Mantenimiento tasas'!$E$56/360,IF(C1442&lt;='FR_Mantenimiento tasas'!$C$57,'Tabla Ahorro Futuro Reservas'!C1442*'FR_Mantenimiento tasas'!$E$57/360,""))),5)</f>
        <v>0</v>
      </c>
    </row>
    <row r="1443" spans="1:5">
      <c r="A1443" s="123">
        <f t="shared" si="44"/>
        <v>1441</v>
      </c>
      <c r="B1443" s="122">
        <f>IF(DAY(A1443)=DAY('F-Ahorro Futuro Reservas'!$H$10),'F-Ahorro Futuro Reservas'!$H$9,0)</f>
        <v>0</v>
      </c>
      <c r="C1443" s="122">
        <f t="shared" si="45"/>
        <v>0</v>
      </c>
      <c r="D1443" s="121">
        <f>ROUND(IF(C1443&lt;='FR_Mantenimiento tasas'!$C$55,'Tabla Ahorro Futuro Reservas'!C1443*'FR_Mantenimiento tasas'!$D$55/360,IF(C1443&lt;='FR_Mantenimiento tasas'!$C$56,'Tabla Ahorro Futuro Reservas'!C1443*'FR_Mantenimiento tasas'!$D$56/360,IF(C1443&lt;='FR_Mantenimiento tasas'!$C$57,'Tabla Ahorro Futuro Reservas'!C1443*'FR_Mantenimiento tasas'!$D$57/360,""))),5)</f>
        <v>0</v>
      </c>
      <c r="E1443" s="121">
        <f>ROUND(IF(C1443&lt;='FR_Mantenimiento tasas'!$C$55,'Tabla Ahorro Futuro Reservas'!C1443*'FR_Mantenimiento tasas'!$E$55/360,IF(C1443&lt;='FR_Mantenimiento tasas'!$C$56,'Tabla Ahorro Futuro Reservas'!C1443*'FR_Mantenimiento tasas'!$E$56/360,IF(C1443&lt;='FR_Mantenimiento tasas'!$C$57,'Tabla Ahorro Futuro Reservas'!C1443*'FR_Mantenimiento tasas'!$E$57/360,""))),5)</f>
        <v>0</v>
      </c>
    </row>
    <row r="1444" spans="1:5">
      <c r="A1444" s="123">
        <f t="shared" si="44"/>
        <v>1442</v>
      </c>
      <c r="B1444" s="122">
        <f>IF(DAY(A1444)=DAY('F-Ahorro Futuro Reservas'!$H$10),'F-Ahorro Futuro Reservas'!$H$9,0)</f>
        <v>0</v>
      </c>
      <c r="C1444" s="122">
        <f t="shared" si="45"/>
        <v>0</v>
      </c>
      <c r="D1444" s="121">
        <f>ROUND(IF(C1444&lt;='FR_Mantenimiento tasas'!$C$55,'Tabla Ahorro Futuro Reservas'!C1444*'FR_Mantenimiento tasas'!$D$55/360,IF(C1444&lt;='FR_Mantenimiento tasas'!$C$56,'Tabla Ahorro Futuro Reservas'!C1444*'FR_Mantenimiento tasas'!$D$56/360,IF(C1444&lt;='FR_Mantenimiento tasas'!$C$57,'Tabla Ahorro Futuro Reservas'!C1444*'FR_Mantenimiento tasas'!$D$57/360,""))),5)</f>
        <v>0</v>
      </c>
      <c r="E1444" s="121">
        <f>ROUND(IF(C1444&lt;='FR_Mantenimiento tasas'!$C$55,'Tabla Ahorro Futuro Reservas'!C1444*'FR_Mantenimiento tasas'!$E$55/360,IF(C1444&lt;='FR_Mantenimiento tasas'!$C$56,'Tabla Ahorro Futuro Reservas'!C1444*'FR_Mantenimiento tasas'!$E$56/360,IF(C1444&lt;='FR_Mantenimiento tasas'!$C$57,'Tabla Ahorro Futuro Reservas'!C1444*'FR_Mantenimiento tasas'!$E$57/360,""))),5)</f>
        <v>0</v>
      </c>
    </row>
    <row r="1445" spans="1:5">
      <c r="A1445" s="123">
        <f t="shared" si="44"/>
        <v>1443</v>
      </c>
      <c r="B1445" s="122">
        <f>IF(DAY(A1445)=DAY('F-Ahorro Futuro Reservas'!$H$10),'F-Ahorro Futuro Reservas'!$H$9,0)</f>
        <v>0</v>
      </c>
      <c r="C1445" s="122">
        <f t="shared" si="45"/>
        <v>0</v>
      </c>
      <c r="D1445" s="121">
        <f>ROUND(IF(C1445&lt;='FR_Mantenimiento tasas'!$C$55,'Tabla Ahorro Futuro Reservas'!C1445*'FR_Mantenimiento tasas'!$D$55/360,IF(C1445&lt;='FR_Mantenimiento tasas'!$C$56,'Tabla Ahorro Futuro Reservas'!C1445*'FR_Mantenimiento tasas'!$D$56/360,IF(C1445&lt;='FR_Mantenimiento tasas'!$C$57,'Tabla Ahorro Futuro Reservas'!C1445*'FR_Mantenimiento tasas'!$D$57/360,""))),5)</f>
        <v>0</v>
      </c>
      <c r="E1445" s="121">
        <f>ROUND(IF(C1445&lt;='FR_Mantenimiento tasas'!$C$55,'Tabla Ahorro Futuro Reservas'!C1445*'FR_Mantenimiento tasas'!$E$55/360,IF(C1445&lt;='FR_Mantenimiento tasas'!$C$56,'Tabla Ahorro Futuro Reservas'!C1445*'FR_Mantenimiento tasas'!$E$56/360,IF(C1445&lt;='FR_Mantenimiento tasas'!$C$57,'Tabla Ahorro Futuro Reservas'!C1445*'FR_Mantenimiento tasas'!$E$57/360,""))),5)</f>
        <v>0</v>
      </c>
    </row>
    <row r="1446" spans="1:5">
      <c r="A1446" s="123">
        <f t="shared" si="44"/>
        <v>1444</v>
      </c>
      <c r="B1446" s="122">
        <f>IF(DAY(A1446)=DAY('F-Ahorro Futuro Reservas'!$H$10),'F-Ahorro Futuro Reservas'!$H$9,0)</f>
        <v>0</v>
      </c>
      <c r="C1446" s="122">
        <f t="shared" si="45"/>
        <v>0</v>
      </c>
      <c r="D1446" s="121">
        <f>ROUND(IF(C1446&lt;='FR_Mantenimiento tasas'!$C$55,'Tabla Ahorro Futuro Reservas'!C1446*'FR_Mantenimiento tasas'!$D$55/360,IF(C1446&lt;='FR_Mantenimiento tasas'!$C$56,'Tabla Ahorro Futuro Reservas'!C1446*'FR_Mantenimiento tasas'!$D$56/360,IF(C1446&lt;='FR_Mantenimiento tasas'!$C$57,'Tabla Ahorro Futuro Reservas'!C1446*'FR_Mantenimiento tasas'!$D$57/360,""))),5)</f>
        <v>0</v>
      </c>
      <c r="E1446" s="121">
        <f>ROUND(IF(C1446&lt;='FR_Mantenimiento tasas'!$C$55,'Tabla Ahorro Futuro Reservas'!C1446*'FR_Mantenimiento tasas'!$E$55/360,IF(C1446&lt;='FR_Mantenimiento tasas'!$C$56,'Tabla Ahorro Futuro Reservas'!C1446*'FR_Mantenimiento tasas'!$E$56/360,IF(C1446&lt;='FR_Mantenimiento tasas'!$C$57,'Tabla Ahorro Futuro Reservas'!C1446*'FR_Mantenimiento tasas'!$E$57/360,""))),5)</f>
        <v>0</v>
      </c>
    </row>
    <row r="1447" spans="1:5">
      <c r="A1447" s="123">
        <f t="shared" si="44"/>
        <v>1445</v>
      </c>
      <c r="B1447" s="122">
        <f>IF(DAY(A1447)=DAY('F-Ahorro Futuro Reservas'!$H$10),'F-Ahorro Futuro Reservas'!$H$9,0)</f>
        <v>0</v>
      </c>
      <c r="C1447" s="122">
        <f t="shared" si="45"/>
        <v>0</v>
      </c>
      <c r="D1447" s="121">
        <f>ROUND(IF(C1447&lt;='FR_Mantenimiento tasas'!$C$55,'Tabla Ahorro Futuro Reservas'!C1447*'FR_Mantenimiento tasas'!$D$55/360,IF(C1447&lt;='FR_Mantenimiento tasas'!$C$56,'Tabla Ahorro Futuro Reservas'!C1447*'FR_Mantenimiento tasas'!$D$56/360,IF(C1447&lt;='FR_Mantenimiento tasas'!$C$57,'Tabla Ahorro Futuro Reservas'!C1447*'FR_Mantenimiento tasas'!$D$57/360,""))),5)</f>
        <v>0</v>
      </c>
      <c r="E1447" s="121">
        <f>ROUND(IF(C1447&lt;='FR_Mantenimiento tasas'!$C$55,'Tabla Ahorro Futuro Reservas'!C1447*'FR_Mantenimiento tasas'!$E$55/360,IF(C1447&lt;='FR_Mantenimiento tasas'!$C$56,'Tabla Ahorro Futuro Reservas'!C1447*'FR_Mantenimiento tasas'!$E$56/360,IF(C1447&lt;='FR_Mantenimiento tasas'!$C$57,'Tabla Ahorro Futuro Reservas'!C1447*'FR_Mantenimiento tasas'!$E$57/360,""))),5)</f>
        <v>0</v>
      </c>
    </row>
    <row r="1448" spans="1:5">
      <c r="A1448" s="123">
        <f t="shared" si="44"/>
        <v>1446</v>
      </c>
      <c r="B1448" s="122">
        <f>IF(DAY(A1448)=DAY('F-Ahorro Futuro Reservas'!$H$10),'F-Ahorro Futuro Reservas'!$H$9,0)</f>
        <v>0</v>
      </c>
      <c r="C1448" s="122">
        <f t="shared" si="45"/>
        <v>0</v>
      </c>
      <c r="D1448" s="121">
        <f>ROUND(IF(C1448&lt;='FR_Mantenimiento tasas'!$C$55,'Tabla Ahorro Futuro Reservas'!C1448*'FR_Mantenimiento tasas'!$D$55/360,IF(C1448&lt;='FR_Mantenimiento tasas'!$C$56,'Tabla Ahorro Futuro Reservas'!C1448*'FR_Mantenimiento tasas'!$D$56/360,IF(C1448&lt;='FR_Mantenimiento tasas'!$C$57,'Tabla Ahorro Futuro Reservas'!C1448*'FR_Mantenimiento tasas'!$D$57/360,""))),5)</f>
        <v>0</v>
      </c>
      <c r="E1448" s="121">
        <f>ROUND(IF(C1448&lt;='FR_Mantenimiento tasas'!$C$55,'Tabla Ahorro Futuro Reservas'!C1448*'FR_Mantenimiento tasas'!$E$55/360,IF(C1448&lt;='FR_Mantenimiento tasas'!$C$56,'Tabla Ahorro Futuro Reservas'!C1448*'FR_Mantenimiento tasas'!$E$56/360,IF(C1448&lt;='FR_Mantenimiento tasas'!$C$57,'Tabla Ahorro Futuro Reservas'!C1448*'FR_Mantenimiento tasas'!$E$57/360,""))),5)</f>
        <v>0</v>
      </c>
    </row>
    <row r="1449" spans="1:5">
      <c r="A1449" s="123">
        <f t="shared" si="44"/>
        <v>1447</v>
      </c>
      <c r="B1449" s="122">
        <f>IF(DAY(A1449)=DAY('F-Ahorro Futuro Reservas'!$H$10),'F-Ahorro Futuro Reservas'!$H$9,0)</f>
        <v>0</v>
      </c>
      <c r="C1449" s="122">
        <f t="shared" si="45"/>
        <v>0</v>
      </c>
      <c r="D1449" s="121">
        <f>ROUND(IF(C1449&lt;='FR_Mantenimiento tasas'!$C$55,'Tabla Ahorro Futuro Reservas'!C1449*'FR_Mantenimiento tasas'!$D$55/360,IF(C1449&lt;='FR_Mantenimiento tasas'!$C$56,'Tabla Ahorro Futuro Reservas'!C1449*'FR_Mantenimiento tasas'!$D$56/360,IF(C1449&lt;='FR_Mantenimiento tasas'!$C$57,'Tabla Ahorro Futuro Reservas'!C1449*'FR_Mantenimiento tasas'!$D$57/360,""))),5)</f>
        <v>0</v>
      </c>
      <c r="E1449" s="121">
        <f>ROUND(IF(C1449&lt;='FR_Mantenimiento tasas'!$C$55,'Tabla Ahorro Futuro Reservas'!C1449*'FR_Mantenimiento tasas'!$E$55/360,IF(C1449&lt;='FR_Mantenimiento tasas'!$C$56,'Tabla Ahorro Futuro Reservas'!C1449*'FR_Mantenimiento tasas'!$E$56/360,IF(C1449&lt;='FR_Mantenimiento tasas'!$C$57,'Tabla Ahorro Futuro Reservas'!C1449*'FR_Mantenimiento tasas'!$E$57/360,""))),5)</f>
        <v>0</v>
      </c>
    </row>
    <row r="1450" spans="1:5">
      <c r="A1450" s="123">
        <f t="shared" si="44"/>
        <v>1448</v>
      </c>
      <c r="B1450" s="122">
        <f>IF(DAY(A1450)=DAY('F-Ahorro Futuro Reservas'!$H$10),'F-Ahorro Futuro Reservas'!$H$9,0)</f>
        <v>0</v>
      </c>
      <c r="C1450" s="122">
        <f t="shared" si="45"/>
        <v>0</v>
      </c>
      <c r="D1450" s="121">
        <f>ROUND(IF(C1450&lt;='FR_Mantenimiento tasas'!$C$55,'Tabla Ahorro Futuro Reservas'!C1450*'FR_Mantenimiento tasas'!$D$55/360,IF(C1450&lt;='FR_Mantenimiento tasas'!$C$56,'Tabla Ahorro Futuro Reservas'!C1450*'FR_Mantenimiento tasas'!$D$56/360,IF(C1450&lt;='FR_Mantenimiento tasas'!$C$57,'Tabla Ahorro Futuro Reservas'!C1450*'FR_Mantenimiento tasas'!$D$57/360,""))),5)</f>
        <v>0</v>
      </c>
      <c r="E1450" s="121">
        <f>ROUND(IF(C1450&lt;='FR_Mantenimiento tasas'!$C$55,'Tabla Ahorro Futuro Reservas'!C1450*'FR_Mantenimiento tasas'!$E$55/360,IF(C1450&lt;='FR_Mantenimiento tasas'!$C$56,'Tabla Ahorro Futuro Reservas'!C1450*'FR_Mantenimiento tasas'!$E$56/360,IF(C1450&lt;='FR_Mantenimiento tasas'!$C$57,'Tabla Ahorro Futuro Reservas'!C1450*'FR_Mantenimiento tasas'!$E$57/360,""))),5)</f>
        <v>0</v>
      </c>
    </row>
    <row r="1451" spans="1:5">
      <c r="A1451" s="123">
        <f t="shared" si="44"/>
        <v>1449</v>
      </c>
      <c r="B1451" s="122">
        <f>IF(DAY(A1451)=DAY('F-Ahorro Futuro Reservas'!$H$10),'F-Ahorro Futuro Reservas'!$H$9,0)</f>
        <v>0</v>
      </c>
      <c r="C1451" s="122">
        <f t="shared" si="45"/>
        <v>0</v>
      </c>
      <c r="D1451" s="121">
        <f>ROUND(IF(C1451&lt;='FR_Mantenimiento tasas'!$C$55,'Tabla Ahorro Futuro Reservas'!C1451*'FR_Mantenimiento tasas'!$D$55/360,IF(C1451&lt;='FR_Mantenimiento tasas'!$C$56,'Tabla Ahorro Futuro Reservas'!C1451*'FR_Mantenimiento tasas'!$D$56/360,IF(C1451&lt;='FR_Mantenimiento tasas'!$C$57,'Tabla Ahorro Futuro Reservas'!C1451*'FR_Mantenimiento tasas'!$D$57/360,""))),5)</f>
        <v>0</v>
      </c>
      <c r="E1451" s="121">
        <f>ROUND(IF(C1451&lt;='FR_Mantenimiento tasas'!$C$55,'Tabla Ahorro Futuro Reservas'!C1451*'FR_Mantenimiento tasas'!$E$55/360,IF(C1451&lt;='FR_Mantenimiento tasas'!$C$56,'Tabla Ahorro Futuro Reservas'!C1451*'FR_Mantenimiento tasas'!$E$56/360,IF(C1451&lt;='FR_Mantenimiento tasas'!$C$57,'Tabla Ahorro Futuro Reservas'!C1451*'FR_Mantenimiento tasas'!$E$57/360,""))),5)</f>
        <v>0</v>
      </c>
    </row>
    <row r="1452" spans="1:5">
      <c r="A1452" s="123">
        <f t="shared" si="44"/>
        <v>1450</v>
      </c>
      <c r="B1452" s="122">
        <f>IF(DAY(A1452)=DAY('F-Ahorro Futuro Reservas'!$H$10),'F-Ahorro Futuro Reservas'!$H$9,0)</f>
        <v>0</v>
      </c>
      <c r="C1452" s="122">
        <f t="shared" si="45"/>
        <v>0</v>
      </c>
      <c r="D1452" s="121">
        <f>ROUND(IF(C1452&lt;='FR_Mantenimiento tasas'!$C$55,'Tabla Ahorro Futuro Reservas'!C1452*'FR_Mantenimiento tasas'!$D$55/360,IF(C1452&lt;='FR_Mantenimiento tasas'!$C$56,'Tabla Ahorro Futuro Reservas'!C1452*'FR_Mantenimiento tasas'!$D$56/360,IF(C1452&lt;='FR_Mantenimiento tasas'!$C$57,'Tabla Ahorro Futuro Reservas'!C1452*'FR_Mantenimiento tasas'!$D$57/360,""))),5)</f>
        <v>0</v>
      </c>
      <c r="E1452" s="121">
        <f>ROUND(IF(C1452&lt;='FR_Mantenimiento tasas'!$C$55,'Tabla Ahorro Futuro Reservas'!C1452*'FR_Mantenimiento tasas'!$E$55/360,IF(C1452&lt;='FR_Mantenimiento tasas'!$C$56,'Tabla Ahorro Futuro Reservas'!C1452*'FR_Mantenimiento tasas'!$E$56/360,IF(C1452&lt;='FR_Mantenimiento tasas'!$C$57,'Tabla Ahorro Futuro Reservas'!C1452*'FR_Mantenimiento tasas'!$E$57/360,""))),5)</f>
        <v>0</v>
      </c>
    </row>
    <row r="1453" spans="1:5">
      <c r="A1453" s="123">
        <f t="shared" si="44"/>
        <v>1451</v>
      </c>
      <c r="B1453" s="122">
        <f>IF(DAY(A1453)=DAY('F-Ahorro Futuro Reservas'!$H$10),'F-Ahorro Futuro Reservas'!$H$9,0)</f>
        <v>0</v>
      </c>
      <c r="C1453" s="122">
        <f t="shared" si="45"/>
        <v>0</v>
      </c>
      <c r="D1453" s="121">
        <f>ROUND(IF(C1453&lt;='FR_Mantenimiento tasas'!$C$55,'Tabla Ahorro Futuro Reservas'!C1453*'FR_Mantenimiento tasas'!$D$55/360,IF(C1453&lt;='FR_Mantenimiento tasas'!$C$56,'Tabla Ahorro Futuro Reservas'!C1453*'FR_Mantenimiento tasas'!$D$56/360,IF(C1453&lt;='FR_Mantenimiento tasas'!$C$57,'Tabla Ahorro Futuro Reservas'!C1453*'FR_Mantenimiento tasas'!$D$57/360,""))),5)</f>
        <v>0</v>
      </c>
      <c r="E1453" s="121">
        <f>ROUND(IF(C1453&lt;='FR_Mantenimiento tasas'!$C$55,'Tabla Ahorro Futuro Reservas'!C1453*'FR_Mantenimiento tasas'!$E$55/360,IF(C1453&lt;='FR_Mantenimiento tasas'!$C$56,'Tabla Ahorro Futuro Reservas'!C1453*'FR_Mantenimiento tasas'!$E$56/360,IF(C1453&lt;='FR_Mantenimiento tasas'!$C$57,'Tabla Ahorro Futuro Reservas'!C1453*'FR_Mantenimiento tasas'!$E$57/360,""))),5)</f>
        <v>0</v>
      </c>
    </row>
    <row r="1454" spans="1:5">
      <c r="A1454" s="123">
        <f t="shared" si="44"/>
        <v>1452</v>
      </c>
      <c r="B1454" s="122">
        <f>IF(DAY(A1454)=DAY('F-Ahorro Futuro Reservas'!$H$10),'F-Ahorro Futuro Reservas'!$H$9,0)</f>
        <v>0</v>
      </c>
      <c r="C1454" s="122">
        <f t="shared" si="45"/>
        <v>0</v>
      </c>
      <c r="D1454" s="121">
        <f>ROUND(IF(C1454&lt;='FR_Mantenimiento tasas'!$C$55,'Tabla Ahorro Futuro Reservas'!C1454*'FR_Mantenimiento tasas'!$D$55/360,IF(C1454&lt;='FR_Mantenimiento tasas'!$C$56,'Tabla Ahorro Futuro Reservas'!C1454*'FR_Mantenimiento tasas'!$D$56/360,IF(C1454&lt;='FR_Mantenimiento tasas'!$C$57,'Tabla Ahorro Futuro Reservas'!C1454*'FR_Mantenimiento tasas'!$D$57/360,""))),5)</f>
        <v>0</v>
      </c>
      <c r="E1454" s="121">
        <f>ROUND(IF(C1454&lt;='FR_Mantenimiento tasas'!$C$55,'Tabla Ahorro Futuro Reservas'!C1454*'FR_Mantenimiento tasas'!$E$55/360,IF(C1454&lt;='FR_Mantenimiento tasas'!$C$56,'Tabla Ahorro Futuro Reservas'!C1454*'FR_Mantenimiento tasas'!$E$56/360,IF(C1454&lt;='FR_Mantenimiento tasas'!$C$57,'Tabla Ahorro Futuro Reservas'!C1454*'FR_Mantenimiento tasas'!$E$57/360,""))),5)</f>
        <v>0</v>
      </c>
    </row>
    <row r="1455" spans="1:5">
      <c r="A1455" s="123">
        <f t="shared" si="44"/>
        <v>1453</v>
      </c>
      <c r="B1455" s="122">
        <f>IF(DAY(A1455)=DAY('F-Ahorro Futuro Reservas'!$H$10),'F-Ahorro Futuro Reservas'!$H$9,0)</f>
        <v>0</v>
      </c>
      <c r="C1455" s="122">
        <f t="shared" si="45"/>
        <v>0</v>
      </c>
      <c r="D1455" s="121">
        <f>ROUND(IF(C1455&lt;='FR_Mantenimiento tasas'!$C$55,'Tabla Ahorro Futuro Reservas'!C1455*'FR_Mantenimiento tasas'!$D$55/360,IF(C1455&lt;='FR_Mantenimiento tasas'!$C$56,'Tabla Ahorro Futuro Reservas'!C1455*'FR_Mantenimiento tasas'!$D$56/360,IF(C1455&lt;='FR_Mantenimiento tasas'!$C$57,'Tabla Ahorro Futuro Reservas'!C1455*'FR_Mantenimiento tasas'!$D$57/360,""))),5)</f>
        <v>0</v>
      </c>
      <c r="E1455" s="121">
        <f>ROUND(IF(C1455&lt;='FR_Mantenimiento tasas'!$C$55,'Tabla Ahorro Futuro Reservas'!C1455*'FR_Mantenimiento tasas'!$E$55/360,IF(C1455&lt;='FR_Mantenimiento tasas'!$C$56,'Tabla Ahorro Futuro Reservas'!C1455*'FR_Mantenimiento tasas'!$E$56/360,IF(C1455&lt;='FR_Mantenimiento tasas'!$C$57,'Tabla Ahorro Futuro Reservas'!C1455*'FR_Mantenimiento tasas'!$E$57/360,""))),5)</f>
        <v>0</v>
      </c>
    </row>
    <row r="1456" spans="1:5">
      <c r="A1456" s="123">
        <f t="shared" si="44"/>
        <v>1454</v>
      </c>
      <c r="B1456" s="122">
        <f>IF(DAY(A1456)=DAY('F-Ahorro Futuro Reservas'!$H$10),'F-Ahorro Futuro Reservas'!$H$9,0)</f>
        <v>0</v>
      </c>
      <c r="C1456" s="122">
        <f t="shared" si="45"/>
        <v>0</v>
      </c>
      <c r="D1456" s="121">
        <f>ROUND(IF(C1456&lt;='FR_Mantenimiento tasas'!$C$55,'Tabla Ahorro Futuro Reservas'!C1456*'FR_Mantenimiento tasas'!$D$55/360,IF(C1456&lt;='FR_Mantenimiento tasas'!$C$56,'Tabla Ahorro Futuro Reservas'!C1456*'FR_Mantenimiento tasas'!$D$56/360,IF(C1456&lt;='FR_Mantenimiento tasas'!$C$57,'Tabla Ahorro Futuro Reservas'!C1456*'FR_Mantenimiento tasas'!$D$57/360,""))),5)</f>
        <v>0</v>
      </c>
      <c r="E1456" s="121">
        <f>ROUND(IF(C1456&lt;='FR_Mantenimiento tasas'!$C$55,'Tabla Ahorro Futuro Reservas'!C1456*'FR_Mantenimiento tasas'!$E$55/360,IF(C1456&lt;='FR_Mantenimiento tasas'!$C$56,'Tabla Ahorro Futuro Reservas'!C1456*'FR_Mantenimiento tasas'!$E$56/360,IF(C1456&lt;='FR_Mantenimiento tasas'!$C$57,'Tabla Ahorro Futuro Reservas'!C1456*'FR_Mantenimiento tasas'!$E$57/360,""))),5)</f>
        <v>0</v>
      </c>
    </row>
    <row r="1457" spans="1:5">
      <c r="A1457" s="123">
        <f t="shared" si="44"/>
        <v>1455</v>
      </c>
      <c r="B1457" s="122">
        <f>IF(DAY(A1457)=DAY('F-Ahorro Futuro Reservas'!$H$10),'F-Ahorro Futuro Reservas'!$H$9,0)</f>
        <v>0</v>
      </c>
      <c r="C1457" s="122">
        <f t="shared" si="45"/>
        <v>0</v>
      </c>
      <c r="D1457" s="121">
        <f>ROUND(IF(C1457&lt;='FR_Mantenimiento tasas'!$C$55,'Tabla Ahorro Futuro Reservas'!C1457*'FR_Mantenimiento tasas'!$D$55/360,IF(C1457&lt;='FR_Mantenimiento tasas'!$C$56,'Tabla Ahorro Futuro Reservas'!C1457*'FR_Mantenimiento tasas'!$D$56/360,IF(C1457&lt;='FR_Mantenimiento tasas'!$C$57,'Tabla Ahorro Futuro Reservas'!C1457*'FR_Mantenimiento tasas'!$D$57/360,""))),5)</f>
        <v>0</v>
      </c>
      <c r="E1457" s="121">
        <f>ROUND(IF(C1457&lt;='FR_Mantenimiento tasas'!$C$55,'Tabla Ahorro Futuro Reservas'!C1457*'FR_Mantenimiento tasas'!$E$55/360,IF(C1457&lt;='FR_Mantenimiento tasas'!$C$56,'Tabla Ahorro Futuro Reservas'!C1457*'FR_Mantenimiento tasas'!$E$56/360,IF(C1457&lt;='FR_Mantenimiento tasas'!$C$57,'Tabla Ahorro Futuro Reservas'!C1457*'FR_Mantenimiento tasas'!$E$57/360,""))),5)</f>
        <v>0</v>
      </c>
    </row>
    <row r="1458" spans="1:5">
      <c r="A1458" s="123">
        <f t="shared" si="44"/>
        <v>1456</v>
      </c>
      <c r="B1458" s="122">
        <f>IF(DAY(A1458)=DAY('F-Ahorro Futuro Reservas'!$H$10),'F-Ahorro Futuro Reservas'!$H$9,0)</f>
        <v>0</v>
      </c>
      <c r="C1458" s="122">
        <f t="shared" si="45"/>
        <v>0</v>
      </c>
      <c r="D1458" s="121">
        <f>ROUND(IF(C1458&lt;='FR_Mantenimiento tasas'!$C$55,'Tabla Ahorro Futuro Reservas'!C1458*'FR_Mantenimiento tasas'!$D$55/360,IF(C1458&lt;='FR_Mantenimiento tasas'!$C$56,'Tabla Ahorro Futuro Reservas'!C1458*'FR_Mantenimiento tasas'!$D$56/360,IF(C1458&lt;='FR_Mantenimiento tasas'!$C$57,'Tabla Ahorro Futuro Reservas'!C1458*'FR_Mantenimiento tasas'!$D$57/360,""))),5)</f>
        <v>0</v>
      </c>
      <c r="E1458" s="121">
        <f>ROUND(IF(C1458&lt;='FR_Mantenimiento tasas'!$C$55,'Tabla Ahorro Futuro Reservas'!C1458*'FR_Mantenimiento tasas'!$E$55/360,IF(C1458&lt;='FR_Mantenimiento tasas'!$C$56,'Tabla Ahorro Futuro Reservas'!C1458*'FR_Mantenimiento tasas'!$E$56/360,IF(C1458&lt;='FR_Mantenimiento tasas'!$C$57,'Tabla Ahorro Futuro Reservas'!C1458*'FR_Mantenimiento tasas'!$E$57/360,""))),5)</f>
        <v>0</v>
      </c>
    </row>
    <row r="1459" spans="1:5">
      <c r="A1459" s="123">
        <f t="shared" si="44"/>
        <v>1457</v>
      </c>
      <c r="B1459" s="122">
        <f>IF(DAY(A1459)=DAY('F-Ahorro Futuro Reservas'!$H$10),'F-Ahorro Futuro Reservas'!$H$9,0)</f>
        <v>0</v>
      </c>
      <c r="C1459" s="122">
        <f t="shared" si="45"/>
        <v>0</v>
      </c>
      <c r="D1459" s="121">
        <f>ROUND(IF(C1459&lt;='FR_Mantenimiento tasas'!$C$55,'Tabla Ahorro Futuro Reservas'!C1459*'FR_Mantenimiento tasas'!$D$55/360,IF(C1459&lt;='FR_Mantenimiento tasas'!$C$56,'Tabla Ahorro Futuro Reservas'!C1459*'FR_Mantenimiento tasas'!$D$56/360,IF(C1459&lt;='FR_Mantenimiento tasas'!$C$57,'Tabla Ahorro Futuro Reservas'!C1459*'FR_Mantenimiento tasas'!$D$57/360,""))),5)</f>
        <v>0</v>
      </c>
      <c r="E1459" s="121">
        <f>ROUND(IF(C1459&lt;='FR_Mantenimiento tasas'!$C$55,'Tabla Ahorro Futuro Reservas'!C1459*'FR_Mantenimiento tasas'!$E$55/360,IF(C1459&lt;='FR_Mantenimiento tasas'!$C$56,'Tabla Ahorro Futuro Reservas'!C1459*'FR_Mantenimiento tasas'!$E$56/360,IF(C1459&lt;='FR_Mantenimiento tasas'!$C$57,'Tabla Ahorro Futuro Reservas'!C1459*'FR_Mantenimiento tasas'!$E$57/360,""))),5)</f>
        <v>0</v>
      </c>
    </row>
    <row r="1460" spans="1:5">
      <c r="A1460" s="123">
        <f t="shared" si="44"/>
        <v>1458</v>
      </c>
      <c r="B1460" s="122">
        <f>IF(DAY(A1460)=DAY('F-Ahorro Futuro Reservas'!$H$10),'F-Ahorro Futuro Reservas'!$H$9,0)</f>
        <v>0</v>
      </c>
      <c r="C1460" s="122">
        <f t="shared" si="45"/>
        <v>0</v>
      </c>
      <c r="D1460" s="121">
        <f>ROUND(IF(C1460&lt;='FR_Mantenimiento tasas'!$C$55,'Tabla Ahorro Futuro Reservas'!C1460*'FR_Mantenimiento tasas'!$D$55/360,IF(C1460&lt;='FR_Mantenimiento tasas'!$C$56,'Tabla Ahorro Futuro Reservas'!C1460*'FR_Mantenimiento tasas'!$D$56/360,IF(C1460&lt;='FR_Mantenimiento tasas'!$C$57,'Tabla Ahorro Futuro Reservas'!C1460*'FR_Mantenimiento tasas'!$D$57/360,""))),5)</f>
        <v>0</v>
      </c>
      <c r="E1460" s="121">
        <f>ROUND(IF(C1460&lt;='FR_Mantenimiento tasas'!$C$55,'Tabla Ahorro Futuro Reservas'!C1460*'FR_Mantenimiento tasas'!$E$55/360,IF(C1460&lt;='FR_Mantenimiento tasas'!$C$56,'Tabla Ahorro Futuro Reservas'!C1460*'FR_Mantenimiento tasas'!$E$56/360,IF(C1460&lt;='FR_Mantenimiento tasas'!$C$57,'Tabla Ahorro Futuro Reservas'!C1460*'FR_Mantenimiento tasas'!$E$57/360,""))),5)</f>
        <v>0</v>
      </c>
    </row>
    <row r="1461" spans="1:5">
      <c r="A1461" s="123">
        <f t="shared" si="44"/>
        <v>1459</v>
      </c>
      <c r="B1461" s="122">
        <f>IF(DAY(A1461)=DAY('F-Ahorro Futuro Reservas'!$H$10),'F-Ahorro Futuro Reservas'!$H$9,0)</f>
        <v>0</v>
      </c>
      <c r="C1461" s="122">
        <f t="shared" si="45"/>
        <v>0</v>
      </c>
      <c r="D1461" s="121">
        <f>ROUND(IF(C1461&lt;='FR_Mantenimiento tasas'!$C$55,'Tabla Ahorro Futuro Reservas'!C1461*'FR_Mantenimiento tasas'!$D$55/360,IF(C1461&lt;='FR_Mantenimiento tasas'!$C$56,'Tabla Ahorro Futuro Reservas'!C1461*'FR_Mantenimiento tasas'!$D$56/360,IF(C1461&lt;='FR_Mantenimiento tasas'!$C$57,'Tabla Ahorro Futuro Reservas'!C1461*'FR_Mantenimiento tasas'!$D$57/360,""))),5)</f>
        <v>0</v>
      </c>
      <c r="E1461" s="121">
        <f>ROUND(IF(C1461&lt;='FR_Mantenimiento tasas'!$C$55,'Tabla Ahorro Futuro Reservas'!C1461*'FR_Mantenimiento tasas'!$E$55/360,IF(C1461&lt;='FR_Mantenimiento tasas'!$C$56,'Tabla Ahorro Futuro Reservas'!C1461*'FR_Mantenimiento tasas'!$E$56/360,IF(C1461&lt;='FR_Mantenimiento tasas'!$C$57,'Tabla Ahorro Futuro Reservas'!C1461*'FR_Mantenimiento tasas'!$E$57/360,""))),5)</f>
        <v>0</v>
      </c>
    </row>
    <row r="1462" spans="1:5">
      <c r="A1462" s="123">
        <f t="shared" si="44"/>
        <v>1460</v>
      </c>
      <c r="B1462" s="122">
        <f>IF(DAY(A1462)=DAY('F-Ahorro Futuro Reservas'!$H$10),'F-Ahorro Futuro Reservas'!$H$9,0)</f>
        <v>0</v>
      </c>
      <c r="C1462" s="122">
        <f t="shared" si="45"/>
        <v>0</v>
      </c>
      <c r="D1462" s="121">
        <f>ROUND(IF(C1462&lt;='FR_Mantenimiento tasas'!$C$55,'Tabla Ahorro Futuro Reservas'!C1462*'FR_Mantenimiento tasas'!$D$55/360,IF(C1462&lt;='FR_Mantenimiento tasas'!$C$56,'Tabla Ahorro Futuro Reservas'!C1462*'FR_Mantenimiento tasas'!$D$56/360,IF(C1462&lt;='FR_Mantenimiento tasas'!$C$57,'Tabla Ahorro Futuro Reservas'!C1462*'FR_Mantenimiento tasas'!$D$57/360,""))),5)</f>
        <v>0</v>
      </c>
      <c r="E1462" s="121">
        <f>ROUND(IF(C1462&lt;='FR_Mantenimiento tasas'!$C$55,'Tabla Ahorro Futuro Reservas'!C1462*'FR_Mantenimiento tasas'!$E$55/360,IF(C1462&lt;='FR_Mantenimiento tasas'!$C$56,'Tabla Ahorro Futuro Reservas'!C1462*'FR_Mantenimiento tasas'!$E$56/360,IF(C1462&lt;='FR_Mantenimiento tasas'!$C$57,'Tabla Ahorro Futuro Reservas'!C1462*'FR_Mantenimiento tasas'!$E$57/360,""))),5)</f>
        <v>0</v>
      </c>
    </row>
    <row r="1463" spans="1:5">
      <c r="A1463" s="123">
        <f t="shared" si="44"/>
        <v>1461</v>
      </c>
      <c r="B1463" s="122">
        <f>IF(DAY(A1463)=DAY('F-Ahorro Futuro Reservas'!$H$10),'F-Ahorro Futuro Reservas'!$H$9,0)</f>
        <v>0</v>
      </c>
      <c r="C1463" s="122">
        <f t="shared" si="45"/>
        <v>0</v>
      </c>
      <c r="D1463" s="121">
        <f>ROUND(IF(C1463&lt;='FR_Mantenimiento tasas'!$C$55,'Tabla Ahorro Futuro Reservas'!C1463*'FR_Mantenimiento tasas'!$D$55/360,IF(C1463&lt;='FR_Mantenimiento tasas'!$C$56,'Tabla Ahorro Futuro Reservas'!C1463*'FR_Mantenimiento tasas'!$D$56/360,IF(C1463&lt;='FR_Mantenimiento tasas'!$C$57,'Tabla Ahorro Futuro Reservas'!C1463*'FR_Mantenimiento tasas'!$D$57/360,""))),5)</f>
        <v>0</v>
      </c>
      <c r="E1463" s="121">
        <f>ROUND(IF(C1463&lt;='FR_Mantenimiento tasas'!$C$55,'Tabla Ahorro Futuro Reservas'!C1463*'FR_Mantenimiento tasas'!$E$55/360,IF(C1463&lt;='FR_Mantenimiento tasas'!$C$56,'Tabla Ahorro Futuro Reservas'!C1463*'FR_Mantenimiento tasas'!$E$56/360,IF(C1463&lt;='FR_Mantenimiento tasas'!$C$57,'Tabla Ahorro Futuro Reservas'!C1463*'FR_Mantenimiento tasas'!$E$57/360,""))),5)</f>
        <v>0</v>
      </c>
    </row>
    <row r="1464" spans="1:5">
      <c r="A1464" s="123">
        <f t="shared" si="44"/>
        <v>1462</v>
      </c>
      <c r="B1464" s="122">
        <f>IF(DAY(A1464)=DAY('F-Ahorro Futuro Reservas'!$H$10),'F-Ahorro Futuro Reservas'!$H$9,0)</f>
        <v>0</v>
      </c>
      <c r="C1464" s="122">
        <f t="shared" si="45"/>
        <v>0</v>
      </c>
      <c r="D1464" s="121">
        <f>ROUND(IF(C1464&lt;='FR_Mantenimiento tasas'!$C$55,'Tabla Ahorro Futuro Reservas'!C1464*'FR_Mantenimiento tasas'!$D$55/360,IF(C1464&lt;='FR_Mantenimiento tasas'!$C$56,'Tabla Ahorro Futuro Reservas'!C1464*'FR_Mantenimiento tasas'!$D$56/360,IF(C1464&lt;='FR_Mantenimiento tasas'!$C$57,'Tabla Ahorro Futuro Reservas'!C1464*'FR_Mantenimiento tasas'!$D$57/360,""))),5)</f>
        <v>0</v>
      </c>
      <c r="E1464" s="121">
        <f>ROUND(IF(C1464&lt;='FR_Mantenimiento tasas'!$C$55,'Tabla Ahorro Futuro Reservas'!C1464*'FR_Mantenimiento tasas'!$E$55/360,IF(C1464&lt;='FR_Mantenimiento tasas'!$C$56,'Tabla Ahorro Futuro Reservas'!C1464*'FR_Mantenimiento tasas'!$E$56/360,IF(C1464&lt;='FR_Mantenimiento tasas'!$C$57,'Tabla Ahorro Futuro Reservas'!C1464*'FR_Mantenimiento tasas'!$E$57/360,""))),5)</f>
        <v>0</v>
      </c>
    </row>
    <row r="1465" spans="1:5">
      <c r="A1465" s="123">
        <f t="shared" si="44"/>
        <v>1463</v>
      </c>
      <c r="B1465" s="122">
        <f>IF(DAY(A1465)=DAY('F-Ahorro Futuro Reservas'!$H$10),'F-Ahorro Futuro Reservas'!$H$9,0)</f>
        <v>0</v>
      </c>
      <c r="C1465" s="122">
        <f t="shared" si="45"/>
        <v>0</v>
      </c>
      <c r="D1465" s="121">
        <f>ROUND(IF(C1465&lt;='FR_Mantenimiento tasas'!$C$55,'Tabla Ahorro Futuro Reservas'!C1465*'FR_Mantenimiento tasas'!$D$55/360,IF(C1465&lt;='FR_Mantenimiento tasas'!$C$56,'Tabla Ahorro Futuro Reservas'!C1465*'FR_Mantenimiento tasas'!$D$56/360,IF(C1465&lt;='FR_Mantenimiento tasas'!$C$57,'Tabla Ahorro Futuro Reservas'!C1465*'FR_Mantenimiento tasas'!$D$57/360,""))),5)</f>
        <v>0</v>
      </c>
      <c r="E1465" s="121">
        <f>ROUND(IF(C1465&lt;='FR_Mantenimiento tasas'!$C$55,'Tabla Ahorro Futuro Reservas'!C1465*'FR_Mantenimiento tasas'!$E$55/360,IF(C1465&lt;='FR_Mantenimiento tasas'!$C$56,'Tabla Ahorro Futuro Reservas'!C1465*'FR_Mantenimiento tasas'!$E$56/360,IF(C1465&lt;='FR_Mantenimiento tasas'!$C$57,'Tabla Ahorro Futuro Reservas'!C1465*'FR_Mantenimiento tasas'!$E$57/360,""))),5)</f>
        <v>0</v>
      </c>
    </row>
    <row r="1466" spans="1:5">
      <c r="A1466" s="123">
        <f t="shared" si="44"/>
        <v>1464</v>
      </c>
      <c r="B1466" s="122">
        <f>IF(DAY(A1466)=DAY('F-Ahorro Futuro Reservas'!$H$10),'F-Ahorro Futuro Reservas'!$H$9,0)</f>
        <v>0</v>
      </c>
      <c r="C1466" s="122">
        <f t="shared" si="45"/>
        <v>0</v>
      </c>
      <c r="D1466" s="121">
        <f>ROUND(IF(C1466&lt;='FR_Mantenimiento tasas'!$C$55,'Tabla Ahorro Futuro Reservas'!C1466*'FR_Mantenimiento tasas'!$D$55/360,IF(C1466&lt;='FR_Mantenimiento tasas'!$C$56,'Tabla Ahorro Futuro Reservas'!C1466*'FR_Mantenimiento tasas'!$D$56/360,IF(C1466&lt;='FR_Mantenimiento tasas'!$C$57,'Tabla Ahorro Futuro Reservas'!C1466*'FR_Mantenimiento tasas'!$D$57/360,""))),5)</f>
        <v>0</v>
      </c>
      <c r="E1466" s="121">
        <f>ROUND(IF(C1466&lt;='FR_Mantenimiento tasas'!$C$55,'Tabla Ahorro Futuro Reservas'!C1466*'FR_Mantenimiento tasas'!$E$55/360,IF(C1466&lt;='FR_Mantenimiento tasas'!$C$56,'Tabla Ahorro Futuro Reservas'!C1466*'FR_Mantenimiento tasas'!$E$56/360,IF(C1466&lt;='FR_Mantenimiento tasas'!$C$57,'Tabla Ahorro Futuro Reservas'!C1466*'FR_Mantenimiento tasas'!$E$57/360,""))),5)</f>
        <v>0</v>
      </c>
    </row>
    <row r="1467" spans="1:5">
      <c r="A1467" s="123">
        <f t="shared" si="44"/>
        <v>1465</v>
      </c>
      <c r="B1467" s="122">
        <f>IF(DAY(A1467)=DAY('F-Ahorro Futuro Reservas'!$H$10),'F-Ahorro Futuro Reservas'!$H$9,0)</f>
        <v>0</v>
      </c>
      <c r="C1467" s="122">
        <f t="shared" si="45"/>
        <v>0</v>
      </c>
      <c r="D1467" s="121">
        <f>ROUND(IF(C1467&lt;='FR_Mantenimiento tasas'!$C$55,'Tabla Ahorro Futuro Reservas'!C1467*'FR_Mantenimiento tasas'!$D$55/360,IF(C1467&lt;='FR_Mantenimiento tasas'!$C$56,'Tabla Ahorro Futuro Reservas'!C1467*'FR_Mantenimiento tasas'!$D$56/360,IF(C1467&lt;='FR_Mantenimiento tasas'!$C$57,'Tabla Ahorro Futuro Reservas'!C1467*'FR_Mantenimiento tasas'!$D$57/360,""))),5)</f>
        <v>0</v>
      </c>
      <c r="E1467" s="121">
        <f>ROUND(IF(C1467&lt;='FR_Mantenimiento tasas'!$C$55,'Tabla Ahorro Futuro Reservas'!C1467*'FR_Mantenimiento tasas'!$E$55/360,IF(C1467&lt;='FR_Mantenimiento tasas'!$C$56,'Tabla Ahorro Futuro Reservas'!C1467*'FR_Mantenimiento tasas'!$E$56/360,IF(C1467&lt;='FR_Mantenimiento tasas'!$C$57,'Tabla Ahorro Futuro Reservas'!C1467*'FR_Mantenimiento tasas'!$E$57/360,""))),5)</f>
        <v>0</v>
      </c>
    </row>
    <row r="1468" spans="1:5">
      <c r="A1468" s="123">
        <f t="shared" si="44"/>
        <v>1466</v>
      </c>
      <c r="B1468" s="122">
        <f>IF(DAY(A1468)=DAY('F-Ahorro Futuro Reservas'!$H$10),'F-Ahorro Futuro Reservas'!$H$9,0)</f>
        <v>0</v>
      </c>
      <c r="C1468" s="122">
        <f t="shared" si="45"/>
        <v>0</v>
      </c>
      <c r="D1468" s="121">
        <f>ROUND(IF(C1468&lt;='FR_Mantenimiento tasas'!$C$55,'Tabla Ahorro Futuro Reservas'!C1468*'FR_Mantenimiento tasas'!$D$55/360,IF(C1468&lt;='FR_Mantenimiento tasas'!$C$56,'Tabla Ahorro Futuro Reservas'!C1468*'FR_Mantenimiento tasas'!$D$56/360,IF(C1468&lt;='FR_Mantenimiento tasas'!$C$57,'Tabla Ahorro Futuro Reservas'!C1468*'FR_Mantenimiento tasas'!$D$57/360,""))),5)</f>
        <v>0</v>
      </c>
      <c r="E1468" s="121">
        <f>ROUND(IF(C1468&lt;='FR_Mantenimiento tasas'!$C$55,'Tabla Ahorro Futuro Reservas'!C1468*'FR_Mantenimiento tasas'!$E$55/360,IF(C1468&lt;='FR_Mantenimiento tasas'!$C$56,'Tabla Ahorro Futuro Reservas'!C1468*'FR_Mantenimiento tasas'!$E$56/360,IF(C1468&lt;='FR_Mantenimiento tasas'!$C$57,'Tabla Ahorro Futuro Reservas'!C1468*'FR_Mantenimiento tasas'!$E$57/360,""))),5)</f>
        <v>0</v>
      </c>
    </row>
    <row r="1469" spans="1:5">
      <c r="A1469" s="123">
        <f t="shared" si="44"/>
        <v>1467</v>
      </c>
      <c r="B1469" s="122">
        <f>IF(DAY(A1469)=DAY('F-Ahorro Futuro Reservas'!$H$10),'F-Ahorro Futuro Reservas'!$H$9,0)</f>
        <v>0</v>
      </c>
      <c r="C1469" s="122">
        <f t="shared" si="45"/>
        <v>0</v>
      </c>
      <c r="D1469" s="121">
        <f>ROUND(IF(C1469&lt;='FR_Mantenimiento tasas'!$C$55,'Tabla Ahorro Futuro Reservas'!C1469*'FR_Mantenimiento tasas'!$D$55/360,IF(C1469&lt;='FR_Mantenimiento tasas'!$C$56,'Tabla Ahorro Futuro Reservas'!C1469*'FR_Mantenimiento tasas'!$D$56/360,IF(C1469&lt;='FR_Mantenimiento tasas'!$C$57,'Tabla Ahorro Futuro Reservas'!C1469*'FR_Mantenimiento tasas'!$D$57/360,""))),5)</f>
        <v>0</v>
      </c>
      <c r="E1469" s="121">
        <f>ROUND(IF(C1469&lt;='FR_Mantenimiento tasas'!$C$55,'Tabla Ahorro Futuro Reservas'!C1469*'FR_Mantenimiento tasas'!$E$55/360,IF(C1469&lt;='FR_Mantenimiento tasas'!$C$56,'Tabla Ahorro Futuro Reservas'!C1469*'FR_Mantenimiento tasas'!$E$56/360,IF(C1469&lt;='FR_Mantenimiento tasas'!$C$57,'Tabla Ahorro Futuro Reservas'!C1469*'FR_Mantenimiento tasas'!$E$57/360,""))),5)</f>
        <v>0</v>
      </c>
    </row>
    <row r="1470" spans="1:5">
      <c r="A1470" s="123">
        <f t="shared" si="44"/>
        <v>1468</v>
      </c>
      <c r="B1470" s="122">
        <f>IF(DAY(A1470)=DAY('F-Ahorro Futuro Reservas'!$H$10),'F-Ahorro Futuro Reservas'!$H$9,0)</f>
        <v>0</v>
      </c>
      <c r="C1470" s="122">
        <f t="shared" si="45"/>
        <v>0</v>
      </c>
      <c r="D1470" s="121">
        <f>ROUND(IF(C1470&lt;='FR_Mantenimiento tasas'!$C$55,'Tabla Ahorro Futuro Reservas'!C1470*'FR_Mantenimiento tasas'!$D$55/360,IF(C1470&lt;='FR_Mantenimiento tasas'!$C$56,'Tabla Ahorro Futuro Reservas'!C1470*'FR_Mantenimiento tasas'!$D$56/360,IF(C1470&lt;='FR_Mantenimiento tasas'!$C$57,'Tabla Ahorro Futuro Reservas'!C1470*'FR_Mantenimiento tasas'!$D$57/360,""))),5)</f>
        <v>0</v>
      </c>
      <c r="E1470" s="121">
        <f>ROUND(IF(C1470&lt;='FR_Mantenimiento tasas'!$C$55,'Tabla Ahorro Futuro Reservas'!C1470*'FR_Mantenimiento tasas'!$E$55/360,IF(C1470&lt;='FR_Mantenimiento tasas'!$C$56,'Tabla Ahorro Futuro Reservas'!C1470*'FR_Mantenimiento tasas'!$E$56/360,IF(C1470&lt;='FR_Mantenimiento tasas'!$C$57,'Tabla Ahorro Futuro Reservas'!C1470*'FR_Mantenimiento tasas'!$E$57/360,""))),5)</f>
        <v>0</v>
      </c>
    </row>
    <row r="1471" spans="1:5">
      <c r="A1471" s="123">
        <f t="shared" si="44"/>
        <v>1469</v>
      </c>
      <c r="B1471" s="122">
        <f>IF(DAY(A1471)=DAY('F-Ahorro Futuro Reservas'!$H$10),'F-Ahorro Futuro Reservas'!$H$9,0)</f>
        <v>0</v>
      </c>
      <c r="C1471" s="122">
        <f t="shared" si="45"/>
        <v>0</v>
      </c>
      <c r="D1471" s="121">
        <f>ROUND(IF(C1471&lt;='FR_Mantenimiento tasas'!$C$55,'Tabla Ahorro Futuro Reservas'!C1471*'FR_Mantenimiento tasas'!$D$55/360,IF(C1471&lt;='FR_Mantenimiento tasas'!$C$56,'Tabla Ahorro Futuro Reservas'!C1471*'FR_Mantenimiento tasas'!$D$56/360,IF(C1471&lt;='FR_Mantenimiento tasas'!$C$57,'Tabla Ahorro Futuro Reservas'!C1471*'FR_Mantenimiento tasas'!$D$57/360,""))),5)</f>
        <v>0</v>
      </c>
      <c r="E1471" s="121">
        <f>ROUND(IF(C1471&lt;='FR_Mantenimiento tasas'!$C$55,'Tabla Ahorro Futuro Reservas'!C1471*'FR_Mantenimiento tasas'!$E$55/360,IF(C1471&lt;='FR_Mantenimiento tasas'!$C$56,'Tabla Ahorro Futuro Reservas'!C1471*'FR_Mantenimiento tasas'!$E$56/360,IF(C1471&lt;='FR_Mantenimiento tasas'!$C$57,'Tabla Ahorro Futuro Reservas'!C1471*'FR_Mantenimiento tasas'!$E$57/360,""))),5)</f>
        <v>0</v>
      </c>
    </row>
    <row r="1472" spans="1:5">
      <c r="A1472" s="123">
        <f t="shared" si="44"/>
        <v>1470</v>
      </c>
      <c r="B1472" s="122">
        <f>IF(DAY(A1472)=DAY('F-Ahorro Futuro Reservas'!$H$10),'F-Ahorro Futuro Reservas'!$H$9,0)</f>
        <v>0</v>
      </c>
      <c r="C1472" s="122">
        <f t="shared" si="45"/>
        <v>0</v>
      </c>
      <c r="D1472" s="121">
        <f>ROUND(IF(C1472&lt;='FR_Mantenimiento tasas'!$C$55,'Tabla Ahorro Futuro Reservas'!C1472*'FR_Mantenimiento tasas'!$D$55/360,IF(C1472&lt;='FR_Mantenimiento tasas'!$C$56,'Tabla Ahorro Futuro Reservas'!C1472*'FR_Mantenimiento tasas'!$D$56/360,IF(C1472&lt;='FR_Mantenimiento tasas'!$C$57,'Tabla Ahorro Futuro Reservas'!C1472*'FR_Mantenimiento tasas'!$D$57/360,""))),5)</f>
        <v>0</v>
      </c>
      <c r="E1472" s="121">
        <f>ROUND(IF(C1472&lt;='FR_Mantenimiento tasas'!$C$55,'Tabla Ahorro Futuro Reservas'!C1472*'FR_Mantenimiento tasas'!$E$55/360,IF(C1472&lt;='FR_Mantenimiento tasas'!$C$56,'Tabla Ahorro Futuro Reservas'!C1472*'FR_Mantenimiento tasas'!$E$56/360,IF(C1472&lt;='FR_Mantenimiento tasas'!$C$57,'Tabla Ahorro Futuro Reservas'!C1472*'FR_Mantenimiento tasas'!$E$57/360,""))),5)</f>
        <v>0</v>
      </c>
    </row>
    <row r="1473" spans="1:5">
      <c r="A1473" s="123">
        <f t="shared" si="44"/>
        <v>1471</v>
      </c>
      <c r="B1473" s="122">
        <f>IF(DAY(A1473)=DAY('F-Ahorro Futuro Reservas'!$H$10),'F-Ahorro Futuro Reservas'!$H$9,0)</f>
        <v>0</v>
      </c>
      <c r="C1473" s="122">
        <f t="shared" si="45"/>
        <v>0</v>
      </c>
      <c r="D1473" s="121">
        <f>ROUND(IF(C1473&lt;='FR_Mantenimiento tasas'!$C$55,'Tabla Ahorro Futuro Reservas'!C1473*'FR_Mantenimiento tasas'!$D$55/360,IF(C1473&lt;='FR_Mantenimiento tasas'!$C$56,'Tabla Ahorro Futuro Reservas'!C1473*'FR_Mantenimiento tasas'!$D$56/360,IF(C1473&lt;='FR_Mantenimiento tasas'!$C$57,'Tabla Ahorro Futuro Reservas'!C1473*'FR_Mantenimiento tasas'!$D$57/360,""))),5)</f>
        <v>0</v>
      </c>
      <c r="E1473" s="121">
        <f>ROUND(IF(C1473&lt;='FR_Mantenimiento tasas'!$C$55,'Tabla Ahorro Futuro Reservas'!C1473*'FR_Mantenimiento tasas'!$E$55/360,IF(C1473&lt;='FR_Mantenimiento tasas'!$C$56,'Tabla Ahorro Futuro Reservas'!C1473*'FR_Mantenimiento tasas'!$E$56/360,IF(C1473&lt;='FR_Mantenimiento tasas'!$C$57,'Tabla Ahorro Futuro Reservas'!C1473*'FR_Mantenimiento tasas'!$E$57/360,""))),5)</f>
        <v>0</v>
      </c>
    </row>
    <row r="1474" spans="1:5">
      <c r="A1474" s="123">
        <f t="shared" si="44"/>
        <v>1472</v>
      </c>
      <c r="B1474" s="122">
        <f>IF(DAY(A1474)=DAY('F-Ahorro Futuro Reservas'!$H$10),'F-Ahorro Futuro Reservas'!$H$9,0)</f>
        <v>0</v>
      </c>
      <c r="C1474" s="122">
        <f t="shared" si="45"/>
        <v>0</v>
      </c>
      <c r="D1474" s="121">
        <f>ROUND(IF(C1474&lt;='FR_Mantenimiento tasas'!$C$55,'Tabla Ahorro Futuro Reservas'!C1474*'FR_Mantenimiento tasas'!$D$55/360,IF(C1474&lt;='FR_Mantenimiento tasas'!$C$56,'Tabla Ahorro Futuro Reservas'!C1474*'FR_Mantenimiento tasas'!$D$56/360,IF(C1474&lt;='FR_Mantenimiento tasas'!$C$57,'Tabla Ahorro Futuro Reservas'!C1474*'FR_Mantenimiento tasas'!$D$57/360,""))),5)</f>
        <v>0</v>
      </c>
      <c r="E1474" s="121">
        <f>ROUND(IF(C1474&lt;='FR_Mantenimiento tasas'!$C$55,'Tabla Ahorro Futuro Reservas'!C1474*'FR_Mantenimiento tasas'!$E$55/360,IF(C1474&lt;='FR_Mantenimiento tasas'!$C$56,'Tabla Ahorro Futuro Reservas'!C1474*'FR_Mantenimiento tasas'!$E$56/360,IF(C1474&lt;='FR_Mantenimiento tasas'!$C$57,'Tabla Ahorro Futuro Reservas'!C1474*'FR_Mantenimiento tasas'!$E$57/360,""))),5)</f>
        <v>0</v>
      </c>
    </row>
    <row r="1475" spans="1:5">
      <c r="A1475" s="123">
        <f t="shared" si="44"/>
        <v>1473</v>
      </c>
      <c r="B1475" s="122">
        <f>IF(DAY(A1475)=DAY('F-Ahorro Futuro Reservas'!$H$10),'F-Ahorro Futuro Reservas'!$H$9,0)</f>
        <v>0</v>
      </c>
      <c r="C1475" s="122">
        <f t="shared" si="45"/>
        <v>0</v>
      </c>
      <c r="D1475" s="121">
        <f>ROUND(IF(C1475&lt;='FR_Mantenimiento tasas'!$C$55,'Tabla Ahorro Futuro Reservas'!C1475*'FR_Mantenimiento tasas'!$D$55/360,IF(C1475&lt;='FR_Mantenimiento tasas'!$C$56,'Tabla Ahorro Futuro Reservas'!C1475*'FR_Mantenimiento tasas'!$D$56/360,IF(C1475&lt;='FR_Mantenimiento tasas'!$C$57,'Tabla Ahorro Futuro Reservas'!C1475*'FR_Mantenimiento tasas'!$D$57/360,""))),5)</f>
        <v>0</v>
      </c>
      <c r="E1475" s="121">
        <f>ROUND(IF(C1475&lt;='FR_Mantenimiento tasas'!$C$55,'Tabla Ahorro Futuro Reservas'!C1475*'FR_Mantenimiento tasas'!$E$55/360,IF(C1475&lt;='FR_Mantenimiento tasas'!$C$56,'Tabla Ahorro Futuro Reservas'!C1475*'FR_Mantenimiento tasas'!$E$56/360,IF(C1475&lt;='FR_Mantenimiento tasas'!$C$57,'Tabla Ahorro Futuro Reservas'!C1475*'FR_Mantenimiento tasas'!$E$57/360,""))),5)</f>
        <v>0</v>
      </c>
    </row>
    <row r="1476" spans="1:5">
      <c r="A1476" s="123">
        <f t="shared" ref="A1476:A1539" si="46">+A1475+1</f>
        <v>1474</v>
      </c>
      <c r="B1476" s="122">
        <f>IF(DAY(A1476)=DAY('F-Ahorro Futuro Reservas'!$H$10),'F-Ahorro Futuro Reservas'!$H$9,0)</f>
        <v>0</v>
      </c>
      <c r="C1476" s="122">
        <f t="shared" ref="C1476:C1539" si="47">+B1476+C1475+D1475</f>
        <v>0</v>
      </c>
      <c r="D1476" s="121">
        <f>ROUND(IF(C1476&lt;='FR_Mantenimiento tasas'!$C$55,'Tabla Ahorro Futuro Reservas'!C1476*'FR_Mantenimiento tasas'!$D$55/360,IF(C1476&lt;='FR_Mantenimiento tasas'!$C$56,'Tabla Ahorro Futuro Reservas'!C1476*'FR_Mantenimiento tasas'!$D$56/360,IF(C1476&lt;='FR_Mantenimiento tasas'!$C$57,'Tabla Ahorro Futuro Reservas'!C1476*'FR_Mantenimiento tasas'!$D$57/360,""))),5)</f>
        <v>0</v>
      </c>
      <c r="E1476" s="121">
        <f>ROUND(IF(C1476&lt;='FR_Mantenimiento tasas'!$C$55,'Tabla Ahorro Futuro Reservas'!C1476*'FR_Mantenimiento tasas'!$E$55/360,IF(C1476&lt;='FR_Mantenimiento tasas'!$C$56,'Tabla Ahorro Futuro Reservas'!C1476*'FR_Mantenimiento tasas'!$E$56/360,IF(C1476&lt;='FR_Mantenimiento tasas'!$C$57,'Tabla Ahorro Futuro Reservas'!C1476*'FR_Mantenimiento tasas'!$E$57/360,""))),5)</f>
        <v>0</v>
      </c>
    </row>
    <row r="1477" spans="1:5">
      <c r="A1477" s="123">
        <f t="shared" si="46"/>
        <v>1475</v>
      </c>
      <c r="B1477" s="122">
        <f>IF(DAY(A1477)=DAY('F-Ahorro Futuro Reservas'!$H$10),'F-Ahorro Futuro Reservas'!$H$9,0)</f>
        <v>0</v>
      </c>
      <c r="C1477" s="122">
        <f t="shared" si="47"/>
        <v>0</v>
      </c>
      <c r="D1477" s="121">
        <f>ROUND(IF(C1477&lt;='FR_Mantenimiento tasas'!$C$55,'Tabla Ahorro Futuro Reservas'!C1477*'FR_Mantenimiento tasas'!$D$55/360,IF(C1477&lt;='FR_Mantenimiento tasas'!$C$56,'Tabla Ahorro Futuro Reservas'!C1477*'FR_Mantenimiento tasas'!$D$56/360,IF(C1477&lt;='FR_Mantenimiento tasas'!$C$57,'Tabla Ahorro Futuro Reservas'!C1477*'FR_Mantenimiento tasas'!$D$57/360,""))),5)</f>
        <v>0</v>
      </c>
      <c r="E1477" s="121">
        <f>ROUND(IF(C1477&lt;='FR_Mantenimiento tasas'!$C$55,'Tabla Ahorro Futuro Reservas'!C1477*'FR_Mantenimiento tasas'!$E$55/360,IF(C1477&lt;='FR_Mantenimiento tasas'!$C$56,'Tabla Ahorro Futuro Reservas'!C1477*'FR_Mantenimiento tasas'!$E$56/360,IF(C1477&lt;='FR_Mantenimiento tasas'!$C$57,'Tabla Ahorro Futuro Reservas'!C1477*'FR_Mantenimiento tasas'!$E$57/360,""))),5)</f>
        <v>0</v>
      </c>
    </row>
    <row r="1478" spans="1:5">
      <c r="A1478" s="123">
        <f t="shared" si="46"/>
        <v>1476</v>
      </c>
      <c r="B1478" s="122">
        <f>IF(DAY(A1478)=DAY('F-Ahorro Futuro Reservas'!$H$10),'F-Ahorro Futuro Reservas'!$H$9,0)</f>
        <v>0</v>
      </c>
      <c r="C1478" s="122">
        <f t="shared" si="47"/>
        <v>0</v>
      </c>
      <c r="D1478" s="121">
        <f>ROUND(IF(C1478&lt;='FR_Mantenimiento tasas'!$C$55,'Tabla Ahorro Futuro Reservas'!C1478*'FR_Mantenimiento tasas'!$D$55/360,IF(C1478&lt;='FR_Mantenimiento tasas'!$C$56,'Tabla Ahorro Futuro Reservas'!C1478*'FR_Mantenimiento tasas'!$D$56/360,IF(C1478&lt;='FR_Mantenimiento tasas'!$C$57,'Tabla Ahorro Futuro Reservas'!C1478*'FR_Mantenimiento tasas'!$D$57/360,""))),5)</f>
        <v>0</v>
      </c>
      <c r="E1478" s="121">
        <f>ROUND(IF(C1478&lt;='FR_Mantenimiento tasas'!$C$55,'Tabla Ahorro Futuro Reservas'!C1478*'FR_Mantenimiento tasas'!$E$55/360,IF(C1478&lt;='FR_Mantenimiento tasas'!$C$56,'Tabla Ahorro Futuro Reservas'!C1478*'FR_Mantenimiento tasas'!$E$56/360,IF(C1478&lt;='FR_Mantenimiento tasas'!$C$57,'Tabla Ahorro Futuro Reservas'!C1478*'FR_Mantenimiento tasas'!$E$57/360,""))),5)</f>
        <v>0</v>
      </c>
    </row>
    <row r="1479" spans="1:5">
      <c r="A1479" s="123">
        <f t="shared" si="46"/>
        <v>1477</v>
      </c>
      <c r="B1479" s="122">
        <f>IF(DAY(A1479)=DAY('F-Ahorro Futuro Reservas'!$H$10),'F-Ahorro Futuro Reservas'!$H$9,0)</f>
        <v>0</v>
      </c>
      <c r="C1479" s="122">
        <f t="shared" si="47"/>
        <v>0</v>
      </c>
      <c r="D1479" s="121">
        <f>ROUND(IF(C1479&lt;='FR_Mantenimiento tasas'!$C$55,'Tabla Ahorro Futuro Reservas'!C1479*'FR_Mantenimiento tasas'!$D$55/360,IF(C1479&lt;='FR_Mantenimiento tasas'!$C$56,'Tabla Ahorro Futuro Reservas'!C1479*'FR_Mantenimiento tasas'!$D$56/360,IF(C1479&lt;='FR_Mantenimiento tasas'!$C$57,'Tabla Ahorro Futuro Reservas'!C1479*'FR_Mantenimiento tasas'!$D$57/360,""))),5)</f>
        <v>0</v>
      </c>
      <c r="E1479" s="121">
        <f>ROUND(IF(C1479&lt;='FR_Mantenimiento tasas'!$C$55,'Tabla Ahorro Futuro Reservas'!C1479*'FR_Mantenimiento tasas'!$E$55/360,IF(C1479&lt;='FR_Mantenimiento tasas'!$C$56,'Tabla Ahorro Futuro Reservas'!C1479*'FR_Mantenimiento tasas'!$E$56/360,IF(C1479&lt;='FR_Mantenimiento tasas'!$C$57,'Tabla Ahorro Futuro Reservas'!C1479*'FR_Mantenimiento tasas'!$E$57/360,""))),5)</f>
        <v>0</v>
      </c>
    </row>
    <row r="1480" spans="1:5">
      <c r="A1480" s="123">
        <f t="shared" si="46"/>
        <v>1478</v>
      </c>
      <c r="B1480" s="122">
        <f>IF(DAY(A1480)=DAY('F-Ahorro Futuro Reservas'!$H$10),'F-Ahorro Futuro Reservas'!$H$9,0)</f>
        <v>0</v>
      </c>
      <c r="C1480" s="122">
        <f t="shared" si="47"/>
        <v>0</v>
      </c>
      <c r="D1480" s="121">
        <f>ROUND(IF(C1480&lt;='FR_Mantenimiento tasas'!$C$55,'Tabla Ahorro Futuro Reservas'!C1480*'FR_Mantenimiento tasas'!$D$55/360,IF(C1480&lt;='FR_Mantenimiento tasas'!$C$56,'Tabla Ahorro Futuro Reservas'!C1480*'FR_Mantenimiento tasas'!$D$56/360,IF(C1480&lt;='FR_Mantenimiento tasas'!$C$57,'Tabla Ahorro Futuro Reservas'!C1480*'FR_Mantenimiento tasas'!$D$57/360,""))),5)</f>
        <v>0</v>
      </c>
      <c r="E1480" s="121">
        <f>ROUND(IF(C1480&lt;='FR_Mantenimiento tasas'!$C$55,'Tabla Ahorro Futuro Reservas'!C1480*'FR_Mantenimiento tasas'!$E$55/360,IF(C1480&lt;='FR_Mantenimiento tasas'!$C$56,'Tabla Ahorro Futuro Reservas'!C1480*'FR_Mantenimiento tasas'!$E$56/360,IF(C1480&lt;='FR_Mantenimiento tasas'!$C$57,'Tabla Ahorro Futuro Reservas'!C1480*'FR_Mantenimiento tasas'!$E$57/360,""))),5)</f>
        <v>0</v>
      </c>
    </row>
    <row r="1481" spans="1:5">
      <c r="A1481" s="123">
        <f t="shared" si="46"/>
        <v>1479</v>
      </c>
      <c r="B1481" s="122">
        <f>IF(DAY(A1481)=DAY('F-Ahorro Futuro Reservas'!$H$10),'F-Ahorro Futuro Reservas'!$H$9,0)</f>
        <v>0</v>
      </c>
      <c r="C1481" s="122">
        <f t="shared" si="47"/>
        <v>0</v>
      </c>
      <c r="D1481" s="121">
        <f>ROUND(IF(C1481&lt;='FR_Mantenimiento tasas'!$C$55,'Tabla Ahorro Futuro Reservas'!C1481*'FR_Mantenimiento tasas'!$D$55/360,IF(C1481&lt;='FR_Mantenimiento tasas'!$C$56,'Tabla Ahorro Futuro Reservas'!C1481*'FR_Mantenimiento tasas'!$D$56/360,IF(C1481&lt;='FR_Mantenimiento tasas'!$C$57,'Tabla Ahorro Futuro Reservas'!C1481*'FR_Mantenimiento tasas'!$D$57/360,""))),5)</f>
        <v>0</v>
      </c>
      <c r="E1481" s="121">
        <f>ROUND(IF(C1481&lt;='FR_Mantenimiento tasas'!$C$55,'Tabla Ahorro Futuro Reservas'!C1481*'FR_Mantenimiento tasas'!$E$55/360,IF(C1481&lt;='FR_Mantenimiento tasas'!$C$56,'Tabla Ahorro Futuro Reservas'!C1481*'FR_Mantenimiento tasas'!$E$56/360,IF(C1481&lt;='FR_Mantenimiento tasas'!$C$57,'Tabla Ahorro Futuro Reservas'!C1481*'FR_Mantenimiento tasas'!$E$57/360,""))),5)</f>
        <v>0</v>
      </c>
    </row>
    <row r="1482" spans="1:5">
      <c r="A1482" s="123">
        <f t="shared" si="46"/>
        <v>1480</v>
      </c>
      <c r="B1482" s="122">
        <f>IF(DAY(A1482)=DAY('F-Ahorro Futuro Reservas'!$H$10),'F-Ahorro Futuro Reservas'!$H$9,0)</f>
        <v>0</v>
      </c>
      <c r="C1482" s="122">
        <f t="shared" si="47"/>
        <v>0</v>
      </c>
      <c r="D1482" s="121">
        <f>ROUND(IF(C1482&lt;='FR_Mantenimiento tasas'!$C$55,'Tabla Ahorro Futuro Reservas'!C1482*'FR_Mantenimiento tasas'!$D$55/360,IF(C1482&lt;='FR_Mantenimiento tasas'!$C$56,'Tabla Ahorro Futuro Reservas'!C1482*'FR_Mantenimiento tasas'!$D$56/360,IF(C1482&lt;='FR_Mantenimiento tasas'!$C$57,'Tabla Ahorro Futuro Reservas'!C1482*'FR_Mantenimiento tasas'!$D$57/360,""))),5)</f>
        <v>0</v>
      </c>
      <c r="E1482" s="121">
        <f>ROUND(IF(C1482&lt;='FR_Mantenimiento tasas'!$C$55,'Tabla Ahorro Futuro Reservas'!C1482*'FR_Mantenimiento tasas'!$E$55/360,IF(C1482&lt;='FR_Mantenimiento tasas'!$C$56,'Tabla Ahorro Futuro Reservas'!C1482*'FR_Mantenimiento tasas'!$E$56/360,IF(C1482&lt;='FR_Mantenimiento tasas'!$C$57,'Tabla Ahorro Futuro Reservas'!C1482*'FR_Mantenimiento tasas'!$E$57/360,""))),5)</f>
        <v>0</v>
      </c>
    </row>
    <row r="1483" spans="1:5">
      <c r="A1483" s="123">
        <f t="shared" si="46"/>
        <v>1481</v>
      </c>
      <c r="B1483" s="122">
        <f>IF(DAY(A1483)=DAY('F-Ahorro Futuro Reservas'!$H$10),'F-Ahorro Futuro Reservas'!$H$9,0)</f>
        <v>0</v>
      </c>
      <c r="C1483" s="122">
        <f t="shared" si="47"/>
        <v>0</v>
      </c>
      <c r="D1483" s="121">
        <f>ROUND(IF(C1483&lt;='FR_Mantenimiento tasas'!$C$55,'Tabla Ahorro Futuro Reservas'!C1483*'FR_Mantenimiento tasas'!$D$55/360,IF(C1483&lt;='FR_Mantenimiento tasas'!$C$56,'Tabla Ahorro Futuro Reservas'!C1483*'FR_Mantenimiento tasas'!$D$56/360,IF(C1483&lt;='FR_Mantenimiento tasas'!$C$57,'Tabla Ahorro Futuro Reservas'!C1483*'FR_Mantenimiento tasas'!$D$57/360,""))),5)</f>
        <v>0</v>
      </c>
      <c r="E1483" s="121">
        <f>ROUND(IF(C1483&lt;='FR_Mantenimiento tasas'!$C$55,'Tabla Ahorro Futuro Reservas'!C1483*'FR_Mantenimiento tasas'!$E$55/360,IF(C1483&lt;='FR_Mantenimiento tasas'!$C$56,'Tabla Ahorro Futuro Reservas'!C1483*'FR_Mantenimiento tasas'!$E$56/360,IF(C1483&lt;='FR_Mantenimiento tasas'!$C$57,'Tabla Ahorro Futuro Reservas'!C1483*'FR_Mantenimiento tasas'!$E$57/360,""))),5)</f>
        <v>0</v>
      </c>
    </row>
    <row r="1484" spans="1:5">
      <c r="A1484" s="123">
        <f t="shared" si="46"/>
        <v>1482</v>
      </c>
      <c r="B1484" s="122">
        <f>IF(DAY(A1484)=DAY('F-Ahorro Futuro Reservas'!$H$10),'F-Ahorro Futuro Reservas'!$H$9,0)</f>
        <v>0</v>
      </c>
      <c r="C1484" s="122">
        <f t="shared" si="47"/>
        <v>0</v>
      </c>
      <c r="D1484" s="121">
        <f>ROUND(IF(C1484&lt;='FR_Mantenimiento tasas'!$C$55,'Tabla Ahorro Futuro Reservas'!C1484*'FR_Mantenimiento tasas'!$D$55/360,IF(C1484&lt;='FR_Mantenimiento tasas'!$C$56,'Tabla Ahorro Futuro Reservas'!C1484*'FR_Mantenimiento tasas'!$D$56/360,IF(C1484&lt;='FR_Mantenimiento tasas'!$C$57,'Tabla Ahorro Futuro Reservas'!C1484*'FR_Mantenimiento tasas'!$D$57/360,""))),5)</f>
        <v>0</v>
      </c>
      <c r="E1484" s="121">
        <f>ROUND(IF(C1484&lt;='FR_Mantenimiento tasas'!$C$55,'Tabla Ahorro Futuro Reservas'!C1484*'FR_Mantenimiento tasas'!$E$55/360,IF(C1484&lt;='FR_Mantenimiento tasas'!$C$56,'Tabla Ahorro Futuro Reservas'!C1484*'FR_Mantenimiento tasas'!$E$56/360,IF(C1484&lt;='FR_Mantenimiento tasas'!$C$57,'Tabla Ahorro Futuro Reservas'!C1484*'FR_Mantenimiento tasas'!$E$57/360,""))),5)</f>
        <v>0</v>
      </c>
    </row>
    <row r="1485" spans="1:5">
      <c r="A1485" s="123">
        <f t="shared" si="46"/>
        <v>1483</v>
      </c>
      <c r="B1485" s="122">
        <f>IF(DAY(A1485)=DAY('F-Ahorro Futuro Reservas'!$H$10),'F-Ahorro Futuro Reservas'!$H$9,0)</f>
        <v>0</v>
      </c>
      <c r="C1485" s="122">
        <f t="shared" si="47"/>
        <v>0</v>
      </c>
      <c r="D1485" s="121">
        <f>ROUND(IF(C1485&lt;='FR_Mantenimiento tasas'!$C$55,'Tabla Ahorro Futuro Reservas'!C1485*'FR_Mantenimiento tasas'!$D$55/360,IF(C1485&lt;='FR_Mantenimiento tasas'!$C$56,'Tabla Ahorro Futuro Reservas'!C1485*'FR_Mantenimiento tasas'!$D$56/360,IF(C1485&lt;='FR_Mantenimiento tasas'!$C$57,'Tabla Ahorro Futuro Reservas'!C1485*'FR_Mantenimiento tasas'!$D$57/360,""))),5)</f>
        <v>0</v>
      </c>
      <c r="E1485" s="121">
        <f>ROUND(IF(C1485&lt;='FR_Mantenimiento tasas'!$C$55,'Tabla Ahorro Futuro Reservas'!C1485*'FR_Mantenimiento tasas'!$E$55/360,IF(C1485&lt;='FR_Mantenimiento tasas'!$C$56,'Tabla Ahorro Futuro Reservas'!C1485*'FR_Mantenimiento tasas'!$E$56/360,IF(C1485&lt;='FR_Mantenimiento tasas'!$C$57,'Tabla Ahorro Futuro Reservas'!C1485*'FR_Mantenimiento tasas'!$E$57/360,""))),5)</f>
        <v>0</v>
      </c>
    </row>
    <row r="1486" spans="1:5">
      <c r="A1486" s="123">
        <f t="shared" si="46"/>
        <v>1484</v>
      </c>
      <c r="B1486" s="122">
        <f>IF(DAY(A1486)=DAY('F-Ahorro Futuro Reservas'!$H$10),'F-Ahorro Futuro Reservas'!$H$9,0)</f>
        <v>0</v>
      </c>
      <c r="C1486" s="122">
        <f t="shared" si="47"/>
        <v>0</v>
      </c>
      <c r="D1486" s="121">
        <f>ROUND(IF(C1486&lt;='FR_Mantenimiento tasas'!$C$55,'Tabla Ahorro Futuro Reservas'!C1486*'FR_Mantenimiento tasas'!$D$55/360,IF(C1486&lt;='FR_Mantenimiento tasas'!$C$56,'Tabla Ahorro Futuro Reservas'!C1486*'FR_Mantenimiento tasas'!$D$56/360,IF(C1486&lt;='FR_Mantenimiento tasas'!$C$57,'Tabla Ahorro Futuro Reservas'!C1486*'FR_Mantenimiento tasas'!$D$57/360,""))),5)</f>
        <v>0</v>
      </c>
      <c r="E1486" s="121">
        <f>ROUND(IF(C1486&lt;='FR_Mantenimiento tasas'!$C$55,'Tabla Ahorro Futuro Reservas'!C1486*'FR_Mantenimiento tasas'!$E$55/360,IF(C1486&lt;='FR_Mantenimiento tasas'!$C$56,'Tabla Ahorro Futuro Reservas'!C1486*'FR_Mantenimiento tasas'!$E$56/360,IF(C1486&lt;='FR_Mantenimiento tasas'!$C$57,'Tabla Ahorro Futuro Reservas'!C1486*'FR_Mantenimiento tasas'!$E$57/360,""))),5)</f>
        <v>0</v>
      </c>
    </row>
    <row r="1487" spans="1:5">
      <c r="A1487" s="123">
        <f t="shared" si="46"/>
        <v>1485</v>
      </c>
      <c r="B1487" s="122">
        <f>IF(DAY(A1487)=DAY('F-Ahorro Futuro Reservas'!$H$10),'F-Ahorro Futuro Reservas'!$H$9,0)</f>
        <v>0</v>
      </c>
      <c r="C1487" s="122">
        <f t="shared" si="47"/>
        <v>0</v>
      </c>
      <c r="D1487" s="121">
        <f>ROUND(IF(C1487&lt;='FR_Mantenimiento tasas'!$C$55,'Tabla Ahorro Futuro Reservas'!C1487*'FR_Mantenimiento tasas'!$D$55/360,IF(C1487&lt;='FR_Mantenimiento tasas'!$C$56,'Tabla Ahorro Futuro Reservas'!C1487*'FR_Mantenimiento tasas'!$D$56/360,IF(C1487&lt;='FR_Mantenimiento tasas'!$C$57,'Tabla Ahorro Futuro Reservas'!C1487*'FR_Mantenimiento tasas'!$D$57/360,""))),5)</f>
        <v>0</v>
      </c>
      <c r="E1487" s="121">
        <f>ROUND(IF(C1487&lt;='FR_Mantenimiento tasas'!$C$55,'Tabla Ahorro Futuro Reservas'!C1487*'FR_Mantenimiento tasas'!$E$55/360,IF(C1487&lt;='FR_Mantenimiento tasas'!$C$56,'Tabla Ahorro Futuro Reservas'!C1487*'FR_Mantenimiento tasas'!$E$56/360,IF(C1487&lt;='FR_Mantenimiento tasas'!$C$57,'Tabla Ahorro Futuro Reservas'!C1487*'FR_Mantenimiento tasas'!$E$57/360,""))),5)</f>
        <v>0</v>
      </c>
    </row>
    <row r="1488" spans="1:5">
      <c r="A1488" s="123">
        <f t="shared" si="46"/>
        <v>1486</v>
      </c>
      <c r="B1488" s="122">
        <f>IF(DAY(A1488)=DAY('F-Ahorro Futuro Reservas'!$H$10),'F-Ahorro Futuro Reservas'!$H$9,0)</f>
        <v>0</v>
      </c>
      <c r="C1488" s="122">
        <f t="shared" si="47"/>
        <v>0</v>
      </c>
      <c r="D1488" s="121">
        <f>ROUND(IF(C1488&lt;='FR_Mantenimiento tasas'!$C$55,'Tabla Ahorro Futuro Reservas'!C1488*'FR_Mantenimiento tasas'!$D$55/360,IF(C1488&lt;='FR_Mantenimiento tasas'!$C$56,'Tabla Ahorro Futuro Reservas'!C1488*'FR_Mantenimiento tasas'!$D$56/360,IF(C1488&lt;='FR_Mantenimiento tasas'!$C$57,'Tabla Ahorro Futuro Reservas'!C1488*'FR_Mantenimiento tasas'!$D$57/360,""))),5)</f>
        <v>0</v>
      </c>
      <c r="E1488" s="121">
        <f>ROUND(IF(C1488&lt;='FR_Mantenimiento tasas'!$C$55,'Tabla Ahorro Futuro Reservas'!C1488*'FR_Mantenimiento tasas'!$E$55/360,IF(C1488&lt;='FR_Mantenimiento tasas'!$C$56,'Tabla Ahorro Futuro Reservas'!C1488*'FR_Mantenimiento tasas'!$E$56/360,IF(C1488&lt;='FR_Mantenimiento tasas'!$C$57,'Tabla Ahorro Futuro Reservas'!C1488*'FR_Mantenimiento tasas'!$E$57/360,""))),5)</f>
        <v>0</v>
      </c>
    </row>
    <row r="1489" spans="1:5">
      <c r="A1489" s="123">
        <f t="shared" si="46"/>
        <v>1487</v>
      </c>
      <c r="B1489" s="122">
        <f>IF(DAY(A1489)=DAY('F-Ahorro Futuro Reservas'!$H$10),'F-Ahorro Futuro Reservas'!$H$9,0)</f>
        <v>0</v>
      </c>
      <c r="C1489" s="122">
        <f t="shared" si="47"/>
        <v>0</v>
      </c>
      <c r="D1489" s="121">
        <f>ROUND(IF(C1489&lt;='FR_Mantenimiento tasas'!$C$55,'Tabla Ahorro Futuro Reservas'!C1489*'FR_Mantenimiento tasas'!$D$55/360,IF(C1489&lt;='FR_Mantenimiento tasas'!$C$56,'Tabla Ahorro Futuro Reservas'!C1489*'FR_Mantenimiento tasas'!$D$56/360,IF(C1489&lt;='FR_Mantenimiento tasas'!$C$57,'Tabla Ahorro Futuro Reservas'!C1489*'FR_Mantenimiento tasas'!$D$57/360,""))),5)</f>
        <v>0</v>
      </c>
      <c r="E1489" s="121">
        <f>ROUND(IF(C1489&lt;='FR_Mantenimiento tasas'!$C$55,'Tabla Ahorro Futuro Reservas'!C1489*'FR_Mantenimiento tasas'!$E$55/360,IF(C1489&lt;='FR_Mantenimiento tasas'!$C$56,'Tabla Ahorro Futuro Reservas'!C1489*'FR_Mantenimiento tasas'!$E$56/360,IF(C1489&lt;='FR_Mantenimiento tasas'!$C$57,'Tabla Ahorro Futuro Reservas'!C1489*'FR_Mantenimiento tasas'!$E$57/360,""))),5)</f>
        <v>0</v>
      </c>
    </row>
    <row r="1490" spans="1:5">
      <c r="A1490" s="123">
        <f t="shared" si="46"/>
        <v>1488</v>
      </c>
      <c r="B1490" s="122">
        <f>IF(DAY(A1490)=DAY('F-Ahorro Futuro Reservas'!$H$10),'F-Ahorro Futuro Reservas'!$H$9,0)</f>
        <v>0</v>
      </c>
      <c r="C1490" s="122">
        <f t="shared" si="47"/>
        <v>0</v>
      </c>
      <c r="D1490" s="121">
        <f>ROUND(IF(C1490&lt;='FR_Mantenimiento tasas'!$C$55,'Tabla Ahorro Futuro Reservas'!C1490*'FR_Mantenimiento tasas'!$D$55/360,IF(C1490&lt;='FR_Mantenimiento tasas'!$C$56,'Tabla Ahorro Futuro Reservas'!C1490*'FR_Mantenimiento tasas'!$D$56/360,IF(C1490&lt;='FR_Mantenimiento tasas'!$C$57,'Tabla Ahorro Futuro Reservas'!C1490*'FR_Mantenimiento tasas'!$D$57/360,""))),5)</f>
        <v>0</v>
      </c>
      <c r="E1490" s="121">
        <f>ROUND(IF(C1490&lt;='FR_Mantenimiento tasas'!$C$55,'Tabla Ahorro Futuro Reservas'!C1490*'FR_Mantenimiento tasas'!$E$55/360,IF(C1490&lt;='FR_Mantenimiento tasas'!$C$56,'Tabla Ahorro Futuro Reservas'!C1490*'FR_Mantenimiento tasas'!$E$56/360,IF(C1490&lt;='FR_Mantenimiento tasas'!$C$57,'Tabla Ahorro Futuro Reservas'!C1490*'FR_Mantenimiento tasas'!$E$57/360,""))),5)</f>
        <v>0</v>
      </c>
    </row>
    <row r="1491" spans="1:5">
      <c r="A1491" s="123">
        <f t="shared" si="46"/>
        <v>1489</v>
      </c>
      <c r="B1491" s="122">
        <f>IF(DAY(A1491)=DAY('F-Ahorro Futuro Reservas'!$H$10),'F-Ahorro Futuro Reservas'!$H$9,0)</f>
        <v>0</v>
      </c>
      <c r="C1491" s="122">
        <f t="shared" si="47"/>
        <v>0</v>
      </c>
      <c r="D1491" s="121">
        <f>ROUND(IF(C1491&lt;='FR_Mantenimiento tasas'!$C$55,'Tabla Ahorro Futuro Reservas'!C1491*'FR_Mantenimiento tasas'!$D$55/360,IF(C1491&lt;='FR_Mantenimiento tasas'!$C$56,'Tabla Ahorro Futuro Reservas'!C1491*'FR_Mantenimiento tasas'!$D$56/360,IF(C1491&lt;='FR_Mantenimiento tasas'!$C$57,'Tabla Ahorro Futuro Reservas'!C1491*'FR_Mantenimiento tasas'!$D$57/360,""))),5)</f>
        <v>0</v>
      </c>
      <c r="E1491" s="121">
        <f>ROUND(IF(C1491&lt;='FR_Mantenimiento tasas'!$C$55,'Tabla Ahorro Futuro Reservas'!C1491*'FR_Mantenimiento tasas'!$E$55/360,IF(C1491&lt;='FR_Mantenimiento tasas'!$C$56,'Tabla Ahorro Futuro Reservas'!C1491*'FR_Mantenimiento tasas'!$E$56/360,IF(C1491&lt;='FR_Mantenimiento tasas'!$C$57,'Tabla Ahorro Futuro Reservas'!C1491*'FR_Mantenimiento tasas'!$E$57/360,""))),5)</f>
        <v>0</v>
      </c>
    </row>
    <row r="1492" spans="1:5">
      <c r="A1492" s="123">
        <f t="shared" si="46"/>
        <v>1490</v>
      </c>
      <c r="B1492" s="122">
        <f>IF(DAY(A1492)=DAY('F-Ahorro Futuro Reservas'!$H$10),'F-Ahorro Futuro Reservas'!$H$9,0)</f>
        <v>0</v>
      </c>
      <c r="C1492" s="122">
        <f t="shared" si="47"/>
        <v>0</v>
      </c>
      <c r="D1492" s="121">
        <f>ROUND(IF(C1492&lt;='FR_Mantenimiento tasas'!$C$55,'Tabla Ahorro Futuro Reservas'!C1492*'FR_Mantenimiento tasas'!$D$55/360,IF(C1492&lt;='FR_Mantenimiento tasas'!$C$56,'Tabla Ahorro Futuro Reservas'!C1492*'FR_Mantenimiento tasas'!$D$56/360,IF(C1492&lt;='FR_Mantenimiento tasas'!$C$57,'Tabla Ahorro Futuro Reservas'!C1492*'FR_Mantenimiento tasas'!$D$57/360,""))),5)</f>
        <v>0</v>
      </c>
      <c r="E1492" s="121">
        <f>ROUND(IF(C1492&lt;='FR_Mantenimiento tasas'!$C$55,'Tabla Ahorro Futuro Reservas'!C1492*'FR_Mantenimiento tasas'!$E$55/360,IF(C1492&lt;='FR_Mantenimiento tasas'!$C$56,'Tabla Ahorro Futuro Reservas'!C1492*'FR_Mantenimiento tasas'!$E$56/360,IF(C1492&lt;='FR_Mantenimiento tasas'!$C$57,'Tabla Ahorro Futuro Reservas'!C1492*'FR_Mantenimiento tasas'!$E$57/360,""))),5)</f>
        <v>0</v>
      </c>
    </row>
    <row r="1493" spans="1:5">
      <c r="A1493" s="123">
        <f t="shared" si="46"/>
        <v>1491</v>
      </c>
      <c r="B1493" s="122">
        <f>IF(DAY(A1493)=DAY('F-Ahorro Futuro Reservas'!$H$10),'F-Ahorro Futuro Reservas'!$H$9,0)</f>
        <v>0</v>
      </c>
      <c r="C1493" s="122">
        <f t="shared" si="47"/>
        <v>0</v>
      </c>
      <c r="D1493" s="121">
        <f>ROUND(IF(C1493&lt;='FR_Mantenimiento tasas'!$C$55,'Tabla Ahorro Futuro Reservas'!C1493*'FR_Mantenimiento tasas'!$D$55/360,IF(C1493&lt;='FR_Mantenimiento tasas'!$C$56,'Tabla Ahorro Futuro Reservas'!C1493*'FR_Mantenimiento tasas'!$D$56/360,IF(C1493&lt;='FR_Mantenimiento tasas'!$C$57,'Tabla Ahorro Futuro Reservas'!C1493*'FR_Mantenimiento tasas'!$D$57/360,""))),5)</f>
        <v>0</v>
      </c>
      <c r="E1493" s="121">
        <f>ROUND(IF(C1493&lt;='FR_Mantenimiento tasas'!$C$55,'Tabla Ahorro Futuro Reservas'!C1493*'FR_Mantenimiento tasas'!$E$55/360,IF(C1493&lt;='FR_Mantenimiento tasas'!$C$56,'Tabla Ahorro Futuro Reservas'!C1493*'FR_Mantenimiento tasas'!$E$56/360,IF(C1493&lt;='FR_Mantenimiento tasas'!$C$57,'Tabla Ahorro Futuro Reservas'!C1493*'FR_Mantenimiento tasas'!$E$57/360,""))),5)</f>
        <v>0</v>
      </c>
    </row>
    <row r="1494" spans="1:5">
      <c r="A1494" s="123">
        <f t="shared" si="46"/>
        <v>1492</v>
      </c>
      <c r="B1494" s="122">
        <f>IF(DAY(A1494)=DAY('F-Ahorro Futuro Reservas'!$H$10),'F-Ahorro Futuro Reservas'!$H$9,0)</f>
        <v>0</v>
      </c>
      <c r="C1494" s="122">
        <f t="shared" si="47"/>
        <v>0</v>
      </c>
      <c r="D1494" s="121">
        <f>ROUND(IF(C1494&lt;='FR_Mantenimiento tasas'!$C$55,'Tabla Ahorro Futuro Reservas'!C1494*'FR_Mantenimiento tasas'!$D$55/360,IF(C1494&lt;='FR_Mantenimiento tasas'!$C$56,'Tabla Ahorro Futuro Reservas'!C1494*'FR_Mantenimiento tasas'!$D$56/360,IF(C1494&lt;='FR_Mantenimiento tasas'!$C$57,'Tabla Ahorro Futuro Reservas'!C1494*'FR_Mantenimiento tasas'!$D$57/360,""))),5)</f>
        <v>0</v>
      </c>
      <c r="E1494" s="121">
        <f>ROUND(IF(C1494&lt;='FR_Mantenimiento tasas'!$C$55,'Tabla Ahorro Futuro Reservas'!C1494*'FR_Mantenimiento tasas'!$E$55/360,IF(C1494&lt;='FR_Mantenimiento tasas'!$C$56,'Tabla Ahorro Futuro Reservas'!C1494*'FR_Mantenimiento tasas'!$E$56/360,IF(C1494&lt;='FR_Mantenimiento tasas'!$C$57,'Tabla Ahorro Futuro Reservas'!C1494*'FR_Mantenimiento tasas'!$E$57/360,""))),5)</f>
        <v>0</v>
      </c>
    </row>
    <row r="1495" spans="1:5">
      <c r="A1495" s="123">
        <f t="shared" si="46"/>
        <v>1493</v>
      </c>
      <c r="B1495" s="122">
        <f>IF(DAY(A1495)=DAY('F-Ahorro Futuro Reservas'!$H$10),'F-Ahorro Futuro Reservas'!$H$9,0)</f>
        <v>0</v>
      </c>
      <c r="C1495" s="122">
        <f t="shared" si="47"/>
        <v>0</v>
      </c>
      <c r="D1495" s="121">
        <f>ROUND(IF(C1495&lt;='FR_Mantenimiento tasas'!$C$55,'Tabla Ahorro Futuro Reservas'!C1495*'FR_Mantenimiento tasas'!$D$55/360,IF(C1495&lt;='FR_Mantenimiento tasas'!$C$56,'Tabla Ahorro Futuro Reservas'!C1495*'FR_Mantenimiento tasas'!$D$56/360,IF(C1495&lt;='FR_Mantenimiento tasas'!$C$57,'Tabla Ahorro Futuro Reservas'!C1495*'FR_Mantenimiento tasas'!$D$57/360,""))),5)</f>
        <v>0</v>
      </c>
      <c r="E1495" s="121">
        <f>ROUND(IF(C1495&lt;='FR_Mantenimiento tasas'!$C$55,'Tabla Ahorro Futuro Reservas'!C1495*'FR_Mantenimiento tasas'!$E$55/360,IF(C1495&lt;='FR_Mantenimiento tasas'!$C$56,'Tabla Ahorro Futuro Reservas'!C1495*'FR_Mantenimiento tasas'!$E$56/360,IF(C1495&lt;='FR_Mantenimiento tasas'!$C$57,'Tabla Ahorro Futuro Reservas'!C1495*'FR_Mantenimiento tasas'!$E$57/360,""))),5)</f>
        <v>0</v>
      </c>
    </row>
    <row r="1496" spans="1:5">
      <c r="A1496" s="123">
        <f t="shared" si="46"/>
        <v>1494</v>
      </c>
      <c r="B1496" s="122">
        <f>IF(DAY(A1496)=DAY('F-Ahorro Futuro Reservas'!$H$10),'F-Ahorro Futuro Reservas'!$H$9,0)</f>
        <v>0</v>
      </c>
      <c r="C1496" s="122">
        <f t="shared" si="47"/>
        <v>0</v>
      </c>
      <c r="D1496" s="121">
        <f>ROUND(IF(C1496&lt;='FR_Mantenimiento tasas'!$C$55,'Tabla Ahorro Futuro Reservas'!C1496*'FR_Mantenimiento tasas'!$D$55/360,IF(C1496&lt;='FR_Mantenimiento tasas'!$C$56,'Tabla Ahorro Futuro Reservas'!C1496*'FR_Mantenimiento tasas'!$D$56/360,IF(C1496&lt;='FR_Mantenimiento tasas'!$C$57,'Tabla Ahorro Futuro Reservas'!C1496*'FR_Mantenimiento tasas'!$D$57/360,""))),5)</f>
        <v>0</v>
      </c>
      <c r="E1496" s="121">
        <f>ROUND(IF(C1496&lt;='FR_Mantenimiento tasas'!$C$55,'Tabla Ahorro Futuro Reservas'!C1496*'FR_Mantenimiento tasas'!$E$55/360,IF(C1496&lt;='FR_Mantenimiento tasas'!$C$56,'Tabla Ahorro Futuro Reservas'!C1496*'FR_Mantenimiento tasas'!$E$56/360,IF(C1496&lt;='FR_Mantenimiento tasas'!$C$57,'Tabla Ahorro Futuro Reservas'!C1496*'FR_Mantenimiento tasas'!$E$57/360,""))),5)</f>
        <v>0</v>
      </c>
    </row>
    <row r="1497" spans="1:5">
      <c r="A1497" s="123">
        <f t="shared" si="46"/>
        <v>1495</v>
      </c>
      <c r="B1497" s="122">
        <f>IF(DAY(A1497)=DAY('F-Ahorro Futuro Reservas'!$H$10),'F-Ahorro Futuro Reservas'!$H$9,0)</f>
        <v>0</v>
      </c>
      <c r="C1497" s="122">
        <f t="shared" si="47"/>
        <v>0</v>
      </c>
      <c r="D1497" s="121">
        <f>ROUND(IF(C1497&lt;='FR_Mantenimiento tasas'!$C$55,'Tabla Ahorro Futuro Reservas'!C1497*'FR_Mantenimiento tasas'!$D$55/360,IF(C1497&lt;='FR_Mantenimiento tasas'!$C$56,'Tabla Ahorro Futuro Reservas'!C1497*'FR_Mantenimiento tasas'!$D$56/360,IF(C1497&lt;='FR_Mantenimiento tasas'!$C$57,'Tabla Ahorro Futuro Reservas'!C1497*'FR_Mantenimiento tasas'!$D$57/360,""))),5)</f>
        <v>0</v>
      </c>
      <c r="E1497" s="121">
        <f>ROUND(IF(C1497&lt;='FR_Mantenimiento tasas'!$C$55,'Tabla Ahorro Futuro Reservas'!C1497*'FR_Mantenimiento tasas'!$E$55/360,IF(C1497&lt;='FR_Mantenimiento tasas'!$C$56,'Tabla Ahorro Futuro Reservas'!C1497*'FR_Mantenimiento tasas'!$E$56/360,IF(C1497&lt;='FR_Mantenimiento tasas'!$C$57,'Tabla Ahorro Futuro Reservas'!C1497*'FR_Mantenimiento tasas'!$E$57/360,""))),5)</f>
        <v>0</v>
      </c>
    </row>
    <row r="1498" spans="1:5">
      <c r="A1498" s="123">
        <f t="shared" si="46"/>
        <v>1496</v>
      </c>
      <c r="B1498" s="122">
        <f>IF(DAY(A1498)=DAY('F-Ahorro Futuro Reservas'!$H$10),'F-Ahorro Futuro Reservas'!$H$9,0)</f>
        <v>0</v>
      </c>
      <c r="C1498" s="122">
        <f t="shared" si="47"/>
        <v>0</v>
      </c>
      <c r="D1498" s="121">
        <f>ROUND(IF(C1498&lt;='FR_Mantenimiento tasas'!$C$55,'Tabla Ahorro Futuro Reservas'!C1498*'FR_Mantenimiento tasas'!$D$55/360,IF(C1498&lt;='FR_Mantenimiento tasas'!$C$56,'Tabla Ahorro Futuro Reservas'!C1498*'FR_Mantenimiento tasas'!$D$56/360,IF(C1498&lt;='FR_Mantenimiento tasas'!$C$57,'Tabla Ahorro Futuro Reservas'!C1498*'FR_Mantenimiento tasas'!$D$57/360,""))),5)</f>
        <v>0</v>
      </c>
      <c r="E1498" s="121">
        <f>ROUND(IF(C1498&lt;='FR_Mantenimiento tasas'!$C$55,'Tabla Ahorro Futuro Reservas'!C1498*'FR_Mantenimiento tasas'!$E$55/360,IF(C1498&lt;='FR_Mantenimiento tasas'!$C$56,'Tabla Ahorro Futuro Reservas'!C1498*'FR_Mantenimiento tasas'!$E$56/360,IF(C1498&lt;='FR_Mantenimiento tasas'!$C$57,'Tabla Ahorro Futuro Reservas'!C1498*'FR_Mantenimiento tasas'!$E$57/360,""))),5)</f>
        <v>0</v>
      </c>
    </row>
    <row r="1499" spans="1:5">
      <c r="A1499" s="123">
        <f t="shared" si="46"/>
        <v>1497</v>
      </c>
      <c r="B1499" s="122">
        <f>IF(DAY(A1499)=DAY('F-Ahorro Futuro Reservas'!$H$10),'F-Ahorro Futuro Reservas'!$H$9,0)</f>
        <v>0</v>
      </c>
      <c r="C1499" s="122">
        <f t="shared" si="47"/>
        <v>0</v>
      </c>
      <c r="D1499" s="121">
        <f>ROUND(IF(C1499&lt;='FR_Mantenimiento tasas'!$C$55,'Tabla Ahorro Futuro Reservas'!C1499*'FR_Mantenimiento tasas'!$D$55/360,IF(C1499&lt;='FR_Mantenimiento tasas'!$C$56,'Tabla Ahorro Futuro Reservas'!C1499*'FR_Mantenimiento tasas'!$D$56/360,IF(C1499&lt;='FR_Mantenimiento tasas'!$C$57,'Tabla Ahorro Futuro Reservas'!C1499*'FR_Mantenimiento tasas'!$D$57/360,""))),5)</f>
        <v>0</v>
      </c>
      <c r="E1499" s="121">
        <f>ROUND(IF(C1499&lt;='FR_Mantenimiento tasas'!$C$55,'Tabla Ahorro Futuro Reservas'!C1499*'FR_Mantenimiento tasas'!$E$55/360,IF(C1499&lt;='FR_Mantenimiento tasas'!$C$56,'Tabla Ahorro Futuro Reservas'!C1499*'FR_Mantenimiento tasas'!$E$56/360,IF(C1499&lt;='FR_Mantenimiento tasas'!$C$57,'Tabla Ahorro Futuro Reservas'!C1499*'FR_Mantenimiento tasas'!$E$57/360,""))),5)</f>
        <v>0</v>
      </c>
    </row>
    <row r="1500" spans="1:5">
      <c r="A1500" s="123">
        <f t="shared" si="46"/>
        <v>1498</v>
      </c>
      <c r="B1500" s="122">
        <f>IF(DAY(A1500)=DAY('F-Ahorro Futuro Reservas'!$H$10),'F-Ahorro Futuro Reservas'!$H$9,0)</f>
        <v>0</v>
      </c>
      <c r="C1500" s="122">
        <f t="shared" si="47"/>
        <v>0</v>
      </c>
      <c r="D1500" s="121">
        <f>ROUND(IF(C1500&lt;='FR_Mantenimiento tasas'!$C$55,'Tabla Ahorro Futuro Reservas'!C1500*'FR_Mantenimiento tasas'!$D$55/360,IF(C1500&lt;='FR_Mantenimiento tasas'!$C$56,'Tabla Ahorro Futuro Reservas'!C1500*'FR_Mantenimiento tasas'!$D$56/360,IF(C1500&lt;='FR_Mantenimiento tasas'!$C$57,'Tabla Ahorro Futuro Reservas'!C1500*'FR_Mantenimiento tasas'!$D$57/360,""))),5)</f>
        <v>0</v>
      </c>
      <c r="E1500" s="121">
        <f>ROUND(IF(C1500&lt;='FR_Mantenimiento tasas'!$C$55,'Tabla Ahorro Futuro Reservas'!C1500*'FR_Mantenimiento tasas'!$E$55/360,IF(C1500&lt;='FR_Mantenimiento tasas'!$C$56,'Tabla Ahorro Futuro Reservas'!C1500*'FR_Mantenimiento tasas'!$E$56/360,IF(C1500&lt;='FR_Mantenimiento tasas'!$C$57,'Tabla Ahorro Futuro Reservas'!C1500*'FR_Mantenimiento tasas'!$E$57/360,""))),5)</f>
        <v>0</v>
      </c>
    </row>
    <row r="1501" spans="1:5">
      <c r="A1501" s="123">
        <f t="shared" si="46"/>
        <v>1499</v>
      </c>
      <c r="B1501" s="122">
        <f>IF(DAY(A1501)=DAY('F-Ahorro Futuro Reservas'!$H$10),'F-Ahorro Futuro Reservas'!$H$9,0)</f>
        <v>0</v>
      </c>
      <c r="C1501" s="122">
        <f t="shared" si="47"/>
        <v>0</v>
      </c>
      <c r="D1501" s="121">
        <f>ROUND(IF(C1501&lt;='FR_Mantenimiento tasas'!$C$55,'Tabla Ahorro Futuro Reservas'!C1501*'FR_Mantenimiento tasas'!$D$55/360,IF(C1501&lt;='FR_Mantenimiento tasas'!$C$56,'Tabla Ahorro Futuro Reservas'!C1501*'FR_Mantenimiento tasas'!$D$56/360,IF(C1501&lt;='FR_Mantenimiento tasas'!$C$57,'Tabla Ahorro Futuro Reservas'!C1501*'FR_Mantenimiento tasas'!$D$57/360,""))),5)</f>
        <v>0</v>
      </c>
      <c r="E1501" s="121">
        <f>ROUND(IF(C1501&lt;='FR_Mantenimiento tasas'!$C$55,'Tabla Ahorro Futuro Reservas'!C1501*'FR_Mantenimiento tasas'!$E$55/360,IF(C1501&lt;='FR_Mantenimiento tasas'!$C$56,'Tabla Ahorro Futuro Reservas'!C1501*'FR_Mantenimiento tasas'!$E$56/360,IF(C1501&lt;='FR_Mantenimiento tasas'!$C$57,'Tabla Ahorro Futuro Reservas'!C1501*'FR_Mantenimiento tasas'!$E$57/360,""))),5)</f>
        <v>0</v>
      </c>
    </row>
    <row r="1502" spans="1:5">
      <c r="A1502" s="123">
        <f t="shared" si="46"/>
        <v>1500</v>
      </c>
      <c r="B1502" s="122">
        <f>IF(DAY(A1502)=DAY('F-Ahorro Futuro Reservas'!$H$10),'F-Ahorro Futuro Reservas'!$H$9,0)</f>
        <v>0</v>
      </c>
      <c r="C1502" s="122">
        <f t="shared" si="47"/>
        <v>0</v>
      </c>
      <c r="D1502" s="121">
        <f>ROUND(IF(C1502&lt;='FR_Mantenimiento tasas'!$C$55,'Tabla Ahorro Futuro Reservas'!C1502*'FR_Mantenimiento tasas'!$D$55/360,IF(C1502&lt;='FR_Mantenimiento tasas'!$C$56,'Tabla Ahorro Futuro Reservas'!C1502*'FR_Mantenimiento tasas'!$D$56/360,IF(C1502&lt;='FR_Mantenimiento tasas'!$C$57,'Tabla Ahorro Futuro Reservas'!C1502*'FR_Mantenimiento tasas'!$D$57/360,""))),5)</f>
        <v>0</v>
      </c>
      <c r="E1502" s="121">
        <f>ROUND(IF(C1502&lt;='FR_Mantenimiento tasas'!$C$55,'Tabla Ahorro Futuro Reservas'!C1502*'FR_Mantenimiento tasas'!$E$55/360,IF(C1502&lt;='FR_Mantenimiento tasas'!$C$56,'Tabla Ahorro Futuro Reservas'!C1502*'FR_Mantenimiento tasas'!$E$56/360,IF(C1502&lt;='FR_Mantenimiento tasas'!$C$57,'Tabla Ahorro Futuro Reservas'!C1502*'FR_Mantenimiento tasas'!$E$57/360,""))),5)</f>
        <v>0</v>
      </c>
    </row>
    <row r="1503" spans="1:5">
      <c r="A1503" s="123">
        <f t="shared" si="46"/>
        <v>1501</v>
      </c>
      <c r="B1503" s="122">
        <f>IF(DAY(A1503)=DAY('F-Ahorro Futuro Reservas'!$H$10),'F-Ahorro Futuro Reservas'!$H$9,0)</f>
        <v>0</v>
      </c>
      <c r="C1503" s="122">
        <f t="shared" si="47"/>
        <v>0</v>
      </c>
      <c r="D1503" s="121">
        <f>ROUND(IF(C1503&lt;='FR_Mantenimiento tasas'!$C$55,'Tabla Ahorro Futuro Reservas'!C1503*'FR_Mantenimiento tasas'!$D$55/360,IF(C1503&lt;='FR_Mantenimiento tasas'!$C$56,'Tabla Ahorro Futuro Reservas'!C1503*'FR_Mantenimiento tasas'!$D$56/360,IF(C1503&lt;='FR_Mantenimiento tasas'!$C$57,'Tabla Ahorro Futuro Reservas'!C1503*'FR_Mantenimiento tasas'!$D$57/360,""))),5)</f>
        <v>0</v>
      </c>
      <c r="E1503" s="121">
        <f>ROUND(IF(C1503&lt;='FR_Mantenimiento tasas'!$C$55,'Tabla Ahorro Futuro Reservas'!C1503*'FR_Mantenimiento tasas'!$E$55/360,IF(C1503&lt;='FR_Mantenimiento tasas'!$C$56,'Tabla Ahorro Futuro Reservas'!C1503*'FR_Mantenimiento tasas'!$E$56/360,IF(C1503&lt;='FR_Mantenimiento tasas'!$C$57,'Tabla Ahorro Futuro Reservas'!C1503*'FR_Mantenimiento tasas'!$E$57/360,""))),5)</f>
        <v>0</v>
      </c>
    </row>
    <row r="1504" spans="1:5">
      <c r="A1504" s="123">
        <f t="shared" si="46"/>
        <v>1502</v>
      </c>
      <c r="B1504" s="122">
        <f>IF(DAY(A1504)=DAY('F-Ahorro Futuro Reservas'!$H$10),'F-Ahorro Futuro Reservas'!$H$9,0)</f>
        <v>0</v>
      </c>
      <c r="C1504" s="122">
        <f t="shared" si="47"/>
        <v>0</v>
      </c>
      <c r="D1504" s="121">
        <f>ROUND(IF(C1504&lt;='FR_Mantenimiento tasas'!$C$55,'Tabla Ahorro Futuro Reservas'!C1504*'FR_Mantenimiento tasas'!$D$55/360,IF(C1504&lt;='FR_Mantenimiento tasas'!$C$56,'Tabla Ahorro Futuro Reservas'!C1504*'FR_Mantenimiento tasas'!$D$56/360,IF(C1504&lt;='FR_Mantenimiento tasas'!$C$57,'Tabla Ahorro Futuro Reservas'!C1504*'FR_Mantenimiento tasas'!$D$57/360,""))),5)</f>
        <v>0</v>
      </c>
      <c r="E1504" s="121">
        <f>ROUND(IF(C1504&lt;='FR_Mantenimiento tasas'!$C$55,'Tabla Ahorro Futuro Reservas'!C1504*'FR_Mantenimiento tasas'!$E$55/360,IF(C1504&lt;='FR_Mantenimiento tasas'!$C$56,'Tabla Ahorro Futuro Reservas'!C1504*'FR_Mantenimiento tasas'!$E$56/360,IF(C1504&lt;='FR_Mantenimiento tasas'!$C$57,'Tabla Ahorro Futuro Reservas'!C1504*'FR_Mantenimiento tasas'!$E$57/360,""))),5)</f>
        <v>0</v>
      </c>
    </row>
    <row r="1505" spans="1:5">
      <c r="A1505" s="123">
        <f t="shared" si="46"/>
        <v>1503</v>
      </c>
      <c r="B1505" s="122">
        <f>IF(DAY(A1505)=DAY('F-Ahorro Futuro Reservas'!$H$10),'F-Ahorro Futuro Reservas'!$H$9,0)</f>
        <v>0</v>
      </c>
      <c r="C1505" s="122">
        <f t="shared" si="47"/>
        <v>0</v>
      </c>
      <c r="D1505" s="121">
        <f>ROUND(IF(C1505&lt;='FR_Mantenimiento tasas'!$C$55,'Tabla Ahorro Futuro Reservas'!C1505*'FR_Mantenimiento tasas'!$D$55/360,IF(C1505&lt;='FR_Mantenimiento tasas'!$C$56,'Tabla Ahorro Futuro Reservas'!C1505*'FR_Mantenimiento tasas'!$D$56/360,IF(C1505&lt;='FR_Mantenimiento tasas'!$C$57,'Tabla Ahorro Futuro Reservas'!C1505*'FR_Mantenimiento tasas'!$D$57/360,""))),5)</f>
        <v>0</v>
      </c>
      <c r="E1505" s="121">
        <f>ROUND(IF(C1505&lt;='FR_Mantenimiento tasas'!$C$55,'Tabla Ahorro Futuro Reservas'!C1505*'FR_Mantenimiento tasas'!$E$55/360,IF(C1505&lt;='FR_Mantenimiento tasas'!$C$56,'Tabla Ahorro Futuro Reservas'!C1505*'FR_Mantenimiento tasas'!$E$56/360,IF(C1505&lt;='FR_Mantenimiento tasas'!$C$57,'Tabla Ahorro Futuro Reservas'!C1505*'FR_Mantenimiento tasas'!$E$57/360,""))),5)</f>
        <v>0</v>
      </c>
    </row>
    <row r="1506" spans="1:5">
      <c r="A1506" s="123">
        <f t="shared" si="46"/>
        <v>1504</v>
      </c>
      <c r="B1506" s="122">
        <f>IF(DAY(A1506)=DAY('F-Ahorro Futuro Reservas'!$H$10),'F-Ahorro Futuro Reservas'!$H$9,0)</f>
        <v>0</v>
      </c>
      <c r="C1506" s="122">
        <f t="shared" si="47"/>
        <v>0</v>
      </c>
      <c r="D1506" s="121">
        <f>ROUND(IF(C1506&lt;='FR_Mantenimiento tasas'!$C$55,'Tabla Ahorro Futuro Reservas'!C1506*'FR_Mantenimiento tasas'!$D$55/360,IF(C1506&lt;='FR_Mantenimiento tasas'!$C$56,'Tabla Ahorro Futuro Reservas'!C1506*'FR_Mantenimiento tasas'!$D$56/360,IF(C1506&lt;='FR_Mantenimiento tasas'!$C$57,'Tabla Ahorro Futuro Reservas'!C1506*'FR_Mantenimiento tasas'!$D$57/360,""))),5)</f>
        <v>0</v>
      </c>
      <c r="E1506" s="121">
        <f>ROUND(IF(C1506&lt;='FR_Mantenimiento tasas'!$C$55,'Tabla Ahorro Futuro Reservas'!C1506*'FR_Mantenimiento tasas'!$E$55/360,IF(C1506&lt;='FR_Mantenimiento tasas'!$C$56,'Tabla Ahorro Futuro Reservas'!C1506*'FR_Mantenimiento tasas'!$E$56/360,IF(C1506&lt;='FR_Mantenimiento tasas'!$C$57,'Tabla Ahorro Futuro Reservas'!C1506*'FR_Mantenimiento tasas'!$E$57/360,""))),5)</f>
        <v>0</v>
      </c>
    </row>
    <row r="1507" spans="1:5">
      <c r="A1507" s="123">
        <f t="shared" si="46"/>
        <v>1505</v>
      </c>
      <c r="B1507" s="122">
        <f>IF(DAY(A1507)=DAY('F-Ahorro Futuro Reservas'!$H$10),'F-Ahorro Futuro Reservas'!$H$9,0)</f>
        <v>0</v>
      </c>
      <c r="C1507" s="122">
        <f t="shared" si="47"/>
        <v>0</v>
      </c>
      <c r="D1507" s="121">
        <f>ROUND(IF(C1507&lt;='FR_Mantenimiento tasas'!$C$55,'Tabla Ahorro Futuro Reservas'!C1507*'FR_Mantenimiento tasas'!$D$55/360,IF(C1507&lt;='FR_Mantenimiento tasas'!$C$56,'Tabla Ahorro Futuro Reservas'!C1507*'FR_Mantenimiento tasas'!$D$56/360,IF(C1507&lt;='FR_Mantenimiento tasas'!$C$57,'Tabla Ahorro Futuro Reservas'!C1507*'FR_Mantenimiento tasas'!$D$57/360,""))),5)</f>
        <v>0</v>
      </c>
      <c r="E1507" s="121">
        <f>ROUND(IF(C1507&lt;='FR_Mantenimiento tasas'!$C$55,'Tabla Ahorro Futuro Reservas'!C1507*'FR_Mantenimiento tasas'!$E$55/360,IF(C1507&lt;='FR_Mantenimiento tasas'!$C$56,'Tabla Ahorro Futuro Reservas'!C1507*'FR_Mantenimiento tasas'!$E$56/360,IF(C1507&lt;='FR_Mantenimiento tasas'!$C$57,'Tabla Ahorro Futuro Reservas'!C1507*'FR_Mantenimiento tasas'!$E$57/360,""))),5)</f>
        <v>0</v>
      </c>
    </row>
    <row r="1508" spans="1:5">
      <c r="A1508" s="123">
        <f t="shared" si="46"/>
        <v>1506</v>
      </c>
      <c r="B1508" s="122">
        <f>IF(DAY(A1508)=DAY('F-Ahorro Futuro Reservas'!$H$10),'F-Ahorro Futuro Reservas'!$H$9,0)</f>
        <v>0</v>
      </c>
      <c r="C1508" s="122">
        <f t="shared" si="47"/>
        <v>0</v>
      </c>
      <c r="D1508" s="121">
        <f>ROUND(IF(C1508&lt;='FR_Mantenimiento tasas'!$C$55,'Tabla Ahorro Futuro Reservas'!C1508*'FR_Mantenimiento tasas'!$D$55/360,IF(C1508&lt;='FR_Mantenimiento tasas'!$C$56,'Tabla Ahorro Futuro Reservas'!C1508*'FR_Mantenimiento tasas'!$D$56/360,IF(C1508&lt;='FR_Mantenimiento tasas'!$C$57,'Tabla Ahorro Futuro Reservas'!C1508*'FR_Mantenimiento tasas'!$D$57/360,""))),5)</f>
        <v>0</v>
      </c>
      <c r="E1508" s="121">
        <f>ROUND(IF(C1508&lt;='FR_Mantenimiento tasas'!$C$55,'Tabla Ahorro Futuro Reservas'!C1508*'FR_Mantenimiento tasas'!$E$55/360,IF(C1508&lt;='FR_Mantenimiento tasas'!$C$56,'Tabla Ahorro Futuro Reservas'!C1508*'FR_Mantenimiento tasas'!$E$56/360,IF(C1508&lt;='FR_Mantenimiento tasas'!$C$57,'Tabla Ahorro Futuro Reservas'!C1508*'FR_Mantenimiento tasas'!$E$57/360,""))),5)</f>
        <v>0</v>
      </c>
    </row>
    <row r="1509" spans="1:5">
      <c r="A1509" s="123">
        <f t="shared" si="46"/>
        <v>1507</v>
      </c>
      <c r="B1509" s="122">
        <f>IF(DAY(A1509)=DAY('F-Ahorro Futuro Reservas'!$H$10),'F-Ahorro Futuro Reservas'!$H$9,0)</f>
        <v>0</v>
      </c>
      <c r="C1509" s="122">
        <f t="shared" si="47"/>
        <v>0</v>
      </c>
      <c r="D1509" s="121">
        <f>ROUND(IF(C1509&lt;='FR_Mantenimiento tasas'!$C$55,'Tabla Ahorro Futuro Reservas'!C1509*'FR_Mantenimiento tasas'!$D$55/360,IF(C1509&lt;='FR_Mantenimiento tasas'!$C$56,'Tabla Ahorro Futuro Reservas'!C1509*'FR_Mantenimiento tasas'!$D$56/360,IF(C1509&lt;='FR_Mantenimiento tasas'!$C$57,'Tabla Ahorro Futuro Reservas'!C1509*'FR_Mantenimiento tasas'!$D$57/360,""))),5)</f>
        <v>0</v>
      </c>
      <c r="E1509" s="121">
        <f>ROUND(IF(C1509&lt;='FR_Mantenimiento tasas'!$C$55,'Tabla Ahorro Futuro Reservas'!C1509*'FR_Mantenimiento tasas'!$E$55/360,IF(C1509&lt;='FR_Mantenimiento tasas'!$C$56,'Tabla Ahorro Futuro Reservas'!C1509*'FR_Mantenimiento tasas'!$E$56/360,IF(C1509&lt;='FR_Mantenimiento tasas'!$C$57,'Tabla Ahorro Futuro Reservas'!C1509*'FR_Mantenimiento tasas'!$E$57/360,""))),5)</f>
        <v>0</v>
      </c>
    </row>
    <row r="1510" spans="1:5">
      <c r="A1510" s="123">
        <f t="shared" si="46"/>
        <v>1508</v>
      </c>
      <c r="B1510" s="122">
        <f>IF(DAY(A1510)=DAY('F-Ahorro Futuro Reservas'!$H$10),'F-Ahorro Futuro Reservas'!$H$9,0)</f>
        <v>0</v>
      </c>
      <c r="C1510" s="122">
        <f t="shared" si="47"/>
        <v>0</v>
      </c>
      <c r="D1510" s="121">
        <f>ROUND(IF(C1510&lt;='FR_Mantenimiento tasas'!$C$55,'Tabla Ahorro Futuro Reservas'!C1510*'FR_Mantenimiento tasas'!$D$55/360,IF(C1510&lt;='FR_Mantenimiento tasas'!$C$56,'Tabla Ahorro Futuro Reservas'!C1510*'FR_Mantenimiento tasas'!$D$56/360,IF(C1510&lt;='FR_Mantenimiento tasas'!$C$57,'Tabla Ahorro Futuro Reservas'!C1510*'FR_Mantenimiento tasas'!$D$57/360,""))),5)</f>
        <v>0</v>
      </c>
      <c r="E1510" s="121">
        <f>ROUND(IF(C1510&lt;='FR_Mantenimiento tasas'!$C$55,'Tabla Ahorro Futuro Reservas'!C1510*'FR_Mantenimiento tasas'!$E$55/360,IF(C1510&lt;='FR_Mantenimiento tasas'!$C$56,'Tabla Ahorro Futuro Reservas'!C1510*'FR_Mantenimiento tasas'!$E$56/360,IF(C1510&lt;='FR_Mantenimiento tasas'!$C$57,'Tabla Ahorro Futuro Reservas'!C1510*'FR_Mantenimiento tasas'!$E$57/360,""))),5)</f>
        <v>0</v>
      </c>
    </row>
    <row r="1511" spans="1:5">
      <c r="A1511" s="123">
        <f t="shared" si="46"/>
        <v>1509</v>
      </c>
      <c r="B1511" s="122">
        <f>IF(DAY(A1511)=DAY('F-Ahorro Futuro Reservas'!$H$10),'F-Ahorro Futuro Reservas'!$H$9,0)</f>
        <v>0</v>
      </c>
      <c r="C1511" s="122">
        <f t="shared" si="47"/>
        <v>0</v>
      </c>
      <c r="D1511" s="121">
        <f>ROUND(IF(C1511&lt;='FR_Mantenimiento tasas'!$C$55,'Tabla Ahorro Futuro Reservas'!C1511*'FR_Mantenimiento tasas'!$D$55/360,IF(C1511&lt;='FR_Mantenimiento tasas'!$C$56,'Tabla Ahorro Futuro Reservas'!C1511*'FR_Mantenimiento tasas'!$D$56/360,IF(C1511&lt;='FR_Mantenimiento tasas'!$C$57,'Tabla Ahorro Futuro Reservas'!C1511*'FR_Mantenimiento tasas'!$D$57/360,""))),5)</f>
        <v>0</v>
      </c>
      <c r="E1511" s="121">
        <f>ROUND(IF(C1511&lt;='FR_Mantenimiento tasas'!$C$55,'Tabla Ahorro Futuro Reservas'!C1511*'FR_Mantenimiento tasas'!$E$55/360,IF(C1511&lt;='FR_Mantenimiento tasas'!$C$56,'Tabla Ahorro Futuro Reservas'!C1511*'FR_Mantenimiento tasas'!$E$56/360,IF(C1511&lt;='FR_Mantenimiento tasas'!$C$57,'Tabla Ahorro Futuro Reservas'!C1511*'FR_Mantenimiento tasas'!$E$57/360,""))),5)</f>
        <v>0</v>
      </c>
    </row>
    <row r="1512" spans="1:5">
      <c r="A1512" s="123">
        <f t="shared" si="46"/>
        <v>1510</v>
      </c>
      <c r="B1512" s="122">
        <f>IF(DAY(A1512)=DAY('F-Ahorro Futuro Reservas'!$H$10),'F-Ahorro Futuro Reservas'!$H$9,0)</f>
        <v>0</v>
      </c>
      <c r="C1512" s="122">
        <f t="shared" si="47"/>
        <v>0</v>
      </c>
      <c r="D1512" s="121">
        <f>ROUND(IF(C1512&lt;='FR_Mantenimiento tasas'!$C$55,'Tabla Ahorro Futuro Reservas'!C1512*'FR_Mantenimiento tasas'!$D$55/360,IF(C1512&lt;='FR_Mantenimiento tasas'!$C$56,'Tabla Ahorro Futuro Reservas'!C1512*'FR_Mantenimiento tasas'!$D$56/360,IF(C1512&lt;='FR_Mantenimiento tasas'!$C$57,'Tabla Ahorro Futuro Reservas'!C1512*'FR_Mantenimiento tasas'!$D$57/360,""))),5)</f>
        <v>0</v>
      </c>
      <c r="E1512" s="121">
        <f>ROUND(IF(C1512&lt;='FR_Mantenimiento tasas'!$C$55,'Tabla Ahorro Futuro Reservas'!C1512*'FR_Mantenimiento tasas'!$E$55/360,IF(C1512&lt;='FR_Mantenimiento tasas'!$C$56,'Tabla Ahorro Futuro Reservas'!C1512*'FR_Mantenimiento tasas'!$E$56/360,IF(C1512&lt;='FR_Mantenimiento tasas'!$C$57,'Tabla Ahorro Futuro Reservas'!C1512*'FR_Mantenimiento tasas'!$E$57/360,""))),5)</f>
        <v>0</v>
      </c>
    </row>
    <row r="1513" spans="1:5">
      <c r="A1513" s="123">
        <f t="shared" si="46"/>
        <v>1511</v>
      </c>
      <c r="B1513" s="122">
        <f>IF(DAY(A1513)=DAY('F-Ahorro Futuro Reservas'!$H$10),'F-Ahorro Futuro Reservas'!$H$9,0)</f>
        <v>0</v>
      </c>
      <c r="C1513" s="122">
        <f t="shared" si="47"/>
        <v>0</v>
      </c>
      <c r="D1513" s="121">
        <f>ROUND(IF(C1513&lt;='FR_Mantenimiento tasas'!$C$55,'Tabla Ahorro Futuro Reservas'!C1513*'FR_Mantenimiento tasas'!$D$55/360,IF(C1513&lt;='FR_Mantenimiento tasas'!$C$56,'Tabla Ahorro Futuro Reservas'!C1513*'FR_Mantenimiento tasas'!$D$56/360,IF(C1513&lt;='FR_Mantenimiento tasas'!$C$57,'Tabla Ahorro Futuro Reservas'!C1513*'FR_Mantenimiento tasas'!$D$57/360,""))),5)</f>
        <v>0</v>
      </c>
      <c r="E1513" s="121">
        <f>ROUND(IF(C1513&lt;='FR_Mantenimiento tasas'!$C$55,'Tabla Ahorro Futuro Reservas'!C1513*'FR_Mantenimiento tasas'!$E$55/360,IF(C1513&lt;='FR_Mantenimiento tasas'!$C$56,'Tabla Ahorro Futuro Reservas'!C1513*'FR_Mantenimiento tasas'!$E$56/360,IF(C1513&lt;='FR_Mantenimiento tasas'!$C$57,'Tabla Ahorro Futuro Reservas'!C1513*'FR_Mantenimiento tasas'!$E$57/360,""))),5)</f>
        <v>0</v>
      </c>
    </row>
    <row r="1514" spans="1:5">
      <c r="A1514" s="123">
        <f t="shared" si="46"/>
        <v>1512</v>
      </c>
      <c r="B1514" s="122">
        <f>IF(DAY(A1514)=DAY('F-Ahorro Futuro Reservas'!$H$10),'F-Ahorro Futuro Reservas'!$H$9,0)</f>
        <v>0</v>
      </c>
      <c r="C1514" s="122">
        <f t="shared" si="47"/>
        <v>0</v>
      </c>
      <c r="D1514" s="121">
        <f>ROUND(IF(C1514&lt;='FR_Mantenimiento tasas'!$C$55,'Tabla Ahorro Futuro Reservas'!C1514*'FR_Mantenimiento tasas'!$D$55/360,IF(C1514&lt;='FR_Mantenimiento tasas'!$C$56,'Tabla Ahorro Futuro Reservas'!C1514*'FR_Mantenimiento tasas'!$D$56/360,IF(C1514&lt;='FR_Mantenimiento tasas'!$C$57,'Tabla Ahorro Futuro Reservas'!C1514*'FR_Mantenimiento tasas'!$D$57/360,""))),5)</f>
        <v>0</v>
      </c>
      <c r="E1514" s="121">
        <f>ROUND(IF(C1514&lt;='FR_Mantenimiento tasas'!$C$55,'Tabla Ahorro Futuro Reservas'!C1514*'FR_Mantenimiento tasas'!$E$55/360,IF(C1514&lt;='FR_Mantenimiento tasas'!$C$56,'Tabla Ahorro Futuro Reservas'!C1514*'FR_Mantenimiento tasas'!$E$56/360,IF(C1514&lt;='FR_Mantenimiento tasas'!$C$57,'Tabla Ahorro Futuro Reservas'!C1514*'FR_Mantenimiento tasas'!$E$57/360,""))),5)</f>
        <v>0</v>
      </c>
    </row>
    <row r="1515" spans="1:5">
      <c r="A1515" s="123">
        <f t="shared" si="46"/>
        <v>1513</v>
      </c>
      <c r="B1515" s="122">
        <f>IF(DAY(A1515)=DAY('F-Ahorro Futuro Reservas'!$H$10),'F-Ahorro Futuro Reservas'!$H$9,0)</f>
        <v>0</v>
      </c>
      <c r="C1515" s="122">
        <f t="shared" si="47"/>
        <v>0</v>
      </c>
      <c r="D1515" s="121">
        <f>ROUND(IF(C1515&lt;='FR_Mantenimiento tasas'!$C$55,'Tabla Ahorro Futuro Reservas'!C1515*'FR_Mantenimiento tasas'!$D$55/360,IF(C1515&lt;='FR_Mantenimiento tasas'!$C$56,'Tabla Ahorro Futuro Reservas'!C1515*'FR_Mantenimiento tasas'!$D$56/360,IF(C1515&lt;='FR_Mantenimiento tasas'!$C$57,'Tabla Ahorro Futuro Reservas'!C1515*'FR_Mantenimiento tasas'!$D$57/360,""))),5)</f>
        <v>0</v>
      </c>
      <c r="E1515" s="121">
        <f>ROUND(IF(C1515&lt;='FR_Mantenimiento tasas'!$C$55,'Tabla Ahorro Futuro Reservas'!C1515*'FR_Mantenimiento tasas'!$E$55/360,IF(C1515&lt;='FR_Mantenimiento tasas'!$C$56,'Tabla Ahorro Futuro Reservas'!C1515*'FR_Mantenimiento tasas'!$E$56/360,IF(C1515&lt;='FR_Mantenimiento tasas'!$C$57,'Tabla Ahorro Futuro Reservas'!C1515*'FR_Mantenimiento tasas'!$E$57/360,""))),5)</f>
        <v>0</v>
      </c>
    </row>
    <row r="1516" spans="1:5">
      <c r="A1516" s="123">
        <f t="shared" si="46"/>
        <v>1514</v>
      </c>
      <c r="B1516" s="122">
        <f>IF(DAY(A1516)=DAY('F-Ahorro Futuro Reservas'!$H$10),'F-Ahorro Futuro Reservas'!$H$9,0)</f>
        <v>0</v>
      </c>
      <c r="C1516" s="122">
        <f t="shared" si="47"/>
        <v>0</v>
      </c>
      <c r="D1516" s="121">
        <f>ROUND(IF(C1516&lt;='FR_Mantenimiento tasas'!$C$55,'Tabla Ahorro Futuro Reservas'!C1516*'FR_Mantenimiento tasas'!$D$55/360,IF(C1516&lt;='FR_Mantenimiento tasas'!$C$56,'Tabla Ahorro Futuro Reservas'!C1516*'FR_Mantenimiento tasas'!$D$56/360,IF(C1516&lt;='FR_Mantenimiento tasas'!$C$57,'Tabla Ahorro Futuro Reservas'!C1516*'FR_Mantenimiento tasas'!$D$57/360,""))),5)</f>
        <v>0</v>
      </c>
      <c r="E1516" s="121">
        <f>ROUND(IF(C1516&lt;='FR_Mantenimiento tasas'!$C$55,'Tabla Ahorro Futuro Reservas'!C1516*'FR_Mantenimiento tasas'!$E$55/360,IF(C1516&lt;='FR_Mantenimiento tasas'!$C$56,'Tabla Ahorro Futuro Reservas'!C1516*'FR_Mantenimiento tasas'!$E$56/360,IF(C1516&lt;='FR_Mantenimiento tasas'!$C$57,'Tabla Ahorro Futuro Reservas'!C1516*'FR_Mantenimiento tasas'!$E$57/360,""))),5)</f>
        <v>0</v>
      </c>
    </row>
    <row r="1517" spans="1:5">
      <c r="A1517" s="123">
        <f t="shared" si="46"/>
        <v>1515</v>
      </c>
      <c r="B1517" s="122">
        <f>IF(DAY(A1517)=DAY('F-Ahorro Futuro Reservas'!$H$10),'F-Ahorro Futuro Reservas'!$H$9,0)</f>
        <v>0</v>
      </c>
      <c r="C1517" s="122">
        <f t="shared" si="47"/>
        <v>0</v>
      </c>
      <c r="D1517" s="121">
        <f>ROUND(IF(C1517&lt;='FR_Mantenimiento tasas'!$C$55,'Tabla Ahorro Futuro Reservas'!C1517*'FR_Mantenimiento tasas'!$D$55/360,IF(C1517&lt;='FR_Mantenimiento tasas'!$C$56,'Tabla Ahorro Futuro Reservas'!C1517*'FR_Mantenimiento tasas'!$D$56/360,IF(C1517&lt;='FR_Mantenimiento tasas'!$C$57,'Tabla Ahorro Futuro Reservas'!C1517*'FR_Mantenimiento tasas'!$D$57/360,""))),5)</f>
        <v>0</v>
      </c>
      <c r="E1517" s="121">
        <f>ROUND(IF(C1517&lt;='FR_Mantenimiento tasas'!$C$55,'Tabla Ahorro Futuro Reservas'!C1517*'FR_Mantenimiento tasas'!$E$55/360,IF(C1517&lt;='FR_Mantenimiento tasas'!$C$56,'Tabla Ahorro Futuro Reservas'!C1517*'FR_Mantenimiento tasas'!$E$56/360,IF(C1517&lt;='FR_Mantenimiento tasas'!$C$57,'Tabla Ahorro Futuro Reservas'!C1517*'FR_Mantenimiento tasas'!$E$57/360,""))),5)</f>
        <v>0</v>
      </c>
    </row>
    <row r="1518" spans="1:5">
      <c r="A1518" s="123">
        <f t="shared" si="46"/>
        <v>1516</v>
      </c>
      <c r="B1518" s="122">
        <f>IF(DAY(A1518)=DAY('F-Ahorro Futuro Reservas'!$H$10),'F-Ahorro Futuro Reservas'!$H$9,0)</f>
        <v>0</v>
      </c>
      <c r="C1518" s="122">
        <f t="shared" si="47"/>
        <v>0</v>
      </c>
      <c r="D1518" s="121">
        <f>ROUND(IF(C1518&lt;='FR_Mantenimiento tasas'!$C$55,'Tabla Ahorro Futuro Reservas'!C1518*'FR_Mantenimiento tasas'!$D$55/360,IF(C1518&lt;='FR_Mantenimiento tasas'!$C$56,'Tabla Ahorro Futuro Reservas'!C1518*'FR_Mantenimiento tasas'!$D$56/360,IF(C1518&lt;='FR_Mantenimiento tasas'!$C$57,'Tabla Ahorro Futuro Reservas'!C1518*'FR_Mantenimiento tasas'!$D$57/360,""))),5)</f>
        <v>0</v>
      </c>
      <c r="E1518" s="121">
        <f>ROUND(IF(C1518&lt;='FR_Mantenimiento tasas'!$C$55,'Tabla Ahorro Futuro Reservas'!C1518*'FR_Mantenimiento tasas'!$E$55/360,IF(C1518&lt;='FR_Mantenimiento tasas'!$C$56,'Tabla Ahorro Futuro Reservas'!C1518*'FR_Mantenimiento tasas'!$E$56/360,IF(C1518&lt;='FR_Mantenimiento tasas'!$C$57,'Tabla Ahorro Futuro Reservas'!C1518*'FR_Mantenimiento tasas'!$E$57/360,""))),5)</f>
        <v>0</v>
      </c>
    </row>
    <row r="1519" spans="1:5">
      <c r="A1519" s="123">
        <f t="shared" si="46"/>
        <v>1517</v>
      </c>
      <c r="B1519" s="122">
        <f>IF(DAY(A1519)=DAY('F-Ahorro Futuro Reservas'!$H$10),'F-Ahorro Futuro Reservas'!$H$9,0)</f>
        <v>0</v>
      </c>
      <c r="C1519" s="122">
        <f t="shared" si="47"/>
        <v>0</v>
      </c>
      <c r="D1519" s="121">
        <f>ROUND(IF(C1519&lt;='FR_Mantenimiento tasas'!$C$55,'Tabla Ahorro Futuro Reservas'!C1519*'FR_Mantenimiento tasas'!$D$55/360,IF(C1519&lt;='FR_Mantenimiento tasas'!$C$56,'Tabla Ahorro Futuro Reservas'!C1519*'FR_Mantenimiento tasas'!$D$56/360,IF(C1519&lt;='FR_Mantenimiento tasas'!$C$57,'Tabla Ahorro Futuro Reservas'!C1519*'FR_Mantenimiento tasas'!$D$57/360,""))),5)</f>
        <v>0</v>
      </c>
      <c r="E1519" s="121">
        <f>ROUND(IF(C1519&lt;='FR_Mantenimiento tasas'!$C$55,'Tabla Ahorro Futuro Reservas'!C1519*'FR_Mantenimiento tasas'!$E$55/360,IF(C1519&lt;='FR_Mantenimiento tasas'!$C$56,'Tabla Ahorro Futuro Reservas'!C1519*'FR_Mantenimiento tasas'!$E$56/360,IF(C1519&lt;='FR_Mantenimiento tasas'!$C$57,'Tabla Ahorro Futuro Reservas'!C1519*'FR_Mantenimiento tasas'!$E$57/360,""))),5)</f>
        <v>0</v>
      </c>
    </row>
    <row r="1520" spans="1:5">
      <c r="A1520" s="123">
        <f t="shared" si="46"/>
        <v>1518</v>
      </c>
      <c r="B1520" s="122">
        <f>IF(DAY(A1520)=DAY('F-Ahorro Futuro Reservas'!$H$10),'F-Ahorro Futuro Reservas'!$H$9,0)</f>
        <v>0</v>
      </c>
      <c r="C1520" s="122">
        <f t="shared" si="47"/>
        <v>0</v>
      </c>
      <c r="D1520" s="121">
        <f>ROUND(IF(C1520&lt;='FR_Mantenimiento tasas'!$C$55,'Tabla Ahorro Futuro Reservas'!C1520*'FR_Mantenimiento tasas'!$D$55/360,IF(C1520&lt;='FR_Mantenimiento tasas'!$C$56,'Tabla Ahorro Futuro Reservas'!C1520*'FR_Mantenimiento tasas'!$D$56/360,IF(C1520&lt;='FR_Mantenimiento tasas'!$C$57,'Tabla Ahorro Futuro Reservas'!C1520*'FR_Mantenimiento tasas'!$D$57/360,""))),5)</f>
        <v>0</v>
      </c>
      <c r="E1520" s="121">
        <f>ROUND(IF(C1520&lt;='FR_Mantenimiento tasas'!$C$55,'Tabla Ahorro Futuro Reservas'!C1520*'FR_Mantenimiento tasas'!$E$55/360,IF(C1520&lt;='FR_Mantenimiento tasas'!$C$56,'Tabla Ahorro Futuro Reservas'!C1520*'FR_Mantenimiento tasas'!$E$56/360,IF(C1520&lt;='FR_Mantenimiento tasas'!$C$57,'Tabla Ahorro Futuro Reservas'!C1520*'FR_Mantenimiento tasas'!$E$57/360,""))),5)</f>
        <v>0</v>
      </c>
    </row>
    <row r="1521" spans="1:5">
      <c r="A1521" s="123">
        <f t="shared" si="46"/>
        <v>1519</v>
      </c>
      <c r="B1521" s="122">
        <f>IF(DAY(A1521)=DAY('F-Ahorro Futuro Reservas'!$H$10),'F-Ahorro Futuro Reservas'!$H$9,0)</f>
        <v>0</v>
      </c>
      <c r="C1521" s="122">
        <f t="shared" si="47"/>
        <v>0</v>
      </c>
      <c r="D1521" s="121">
        <f>ROUND(IF(C1521&lt;='FR_Mantenimiento tasas'!$C$55,'Tabla Ahorro Futuro Reservas'!C1521*'FR_Mantenimiento tasas'!$D$55/360,IF(C1521&lt;='FR_Mantenimiento tasas'!$C$56,'Tabla Ahorro Futuro Reservas'!C1521*'FR_Mantenimiento tasas'!$D$56/360,IF(C1521&lt;='FR_Mantenimiento tasas'!$C$57,'Tabla Ahorro Futuro Reservas'!C1521*'FR_Mantenimiento tasas'!$D$57/360,""))),5)</f>
        <v>0</v>
      </c>
      <c r="E1521" s="121">
        <f>ROUND(IF(C1521&lt;='FR_Mantenimiento tasas'!$C$55,'Tabla Ahorro Futuro Reservas'!C1521*'FR_Mantenimiento tasas'!$E$55/360,IF(C1521&lt;='FR_Mantenimiento tasas'!$C$56,'Tabla Ahorro Futuro Reservas'!C1521*'FR_Mantenimiento tasas'!$E$56/360,IF(C1521&lt;='FR_Mantenimiento tasas'!$C$57,'Tabla Ahorro Futuro Reservas'!C1521*'FR_Mantenimiento tasas'!$E$57/360,""))),5)</f>
        <v>0</v>
      </c>
    </row>
    <row r="1522" spans="1:5">
      <c r="A1522" s="123">
        <f t="shared" si="46"/>
        <v>1520</v>
      </c>
      <c r="B1522" s="122">
        <f>IF(DAY(A1522)=DAY('F-Ahorro Futuro Reservas'!$H$10),'F-Ahorro Futuro Reservas'!$H$9,0)</f>
        <v>0</v>
      </c>
      <c r="C1522" s="122">
        <f t="shared" si="47"/>
        <v>0</v>
      </c>
      <c r="D1522" s="121">
        <f>ROUND(IF(C1522&lt;='FR_Mantenimiento tasas'!$C$55,'Tabla Ahorro Futuro Reservas'!C1522*'FR_Mantenimiento tasas'!$D$55/360,IF(C1522&lt;='FR_Mantenimiento tasas'!$C$56,'Tabla Ahorro Futuro Reservas'!C1522*'FR_Mantenimiento tasas'!$D$56/360,IF(C1522&lt;='FR_Mantenimiento tasas'!$C$57,'Tabla Ahorro Futuro Reservas'!C1522*'FR_Mantenimiento tasas'!$D$57/360,""))),5)</f>
        <v>0</v>
      </c>
      <c r="E1522" s="121">
        <f>ROUND(IF(C1522&lt;='FR_Mantenimiento tasas'!$C$55,'Tabla Ahorro Futuro Reservas'!C1522*'FR_Mantenimiento tasas'!$E$55/360,IF(C1522&lt;='FR_Mantenimiento tasas'!$C$56,'Tabla Ahorro Futuro Reservas'!C1522*'FR_Mantenimiento tasas'!$E$56/360,IF(C1522&lt;='FR_Mantenimiento tasas'!$C$57,'Tabla Ahorro Futuro Reservas'!C1522*'FR_Mantenimiento tasas'!$E$57/360,""))),5)</f>
        <v>0</v>
      </c>
    </row>
    <row r="1523" spans="1:5">
      <c r="A1523" s="123">
        <f t="shared" si="46"/>
        <v>1521</v>
      </c>
      <c r="B1523" s="122">
        <f>IF(DAY(A1523)=DAY('F-Ahorro Futuro Reservas'!$H$10),'F-Ahorro Futuro Reservas'!$H$9,0)</f>
        <v>0</v>
      </c>
      <c r="C1523" s="122">
        <f t="shared" si="47"/>
        <v>0</v>
      </c>
      <c r="D1523" s="121">
        <f>ROUND(IF(C1523&lt;='FR_Mantenimiento tasas'!$C$55,'Tabla Ahorro Futuro Reservas'!C1523*'FR_Mantenimiento tasas'!$D$55/360,IF(C1523&lt;='FR_Mantenimiento tasas'!$C$56,'Tabla Ahorro Futuro Reservas'!C1523*'FR_Mantenimiento tasas'!$D$56/360,IF(C1523&lt;='FR_Mantenimiento tasas'!$C$57,'Tabla Ahorro Futuro Reservas'!C1523*'FR_Mantenimiento tasas'!$D$57/360,""))),5)</f>
        <v>0</v>
      </c>
      <c r="E1523" s="121">
        <f>ROUND(IF(C1523&lt;='FR_Mantenimiento tasas'!$C$55,'Tabla Ahorro Futuro Reservas'!C1523*'FR_Mantenimiento tasas'!$E$55/360,IF(C1523&lt;='FR_Mantenimiento tasas'!$C$56,'Tabla Ahorro Futuro Reservas'!C1523*'FR_Mantenimiento tasas'!$E$56/360,IF(C1523&lt;='FR_Mantenimiento tasas'!$C$57,'Tabla Ahorro Futuro Reservas'!C1523*'FR_Mantenimiento tasas'!$E$57/360,""))),5)</f>
        <v>0</v>
      </c>
    </row>
    <row r="1524" spans="1:5">
      <c r="A1524" s="123">
        <f t="shared" si="46"/>
        <v>1522</v>
      </c>
      <c r="B1524" s="122">
        <f>IF(DAY(A1524)=DAY('F-Ahorro Futuro Reservas'!$H$10),'F-Ahorro Futuro Reservas'!$H$9,0)</f>
        <v>0</v>
      </c>
      <c r="C1524" s="122">
        <f t="shared" si="47"/>
        <v>0</v>
      </c>
      <c r="D1524" s="121">
        <f>ROUND(IF(C1524&lt;='FR_Mantenimiento tasas'!$C$55,'Tabla Ahorro Futuro Reservas'!C1524*'FR_Mantenimiento tasas'!$D$55/360,IF(C1524&lt;='FR_Mantenimiento tasas'!$C$56,'Tabla Ahorro Futuro Reservas'!C1524*'FR_Mantenimiento tasas'!$D$56/360,IF(C1524&lt;='FR_Mantenimiento tasas'!$C$57,'Tabla Ahorro Futuro Reservas'!C1524*'FR_Mantenimiento tasas'!$D$57/360,""))),5)</f>
        <v>0</v>
      </c>
      <c r="E1524" s="121">
        <f>ROUND(IF(C1524&lt;='FR_Mantenimiento tasas'!$C$55,'Tabla Ahorro Futuro Reservas'!C1524*'FR_Mantenimiento tasas'!$E$55/360,IF(C1524&lt;='FR_Mantenimiento tasas'!$C$56,'Tabla Ahorro Futuro Reservas'!C1524*'FR_Mantenimiento tasas'!$E$56/360,IF(C1524&lt;='FR_Mantenimiento tasas'!$C$57,'Tabla Ahorro Futuro Reservas'!C1524*'FR_Mantenimiento tasas'!$E$57/360,""))),5)</f>
        <v>0</v>
      </c>
    </row>
    <row r="1525" spans="1:5">
      <c r="A1525" s="123">
        <f t="shared" si="46"/>
        <v>1523</v>
      </c>
      <c r="B1525" s="122">
        <f>IF(DAY(A1525)=DAY('F-Ahorro Futuro Reservas'!$H$10),'F-Ahorro Futuro Reservas'!$H$9,0)</f>
        <v>0</v>
      </c>
      <c r="C1525" s="122">
        <f t="shared" si="47"/>
        <v>0</v>
      </c>
      <c r="D1525" s="121">
        <f>ROUND(IF(C1525&lt;='FR_Mantenimiento tasas'!$C$55,'Tabla Ahorro Futuro Reservas'!C1525*'FR_Mantenimiento tasas'!$D$55/360,IF(C1525&lt;='FR_Mantenimiento tasas'!$C$56,'Tabla Ahorro Futuro Reservas'!C1525*'FR_Mantenimiento tasas'!$D$56/360,IF(C1525&lt;='FR_Mantenimiento tasas'!$C$57,'Tabla Ahorro Futuro Reservas'!C1525*'FR_Mantenimiento tasas'!$D$57/360,""))),5)</f>
        <v>0</v>
      </c>
      <c r="E1525" s="121">
        <f>ROUND(IF(C1525&lt;='FR_Mantenimiento tasas'!$C$55,'Tabla Ahorro Futuro Reservas'!C1525*'FR_Mantenimiento tasas'!$E$55/360,IF(C1525&lt;='FR_Mantenimiento tasas'!$C$56,'Tabla Ahorro Futuro Reservas'!C1525*'FR_Mantenimiento tasas'!$E$56/360,IF(C1525&lt;='FR_Mantenimiento tasas'!$C$57,'Tabla Ahorro Futuro Reservas'!C1525*'FR_Mantenimiento tasas'!$E$57/360,""))),5)</f>
        <v>0</v>
      </c>
    </row>
    <row r="1526" spans="1:5">
      <c r="A1526" s="123">
        <f t="shared" si="46"/>
        <v>1524</v>
      </c>
      <c r="B1526" s="122">
        <f>IF(DAY(A1526)=DAY('F-Ahorro Futuro Reservas'!$H$10),'F-Ahorro Futuro Reservas'!$H$9,0)</f>
        <v>0</v>
      </c>
      <c r="C1526" s="122">
        <f t="shared" si="47"/>
        <v>0</v>
      </c>
      <c r="D1526" s="121">
        <f>ROUND(IF(C1526&lt;='FR_Mantenimiento tasas'!$C$55,'Tabla Ahorro Futuro Reservas'!C1526*'FR_Mantenimiento tasas'!$D$55/360,IF(C1526&lt;='FR_Mantenimiento tasas'!$C$56,'Tabla Ahorro Futuro Reservas'!C1526*'FR_Mantenimiento tasas'!$D$56/360,IF(C1526&lt;='FR_Mantenimiento tasas'!$C$57,'Tabla Ahorro Futuro Reservas'!C1526*'FR_Mantenimiento tasas'!$D$57/360,""))),5)</f>
        <v>0</v>
      </c>
      <c r="E1526" s="121">
        <f>ROUND(IF(C1526&lt;='FR_Mantenimiento tasas'!$C$55,'Tabla Ahorro Futuro Reservas'!C1526*'FR_Mantenimiento tasas'!$E$55/360,IF(C1526&lt;='FR_Mantenimiento tasas'!$C$56,'Tabla Ahorro Futuro Reservas'!C1526*'FR_Mantenimiento tasas'!$E$56/360,IF(C1526&lt;='FR_Mantenimiento tasas'!$C$57,'Tabla Ahorro Futuro Reservas'!C1526*'FR_Mantenimiento tasas'!$E$57/360,""))),5)</f>
        <v>0</v>
      </c>
    </row>
    <row r="1527" spans="1:5">
      <c r="A1527" s="123">
        <f t="shared" si="46"/>
        <v>1525</v>
      </c>
      <c r="B1527" s="122">
        <f>IF(DAY(A1527)=DAY('F-Ahorro Futuro Reservas'!$H$10),'F-Ahorro Futuro Reservas'!$H$9,0)</f>
        <v>0</v>
      </c>
      <c r="C1527" s="122">
        <f t="shared" si="47"/>
        <v>0</v>
      </c>
      <c r="D1527" s="121">
        <f>ROUND(IF(C1527&lt;='FR_Mantenimiento tasas'!$C$55,'Tabla Ahorro Futuro Reservas'!C1527*'FR_Mantenimiento tasas'!$D$55/360,IF(C1527&lt;='FR_Mantenimiento tasas'!$C$56,'Tabla Ahorro Futuro Reservas'!C1527*'FR_Mantenimiento tasas'!$D$56/360,IF(C1527&lt;='FR_Mantenimiento tasas'!$C$57,'Tabla Ahorro Futuro Reservas'!C1527*'FR_Mantenimiento tasas'!$D$57/360,""))),5)</f>
        <v>0</v>
      </c>
      <c r="E1527" s="121">
        <f>ROUND(IF(C1527&lt;='FR_Mantenimiento tasas'!$C$55,'Tabla Ahorro Futuro Reservas'!C1527*'FR_Mantenimiento tasas'!$E$55/360,IF(C1527&lt;='FR_Mantenimiento tasas'!$C$56,'Tabla Ahorro Futuro Reservas'!C1527*'FR_Mantenimiento tasas'!$E$56/360,IF(C1527&lt;='FR_Mantenimiento tasas'!$C$57,'Tabla Ahorro Futuro Reservas'!C1527*'FR_Mantenimiento tasas'!$E$57/360,""))),5)</f>
        <v>0</v>
      </c>
    </row>
    <row r="1528" spans="1:5">
      <c r="A1528" s="123">
        <f t="shared" si="46"/>
        <v>1526</v>
      </c>
      <c r="B1528" s="122">
        <f>IF(DAY(A1528)=DAY('F-Ahorro Futuro Reservas'!$H$10),'F-Ahorro Futuro Reservas'!$H$9,0)</f>
        <v>0</v>
      </c>
      <c r="C1528" s="122">
        <f t="shared" si="47"/>
        <v>0</v>
      </c>
      <c r="D1528" s="121">
        <f>ROUND(IF(C1528&lt;='FR_Mantenimiento tasas'!$C$55,'Tabla Ahorro Futuro Reservas'!C1528*'FR_Mantenimiento tasas'!$D$55/360,IF(C1528&lt;='FR_Mantenimiento tasas'!$C$56,'Tabla Ahorro Futuro Reservas'!C1528*'FR_Mantenimiento tasas'!$D$56/360,IF(C1528&lt;='FR_Mantenimiento tasas'!$C$57,'Tabla Ahorro Futuro Reservas'!C1528*'FR_Mantenimiento tasas'!$D$57/360,""))),5)</f>
        <v>0</v>
      </c>
      <c r="E1528" s="121">
        <f>ROUND(IF(C1528&lt;='FR_Mantenimiento tasas'!$C$55,'Tabla Ahorro Futuro Reservas'!C1528*'FR_Mantenimiento tasas'!$E$55/360,IF(C1528&lt;='FR_Mantenimiento tasas'!$C$56,'Tabla Ahorro Futuro Reservas'!C1528*'FR_Mantenimiento tasas'!$E$56/360,IF(C1528&lt;='FR_Mantenimiento tasas'!$C$57,'Tabla Ahorro Futuro Reservas'!C1528*'FR_Mantenimiento tasas'!$E$57/360,""))),5)</f>
        <v>0</v>
      </c>
    </row>
    <row r="1529" spans="1:5">
      <c r="A1529" s="123">
        <f t="shared" si="46"/>
        <v>1527</v>
      </c>
      <c r="B1529" s="122">
        <f>IF(DAY(A1529)=DAY('F-Ahorro Futuro Reservas'!$H$10),'F-Ahorro Futuro Reservas'!$H$9,0)</f>
        <v>0</v>
      </c>
      <c r="C1529" s="122">
        <f t="shared" si="47"/>
        <v>0</v>
      </c>
      <c r="D1529" s="121">
        <f>ROUND(IF(C1529&lt;='FR_Mantenimiento tasas'!$C$55,'Tabla Ahorro Futuro Reservas'!C1529*'FR_Mantenimiento tasas'!$D$55/360,IF(C1529&lt;='FR_Mantenimiento tasas'!$C$56,'Tabla Ahorro Futuro Reservas'!C1529*'FR_Mantenimiento tasas'!$D$56/360,IF(C1529&lt;='FR_Mantenimiento tasas'!$C$57,'Tabla Ahorro Futuro Reservas'!C1529*'FR_Mantenimiento tasas'!$D$57/360,""))),5)</f>
        <v>0</v>
      </c>
      <c r="E1529" s="121">
        <f>ROUND(IF(C1529&lt;='FR_Mantenimiento tasas'!$C$55,'Tabla Ahorro Futuro Reservas'!C1529*'FR_Mantenimiento tasas'!$E$55/360,IF(C1529&lt;='FR_Mantenimiento tasas'!$C$56,'Tabla Ahorro Futuro Reservas'!C1529*'FR_Mantenimiento tasas'!$E$56/360,IF(C1529&lt;='FR_Mantenimiento tasas'!$C$57,'Tabla Ahorro Futuro Reservas'!C1529*'FR_Mantenimiento tasas'!$E$57/360,""))),5)</f>
        <v>0</v>
      </c>
    </row>
    <row r="1530" spans="1:5">
      <c r="A1530" s="123">
        <f t="shared" si="46"/>
        <v>1528</v>
      </c>
      <c r="B1530" s="122">
        <f>IF(DAY(A1530)=DAY('F-Ahorro Futuro Reservas'!$H$10),'F-Ahorro Futuro Reservas'!$H$9,0)</f>
        <v>0</v>
      </c>
      <c r="C1530" s="122">
        <f t="shared" si="47"/>
        <v>0</v>
      </c>
      <c r="D1530" s="121">
        <f>ROUND(IF(C1530&lt;='FR_Mantenimiento tasas'!$C$55,'Tabla Ahorro Futuro Reservas'!C1530*'FR_Mantenimiento tasas'!$D$55/360,IF(C1530&lt;='FR_Mantenimiento tasas'!$C$56,'Tabla Ahorro Futuro Reservas'!C1530*'FR_Mantenimiento tasas'!$D$56/360,IF(C1530&lt;='FR_Mantenimiento tasas'!$C$57,'Tabla Ahorro Futuro Reservas'!C1530*'FR_Mantenimiento tasas'!$D$57/360,""))),5)</f>
        <v>0</v>
      </c>
      <c r="E1530" s="121">
        <f>ROUND(IF(C1530&lt;='FR_Mantenimiento tasas'!$C$55,'Tabla Ahorro Futuro Reservas'!C1530*'FR_Mantenimiento tasas'!$E$55/360,IF(C1530&lt;='FR_Mantenimiento tasas'!$C$56,'Tabla Ahorro Futuro Reservas'!C1530*'FR_Mantenimiento tasas'!$E$56/360,IF(C1530&lt;='FR_Mantenimiento tasas'!$C$57,'Tabla Ahorro Futuro Reservas'!C1530*'FR_Mantenimiento tasas'!$E$57/360,""))),5)</f>
        <v>0</v>
      </c>
    </row>
    <row r="1531" spans="1:5">
      <c r="A1531" s="123">
        <f t="shared" si="46"/>
        <v>1529</v>
      </c>
      <c r="B1531" s="122">
        <f>IF(DAY(A1531)=DAY('F-Ahorro Futuro Reservas'!$H$10),'F-Ahorro Futuro Reservas'!$H$9,0)</f>
        <v>0</v>
      </c>
      <c r="C1531" s="122">
        <f t="shared" si="47"/>
        <v>0</v>
      </c>
      <c r="D1531" s="121">
        <f>ROUND(IF(C1531&lt;='FR_Mantenimiento tasas'!$C$55,'Tabla Ahorro Futuro Reservas'!C1531*'FR_Mantenimiento tasas'!$D$55/360,IF(C1531&lt;='FR_Mantenimiento tasas'!$C$56,'Tabla Ahorro Futuro Reservas'!C1531*'FR_Mantenimiento tasas'!$D$56/360,IF(C1531&lt;='FR_Mantenimiento tasas'!$C$57,'Tabla Ahorro Futuro Reservas'!C1531*'FR_Mantenimiento tasas'!$D$57/360,""))),5)</f>
        <v>0</v>
      </c>
      <c r="E1531" s="121">
        <f>ROUND(IF(C1531&lt;='FR_Mantenimiento tasas'!$C$55,'Tabla Ahorro Futuro Reservas'!C1531*'FR_Mantenimiento tasas'!$E$55/360,IF(C1531&lt;='FR_Mantenimiento tasas'!$C$56,'Tabla Ahorro Futuro Reservas'!C1531*'FR_Mantenimiento tasas'!$E$56/360,IF(C1531&lt;='FR_Mantenimiento tasas'!$C$57,'Tabla Ahorro Futuro Reservas'!C1531*'FR_Mantenimiento tasas'!$E$57/360,""))),5)</f>
        <v>0</v>
      </c>
    </row>
    <row r="1532" spans="1:5">
      <c r="A1532" s="123">
        <f t="shared" si="46"/>
        <v>1530</v>
      </c>
      <c r="B1532" s="122">
        <f>IF(DAY(A1532)=DAY('F-Ahorro Futuro Reservas'!$H$10),'F-Ahorro Futuro Reservas'!$H$9,0)</f>
        <v>0</v>
      </c>
      <c r="C1532" s="122">
        <f t="shared" si="47"/>
        <v>0</v>
      </c>
      <c r="D1532" s="121">
        <f>ROUND(IF(C1532&lt;='FR_Mantenimiento tasas'!$C$55,'Tabla Ahorro Futuro Reservas'!C1532*'FR_Mantenimiento tasas'!$D$55/360,IF(C1532&lt;='FR_Mantenimiento tasas'!$C$56,'Tabla Ahorro Futuro Reservas'!C1532*'FR_Mantenimiento tasas'!$D$56/360,IF(C1532&lt;='FR_Mantenimiento tasas'!$C$57,'Tabla Ahorro Futuro Reservas'!C1532*'FR_Mantenimiento tasas'!$D$57/360,""))),5)</f>
        <v>0</v>
      </c>
      <c r="E1532" s="121">
        <f>ROUND(IF(C1532&lt;='FR_Mantenimiento tasas'!$C$55,'Tabla Ahorro Futuro Reservas'!C1532*'FR_Mantenimiento tasas'!$E$55/360,IF(C1532&lt;='FR_Mantenimiento tasas'!$C$56,'Tabla Ahorro Futuro Reservas'!C1532*'FR_Mantenimiento tasas'!$E$56/360,IF(C1532&lt;='FR_Mantenimiento tasas'!$C$57,'Tabla Ahorro Futuro Reservas'!C1532*'FR_Mantenimiento tasas'!$E$57/360,""))),5)</f>
        <v>0</v>
      </c>
    </row>
    <row r="1533" spans="1:5">
      <c r="A1533" s="123">
        <f t="shared" si="46"/>
        <v>1531</v>
      </c>
      <c r="B1533" s="122">
        <f>IF(DAY(A1533)=DAY('F-Ahorro Futuro Reservas'!$H$10),'F-Ahorro Futuro Reservas'!$H$9,0)</f>
        <v>0</v>
      </c>
      <c r="C1533" s="122">
        <f t="shared" si="47"/>
        <v>0</v>
      </c>
      <c r="D1533" s="121">
        <f>ROUND(IF(C1533&lt;='FR_Mantenimiento tasas'!$C$55,'Tabla Ahorro Futuro Reservas'!C1533*'FR_Mantenimiento tasas'!$D$55/360,IF(C1533&lt;='FR_Mantenimiento tasas'!$C$56,'Tabla Ahorro Futuro Reservas'!C1533*'FR_Mantenimiento tasas'!$D$56/360,IF(C1533&lt;='FR_Mantenimiento tasas'!$C$57,'Tabla Ahorro Futuro Reservas'!C1533*'FR_Mantenimiento tasas'!$D$57/360,""))),5)</f>
        <v>0</v>
      </c>
      <c r="E1533" s="121">
        <f>ROUND(IF(C1533&lt;='FR_Mantenimiento tasas'!$C$55,'Tabla Ahorro Futuro Reservas'!C1533*'FR_Mantenimiento tasas'!$E$55/360,IF(C1533&lt;='FR_Mantenimiento tasas'!$C$56,'Tabla Ahorro Futuro Reservas'!C1533*'FR_Mantenimiento tasas'!$E$56/360,IF(C1533&lt;='FR_Mantenimiento tasas'!$C$57,'Tabla Ahorro Futuro Reservas'!C1533*'FR_Mantenimiento tasas'!$E$57/360,""))),5)</f>
        <v>0</v>
      </c>
    </row>
    <row r="1534" spans="1:5">
      <c r="A1534" s="123">
        <f t="shared" si="46"/>
        <v>1532</v>
      </c>
      <c r="B1534" s="122">
        <f>IF(DAY(A1534)=DAY('F-Ahorro Futuro Reservas'!$H$10),'F-Ahorro Futuro Reservas'!$H$9,0)</f>
        <v>0</v>
      </c>
      <c r="C1534" s="122">
        <f t="shared" si="47"/>
        <v>0</v>
      </c>
      <c r="D1534" s="121">
        <f>ROUND(IF(C1534&lt;='FR_Mantenimiento tasas'!$C$55,'Tabla Ahorro Futuro Reservas'!C1534*'FR_Mantenimiento tasas'!$D$55/360,IF(C1534&lt;='FR_Mantenimiento tasas'!$C$56,'Tabla Ahorro Futuro Reservas'!C1534*'FR_Mantenimiento tasas'!$D$56/360,IF(C1534&lt;='FR_Mantenimiento tasas'!$C$57,'Tabla Ahorro Futuro Reservas'!C1534*'FR_Mantenimiento tasas'!$D$57/360,""))),5)</f>
        <v>0</v>
      </c>
      <c r="E1534" s="121">
        <f>ROUND(IF(C1534&lt;='FR_Mantenimiento tasas'!$C$55,'Tabla Ahorro Futuro Reservas'!C1534*'FR_Mantenimiento tasas'!$E$55/360,IF(C1534&lt;='FR_Mantenimiento tasas'!$C$56,'Tabla Ahorro Futuro Reservas'!C1534*'FR_Mantenimiento tasas'!$E$56/360,IF(C1534&lt;='FR_Mantenimiento tasas'!$C$57,'Tabla Ahorro Futuro Reservas'!C1534*'FR_Mantenimiento tasas'!$E$57/360,""))),5)</f>
        <v>0</v>
      </c>
    </row>
    <row r="1535" spans="1:5">
      <c r="A1535" s="123">
        <f t="shared" si="46"/>
        <v>1533</v>
      </c>
      <c r="B1535" s="122">
        <f>IF(DAY(A1535)=DAY('F-Ahorro Futuro Reservas'!$H$10),'F-Ahorro Futuro Reservas'!$H$9,0)</f>
        <v>0</v>
      </c>
      <c r="C1535" s="122">
        <f t="shared" si="47"/>
        <v>0</v>
      </c>
      <c r="D1535" s="121">
        <f>ROUND(IF(C1535&lt;='FR_Mantenimiento tasas'!$C$55,'Tabla Ahorro Futuro Reservas'!C1535*'FR_Mantenimiento tasas'!$D$55/360,IF(C1535&lt;='FR_Mantenimiento tasas'!$C$56,'Tabla Ahorro Futuro Reservas'!C1535*'FR_Mantenimiento tasas'!$D$56/360,IF(C1535&lt;='FR_Mantenimiento tasas'!$C$57,'Tabla Ahorro Futuro Reservas'!C1535*'FR_Mantenimiento tasas'!$D$57/360,""))),5)</f>
        <v>0</v>
      </c>
      <c r="E1535" s="121">
        <f>ROUND(IF(C1535&lt;='FR_Mantenimiento tasas'!$C$55,'Tabla Ahorro Futuro Reservas'!C1535*'FR_Mantenimiento tasas'!$E$55/360,IF(C1535&lt;='FR_Mantenimiento tasas'!$C$56,'Tabla Ahorro Futuro Reservas'!C1535*'FR_Mantenimiento tasas'!$E$56/360,IF(C1535&lt;='FR_Mantenimiento tasas'!$C$57,'Tabla Ahorro Futuro Reservas'!C1535*'FR_Mantenimiento tasas'!$E$57/360,""))),5)</f>
        <v>0</v>
      </c>
    </row>
    <row r="1536" spans="1:5">
      <c r="A1536" s="123">
        <f t="shared" si="46"/>
        <v>1534</v>
      </c>
      <c r="B1536" s="122">
        <f>IF(DAY(A1536)=DAY('F-Ahorro Futuro Reservas'!$H$10),'F-Ahorro Futuro Reservas'!$H$9,0)</f>
        <v>0</v>
      </c>
      <c r="C1536" s="122">
        <f t="shared" si="47"/>
        <v>0</v>
      </c>
      <c r="D1536" s="121">
        <f>ROUND(IF(C1536&lt;='FR_Mantenimiento tasas'!$C$55,'Tabla Ahorro Futuro Reservas'!C1536*'FR_Mantenimiento tasas'!$D$55/360,IF(C1536&lt;='FR_Mantenimiento tasas'!$C$56,'Tabla Ahorro Futuro Reservas'!C1536*'FR_Mantenimiento tasas'!$D$56/360,IF(C1536&lt;='FR_Mantenimiento tasas'!$C$57,'Tabla Ahorro Futuro Reservas'!C1536*'FR_Mantenimiento tasas'!$D$57/360,""))),5)</f>
        <v>0</v>
      </c>
      <c r="E1536" s="121">
        <f>ROUND(IF(C1536&lt;='FR_Mantenimiento tasas'!$C$55,'Tabla Ahorro Futuro Reservas'!C1536*'FR_Mantenimiento tasas'!$E$55/360,IF(C1536&lt;='FR_Mantenimiento tasas'!$C$56,'Tabla Ahorro Futuro Reservas'!C1536*'FR_Mantenimiento tasas'!$E$56/360,IF(C1536&lt;='FR_Mantenimiento tasas'!$C$57,'Tabla Ahorro Futuro Reservas'!C1536*'FR_Mantenimiento tasas'!$E$57/360,""))),5)</f>
        <v>0</v>
      </c>
    </row>
    <row r="1537" spans="1:5">
      <c r="A1537" s="123">
        <f t="shared" si="46"/>
        <v>1535</v>
      </c>
      <c r="B1537" s="122">
        <f>IF(DAY(A1537)=DAY('F-Ahorro Futuro Reservas'!$H$10),'F-Ahorro Futuro Reservas'!$H$9,0)</f>
        <v>0</v>
      </c>
      <c r="C1537" s="122">
        <f t="shared" si="47"/>
        <v>0</v>
      </c>
      <c r="D1537" s="121">
        <f>ROUND(IF(C1537&lt;='FR_Mantenimiento tasas'!$C$55,'Tabla Ahorro Futuro Reservas'!C1537*'FR_Mantenimiento tasas'!$D$55/360,IF(C1537&lt;='FR_Mantenimiento tasas'!$C$56,'Tabla Ahorro Futuro Reservas'!C1537*'FR_Mantenimiento tasas'!$D$56/360,IF(C1537&lt;='FR_Mantenimiento tasas'!$C$57,'Tabla Ahorro Futuro Reservas'!C1537*'FR_Mantenimiento tasas'!$D$57/360,""))),5)</f>
        <v>0</v>
      </c>
      <c r="E1537" s="121">
        <f>ROUND(IF(C1537&lt;='FR_Mantenimiento tasas'!$C$55,'Tabla Ahorro Futuro Reservas'!C1537*'FR_Mantenimiento tasas'!$E$55/360,IF(C1537&lt;='FR_Mantenimiento tasas'!$C$56,'Tabla Ahorro Futuro Reservas'!C1537*'FR_Mantenimiento tasas'!$E$56/360,IF(C1537&lt;='FR_Mantenimiento tasas'!$C$57,'Tabla Ahorro Futuro Reservas'!C1537*'FR_Mantenimiento tasas'!$E$57/360,""))),5)</f>
        <v>0</v>
      </c>
    </row>
    <row r="1538" spans="1:5">
      <c r="A1538" s="123">
        <f t="shared" si="46"/>
        <v>1536</v>
      </c>
      <c r="B1538" s="122">
        <f>IF(DAY(A1538)=DAY('F-Ahorro Futuro Reservas'!$H$10),'F-Ahorro Futuro Reservas'!$H$9,0)</f>
        <v>0</v>
      </c>
      <c r="C1538" s="122">
        <f t="shared" si="47"/>
        <v>0</v>
      </c>
      <c r="D1538" s="121">
        <f>ROUND(IF(C1538&lt;='FR_Mantenimiento tasas'!$C$55,'Tabla Ahorro Futuro Reservas'!C1538*'FR_Mantenimiento tasas'!$D$55/360,IF(C1538&lt;='FR_Mantenimiento tasas'!$C$56,'Tabla Ahorro Futuro Reservas'!C1538*'FR_Mantenimiento tasas'!$D$56/360,IF(C1538&lt;='FR_Mantenimiento tasas'!$C$57,'Tabla Ahorro Futuro Reservas'!C1538*'FR_Mantenimiento tasas'!$D$57/360,""))),5)</f>
        <v>0</v>
      </c>
      <c r="E1538" s="121">
        <f>ROUND(IF(C1538&lt;='FR_Mantenimiento tasas'!$C$55,'Tabla Ahorro Futuro Reservas'!C1538*'FR_Mantenimiento tasas'!$E$55/360,IF(C1538&lt;='FR_Mantenimiento tasas'!$C$56,'Tabla Ahorro Futuro Reservas'!C1538*'FR_Mantenimiento tasas'!$E$56/360,IF(C1538&lt;='FR_Mantenimiento tasas'!$C$57,'Tabla Ahorro Futuro Reservas'!C1538*'FR_Mantenimiento tasas'!$E$57/360,""))),5)</f>
        <v>0</v>
      </c>
    </row>
    <row r="1539" spans="1:5">
      <c r="A1539" s="123">
        <f t="shared" si="46"/>
        <v>1537</v>
      </c>
      <c r="B1539" s="122">
        <f>IF(DAY(A1539)=DAY('F-Ahorro Futuro Reservas'!$H$10),'F-Ahorro Futuro Reservas'!$H$9,0)</f>
        <v>0</v>
      </c>
      <c r="C1539" s="122">
        <f t="shared" si="47"/>
        <v>0</v>
      </c>
      <c r="D1539" s="121">
        <f>ROUND(IF(C1539&lt;='FR_Mantenimiento tasas'!$C$55,'Tabla Ahorro Futuro Reservas'!C1539*'FR_Mantenimiento tasas'!$D$55/360,IF(C1539&lt;='FR_Mantenimiento tasas'!$C$56,'Tabla Ahorro Futuro Reservas'!C1539*'FR_Mantenimiento tasas'!$D$56/360,IF(C1539&lt;='FR_Mantenimiento tasas'!$C$57,'Tabla Ahorro Futuro Reservas'!C1539*'FR_Mantenimiento tasas'!$D$57/360,""))),5)</f>
        <v>0</v>
      </c>
      <c r="E1539" s="121">
        <f>ROUND(IF(C1539&lt;='FR_Mantenimiento tasas'!$C$55,'Tabla Ahorro Futuro Reservas'!C1539*'FR_Mantenimiento tasas'!$E$55/360,IF(C1539&lt;='FR_Mantenimiento tasas'!$C$56,'Tabla Ahorro Futuro Reservas'!C1539*'FR_Mantenimiento tasas'!$E$56/360,IF(C1539&lt;='FR_Mantenimiento tasas'!$C$57,'Tabla Ahorro Futuro Reservas'!C1539*'FR_Mantenimiento tasas'!$E$57/360,""))),5)</f>
        <v>0</v>
      </c>
    </row>
    <row r="1540" spans="1:5">
      <c r="A1540" s="123">
        <f t="shared" ref="A1540:A1603" si="48">+A1539+1</f>
        <v>1538</v>
      </c>
      <c r="B1540" s="122">
        <f>IF(DAY(A1540)=DAY('F-Ahorro Futuro Reservas'!$H$10),'F-Ahorro Futuro Reservas'!$H$9,0)</f>
        <v>0</v>
      </c>
      <c r="C1540" s="122">
        <f t="shared" ref="C1540:C1603" si="49">+B1540+C1539+D1539</f>
        <v>0</v>
      </c>
      <c r="D1540" s="121">
        <f>ROUND(IF(C1540&lt;='FR_Mantenimiento tasas'!$C$55,'Tabla Ahorro Futuro Reservas'!C1540*'FR_Mantenimiento tasas'!$D$55/360,IF(C1540&lt;='FR_Mantenimiento tasas'!$C$56,'Tabla Ahorro Futuro Reservas'!C1540*'FR_Mantenimiento tasas'!$D$56/360,IF(C1540&lt;='FR_Mantenimiento tasas'!$C$57,'Tabla Ahorro Futuro Reservas'!C1540*'FR_Mantenimiento tasas'!$D$57/360,""))),5)</f>
        <v>0</v>
      </c>
      <c r="E1540" s="121">
        <f>ROUND(IF(C1540&lt;='FR_Mantenimiento tasas'!$C$55,'Tabla Ahorro Futuro Reservas'!C1540*'FR_Mantenimiento tasas'!$E$55/360,IF(C1540&lt;='FR_Mantenimiento tasas'!$C$56,'Tabla Ahorro Futuro Reservas'!C1540*'FR_Mantenimiento tasas'!$E$56/360,IF(C1540&lt;='FR_Mantenimiento tasas'!$C$57,'Tabla Ahorro Futuro Reservas'!C1540*'FR_Mantenimiento tasas'!$E$57/360,""))),5)</f>
        <v>0</v>
      </c>
    </row>
    <row r="1541" spans="1:5">
      <c r="A1541" s="123">
        <f t="shared" si="48"/>
        <v>1539</v>
      </c>
      <c r="B1541" s="122">
        <f>IF(DAY(A1541)=DAY('F-Ahorro Futuro Reservas'!$H$10),'F-Ahorro Futuro Reservas'!$H$9,0)</f>
        <v>0</v>
      </c>
      <c r="C1541" s="122">
        <f t="shared" si="49"/>
        <v>0</v>
      </c>
      <c r="D1541" s="121">
        <f>ROUND(IF(C1541&lt;='FR_Mantenimiento tasas'!$C$55,'Tabla Ahorro Futuro Reservas'!C1541*'FR_Mantenimiento tasas'!$D$55/360,IF(C1541&lt;='FR_Mantenimiento tasas'!$C$56,'Tabla Ahorro Futuro Reservas'!C1541*'FR_Mantenimiento tasas'!$D$56/360,IF(C1541&lt;='FR_Mantenimiento tasas'!$C$57,'Tabla Ahorro Futuro Reservas'!C1541*'FR_Mantenimiento tasas'!$D$57/360,""))),5)</f>
        <v>0</v>
      </c>
      <c r="E1541" s="121">
        <f>ROUND(IF(C1541&lt;='FR_Mantenimiento tasas'!$C$55,'Tabla Ahorro Futuro Reservas'!C1541*'FR_Mantenimiento tasas'!$E$55/360,IF(C1541&lt;='FR_Mantenimiento tasas'!$C$56,'Tabla Ahorro Futuro Reservas'!C1541*'FR_Mantenimiento tasas'!$E$56/360,IF(C1541&lt;='FR_Mantenimiento tasas'!$C$57,'Tabla Ahorro Futuro Reservas'!C1541*'FR_Mantenimiento tasas'!$E$57/360,""))),5)</f>
        <v>0</v>
      </c>
    </row>
    <row r="1542" spans="1:5">
      <c r="A1542" s="123">
        <f t="shared" si="48"/>
        <v>1540</v>
      </c>
      <c r="B1542" s="122">
        <f>IF(DAY(A1542)=DAY('F-Ahorro Futuro Reservas'!$H$10),'F-Ahorro Futuro Reservas'!$H$9,0)</f>
        <v>0</v>
      </c>
      <c r="C1542" s="122">
        <f t="shared" si="49"/>
        <v>0</v>
      </c>
      <c r="D1542" s="121">
        <f>ROUND(IF(C1542&lt;='FR_Mantenimiento tasas'!$C$55,'Tabla Ahorro Futuro Reservas'!C1542*'FR_Mantenimiento tasas'!$D$55/360,IF(C1542&lt;='FR_Mantenimiento tasas'!$C$56,'Tabla Ahorro Futuro Reservas'!C1542*'FR_Mantenimiento tasas'!$D$56/360,IF(C1542&lt;='FR_Mantenimiento tasas'!$C$57,'Tabla Ahorro Futuro Reservas'!C1542*'FR_Mantenimiento tasas'!$D$57/360,""))),5)</f>
        <v>0</v>
      </c>
      <c r="E1542" s="121">
        <f>ROUND(IF(C1542&lt;='FR_Mantenimiento tasas'!$C$55,'Tabla Ahorro Futuro Reservas'!C1542*'FR_Mantenimiento tasas'!$E$55/360,IF(C1542&lt;='FR_Mantenimiento tasas'!$C$56,'Tabla Ahorro Futuro Reservas'!C1542*'FR_Mantenimiento tasas'!$E$56/360,IF(C1542&lt;='FR_Mantenimiento tasas'!$C$57,'Tabla Ahorro Futuro Reservas'!C1542*'FR_Mantenimiento tasas'!$E$57/360,""))),5)</f>
        <v>0</v>
      </c>
    </row>
    <row r="1543" spans="1:5">
      <c r="A1543" s="123">
        <f t="shared" si="48"/>
        <v>1541</v>
      </c>
      <c r="B1543" s="122">
        <f>IF(DAY(A1543)=DAY('F-Ahorro Futuro Reservas'!$H$10),'F-Ahorro Futuro Reservas'!$H$9,0)</f>
        <v>0</v>
      </c>
      <c r="C1543" s="122">
        <f t="shared" si="49"/>
        <v>0</v>
      </c>
      <c r="D1543" s="121">
        <f>ROUND(IF(C1543&lt;='FR_Mantenimiento tasas'!$C$55,'Tabla Ahorro Futuro Reservas'!C1543*'FR_Mantenimiento tasas'!$D$55/360,IF(C1543&lt;='FR_Mantenimiento tasas'!$C$56,'Tabla Ahorro Futuro Reservas'!C1543*'FR_Mantenimiento tasas'!$D$56/360,IF(C1543&lt;='FR_Mantenimiento tasas'!$C$57,'Tabla Ahorro Futuro Reservas'!C1543*'FR_Mantenimiento tasas'!$D$57/360,""))),5)</f>
        <v>0</v>
      </c>
      <c r="E1543" s="121">
        <f>ROUND(IF(C1543&lt;='FR_Mantenimiento tasas'!$C$55,'Tabla Ahorro Futuro Reservas'!C1543*'FR_Mantenimiento tasas'!$E$55/360,IF(C1543&lt;='FR_Mantenimiento tasas'!$C$56,'Tabla Ahorro Futuro Reservas'!C1543*'FR_Mantenimiento tasas'!$E$56/360,IF(C1543&lt;='FR_Mantenimiento tasas'!$C$57,'Tabla Ahorro Futuro Reservas'!C1543*'FR_Mantenimiento tasas'!$E$57/360,""))),5)</f>
        <v>0</v>
      </c>
    </row>
    <row r="1544" spans="1:5">
      <c r="A1544" s="123">
        <f t="shared" si="48"/>
        <v>1542</v>
      </c>
      <c r="B1544" s="122">
        <f>IF(DAY(A1544)=DAY('F-Ahorro Futuro Reservas'!$H$10),'F-Ahorro Futuro Reservas'!$H$9,0)</f>
        <v>0</v>
      </c>
      <c r="C1544" s="122">
        <f t="shared" si="49"/>
        <v>0</v>
      </c>
      <c r="D1544" s="121">
        <f>ROUND(IF(C1544&lt;='FR_Mantenimiento tasas'!$C$55,'Tabla Ahorro Futuro Reservas'!C1544*'FR_Mantenimiento tasas'!$D$55/360,IF(C1544&lt;='FR_Mantenimiento tasas'!$C$56,'Tabla Ahorro Futuro Reservas'!C1544*'FR_Mantenimiento tasas'!$D$56/360,IF(C1544&lt;='FR_Mantenimiento tasas'!$C$57,'Tabla Ahorro Futuro Reservas'!C1544*'FR_Mantenimiento tasas'!$D$57/360,""))),5)</f>
        <v>0</v>
      </c>
      <c r="E1544" s="121">
        <f>ROUND(IF(C1544&lt;='FR_Mantenimiento tasas'!$C$55,'Tabla Ahorro Futuro Reservas'!C1544*'FR_Mantenimiento tasas'!$E$55/360,IF(C1544&lt;='FR_Mantenimiento tasas'!$C$56,'Tabla Ahorro Futuro Reservas'!C1544*'FR_Mantenimiento tasas'!$E$56/360,IF(C1544&lt;='FR_Mantenimiento tasas'!$C$57,'Tabla Ahorro Futuro Reservas'!C1544*'FR_Mantenimiento tasas'!$E$57/360,""))),5)</f>
        <v>0</v>
      </c>
    </row>
    <row r="1545" spans="1:5">
      <c r="A1545" s="123">
        <f t="shared" si="48"/>
        <v>1543</v>
      </c>
      <c r="B1545" s="122">
        <f>IF(DAY(A1545)=DAY('F-Ahorro Futuro Reservas'!$H$10),'F-Ahorro Futuro Reservas'!$H$9,0)</f>
        <v>0</v>
      </c>
      <c r="C1545" s="122">
        <f t="shared" si="49"/>
        <v>0</v>
      </c>
      <c r="D1545" s="121">
        <f>ROUND(IF(C1545&lt;='FR_Mantenimiento tasas'!$C$55,'Tabla Ahorro Futuro Reservas'!C1545*'FR_Mantenimiento tasas'!$D$55/360,IF(C1545&lt;='FR_Mantenimiento tasas'!$C$56,'Tabla Ahorro Futuro Reservas'!C1545*'FR_Mantenimiento tasas'!$D$56/360,IF(C1545&lt;='FR_Mantenimiento tasas'!$C$57,'Tabla Ahorro Futuro Reservas'!C1545*'FR_Mantenimiento tasas'!$D$57/360,""))),5)</f>
        <v>0</v>
      </c>
      <c r="E1545" s="121">
        <f>ROUND(IF(C1545&lt;='FR_Mantenimiento tasas'!$C$55,'Tabla Ahorro Futuro Reservas'!C1545*'FR_Mantenimiento tasas'!$E$55/360,IF(C1545&lt;='FR_Mantenimiento tasas'!$C$56,'Tabla Ahorro Futuro Reservas'!C1545*'FR_Mantenimiento tasas'!$E$56/360,IF(C1545&lt;='FR_Mantenimiento tasas'!$C$57,'Tabla Ahorro Futuro Reservas'!C1545*'FR_Mantenimiento tasas'!$E$57/360,""))),5)</f>
        <v>0</v>
      </c>
    </row>
    <row r="1546" spans="1:5">
      <c r="A1546" s="123">
        <f t="shared" si="48"/>
        <v>1544</v>
      </c>
      <c r="B1546" s="122">
        <f>IF(DAY(A1546)=DAY('F-Ahorro Futuro Reservas'!$H$10),'F-Ahorro Futuro Reservas'!$H$9,0)</f>
        <v>0</v>
      </c>
      <c r="C1546" s="122">
        <f t="shared" si="49"/>
        <v>0</v>
      </c>
      <c r="D1546" s="121">
        <f>ROUND(IF(C1546&lt;='FR_Mantenimiento tasas'!$C$55,'Tabla Ahorro Futuro Reservas'!C1546*'FR_Mantenimiento tasas'!$D$55/360,IF(C1546&lt;='FR_Mantenimiento tasas'!$C$56,'Tabla Ahorro Futuro Reservas'!C1546*'FR_Mantenimiento tasas'!$D$56/360,IF(C1546&lt;='FR_Mantenimiento tasas'!$C$57,'Tabla Ahorro Futuro Reservas'!C1546*'FR_Mantenimiento tasas'!$D$57/360,""))),5)</f>
        <v>0</v>
      </c>
      <c r="E1546" s="121">
        <f>ROUND(IF(C1546&lt;='FR_Mantenimiento tasas'!$C$55,'Tabla Ahorro Futuro Reservas'!C1546*'FR_Mantenimiento tasas'!$E$55/360,IF(C1546&lt;='FR_Mantenimiento tasas'!$C$56,'Tabla Ahorro Futuro Reservas'!C1546*'FR_Mantenimiento tasas'!$E$56/360,IF(C1546&lt;='FR_Mantenimiento tasas'!$C$57,'Tabla Ahorro Futuro Reservas'!C1546*'FR_Mantenimiento tasas'!$E$57/360,""))),5)</f>
        <v>0</v>
      </c>
    </row>
    <row r="1547" spans="1:5">
      <c r="A1547" s="123">
        <f t="shared" si="48"/>
        <v>1545</v>
      </c>
      <c r="B1547" s="122">
        <f>IF(DAY(A1547)=DAY('F-Ahorro Futuro Reservas'!$H$10),'F-Ahorro Futuro Reservas'!$H$9,0)</f>
        <v>0</v>
      </c>
      <c r="C1547" s="122">
        <f t="shared" si="49"/>
        <v>0</v>
      </c>
      <c r="D1547" s="121">
        <f>ROUND(IF(C1547&lt;='FR_Mantenimiento tasas'!$C$55,'Tabla Ahorro Futuro Reservas'!C1547*'FR_Mantenimiento tasas'!$D$55/360,IF(C1547&lt;='FR_Mantenimiento tasas'!$C$56,'Tabla Ahorro Futuro Reservas'!C1547*'FR_Mantenimiento tasas'!$D$56/360,IF(C1547&lt;='FR_Mantenimiento tasas'!$C$57,'Tabla Ahorro Futuro Reservas'!C1547*'FR_Mantenimiento tasas'!$D$57/360,""))),5)</f>
        <v>0</v>
      </c>
      <c r="E1547" s="121">
        <f>ROUND(IF(C1547&lt;='FR_Mantenimiento tasas'!$C$55,'Tabla Ahorro Futuro Reservas'!C1547*'FR_Mantenimiento tasas'!$E$55/360,IF(C1547&lt;='FR_Mantenimiento tasas'!$C$56,'Tabla Ahorro Futuro Reservas'!C1547*'FR_Mantenimiento tasas'!$E$56/360,IF(C1547&lt;='FR_Mantenimiento tasas'!$C$57,'Tabla Ahorro Futuro Reservas'!C1547*'FR_Mantenimiento tasas'!$E$57/360,""))),5)</f>
        <v>0</v>
      </c>
    </row>
    <row r="1548" spans="1:5">
      <c r="A1548" s="123">
        <f t="shared" si="48"/>
        <v>1546</v>
      </c>
      <c r="B1548" s="122">
        <f>IF(DAY(A1548)=DAY('F-Ahorro Futuro Reservas'!$H$10),'F-Ahorro Futuro Reservas'!$H$9,0)</f>
        <v>0</v>
      </c>
      <c r="C1548" s="122">
        <f t="shared" si="49"/>
        <v>0</v>
      </c>
      <c r="D1548" s="121">
        <f>ROUND(IF(C1548&lt;='FR_Mantenimiento tasas'!$C$55,'Tabla Ahorro Futuro Reservas'!C1548*'FR_Mantenimiento tasas'!$D$55/360,IF(C1548&lt;='FR_Mantenimiento tasas'!$C$56,'Tabla Ahorro Futuro Reservas'!C1548*'FR_Mantenimiento tasas'!$D$56/360,IF(C1548&lt;='FR_Mantenimiento tasas'!$C$57,'Tabla Ahorro Futuro Reservas'!C1548*'FR_Mantenimiento tasas'!$D$57/360,""))),5)</f>
        <v>0</v>
      </c>
      <c r="E1548" s="121">
        <f>ROUND(IF(C1548&lt;='FR_Mantenimiento tasas'!$C$55,'Tabla Ahorro Futuro Reservas'!C1548*'FR_Mantenimiento tasas'!$E$55/360,IF(C1548&lt;='FR_Mantenimiento tasas'!$C$56,'Tabla Ahorro Futuro Reservas'!C1548*'FR_Mantenimiento tasas'!$E$56/360,IF(C1548&lt;='FR_Mantenimiento tasas'!$C$57,'Tabla Ahorro Futuro Reservas'!C1548*'FR_Mantenimiento tasas'!$E$57/360,""))),5)</f>
        <v>0</v>
      </c>
    </row>
    <row r="1549" spans="1:5">
      <c r="A1549" s="123">
        <f t="shared" si="48"/>
        <v>1547</v>
      </c>
      <c r="B1549" s="122">
        <f>IF(DAY(A1549)=DAY('F-Ahorro Futuro Reservas'!$H$10),'F-Ahorro Futuro Reservas'!$H$9,0)</f>
        <v>0</v>
      </c>
      <c r="C1549" s="122">
        <f t="shared" si="49"/>
        <v>0</v>
      </c>
      <c r="D1549" s="121">
        <f>ROUND(IF(C1549&lt;='FR_Mantenimiento tasas'!$C$55,'Tabla Ahorro Futuro Reservas'!C1549*'FR_Mantenimiento tasas'!$D$55/360,IF(C1549&lt;='FR_Mantenimiento tasas'!$C$56,'Tabla Ahorro Futuro Reservas'!C1549*'FR_Mantenimiento tasas'!$D$56/360,IF(C1549&lt;='FR_Mantenimiento tasas'!$C$57,'Tabla Ahorro Futuro Reservas'!C1549*'FR_Mantenimiento tasas'!$D$57/360,""))),5)</f>
        <v>0</v>
      </c>
      <c r="E1549" s="121">
        <f>ROUND(IF(C1549&lt;='FR_Mantenimiento tasas'!$C$55,'Tabla Ahorro Futuro Reservas'!C1549*'FR_Mantenimiento tasas'!$E$55/360,IF(C1549&lt;='FR_Mantenimiento tasas'!$C$56,'Tabla Ahorro Futuro Reservas'!C1549*'FR_Mantenimiento tasas'!$E$56/360,IF(C1549&lt;='FR_Mantenimiento tasas'!$C$57,'Tabla Ahorro Futuro Reservas'!C1549*'FR_Mantenimiento tasas'!$E$57/360,""))),5)</f>
        <v>0</v>
      </c>
    </row>
    <row r="1550" spans="1:5">
      <c r="A1550" s="123">
        <f t="shared" si="48"/>
        <v>1548</v>
      </c>
      <c r="B1550" s="122">
        <f>IF(DAY(A1550)=DAY('F-Ahorro Futuro Reservas'!$H$10),'F-Ahorro Futuro Reservas'!$H$9,0)</f>
        <v>0</v>
      </c>
      <c r="C1550" s="122">
        <f t="shared" si="49"/>
        <v>0</v>
      </c>
      <c r="D1550" s="121">
        <f>ROUND(IF(C1550&lt;='FR_Mantenimiento tasas'!$C$55,'Tabla Ahorro Futuro Reservas'!C1550*'FR_Mantenimiento tasas'!$D$55/360,IF(C1550&lt;='FR_Mantenimiento tasas'!$C$56,'Tabla Ahorro Futuro Reservas'!C1550*'FR_Mantenimiento tasas'!$D$56/360,IF(C1550&lt;='FR_Mantenimiento tasas'!$C$57,'Tabla Ahorro Futuro Reservas'!C1550*'FR_Mantenimiento tasas'!$D$57/360,""))),5)</f>
        <v>0</v>
      </c>
      <c r="E1550" s="121">
        <f>ROUND(IF(C1550&lt;='FR_Mantenimiento tasas'!$C$55,'Tabla Ahorro Futuro Reservas'!C1550*'FR_Mantenimiento tasas'!$E$55/360,IF(C1550&lt;='FR_Mantenimiento tasas'!$C$56,'Tabla Ahorro Futuro Reservas'!C1550*'FR_Mantenimiento tasas'!$E$56/360,IF(C1550&lt;='FR_Mantenimiento tasas'!$C$57,'Tabla Ahorro Futuro Reservas'!C1550*'FR_Mantenimiento tasas'!$E$57/360,""))),5)</f>
        <v>0</v>
      </c>
    </row>
    <row r="1551" spans="1:5">
      <c r="A1551" s="123">
        <f t="shared" si="48"/>
        <v>1549</v>
      </c>
      <c r="B1551" s="122">
        <f>IF(DAY(A1551)=DAY('F-Ahorro Futuro Reservas'!$H$10),'F-Ahorro Futuro Reservas'!$H$9,0)</f>
        <v>0</v>
      </c>
      <c r="C1551" s="122">
        <f t="shared" si="49"/>
        <v>0</v>
      </c>
      <c r="D1551" s="121">
        <f>ROUND(IF(C1551&lt;='FR_Mantenimiento tasas'!$C$55,'Tabla Ahorro Futuro Reservas'!C1551*'FR_Mantenimiento tasas'!$D$55/360,IF(C1551&lt;='FR_Mantenimiento tasas'!$C$56,'Tabla Ahorro Futuro Reservas'!C1551*'FR_Mantenimiento tasas'!$D$56/360,IF(C1551&lt;='FR_Mantenimiento tasas'!$C$57,'Tabla Ahorro Futuro Reservas'!C1551*'FR_Mantenimiento tasas'!$D$57/360,""))),5)</f>
        <v>0</v>
      </c>
      <c r="E1551" s="121">
        <f>ROUND(IF(C1551&lt;='FR_Mantenimiento tasas'!$C$55,'Tabla Ahorro Futuro Reservas'!C1551*'FR_Mantenimiento tasas'!$E$55/360,IF(C1551&lt;='FR_Mantenimiento tasas'!$C$56,'Tabla Ahorro Futuro Reservas'!C1551*'FR_Mantenimiento tasas'!$E$56/360,IF(C1551&lt;='FR_Mantenimiento tasas'!$C$57,'Tabla Ahorro Futuro Reservas'!C1551*'FR_Mantenimiento tasas'!$E$57/360,""))),5)</f>
        <v>0</v>
      </c>
    </row>
    <row r="1552" spans="1:5">
      <c r="A1552" s="123">
        <f t="shared" si="48"/>
        <v>1550</v>
      </c>
      <c r="B1552" s="122">
        <f>IF(DAY(A1552)=DAY('F-Ahorro Futuro Reservas'!$H$10),'F-Ahorro Futuro Reservas'!$H$9,0)</f>
        <v>0</v>
      </c>
      <c r="C1552" s="122">
        <f t="shared" si="49"/>
        <v>0</v>
      </c>
      <c r="D1552" s="121">
        <f>ROUND(IF(C1552&lt;='FR_Mantenimiento tasas'!$C$55,'Tabla Ahorro Futuro Reservas'!C1552*'FR_Mantenimiento tasas'!$D$55/360,IF(C1552&lt;='FR_Mantenimiento tasas'!$C$56,'Tabla Ahorro Futuro Reservas'!C1552*'FR_Mantenimiento tasas'!$D$56/360,IF(C1552&lt;='FR_Mantenimiento tasas'!$C$57,'Tabla Ahorro Futuro Reservas'!C1552*'FR_Mantenimiento tasas'!$D$57/360,""))),5)</f>
        <v>0</v>
      </c>
      <c r="E1552" s="121">
        <f>ROUND(IF(C1552&lt;='FR_Mantenimiento tasas'!$C$55,'Tabla Ahorro Futuro Reservas'!C1552*'FR_Mantenimiento tasas'!$E$55/360,IF(C1552&lt;='FR_Mantenimiento tasas'!$C$56,'Tabla Ahorro Futuro Reservas'!C1552*'FR_Mantenimiento tasas'!$E$56/360,IF(C1552&lt;='FR_Mantenimiento tasas'!$C$57,'Tabla Ahorro Futuro Reservas'!C1552*'FR_Mantenimiento tasas'!$E$57/360,""))),5)</f>
        <v>0</v>
      </c>
    </row>
    <row r="1553" spans="1:5">
      <c r="A1553" s="123">
        <f t="shared" si="48"/>
        <v>1551</v>
      </c>
      <c r="B1553" s="122">
        <f>IF(DAY(A1553)=DAY('F-Ahorro Futuro Reservas'!$H$10),'F-Ahorro Futuro Reservas'!$H$9,0)</f>
        <v>0</v>
      </c>
      <c r="C1553" s="122">
        <f t="shared" si="49"/>
        <v>0</v>
      </c>
      <c r="D1553" s="121">
        <f>ROUND(IF(C1553&lt;='FR_Mantenimiento tasas'!$C$55,'Tabla Ahorro Futuro Reservas'!C1553*'FR_Mantenimiento tasas'!$D$55/360,IF(C1553&lt;='FR_Mantenimiento tasas'!$C$56,'Tabla Ahorro Futuro Reservas'!C1553*'FR_Mantenimiento tasas'!$D$56/360,IF(C1553&lt;='FR_Mantenimiento tasas'!$C$57,'Tabla Ahorro Futuro Reservas'!C1553*'FR_Mantenimiento tasas'!$D$57/360,""))),5)</f>
        <v>0</v>
      </c>
      <c r="E1553" s="121">
        <f>ROUND(IF(C1553&lt;='FR_Mantenimiento tasas'!$C$55,'Tabla Ahorro Futuro Reservas'!C1553*'FR_Mantenimiento tasas'!$E$55/360,IF(C1553&lt;='FR_Mantenimiento tasas'!$C$56,'Tabla Ahorro Futuro Reservas'!C1553*'FR_Mantenimiento tasas'!$E$56/360,IF(C1553&lt;='FR_Mantenimiento tasas'!$C$57,'Tabla Ahorro Futuro Reservas'!C1553*'FR_Mantenimiento tasas'!$E$57/360,""))),5)</f>
        <v>0</v>
      </c>
    </row>
    <row r="1554" spans="1:5">
      <c r="A1554" s="123">
        <f t="shared" si="48"/>
        <v>1552</v>
      </c>
      <c r="B1554" s="122">
        <f>IF(DAY(A1554)=DAY('F-Ahorro Futuro Reservas'!$H$10),'F-Ahorro Futuro Reservas'!$H$9,0)</f>
        <v>0</v>
      </c>
      <c r="C1554" s="122">
        <f t="shared" si="49"/>
        <v>0</v>
      </c>
      <c r="D1554" s="121">
        <f>ROUND(IF(C1554&lt;='FR_Mantenimiento tasas'!$C$55,'Tabla Ahorro Futuro Reservas'!C1554*'FR_Mantenimiento tasas'!$D$55/360,IF(C1554&lt;='FR_Mantenimiento tasas'!$C$56,'Tabla Ahorro Futuro Reservas'!C1554*'FR_Mantenimiento tasas'!$D$56/360,IF(C1554&lt;='FR_Mantenimiento tasas'!$C$57,'Tabla Ahorro Futuro Reservas'!C1554*'FR_Mantenimiento tasas'!$D$57/360,""))),5)</f>
        <v>0</v>
      </c>
      <c r="E1554" s="121">
        <f>ROUND(IF(C1554&lt;='FR_Mantenimiento tasas'!$C$55,'Tabla Ahorro Futuro Reservas'!C1554*'FR_Mantenimiento tasas'!$E$55/360,IF(C1554&lt;='FR_Mantenimiento tasas'!$C$56,'Tabla Ahorro Futuro Reservas'!C1554*'FR_Mantenimiento tasas'!$E$56/360,IF(C1554&lt;='FR_Mantenimiento tasas'!$C$57,'Tabla Ahorro Futuro Reservas'!C1554*'FR_Mantenimiento tasas'!$E$57/360,""))),5)</f>
        <v>0</v>
      </c>
    </row>
    <row r="1555" spans="1:5">
      <c r="A1555" s="123">
        <f t="shared" si="48"/>
        <v>1553</v>
      </c>
      <c r="B1555" s="122">
        <f>IF(DAY(A1555)=DAY('F-Ahorro Futuro Reservas'!$H$10),'F-Ahorro Futuro Reservas'!$H$9,0)</f>
        <v>0</v>
      </c>
      <c r="C1555" s="122">
        <f t="shared" si="49"/>
        <v>0</v>
      </c>
      <c r="D1555" s="121">
        <f>ROUND(IF(C1555&lt;='FR_Mantenimiento tasas'!$C$55,'Tabla Ahorro Futuro Reservas'!C1555*'FR_Mantenimiento tasas'!$D$55/360,IF(C1555&lt;='FR_Mantenimiento tasas'!$C$56,'Tabla Ahorro Futuro Reservas'!C1555*'FR_Mantenimiento tasas'!$D$56/360,IF(C1555&lt;='FR_Mantenimiento tasas'!$C$57,'Tabla Ahorro Futuro Reservas'!C1555*'FR_Mantenimiento tasas'!$D$57/360,""))),5)</f>
        <v>0</v>
      </c>
      <c r="E1555" s="121">
        <f>ROUND(IF(C1555&lt;='FR_Mantenimiento tasas'!$C$55,'Tabla Ahorro Futuro Reservas'!C1555*'FR_Mantenimiento tasas'!$E$55/360,IF(C1555&lt;='FR_Mantenimiento tasas'!$C$56,'Tabla Ahorro Futuro Reservas'!C1555*'FR_Mantenimiento tasas'!$E$56/360,IF(C1555&lt;='FR_Mantenimiento tasas'!$C$57,'Tabla Ahorro Futuro Reservas'!C1555*'FR_Mantenimiento tasas'!$E$57/360,""))),5)</f>
        <v>0</v>
      </c>
    </row>
    <row r="1556" spans="1:5">
      <c r="A1556" s="123">
        <f t="shared" si="48"/>
        <v>1554</v>
      </c>
      <c r="B1556" s="122">
        <f>IF(DAY(A1556)=DAY('F-Ahorro Futuro Reservas'!$H$10),'F-Ahorro Futuro Reservas'!$H$9,0)</f>
        <v>0</v>
      </c>
      <c r="C1556" s="122">
        <f t="shared" si="49"/>
        <v>0</v>
      </c>
      <c r="D1556" s="121">
        <f>ROUND(IF(C1556&lt;='FR_Mantenimiento tasas'!$C$55,'Tabla Ahorro Futuro Reservas'!C1556*'FR_Mantenimiento tasas'!$D$55/360,IF(C1556&lt;='FR_Mantenimiento tasas'!$C$56,'Tabla Ahorro Futuro Reservas'!C1556*'FR_Mantenimiento tasas'!$D$56/360,IF(C1556&lt;='FR_Mantenimiento tasas'!$C$57,'Tabla Ahorro Futuro Reservas'!C1556*'FR_Mantenimiento tasas'!$D$57/360,""))),5)</f>
        <v>0</v>
      </c>
      <c r="E1556" s="121">
        <f>ROUND(IF(C1556&lt;='FR_Mantenimiento tasas'!$C$55,'Tabla Ahorro Futuro Reservas'!C1556*'FR_Mantenimiento tasas'!$E$55/360,IF(C1556&lt;='FR_Mantenimiento tasas'!$C$56,'Tabla Ahorro Futuro Reservas'!C1556*'FR_Mantenimiento tasas'!$E$56/360,IF(C1556&lt;='FR_Mantenimiento tasas'!$C$57,'Tabla Ahorro Futuro Reservas'!C1556*'FR_Mantenimiento tasas'!$E$57/360,""))),5)</f>
        <v>0</v>
      </c>
    </row>
    <row r="1557" spans="1:5">
      <c r="A1557" s="123">
        <f t="shared" si="48"/>
        <v>1555</v>
      </c>
      <c r="B1557" s="122">
        <f>IF(DAY(A1557)=DAY('F-Ahorro Futuro Reservas'!$H$10),'F-Ahorro Futuro Reservas'!$H$9,0)</f>
        <v>0</v>
      </c>
      <c r="C1557" s="122">
        <f t="shared" si="49"/>
        <v>0</v>
      </c>
      <c r="D1557" s="121">
        <f>ROUND(IF(C1557&lt;='FR_Mantenimiento tasas'!$C$55,'Tabla Ahorro Futuro Reservas'!C1557*'FR_Mantenimiento tasas'!$D$55/360,IF(C1557&lt;='FR_Mantenimiento tasas'!$C$56,'Tabla Ahorro Futuro Reservas'!C1557*'FR_Mantenimiento tasas'!$D$56/360,IF(C1557&lt;='FR_Mantenimiento tasas'!$C$57,'Tabla Ahorro Futuro Reservas'!C1557*'FR_Mantenimiento tasas'!$D$57/360,""))),5)</f>
        <v>0</v>
      </c>
      <c r="E1557" s="121">
        <f>ROUND(IF(C1557&lt;='FR_Mantenimiento tasas'!$C$55,'Tabla Ahorro Futuro Reservas'!C1557*'FR_Mantenimiento tasas'!$E$55/360,IF(C1557&lt;='FR_Mantenimiento tasas'!$C$56,'Tabla Ahorro Futuro Reservas'!C1557*'FR_Mantenimiento tasas'!$E$56/360,IF(C1557&lt;='FR_Mantenimiento tasas'!$C$57,'Tabla Ahorro Futuro Reservas'!C1557*'FR_Mantenimiento tasas'!$E$57/360,""))),5)</f>
        <v>0</v>
      </c>
    </row>
    <row r="1558" spans="1:5">
      <c r="A1558" s="123">
        <f t="shared" si="48"/>
        <v>1556</v>
      </c>
      <c r="B1558" s="122">
        <f>IF(DAY(A1558)=DAY('F-Ahorro Futuro Reservas'!$H$10),'F-Ahorro Futuro Reservas'!$H$9,0)</f>
        <v>0</v>
      </c>
      <c r="C1558" s="122">
        <f t="shared" si="49"/>
        <v>0</v>
      </c>
      <c r="D1558" s="121">
        <f>ROUND(IF(C1558&lt;='FR_Mantenimiento tasas'!$C$55,'Tabla Ahorro Futuro Reservas'!C1558*'FR_Mantenimiento tasas'!$D$55/360,IF(C1558&lt;='FR_Mantenimiento tasas'!$C$56,'Tabla Ahorro Futuro Reservas'!C1558*'FR_Mantenimiento tasas'!$D$56/360,IF(C1558&lt;='FR_Mantenimiento tasas'!$C$57,'Tabla Ahorro Futuro Reservas'!C1558*'FR_Mantenimiento tasas'!$D$57/360,""))),5)</f>
        <v>0</v>
      </c>
      <c r="E1558" s="121">
        <f>ROUND(IF(C1558&lt;='FR_Mantenimiento tasas'!$C$55,'Tabla Ahorro Futuro Reservas'!C1558*'FR_Mantenimiento tasas'!$E$55/360,IF(C1558&lt;='FR_Mantenimiento tasas'!$C$56,'Tabla Ahorro Futuro Reservas'!C1558*'FR_Mantenimiento tasas'!$E$56/360,IF(C1558&lt;='FR_Mantenimiento tasas'!$C$57,'Tabla Ahorro Futuro Reservas'!C1558*'FR_Mantenimiento tasas'!$E$57/360,""))),5)</f>
        <v>0</v>
      </c>
    </row>
    <row r="1559" spans="1:5">
      <c r="A1559" s="123">
        <f t="shared" si="48"/>
        <v>1557</v>
      </c>
      <c r="B1559" s="122">
        <f>IF(DAY(A1559)=DAY('F-Ahorro Futuro Reservas'!$H$10),'F-Ahorro Futuro Reservas'!$H$9,0)</f>
        <v>0</v>
      </c>
      <c r="C1559" s="122">
        <f t="shared" si="49"/>
        <v>0</v>
      </c>
      <c r="D1559" s="121">
        <f>ROUND(IF(C1559&lt;='FR_Mantenimiento tasas'!$C$55,'Tabla Ahorro Futuro Reservas'!C1559*'FR_Mantenimiento tasas'!$D$55/360,IF(C1559&lt;='FR_Mantenimiento tasas'!$C$56,'Tabla Ahorro Futuro Reservas'!C1559*'FR_Mantenimiento tasas'!$D$56/360,IF(C1559&lt;='FR_Mantenimiento tasas'!$C$57,'Tabla Ahorro Futuro Reservas'!C1559*'FR_Mantenimiento tasas'!$D$57/360,""))),5)</f>
        <v>0</v>
      </c>
      <c r="E1559" s="121">
        <f>ROUND(IF(C1559&lt;='FR_Mantenimiento tasas'!$C$55,'Tabla Ahorro Futuro Reservas'!C1559*'FR_Mantenimiento tasas'!$E$55/360,IF(C1559&lt;='FR_Mantenimiento tasas'!$C$56,'Tabla Ahorro Futuro Reservas'!C1559*'FR_Mantenimiento tasas'!$E$56/360,IF(C1559&lt;='FR_Mantenimiento tasas'!$C$57,'Tabla Ahorro Futuro Reservas'!C1559*'FR_Mantenimiento tasas'!$E$57/360,""))),5)</f>
        <v>0</v>
      </c>
    </row>
    <row r="1560" spans="1:5">
      <c r="A1560" s="123">
        <f t="shared" si="48"/>
        <v>1558</v>
      </c>
      <c r="B1560" s="122">
        <f>IF(DAY(A1560)=DAY('F-Ahorro Futuro Reservas'!$H$10),'F-Ahorro Futuro Reservas'!$H$9,0)</f>
        <v>0</v>
      </c>
      <c r="C1560" s="122">
        <f t="shared" si="49"/>
        <v>0</v>
      </c>
      <c r="D1560" s="121">
        <f>ROUND(IF(C1560&lt;='FR_Mantenimiento tasas'!$C$55,'Tabla Ahorro Futuro Reservas'!C1560*'FR_Mantenimiento tasas'!$D$55/360,IF(C1560&lt;='FR_Mantenimiento tasas'!$C$56,'Tabla Ahorro Futuro Reservas'!C1560*'FR_Mantenimiento tasas'!$D$56/360,IF(C1560&lt;='FR_Mantenimiento tasas'!$C$57,'Tabla Ahorro Futuro Reservas'!C1560*'FR_Mantenimiento tasas'!$D$57/360,""))),5)</f>
        <v>0</v>
      </c>
      <c r="E1560" s="121">
        <f>ROUND(IF(C1560&lt;='FR_Mantenimiento tasas'!$C$55,'Tabla Ahorro Futuro Reservas'!C1560*'FR_Mantenimiento tasas'!$E$55/360,IF(C1560&lt;='FR_Mantenimiento tasas'!$C$56,'Tabla Ahorro Futuro Reservas'!C1560*'FR_Mantenimiento tasas'!$E$56/360,IF(C1560&lt;='FR_Mantenimiento tasas'!$C$57,'Tabla Ahorro Futuro Reservas'!C1560*'FR_Mantenimiento tasas'!$E$57/360,""))),5)</f>
        <v>0</v>
      </c>
    </row>
    <row r="1561" spans="1:5">
      <c r="A1561" s="123">
        <f t="shared" si="48"/>
        <v>1559</v>
      </c>
      <c r="B1561" s="122">
        <f>IF(DAY(A1561)=DAY('F-Ahorro Futuro Reservas'!$H$10),'F-Ahorro Futuro Reservas'!$H$9,0)</f>
        <v>0</v>
      </c>
      <c r="C1561" s="122">
        <f t="shared" si="49"/>
        <v>0</v>
      </c>
      <c r="D1561" s="121">
        <f>ROUND(IF(C1561&lt;='FR_Mantenimiento tasas'!$C$55,'Tabla Ahorro Futuro Reservas'!C1561*'FR_Mantenimiento tasas'!$D$55/360,IF(C1561&lt;='FR_Mantenimiento tasas'!$C$56,'Tabla Ahorro Futuro Reservas'!C1561*'FR_Mantenimiento tasas'!$D$56/360,IF(C1561&lt;='FR_Mantenimiento tasas'!$C$57,'Tabla Ahorro Futuro Reservas'!C1561*'FR_Mantenimiento tasas'!$D$57/360,""))),5)</f>
        <v>0</v>
      </c>
      <c r="E1561" s="121">
        <f>ROUND(IF(C1561&lt;='FR_Mantenimiento tasas'!$C$55,'Tabla Ahorro Futuro Reservas'!C1561*'FR_Mantenimiento tasas'!$E$55/360,IF(C1561&lt;='FR_Mantenimiento tasas'!$C$56,'Tabla Ahorro Futuro Reservas'!C1561*'FR_Mantenimiento tasas'!$E$56/360,IF(C1561&lt;='FR_Mantenimiento tasas'!$C$57,'Tabla Ahorro Futuro Reservas'!C1561*'FR_Mantenimiento tasas'!$E$57/360,""))),5)</f>
        <v>0</v>
      </c>
    </row>
    <row r="1562" spans="1:5">
      <c r="A1562" s="123">
        <f t="shared" si="48"/>
        <v>1560</v>
      </c>
      <c r="B1562" s="122">
        <f>IF(DAY(A1562)=DAY('F-Ahorro Futuro Reservas'!$H$10),'F-Ahorro Futuro Reservas'!$H$9,0)</f>
        <v>0</v>
      </c>
      <c r="C1562" s="122">
        <f t="shared" si="49"/>
        <v>0</v>
      </c>
      <c r="D1562" s="121">
        <f>ROUND(IF(C1562&lt;='FR_Mantenimiento tasas'!$C$55,'Tabla Ahorro Futuro Reservas'!C1562*'FR_Mantenimiento tasas'!$D$55/360,IF(C1562&lt;='FR_Mantenimiento tasas'!$C$56,'Tabla Ahorro Futuro Reservas'!C1562*'FR_Mantenimiento tasas'!$D$56/360,IF(C1562&lt;='FR_Mantenimiento tasas'!$C$57,'Tabla Ahorro Futuro Reservas'!C1562*'FR_Mantenimiento tasas'!$D$57/360,""))),5)</f>
        <v>0</v>
      </c>
      <c r="E1562" s="121">
        <f>ROUND(IF(C1562&lt;='FR_Mantenimiento tasas'!$C$55,'Tabla Ahorro Futuro Reservas'!C1562*'FR_Mantenimiento tasas'!$E$55/360,IF(C1562&lt;='FR_Mantenimiento tasas'!$C$56,'Tabla Ahorro Futuro Reservas'!C1562*'FR_Mantenimiento tasas'!$E$56/360,IF(C1562&lt;='FR_Mantenimiento tasas'!$C$57,'Tabla Ahorro Futuro Reservas'!C1562*'FR_Mantenimiento tasas'!$E$57/360,""))),5)</f>
        <v>0</v>
      </c>
    </row>
    <row r="1563" spans="1:5">
      <c r="A1563" s="123">
        <f t="shared" si="48"/>
        <v>1561</v>
      </c>
      <c r="B1563" s="122">
        <f>IF(DAY(A1563)=DAY('F-Ahorro Futuro Reservas'!$H$10),'F-Ahorro Futuro Reservas'!$H$9,0)</f>
        <v>0</v>
      </c>
      <c r="C1563" s="122">
        <f t="shared" si="49"/>
        <v>0</v>
      </c>
      <c r="D1563" s="121">
        <f>ROUND(IF(C1563&lt;='FR_Mantenimiento tasas'!$C$55,'Tabla Ahorro Futuro Reservas'!C1563*'FR_Mantenimiento tasas'!$D$55/360,IF(C1563&lt;='FR_Mantenimiento tasas'!$C$56,'Tabla Ahorro Futuro Reservas'!C1563*'FR_Mantenimiento tasas'!$D$56/360,IF(C1563&lt;='FR_Mantenimiento tasas'!$C$57,'Tabla Ahorro Futuro Reservas'!C1563*'FR_Mantenimiento tasas'!$D$57/360,""))),5)</f>
        <v>0</v>
      </c>
      <c r="E1563" s="121">
        <f>ROUND(IF(C1563&lt;='FR_Mantenimiento tasas'!$C$55,'Tabla Ahorro Futuro Reservas'!C1563*'FR_Mantenimiento tasas'!$E$55/360,IF(C1563&lt;='FR_Mantenimiento tasas'!$C$56,'Tabla Ahorro Futuro Reservas'!C1563*'FR_Mantenimiento tasas'!$E$56/360,IF(C1563&lt;='FR_Mantenimiento tasas'!$C$57,'Tabla Ahorro Futuro Reservas'!C1563*'FR_Mantenimiento tasas'!$E$57/360,""))),5)</f>
        <v>0</v>
      </c>
    </row>
    <row r="1564" spans="1:5">
      <c r="A1564" s="123">
        <f t="shared" si="48"/>
        <v>1562</v>
      </c>
      <c r="B1564" s="122">
        <f>IF(DAY(A1564)=DAY('F-Ahorro Futuro Reservas'!$H$10),'F-Ahorro Futuro Reservas'!$H$9,0)</f>
        <v>0</v>
      </c>
      <c r="C1564" s="122">
        <f t="shared" si="49"/>
        <v>0</v>
      </c>
      <c r="D1564" s="121">
        <f>ROUND(IF(C1564&lt;='FR_Mantenimiento tasas'!$C$55,'Tabla Ahorro Futuro Reservas'!C1564*'FR_Mantenimiento tasas'!$D$55/360,IF(C1564&lt;='FR_Mantenimiento tasas'!$C$56,'Tabla Ahorro Futuro Reservas'!C1564*'FR_Mantenimiento tasas'!$D$56/360,IF(C1564&lt;='FR_Mantenimiento tasas'!$C$57,'Tabla Ahorro Futuro Reservas'!C1564*'FR_Mantenimiento tasas'!$D$57/360,""))),5)</f>
        <v>0</v>
      </c>
      <c r="E1564" s="121">
        <f>ROUND(IF(C1564&lt;='FR_Mantenimiento tasas'!$C$55,'Tabla Ahorro Futuro Reservas'!C1564*'FR_Mantenimiento tasas'!$E$55/360,IF(C1564&lt;='FR_Mantenimiento tasas'!$C$56,'Tabla Ahorro Futuro Reservas'!C1564*'FR_Mantenimiento tasas'!$E$56/360,IF(C1564&lt;='FR_Mantenimiento tasas'!$C$57,'Tabla Ahorro Futuro Reservas'!C1564*'FR_Mantenimiento tasas'!$E$57/360,""))),5)</f>
        <v>0</v>
      </c>
    </row>
    <row r="1565" spans="1:5">
      <c r="A1565" s="123">
        <f t="shared" si="48"/>
        <v>1563</v>
      </c>
      <c r="B1565" s="122">
        <f>IF(DAY(A1565)=DAY('F-Ahorro Futuro Reservas'!$H$10),'F-Ahorro Futuro Reservas'!$H$9,0)</f>
        <v>0</v>
      </c>
      <c r="C1565" s="122">
        <f t="shared" si="49"/>
        <v>0</v>
      </c>
      <c r="D1565" s="121">
        <f>ROUND(IF(C1565&lt;='FR_Mantenimiento tasas'!$C$55,'Tabla Ahorro Futuro Reservas'!C1565*'FR_Mantenimiento tasas'!$D$55/360,IF(C1565&lt;='FR_Mantenimiento tasas'!$C$56,'Tabla Ahorro Futuro Reservas'!C1565*'FR_Mantenimiento tasas'!$D$56/360,IF(C1565&lt;='FR_Mantenimiento tasas'!$C$57,'Tabla Ahorro Futuro Reservas'!C1565*'FR_Mantenimiento tasas'!$D$57/360,""))),5)</f>
        <v>0</v>
      </c>
      <c r="E1565" s="121">
        <f>ROUND(IF(C1565&lt;='FR_Mantenimiento tasas'!$C$55,'Tabla Ahorro Futuro Reservas'!C1565*'FR_Mantenimiento tasas'!$E$55/360,IF(C1565&lt;='FR_Mantenimiento tasas'!$C$56,'Tabla Ahorro Futuro Reservas'!C1565*'FR_Mantenimiento tasas'!$E$56/360,IF(C1565&lt;='FR_Mantenimiento tasas'!$C$57,'Tabla Ahorro Futuro Reservas'!C1565*'FR_Mantenimiento tasas'!$E$57/360,""))),5)</f>
        <v>0</v>
      </c>
    </row>
    <row r="1566" spans="1:5">
      <c r="A1566" s="123">
        <f t="shared" si="48"/>
        <v>1564</v>
      </c>
      <c r="B1566" s="122">
        <f>IF(DAY(A1566)=DAY('F-Ahorro Futuro Reservas'!$H$10),'F-Ahorro Futuro Reservas'!$H$9,0)</f>
        <v>0</v>
      </c>
      <c r="C1566" s="122">
        <f t="shared" si="49"/>
        <v>0</v>
      </c>
      <c r="D1566" s="121">
        <f>ROUND(IF(C1566&lt;='FR_Mantenimiento tasas'!$C$55,'Tabla Ahorro Futuro Reservas'!C1566*'FR_Mantenimiento tasas'!$D$55/360,IF(C1566&lt;='FR_Mantenimiento tasas'!$C$56,'Tabla Ahorro Futuro Reservas'!C1566*'FR_Mantenimiento tasas'!$D$56/360,IF(C1566&lt;='FR_Mantenimiento tasas'!$C$57,'Tabla Ahorro Futuro Reservas'!C1566*'FR_Mantenimiento tasas'!$D$57/360,""))),5)</f>
        <v>0</v>
      </c>
      <c r="E1566" s="121">
        <f>ROUND(IF(C1566&lt;='FR_Mantenimiento tasas'!$C$55,'Tabla Ahorro Futuro Reservas'!C1566*'FR_Mantenimiento tasas'!$E$55/360,IF(C1566&lt;='FR_Mantenimiento tasas'!$C$56,'Tabla Ahorro Futuro Reservas'!C1566*'FR_Mantenimiento tasas'!$E$56/360,IF(C1566&lt;='FR_Mantenimiento tasas'!$C$57,'Tabla Ahorro Futuro Reservas'!C1566*'FR_Mantenimiento tasas'!$E$57/360,""))),5)</f>
        <v>0</v>
      </c>
    </row>
    <row r="1567" spans="1:5">
      <c r="A1567" s="123">
        <f t="shared" si="48"/>
        <v>1565</v>
      </c>
      <c r="B1567" s="122">
        <f>IF(DAY(A1567)=DAY('F-Ahorro Futuro Reservas'!$H$10),'F-Ahorro Futuro Reservas'!$H$9,0)</f>
        <v>0</v>
      </c>
      <c r="C1567" s="122">
        <f t="shared" si="49"/>
        <v>0</v>
      </c>
      <c r="D1567" s="121">
        <f>ROUND(IF(C1567&lt;='FR_Mantenimiento tasas'!$C$55,'Tabla Ahorro Futuro Reservas'!C1567*'FR_Mantenimiento tasas'!$D$55/360,IF(C1567&lt;='FR_Mantenimiento tasas'!$C$56,'Tabla Ahorro Futuro Reservas'!C1567*'FR_Mantenimiento tasas'!$D$56/360,IF(C1567&lt;='FR_Mantenimiento tasas'!$C$57,'Tabla Ahorro Futuro Reservas'!C1567*'FR_Mantenimiento tasas'!$D$57/360,""))),5)</f>
        <v>0</v>
      </c>
      <c r="E1567" s="121">
        <f>ROUND(IF(C1567&lt;='FR_Mantenimiento tasas'!$C$55,'Tabla Ahorro Futuro Reservas'!C1567*'FR_Mantenimiento tasas'!$E$55/360,IF(C1567&lt;='FR_Mantenimiento tasas'!$C$56,'Tabla Ahorro Futuro Reservas'!C1567*'FR_Mantenimiento tasas'!$E$56/360,IF(C1567&lt;='FR_Mantenimiento tasas'!$C$57,'Tabla Ahorro Futuro Reservas'!C1567*'FR_Mantenimiento tasas'!$E$57/360,""))),5)</f>
        <v>0</v>
      </c>
    </row>
    <row r="1568" spans="1:5">
      <c r="A1568" s="123">
        <f t="shared" si="48"/>
        <v>1566</v>
      </c>
      <c r="B1568" s="122">
        <f>IF(DAY(A1568)=DAY('F-Ahorro Futuro Reservas'!$H$10),'F-Ahorro Futuro Reservas'!$H$9,0)</f>
        <v>0</v>
      </c>
      <c r="C1568" s="122">
        <f t="shared" si="49"/>
        <v>0</v>
      </c>
      <c r="D1568" s="121">
        <f>ROUND(IF(C1568&lt;='FR_Mantenimiento tasas'!$C$55,'Tabla Ahorro Futuro Reservas'!C1568*'FR_Mantenimiento tasas'!$D$55/360,IF(C1568&lt;='FR_Mantenimiento tasas'!$C$56,'Tabla Ahorro Futuro Reservas'!C1568*'FR_Mantenimiento tasas'!$D$56/360,IF(C1568&lt;='FR_Mantenimiento tasas'!$C$57,'Tabla Ahorro Futuro Reservas'!C1568*'FR_Mantenimiento tasas'!$D$57/360,""))),5)</f>
        <v>0</v>
      </c>
      <c r="E1568" s="121">
        <f>ROUND(IF(C1568&lt;='FR_Mantenimiento tasas'!$C$55,'Tabla Ahorro Futuro Reservas'!C1568*'FR_Mantenimiento tasas'!$E$55/360,IF(C1568&lt;='FR_Mantenimiento tasas'!$C$56,'Tabla Ahorro Futuro Reservas'!C1568*'FR_Mantenimiento tasas'!$E$56/360,IF(C1568&lt;='FR_Mantenimiento tasas'!$C$57,'Tabla Ahorro Futuro Reservas'!C1568*'FR_Mantenimiento tasas'!$E$57/360,""))),5)</f>
        <v>0</v>
      </c>
    </row>
    <row r="1569" spans="1:5">
      <c r="A1569" s="123">
        <f t="shared" si="48"/>
        <v>1567</v>
      </c>
      <c r="B1569" s="122">
        <f>IF(DAY(A1569)=DAY('F-Ahorro Futuro Reservas'!$H$10),'F-Ahorro Futuro Reservas'!$H$9,0)</f>
        <v>0</v>
      </c>
      <c r="C1569" s="122">
        <f t="shared" si="49"/>
        <v>0</v>
      </c>
      <c r="D1569" s="121">
        <f>ROUND(IF(C1569&lt;='FR_Mantenimiento tasas'!$C$55,'Tabla Ahorro Futuro Reservas'!C1569*'FR_Mantenimiento tasas'!$D$55/360,IF(C1569&lt;='FR_Mantenimiento tasas'!$C$56,'Tabla Ahorro Futuro Reservas'!C1569*'FR_Mantenimiento tasas'!$D$56/360,IF(C1569&lt;='FR_Mantenimiento tasas'!$C$57,'Tabla Ahorro Futuro Reservas'!C1569*'FR_Mantenimiento tasas'!$D$57/360,""))),5)</f>
        <v>0</v>
      </c>
      <c r="E1569" s="121">
        <f>ROUND(IF(C1569&lt;='FR_Mantenimiento tasas'!$C$55,'Tabla Ahorro Futuro Reservas'!C1569*'FR_Mantenimiento tasas'!$E$55/360,IF(C1569&lt;='FR_Mantenimiento tasas'!$C$56,'Tabla Ahorro Futuro Reservas'!C1569*'FR_Mantenimiento tasas'!$E$56/360,IF(C1569&lt;='FR_Mantenimiento tasas'!$C$57,'Tabla Ahorro Futuro Reservas'!C1569*'FR_Mantenimiento tasas'!$E$57/360,""))),5)</f>
        <v>0</v>
      </c>
    </row>
    <row r="1570" spans="1:5">
      <c r="A1570" s="123">
        <f t="shared" si="48"/>
        <v>1568</v>
      </c>
      <c r="B1570" s="122">
        <f>IF(DAY(A1570)=DAY('F-Ahorro Futuro Reservas'!$H$10),'F-Ahorro Futuro Reservas'!$H$9,0)</f>
        <v>0</v>
      </c>
      <c r="C1570" s="122">
        <f t="shared" si="49"/>
        <v>0</v>
      </c>
      <c r="D1570" s="121">
        <f>ROUND(IF(C1570&lt;='FR_Mantenimiento tasas'!$C$55,'Tabla Ahorro Futuro Reservas'!C1570*'FR_Mantenimiento tasas'!$D$55/360,IF(C1570&lt;='FR_Mantenimiento tasas'!$C$56,'Tabla Ahorro Futuro Reservas'!C1570*'FR_Mantenimiento tasas'!$D$56/360,IF(C1570&lt;='FR_Mantenimiento tasas'!$C$57,'Tabla Ahorro Futuro Reservas'!C1570*'FR_Mantenimiento tasas'!$D$57/360,""))),5)</f>
        <v>0</v>
      </c>
      <c r="E1570" s="121">
        <f>ROUND(IF(C1570&lt;='FR_Mantenimiento tasas'!$C$55,'Tabla Ahorro Futuro Reservas'!C1570*'FR_Mantenimiento tasas'!$E$55/360,IF(C1570&lt;='FR_Mantenimiento tasas'!$C$56,'Tabla Ahorro Futuro Reservas'!C1570*'FR_Mantenimiento tasas'!$E$56/360,IF(C1570&lt;='FR_Mantenimiento tasas'!$C$57,'Tabla Ahorro Futuro Reservas'!C1570*'FR_Mantenimiento tasas'!$E$57/360,""))),5)</f>
        <v>0</v>
      </c>
    </row>
    <row r="1571" spans="1:5">
      <c r="A1571" s="123">
        <f t="shared" si="48"/>
        <v>1569</v>
      </c>
      <c r="B1571" s="122">
        <f>IF(DAY(A1571)=DAY('F-Ahorro Futuro Reservas'!$H$10),'F-Ahorro Futuro Reservas'!$H$9,0)</f>
        <v>0</v>
      </c>
      <c r="C1571" s="122">
        <f t="shared" si="49"/>
        <v>0</v>
      </c>
      <c r="D1571" s="121">
        <f>ROUND(IF(C1571&lt;='FR_Mantenimiento tasas'!$C$55,'Tabla Ahorro Futuro Reservas'!C1571*'FR_Mantenimiento tasas'!$D$55/360,IF(C1571&lt;='FR_Mantenimiento tasas'!$C$56,'Tabla Ahorro Futuro Reservas'!C1571*'FR_Mantenimiento tasas'!$D$56/360,IF(C1571&lt;='FR_Mantenimiento tasas'!$C$57,'Tabla Ahorro Futuro Reservas'!C1571*'FR_Mantenimiento tasas'!$D$57/360,""))),5)</f>
        <v>0</v>
      </c>
      <c r="E1571" s="121">
        <f>ROUND(IF(C1571&lt;='FR_Mantenimiento tasas'!$C$55,'Tabla Ahorro Futuro Reservas'!C1571*'FR_Mantenimiento tasas'!$E$55/360,IF(C1571&lt;='FR_Mantenimiento tasas'!$C$56,'Tabla Ahorro Futuro Reservas'!C1571*'FR_Mantenimiento tasas'!$E$56/360,IF(C1571&lt;='FR_Mantenimiento tasas'!$C$57,'Tabla Ahorro Futuro Reservas'!C1571*'FR_Mantenimiento tasas'!$E$57/360,""))),5)</f>
        <v>0</v>
      </c>
    </row>
    <row r="1572" spans="1:5">
      <c r="A1572" s="123">
        <f t="shared" si="48"/>
        <v>1570</v>
      </c>
      <c r="B1572" s="122">
        <f>IF(DAY(A1572)=DAY('F-Ahorro Futuro Reservas'!$H$10),'F-Ahorro Futuro Reservas'!$H$9,0)</f>
        <v>0</v>
      </c>
      <c r="C1572" s="122">
        <f t="shared" si="49"/>
        <v>0</v>
      </c>
      <c r="D1572" s="121">
        <f>ROUND(IF(C1572&lt;='FR_Mantenimiento tasas'!$C$55,'Tabla Ahorro Futuro Reservas'!C1572*'FR_Mantenimiento tasas'!$D$55/360,IF(C1572&lt;='FR_Mantenimiento tasas'!$C$56,'Tabla Ahorro Futuro Reservas'!C1572*'FR_Mantenimiento tasas'!$D$56/360,IF(C1572&lt;='FR_Mantenimiento tasas'!$C$57,'Tabla Ahorro Futuro Reservas'!C1572*'FR_Mantenimiento tasas'!$D$57/360,""))),5)</f>
        <v>0</v>
      </c>
      <c r="E1572" s="121">
        <f>ROUND(IF(C1572&lt;='FR_Mantenimiento tasas'!$C$55,'Tabla Ahorro Futuro Reservas'!C1572*'FR_Mantenimiento tasas'!$E$55/360,IF(C1572&lt;='FR_Mantenimiento tasas'!$C$56,'Tabla Ahorro Futuro Reservas'!C1572*'FR_Mantenimiento tasas'!$E$56/360,IF(C1572&lt;='FR_Mantenimiento tasas'!$C$57,'Tabla Ahorro Futuro Reservas'!C1572*'FR_Mantenimiento tasas'!$E$57/360,""))),5)</f>
        <v>0</v>
      </c>
    </row>
    <row r="1573" spans="1:5">
      <c r="A1573" s="123">
        <f t="shared" si="48"/>
        <v>1571</v>
      </c>
      <c r="B1573" s="122">
        <f>IF(DAY(A1573)=DAY('F-Ahorro Futuro Reservas'!$H$10),'F-Ahorro Futuro Reservas'!$H$9,0)</f>
        <v>0</v>
      </c>
      <c r="C1573" s="122">
        <f t="shared" si="49"/>
        <v>0</v>
      </c>
      <c r="D1573" s="121">
        <f>ROUND(IF(C1573&lt;='FR_Mantenimiento tasas'!$C$55,'Tabla Ahorro Futuro Reservas'!C1573*'FR_Mantenimiento tasas'!$D$55/360,IF(C1573&lt;='FR_Mantenimiento tasas'!$C$56,'Tabla Ahorro Futuro Reservas'!C1573*'FR_Mantenimiento tasas'!$D$56/360,IF(C1573&lt;='FR_Mantenimiento tasas'!$C$57,'Tabla Ahorro Futuro Reservas'!C1573*'FR_Mantenimiento tasas'!$D$57/360,""))),5)</f>
        <v>0</v>
      </c>
      <c r="E1573" s="121">
        <f>ROUND(IF(C1573&lt;='FR_Mantenimiento tasas'!$C$55,'Tabla Ahorro Futuro Reservas'!C1573*'FR_Mantenimiento tasas'!$E$55/360,IF(C1573&lt;='FR_Mantenimiento tasas'!$C$56,'Tabla Ahorro Futuro Reservas'!C1573*'FR_Mantenimiento tasas'!$E$56/360,IF(C1573&lt;='FR_Mantenimiento tasas'!$C$57,'Tabla Ahorro Futuro Reservas'!C1573*'FR_Mantenimiento tasas'!$E$57/360,""))),5)</f>
        <v>0</v>
      </c>
    </row>
    <row r="1574" spans="1:5">
      <c r="A1574" s="123">
        <f t="shared" si="48"/>
        <v>1572</v>
      </c>
      <c r="B1574" s="122">
        <f>IF(DAY(A1574)=DAY('F-Ahorro Futuro Reservas'!$H$10),'F-Ahorro Futuro Reservas'!$H$9,0)</f>
        <v>0</v>
      </c>
      <c r="C1574" s="122">
        <f t="shared" si="49"/>
        <v>0</v>
      </c>
      <c r="D1574" s="121">
        <f>ROUND(IF(C1574&lt;='FR_Mantenimiento tasas'!$C$55,'Tabla Ahorro Futuro Reservas'!C1574*'FR_Mantenimiento tasas'!$D$55/360,IF(C1574&lt;='FR_Mantenimiento tasas'!$C$56,'Tabla Ahorro Futuro Reservas'!C1574*'FR_Mantenimiento tasas'!$D$56/360,IF(C1574&lt;='FR_Mantenimiento tasas'!$C$57,'Tabla Ahorro Futuro Reservas'!C1574*'FR_Mantenimiento tasas'!$D$57/360,""))),5)</f>
        <v>0</v>
      </c>
      <c r="E1574" s="121">
        <f>ROUND(IF(C1574&lt;='FR_Mantenimiento tasas'!$C$55,'Tabla Ahorro Futuro Reservas'!C1574*'FR_Mantenimiento tasas'!$E$55/360,IF(C1574&lt;='FR_Mantenimiento tasas'!$C$56,'Tabla Ahorro Futuro Reservas'!C1574*'FR_Mantenimiento tasas'!$E$56/360,IF(C1574&lt;='FR_Mantenimiento tasas'!$C$57,'Tabla Ahorro Futuro Reservas'!C1574*'FR_Mantenimiento tasas'!$E$57/360,""))),5)</f>
        <v>0</v>
      </c>
    </row>
    <row r="1575" spans="1:5">
      <c r="A1575" s="123">
        <f t="shared" si="48"/>
        <v>1573</v>
      </c>
      <c r="B1575" s="122">
        <f>IF(DAY(A1575)=DAY('F-Ahorro Futuro Reservas'!$H$10),'F-Ahorro Futuro Reservas'!$H$9,0)</f>
        <v>0</v>
      </c>
      <c r="C1575" s="122">
        <f t="shared" si="49"/>
        <v>0</v>
      </c>
      <c r="D1575" s="121">
        <f>ROUND(IF(C1575&lt;='FR_Mantenimiento tasas'!$C$55,'Tabla Ahorro Futuro Reservas'!C1575*'FR_Mantenimiento tasas'!$D$55/360,IF(C1575&lt;='FR_Mantenimiento tasas'!$C$56,'Tabla Ahorro Futuro Reservas'!C1575*'FR_Mantenimiento tasas'!$D$56/360,IF(C1575&lt;='FR_Mantenimiento tasas'!$C$57,'Tabla Ahorro Futuro Reservas'!C1575*'FR_Mantenimiento tasas'!$D$57/360,""))),5)</f>
        <v>0</v>
      </c>
      <c r="E1575" s="121">
        <f>ROUND(IF(C1575&lt;='FR_Mantenimiento tasas'!$C$55,'Tabla Ahorro Futuro Reservas'!C1575*'FR_Mantenimiento tasas'!$E$55/360,IF(C1575&lt;='FR_Mantenimiento tasas'!$C$56,'Tabla Ahorro Futuro Reservas'!C1575*'FR_Mantenimiento tasas'!$E$56/360,IF(C1575&lt;='FR_Mantenimiento tasas'!$C$57,'Tabla Ahorro Futuro Reservas'!C1575*'FR_Mantenimiento tasas'!$E$57/360,""))),5)</f>
        <v>0</v>
      </c>
    </row>
    <row r="1576" spans="1:5">
      <c r="A1576" s="123">
        <f t="shared" si="48"/>
        <v>1574</v>
      </c>
      <c r="B1576" s="122">
        <f>IF(DAY(A1576)=DAY('F-Ahorro Futuro Reservas'!$H$10),'F-Ahorro Futuro Reservas'!$H$9,0)</f>
        <v>0</v>
      </c>
      <c r="C1576" s="122">
        <f t="shared" si="49"/>
        <v>0</v>
      </c>
      <c r="D1576" s="121">
        <f>ROUND(IF(C1576&lt;='FR_Mantenimiento tasas'!$C$55,'Tabla Ahorro Futuro Reservas'!C1576*'FR_Mantenimiento tasas'!$D$55/360,IF(C1576&lt;='FR_Mantenimiento tasas'!$C$56,'Tabla Ahorro Futuro Reservas'!C1576*'FR_Mantenimiento tasas'!$D$56/360,IF(C1576&lt;='FR_Mantenimiento tasas'!$C$57,'Tabla Ahorro Futuro Reservas'!C1576*'FR_Mantenimiento tasas'!$D$57/360,""))),5)</f>
        <v>0</v>
      </c>
      <c r="E1576" s="121">
        <f>ROUND(IF(C1576&lt;='FR_Mantenimiento tasas'!$C$55,'Tabla Ahorro Futuro Reservas'!C1576*'FR_Mantenimiento tasas'!$E$55/360,IF(C1576&lt;='FR_Mantenimiento tasas'!$C$56,'Tabla Ahorro Futuro Reservas'!C1576*'FR_Mantenimiento tasas'!$E$56/360,IF(C1576&lt;='FR_Mantenimiento tasas'!$C$57,'Tabla Ahorro Futuro Reservas'!C1576*'FR_Mantenimiento tasas'!$E$57/360,""))),5)</f>
        <v>0</v>
      </c>
    </row>
    <row r="1577" spans="1:5">
      <c r="A1577" s="123">
        <f t="shared" si="48"/>
        <v>1575</v>
      </c>
      <c r="B1577" s="122">
        <f>IF(DAY(A1577)=DAY('F-Ahorro Futuro Reservas'!$H$10),'F-Ahorro Futuro Reservas'!$H$9,0)</f>
        <v>0</v>
      </c>
      <c r="C1577" s="122">
        <f t="shared" si="49"/>
        <v>0</v>
      </c>
      <c r="D1577" s="121">
        <f>ROUND(IF(C1577&lt;='FR_Mantenimiento tasas'!$C$55,'Tabla Ahorro Futuro Reservas'!C1577*'FR_Mantenimiento tasas'!$D$55/360,IF(C1577&lt;='FR_Mantenimiento tasas'!$C$56,'Tabla Ahorro Futuro Reservas'!C1577*'FR_Mantenimiento tasas'!$D$56/360,IF(C1577&lt;='FR_Mantenimiento tasas'!$C$57,'Tabla Ahorro Futuro Reservas'!C1577*'FR_Mantenimiento tasas'!$D$57/360,""))),5)</f>
        <v>0</v>
      </c>
      <c r="E1577" s="121">
        <f>ROUND(IF(C1577&lt;='FR_Mantenimiento tasas'!$C$55,'Tabla Ahorro Futuro Reservas'!C1577*'FR_Mantenimiento tasas'!$E$55/360,IF(C1577&lt;='FR_Mantenimiento tasas'!$C$56,'Tabla Ahorro Futuro Reservas'!C1577*'FR_Mantenimiento tasas'!$E$56/360,IF(C1577&lt;='FR_Mantenimiento tasas'!$C$57,'Tabla Ahorro Futuro Reservas'!C1577*'FR_Mantenimiento tasas'!$E$57/360,""))),5)</f>
        <v>0</v>
      </c>
    </row>
    <row r="1578" spans="1:5">
      <c r="A1578" s="123">
        <f t="shared" si="48"/>
        <v>1576</v>
      </c>
      <c r="B1578" s="122">
        <f>IF(DAY(A1578)=DAY('F-Ahorro Futuro Reservas'!$H$10),'F-Ahorro Futuro Reservas'!$H$9,0)</f>
        <v>0</v>
      </c>
      <c r="C1578" s="122">
        <f t="shared" si="49"/>
        <v>0</v>
      </c>
      <c r="D1578" s="121">
        <f>ROUND(IF(C1578&lt;='FR_Mantenimiento tasas'!$C$55,'Tabla Ahorro Futuro Reservas'!C1578*'FR_Mantenimiento tasas'!$D$55/360,IF(C1578&lt;='FR_Mantenimiento tasas'!$C$56,'Tabla Ahorro Futuro Reservas'!C1578*'FR_Mantenimiento tasas'!$D$56/360,IF(C1578&lt;='FR_Mantenimiento tasas'!$C$57,'Tabla Ahorro Futuro Reservas'!C1578*'FR_Mantenimiento tasas'!$D$57/360,""))),5)</f>
        <v>0</v>
      </c>
      <c r="E1578" s="121">
        <f>ROUND(IF(C1578&lt;='FR_Mantenimiento tasas'!$C$55,'Tabla Ahorro Futuro Reservas'!C1578*'FR_Mantenimiento tasas'!$E$55/360,IF(C1578&lt;='FR_Mantenimiento tasas'!$C$56,'Tabla Ahorro Futuro Reservas'!C1578*'FR_Mantenimiento tasas'!$E$56/360,IF(C1578&lt;='FR_Mantenimiento tasas'!$C$57,'Tabla Ahorro Futuro Reservas'!C1578*'FR_Mantenimiento tasas'!$E$57/360,""))),5)</f>
        <v>0</v>
      </c>
    </row>
    <row r="1579" spans="1:5">
      <c r="A1579" s="123">
        <f t="shared" si="48"/>
        <v>1577</v>
      </c>
      <c r="B1579" s="122">
        <f>IF(DAY(A1579)=DAY('F-Ahorro Futuro Reservas'!$H$10),'F-Ahorro Futuro Reservas'!$H$9,0)</f>
        <v>0</v>
      </c>
      <c r="C1579" s="122">
        <f t="shared" si="49"/>
        <v>0</v>
      </c>
      <c r="D1579" s="121">
        <f>ROUND(IF(C1579&lt;='FR_Mantenimiento tasas'!$C$55,'Tabla Ahorro Futuro Reservas'!C1579*'FR_Mantenimiento tasas'!$D$55/360,IF(C1579&lt;='FR_Mantenimiento tasas'!$C$56,'Tabla Ahorro Futuro Reservas'!C1579*'FR_Mantenimiento tasas'!$D$56/360,IF(C1579&lt;='FR_Mantenimiento tasas'!$C$57,'Tabla Ahorro Futuro Reservas'!C1579*'FR_Mantenimiento tasas'!$D$57/360,""))),5)</f>
        <v>0</v>
      </c>
      <c r="E1579" s="121">
        <f>ROUND(IF(C1579&lt;='FR_Mantenimiento tasas'!$C$55,'Tabla Ahorro Futuro Reservas'!C1579*'FR_Mantenimiento tasas'!$E$55/360,IF(C1579&lt;='FR_Mantenimiento tasas'!$C$56,'Tabla Ahorro Futuro Reservas'!C1579*'FR_Mantenimiento tasas'!$E$56/360,IF(C1579&lt;='FR_Mantenimiento tasas'!$C$57,'Tabla Ahorro Futuro Reservas'!C1579*'FR_Mantenimiento tasas'!$E$57/360,""))),5)</f>
        <v>0</v>
      </c>
    </row>
    <row r="1580" spans="1:5">
      <c r="A1580" s="123">
        <f t="shared" si="48"/>
        <v>1578</v>
      </c>
      <c r="B1580" s="122">
        <f>IF(DAY(A1580)=DAY('F-Ahorro Futuro Reservas'!$H$10),'F-Ahorro Futuro Reservas'!$H$9,0)</f>
        <v>0</v>
      </c>
      <c r="C1580" s="122">
        <f t="shared" si="49"/>
        <v>0</v>
      </c>
      <c r="D1580" s="121">
        <f>ROUND(IF(C1580&lt;='FR_Mantenimiento tasas'!$C$55,'Tabla Ahorro Futuro Reservas'!C1580*'FR_Mantenimiento tasas'!$D$55/360,IF(C1580&lt;='FR_Mantenimiento tasas'!$C$56,'Tabla Ahorro Futuro Reservas'!C1580*'FR_Mantenimiento tasas'!$D$56/360,IF(C1580&lt;='FR_Mantenimiento tasas'!$C$57,'Tabla Ahorro Futuro Reservas'!C1580*'FR_Mantenimiento tasas'!$D$57/360,""))),5)</f>
        <v>0</v>
      </c>
      <c r="E1580" s="121">
        <f>ROUND(IF(C1580&lt;='FR_Mantenimiento tasas'!$C$55,'Tabla Ahorro Futuro Reservas'!C1580*'FR_Mantenimiento tasas'!$E$55/360,IF(C1580&lt;='FR_Mantenimiento tasas'!$C$56,'Tabla Ahorro Futuro Reservas'!C1580*'FR_Mantenimiento tasas'!$E$56/360,IF(C1580&lt;='FR_Mantenimiento tasas'!$C$57,'Tabla Ahorro Futuro Reservas'!C1580*'FR_Mantenimiento tasas'!$E$57/360,""))),5)</f>
        <v>0</v>
      </c>
    </row>
    <row r="1581" spans="1:5">
      <c r="A1581" s="123">
        <f t="shared" si="48"/>
        <v>1579</v>
      </c>
      <c r="B1581" s="122">
        <f>IF(DAY(A1581)=DAY('F-Ahorro Futuro Reservas'!$H$10),'F-Ahorro Futuro Reservas'!$H$9,0)</f>
        <v>0</v>
      </c>
      <c r="C1581" s="122">
        <f t="shared" si="49"/>
        <v>0</v>
      </c>
      <c r="D1581" s="121">
        <f>ROUND(IF(C1581&lt;='FR_Mantenimiento tasas'!$C$55,'Tabla Ahorro Futuro Reservas'!C1581*'FR_Mantenimiento tasas'!$D$55/360,IF(C1581&lt;='FR_Mantenimiento tasas'!$C$56,'Tabla Ahorro Futuro Reservas'!C1581*'FR_Mantenimiento tasas'!$D$56/360,IF(C1581&lt;='FR_Mantenimiento tasas'!$C$57,'Tabla Ahorro Futuro Reservas'!C1581*'FR_Mantenimiento tasas'!$D$57/360,""))),5)</f>
        <v>0</v>
      </c>
      <c r="E1581" s="121">
        <f>ROUND(IF(C1581&lt;='FR_Mantenimiento tasas'!$C$55,'Tabla Ahorro Futuro Reservas'!C1581*'FR_Mantenimiento tasas'!$E$55/360,IF(C1581&lt;='FR_Mantenimiento tasas'!$C$56,'Tabla Ahorro Futuro Reservas'!C1581*'FR_Mantenimiento tasas'!$E$56/360,IF(C1581&lt;='FR_Mantenimiento tasas'!$C$57,'Tabla Ahorro Futuro Reservas'!C1581*'FR_Mantenimiento tasas'!$E$57/360,""))),5)</f>
        <v>0</v>
      </c>
    </row>
    <row r="1582" spans="1:5">
      <c r="A1582" s="123">
        <f t="shared" si="48"/>
        <v>1580</v>
      </c>
      <c r="B1582" s="122">
        <f>IF(DAY(A1582)=DAY('F-Ahorro Futuro Reservas'!$H$10),'F-Ahorro Futuro Reservas'!$H$9,0)</f>
        <v>0</v>
      </c>
      <c r="C1582" s="122">
        <f t="shared" si="49"/>
        <v>0</v>
      </c>
      <c r="D1582" s="121">
        <f>ROUND(IF(C1582&lt;='FR_Mantenimiento tasas'!$C$55,'Tabla Ahorro Futuro Reservas'!C1582*'FR_Mantenimiento tasas'!$D$55/360,IF(C1582&lt;='FR_Mantenimiento tasas'!$C$56,'Tabla Ahorro Futuro Reservas'!C1582*'FR_Mantenimiento tasas'!$D$56/360,IF(C1582&lt;='FR_Mantenimiento tasas'!$C$57,'Tabla Ahorro Futuro Reservas'!C1582*'FR_Mantenimiento tasas'!$D$57/360,""))),5)</f>
        <v>0</v>
      </c>
      <c r="E1582" s="121">
        <f>ROUND(IF(C1582&lt;='FR_Mantenimiento tasas'!$C$55,'Tabla Ahorro Futuro Reservas'!C1582*'FR_Mantenimiento tasas'!$E$55/360,IF(C1582&lt;='FR_Mantenimiento tasas'!$C$56,'Tabla Ahorro Futuro Reservas'!C1582*'FR_Mantenimiento tasas'!$E$56/360,IF(C1582&lt;='FR_Mantenimiento tasas'!$C$57,'Tabla Ahorro Futuro Reservas'!C1582*'FR_Mantenimiento tasas'!$E$57/360,""))),5)</f>
        <v>0</v>
      </c>
    </row>
    <row r="1583" spans="1:5">
      <c r="A1583" s="123">
        <f t="shared" si="48"/>
        <v>1581</v>
      </c>
      <c r="B1583" s="122">
        <f>IF(DAY(A1583)=DAY('F-Ahorro Futuro Reservas'!$H$10),'F-Ahorro Futuro Reservas'!$H$9,0)</f>
        <v>0</v>
      </c>
      <c r="C1583" s="122">
        <f t="shared" si="49"/>
        <v>0</v>
      </c>
      <c r="D1583" s="121">
        <f>ROUND(IF(C1583&lt;='FR_Mantenimiento tasas'!$C$55,'Tabla Ahorro Futuro Reservas'!C1583*'FR_Mantenimiento tasas'!$D$55/360,IF(C1583&lt;='FR_Mantenimiento tasas'!$C$56,'Tabla Ahorro Futuro Reservas'!C1583*'FR_Mantenimiento tasas'!$D$56/360,IF(C1583&lt;='FR_Mantenimiento tasas'!$C$57,'Tabla Ahorro Futuro Reservas'!C1583*'FR_Mantenimiento tasas'!$D$57/360,""))),5)</f>
        <v>0</v>
      </c>
      <c r="E1583" s="121">
        <f>ROUND(IF(C1583&lt;='FR_Mantenimiento tasas'!$C$55,'Tabla Ahorro Futuro Reservas'!C1583*'FR_Mantenimiento tasas'!$E$55/360,IF(C1583&lt;='FR_Mantenimiento tasas'!$C$56,'Tabla Ahorro Futuro Reservas'!C1583*'FR_Mantenimiento tasas'!$E$56/360,IF(C1583&lt;='FR_Mantenimiento tasas'!$C$57,'Tabla Ahorro Futuro Reservas'!C1583*'FR_Mantenimiento tasas'!$E$57/360,""))),5)</f>
        <v>0</v>
      </c>
    </row>
    <row r="1584" spans="1:5">
      <c r="A1584" s="123">
        <f t="shared" si="48"/>
        <v>1582</v>
      </c>
      <c r="B1584" s="122">
        <f>IF(DAY(A1584)=DAY('F-Ahorro Futuro Reservas'!$H$10),'F-Ahorro Futuro Reservas'!$H$9,0)</f>
        <v>0</v>
      </c>
      <c r="C1584" s="122">
        <f t="shared" si="49"/>
        <v>0</v>
      </c>
      <c r="D1584" s="121">
        <f>ROUND(IF(C1584&lt;='FR_Mantenimiento tasas'!$C$55,'Tabla Ahorro Futuro Reservas'!C1584*'FR_Mantenimiento tasas'!$D$55/360,IF(C1584&lt;='FR_Mantenimiento tasas'!$C$56,'Tabla Ahorro Futuro Reservas'!C1584*'FR_Mantenimiento tasas'!$D$56/360,IF(C1584&lt;='FR_Mantenimiento tasas'!$C$57,'Tabla Ahorro Futuro Reservas'!C1584*'FR_Mantenimiento tasas'!$D$57/360,""))),5)</f>
        <v>0</v>
      </c>
      <c r="E1584" s="121">
        <f>ROUND(IF(C1584&lt;='FR_Mantenimiento tasas'!$C$55,'Tabla Ahorro Futuro Reservas'!C1584*'FR_Mantenimiento tasas'!$E$55/360,IF(C1584&lt;='FR_Mantenimiento tasas'!$C$56,'Tabla Ahorro Futuro Reservas'!C1584*'FR_Mantenimiento tasas'!$E$56/360,IF(C1584&lt;='FR_Mantenimiento tasas'!$C$57,'Tabla Ahorro Futuro Reservas'!C1584*'FR_Mantenimiento tasas'!$E$57/360,""))),5)</f>
        <v>0</v>
      </c>
    </row>
    <row r="1585" spans="1:5">
      <c r="A1585" s="123">
        <f t="shared" si="48"/>
        <v>1583</v>
      </c>
      <c r="B1585" s="122">
        <f>IF(DAY(A1585)=DAY('F-Ahorro Futuro Reservas'!$H$10),'F-Ahorro Futuro Reservas'!$H$9,0)</f>
        <v>0</v>
      </c>
      <c r="C1585" s="122">
        <f t="shared" si="49"/>
        <v>0</v>
      </c>
      <c r="D1585" s="121">
        <f>ROUND(IF(C1585&lt;='FR_Mantenimiento tasas'!$C$55,'Tabla Ahorro Futuro Reservas'!C1585*'FR_Mantenimiento tasas'!$D$55/360,IF(C1585&lt;='FR_Mantenimiento tasas'!$C$56,'Tabla Ahorro Futuro Reservas'!C1585*'FR_Mantenimiento tasas'!$D$56/360,IF(C1585&lt;='FR_Mantenimiento tasas'!$C$57,'Tabla Ahorro Futuro Reservas'!C1585*'FR_Mantenimiento tasas'!$D$57/360,""))),5)</f>
        <v>0</v>
      </c>
      <c r="E1585" s="121">
        <f>ROUND(IF(C1585&lt;='FR_Mantenimiento tasas'!$C$55,'Tabla Ahorro Futuro Reservas'!C1585*'FR_Mantenimiento tasas'!$E$55/360,IF(C1585&lt;='FR_Mantenimiento tasas'!$C$56,'Tabla Ahorro Futuro Reservas'!C1585*'FR_Mantenimiento tasas'!$E$56/360,IF(C1585&lt;='FR_Mantenimiento tasas'!$C$57,'Tabla Ahorro Futuro Reservas'!C1585*'FR_Mantenimiento tasas'!$E$57/360,""))),5)</f>
        <v>0</v>
      </c>
    </row>
    <row r="1586" spans="1:5">
      <c r="A1586" s="123">
        <f t="shared" si="48"/>
        <v>1584</v>
      </c>
      <c r="B1586" s="122">
        <f>IF(DAY(A1586)=DAY('F-Ahorro Futuro Reservas'!$H$10),'F-Ahorro Futuro Reservas'!$H$9,0)</f>
        <v>0</v>
      </c>
      <c r="C1586" s="122">
        <f t="shared" si="49"/>
        <v>0</v>
      </c>
      <c r="D1586" s="121">
        <f>ROUND(IF(C1586&lt;='FR_Mantenimiento tasas'!$C$55,'Tabla Ahorro Futuro Reservas'!C1586*'FR_Mantenimiento tasas'!$D$55/360,IF(C1586&lt;='FR_Mantenimiento tasas'!$C$56,'Tabla Ahorro Futuro Reservas'!C1586*'FR_Mantenimiento tasas'!$D$56/360,IF(C1586&lt;='FR_Mantenimiento tasas'!$C$57,'Tabla Ahorro Futuro Reservas'!C1586*'FR_Mantenimiento tasas'!$D$57/360,""))),5)</f>
        <v>0</v>
      </c>
      <c r="E1586" s="121">
        <f>ROUND(IF(C1586&lt;='FR_Mantenimiento tasas'!$C$55,'Tabla Ahorro Futuro Reservas'!C1586*'FR_Mantenimiento tasas'!$E$55/360,IF(C1586&lt;='FR_Mantenimiento tasas'!$C$56,'Tabla Ahorro Futuro Reservas'!C1586*'FR_Mantenimiento tasas'!$E$56/360,IF(C1586&lt;='FR_Mantenimiento tasas'!$C$57,'Tabla Ahorro Futuro Reservas'!C1586*'FR_Mantenimiento tasas'!$E$57/360,""))),5)</f>
        <v>0</v>
      </c>
    </row>
    <row r="1587" spans="1:5">
      <c r="A1587" s="123">
        <f t="shared" si="48"/>
        <v>1585</v>
      </c>
      <c r="B1587" s="122">
        <f>IF(DAY(A1587)=DAY('F-Ahorro Futuro Reservas'!$H$10),'F-Ahorro Futuro Reservas'!$H$9,0)</f>
        <v>0</v>
      </c>
      <c r="C1587" s="122">
        <f t="shared" si="49"/>
        <v>0</v>
      </c>
      <c r="D1587" s="121">
        <f>ROUND(IF(C1587&lt;='FR_Mantenimiento tasas'!$C$55,'Tabla Ahorro Futuro Reservas'!C1587*'FR_Mantenimiento tasas'!$D$55/360,IF(C1587&lt;='FR_Mantenimiento tasas'!$C$56,'Tabla Ahorro Futuro Reservas'!C1587*'FR_Mantenimiento tasas'!$D$56/360,IF(C1587&lt;='FR_Mantenimiento tasas'!$C$57,'Tabla Ahorro Futuro Reservas'!C1587*'FR_Mantenimiento tasas'!$D$57/360,""))),5)</f>
        <v>0</v>
      </c>
      <c r="E1587" s="121">
        <f>ROUND(IF(C1587&lt;='FR_Mantenimiento tasas'!$C$55,'Tabla Ahorro Futuro Reservas'!C1587*'FR_Mantenimiento tasas'!$E$55/360,IF(C1587&lt;='FR_Mantenimiento tasas'!$C$56,'Tabla Ahorro Futuro Reservas'!C1587*'FR_Mantenimiento tasas'!$E$56/360,IF(C1587&lt;='FR_Mantenimiento tasas'!$C$57,'Tabla Ahorro Futuro Reservas'!C1587*'FR_Mantenimiento tasas'!$E$57/360,""))),5)</f>
        <v>0</v>
      </c>
    </row>
    <row r="1588" spans="1:5">
      <c r="A1588" s="123">
        <f t="shared" si="48"/>
        <v>1586</v>
      </c>
      <c r="B1588" s="122">
        <f>IF(DAY(A1588)=DAY('F-Ahorro Futuro Reservas'!$H$10),'F-Ahorro Futuro Reservas'!$H$9,0)</f>
        <v>0</v>
      </c>
      <c r="C1588" s="122">
        <f t="shared" si="49"/>
        <v>0</v>
      </c>
      <c r="D1588" s="121">
        <f>ROUND(IF(C1588&lt;='FR_Mantenimiento tasas'!$C$55,'Tabla Ahorro Futuro Reservas'!C1588*'FR_Mantenimiento tasas'!$D$55/360,IF(C1588&lt;='FR_Mantenimiento tasas'!$C$56,'Tabla Ahorro Futuro Reservas'!C1588*'FR_Mantenimiento tasas'!$D$56/360,IF(C1588&lt;='FR_Mantenimiento tasas'!$C$57,'Tabla Ahorro Futuro Reservas'!C1588*'FR_Mantenimiento tasas'!$D$57/360,""))),5)</f>
        <v>0</v>
      </c>
      <c r="E1588" s="121">
        <f>ROUND(IF(C1588&lt;='FR_Mantenimiento tasas'!$C$55,'Tabla Ahorro Futuro Reservas'!C1588*'FR_Mantenimiento tasas'!$E$55/360,IF(C1588&lt;='FR_Mantenimiento tasas'!$C$56,'Tabla Ahorro Futuro Reservas'!C1588*'FR_Mantenimiento tasas'!$E$56/360,IF(C1588&lt;='FR_Mantenimiento tasas'!$C$57,'Tabla Ahorro Futuro Reservas'!C1588*'FR_Mantenimiento tasas'!$E$57/360,""))),5)</f>
        <v>0</v>
      </c>
    </row>
    <row r="1589" spans="1:5">
      <c r="A1589" s="123">
        <f t="shared" si="48"/>
        <v>1587</v>
      </c>
      <c r="B1589" s="122">
        <f>IF(DAY(A1589)=DAY('F-Ahorro Futuro Reservas'!$H$10),'F-Ahorro Futuro Reservas'!$H$9,0)</f>
        <v>0</v>
      </c>
      <c r="C1589" s="122">
        <f t="shared" si="49"/>
        <v>0</v>
      </c>
      <c r="D1589" s="121">
        <f>ROUND(IF(C1589&lt;='FR_Mantenimiento tasas'!$C$55,'Tabla Ahorro Futuro Reservas'!C1589*'FR_Mantenimiento tasas'!$D$55/360,IF(C1589&lt;='FR_Mantenimiento tasas'!$C$56,'Tabla Ahorro Futuro Reservas'!C1589*'FR_Mantenimiento tasas'!$D$56/360,IF(C1589&lt;='FR_Mantenimiento tasas'!$C$57,'Tabla Ahorro Futuro Reservas'!C1589*'FR_Mantenimiento tasas'!$D$57/360,""))),5)</f>
        <v>0</v>
      </c>
      <c r="E1589" s="121">
        <f>ROUND(IF(C1589&lt;='FR_Mantenimiento tasas'!$C$55,'Tabla Ahorro Futuro Reservas'!C1589*'FR_Mantenimiento tasas'!$E$55/360,IF(C1589&lt;='FR_Mantenimiento tasas'!$C$56,'Tabla Ahorro Futuro Reservas'!C1589*'FR_Mantenimiento tasas'!$E$56/360,IF(C1589&lt;='FR_Mantenimiento tasas'!$C$57,'Tabla Ahorro Futuro Reservas'!C1589*'FR_Mantenimiento tasas'!$E$57/360,""))),5)</f>
        <v>0</v>
      </c>
    </row>
    <row r="1590" spans="1:5">
      <c r="A1590" s="123">
        <f t="shared" si="48"/>
        <v>1588</v>
      </c>
      <c r="B1590" s="122">
        <f>IF(DAY(A1590)=DAY('F-Ahorro Futuro Reservas'!$H$10),'F-Ahorro Futuro Reservas'!$H$9,0)</f>
        <v>0</v>
      </c>
      <c r="C1590" s="122">
        <f t="shared" si="49"/>
        <v>0</v>
      </c>
      <c r="D1590" s="121">
        <f>ROUND(IF(C1590&lt;='FR_Mantenimiento tasas'!$C$55,'Tabla Ahorro Futuro Reservas'!C1590*'FR_Mantenimiento tasas'!$D$55/360,IF(C1590&lt;='FR_Mantenimiento tasas'!$C$56,'Tabla Ahorro Futuro Reservas'!C1590*'FR_Mantenimiento tasas'!$D$56/360,IF(C1590&lt;='FR_Mantenimiento tasas'!$C$57,'Tabla Ahorro Futuro Reservas'!C1590*'FR_Mantenimiento tasas'!$D$57/360,""))),5)</f>
        <v>0</v>
      </c>
      <c r="E1590" s="121">
        <f>ROUND(IF(C1590&lt;='FR_Mantenimiento tasas'!$C$55,'Tabla Ahorro Futuro Reservas'!C1590*'FR_Mantenimiento tasas'!$E$55/360,IF(C1590&lt;='FR_Mantenimiento tasas'!$C$56,'Tabla Ahorro Futuro Reservas'!C1590*'FR_Mantenimiento tasas'!$E$56/360,IF(C1590&lt;='FR_Mantenimiento tasas'!$C$57,'Tabla Ahorro Futuro Reservas'!C1590*'FR_Mantenimiento tasas'!$E$57/360,""))),5)</f>
        <v>0</v>
      </c>
    </row>
    <row r="1591" spans="1:5">
      <c r="A1591" s="123">
        <f t="shared" si="48"/>
        <v>1589</v>
      </c>
      <c r="B1591" s="122">
        <f>IF(DAY(A1591)=DAY('F-Ahorro Futuro Reservas'!$H$10),'F-Ahorro Futuro Reservas'!$H$9,0)</f>
        <v>0</v>
      </c>
      <c r="C1591" s="122">
        <f t="shared" si="49"/>
        <v>0</v>
      </c>
      <c r="D1591" s="121">
        <f>ROUND(IF(C1591&lt;='FR_Mantenimiento tasas'!$C$55,'Tabla Ahorro Futuro Reservas'!C1591*'FR_Mantenimiento tasas'!$D$55/360,IF(C1591&lt;='FR_Mantenimiento tasas'!$C$56,'Tabla Ahorro Futuro Reservas'!C1591*'FR_Mantenimiento tasas'!$D$56/360,IF(C1591&lt;='FR_Mantenimiento tasas'!$C$57,'Tabla Ahorro Futuro Reservas'!C1591*'FR_Mantenimiento tasas'!$D$57/360,""))),5)</f>
        <v>0</v>
      </c>
      <c r="E1591" s="121">
        <f>ROUND(IF(C1591&lt;='FR_Mantenimiento tasas'!$C$55,'Tabla Ahorro Futuro Reservas'!C1591*'FR_Mantenimiento tasas'!$E$55/360,IF(C1591&lt;='FR_Mantenimiento tasas'!$C$56,'Tabla Ahorro Futuro Reservas'!C1591*'FR_Mantenimiento tasas'!$E$56/360,IF(C1591&lt;='FR_Mantenimiento tasas'!$C$57,'Tabla Ahorro Futuro Reservas'!C1591*'FR_Mantenimiento tasas'!$E$57/360,""))),5)</f>
        <v>0</v>
      </c>
    </row>
    <row r="1592" spans="1:5">
      <c r="A1592" s="123">
        <f t="shared" si="48"/>
        <v>1590</v>
      </c>
      <c r="B1592" s="122">
        <f>IF(DAY(A1592)=DAY('F-Ahorro Futuro Reservas'!$H$10),'F-Ahorro Futuro Reservas'!$H$9,0)</f>
        <v>0</v>
      </c>
      <c r="C1592" s="122">
        <f t="shared" si="49"/>
        <v>0</v>
      </c>
      <c r="D1592" s="121">
        <f>ROUND(IF(C1592&lt;='FR_Mantenimiento tasas'!$C$55,'Tabla Ahorro Futuro Reservas'!C1592*'FR_Mantenimiento tasas'!$D$55/360,IF(C1592&lt;='FR_Mantenimiento tasas'!$C$56,'Tabla Ahorro Futuro Reservas'!C1592*'FR_Mantenimiento tasas'!$D$56/360,IF(C1592&lt;='FR_Mantenimiento tasas'!$C$57,'Tabla Ahorro Futuro Reservas'!C1592*'FR_Mantenimiento tasas'!$D$57/360,""))),5)</f>
        <v>0</v>
      </c>
      <c r="E1592" s="121">
        <f>ROUND(IF(C1592&lt;='FR_Mantenimiento tasas'!$C$55,'Tabla Ahorro Futuro Reservas'!C1592*'FR_Mantenimiento tasas'!$E$55/360,IF(C1592&lt;='FR_Mantenimiento tasas'!$C$56,'Tabla Ahorro Futuro Reservas'!C1592*'FR_Mantenimiento tasas'!$E$56/360,IF(C1592&lt;='FR_Mantenimiento tasas'!$C$57,'Tabla Ahorro Futuro Reservas'!C1592*'FR_Mantenimiento tasas'!$E$57/360,""))),5)</f>
        <v>0</v>
      </c>
    </row>
    <row r="1593" spans="1:5">
      <c r="A1593" s="123">
        <f t="shared" si="48"/>
        <v>1591</v>
      </c>
      <c r="B1593" s="122">
        <f>IF(DAY(A1593)=DAY('F-Ahorro Futuro Reservas'!$H$10),'F-Ahorro Futuro Reservas'!$H$9,0)</f>
        <v>0</v>
      </c>
      <c r="C1593" s="122">
        <f t="shared" si="49"/>
        <v>0</v>
      </c>
      <c r="D1593" s="121">
        <f>ROUND(IF(C1593&lt;='FR_Mantenimiento tasas'!$C$55,'Tabla Ahorro Futuro Reservas'!C1593*'FR_Mantenimiento tasas'!$D$55/360,IF(C1593&lt;='FR_Mantenimiento tasas'!$C$56,'Tabla Ahorro Futuro Reservas'!C1593*'FR_Mantenimiento tasas'!$D$56/360,IF(C1593&lt;='FR_Mantenimiento tasas'!$C$57,'Tabla Ahorro Futuro Reservas'!C1593*'FR_Mantenimiento tasas'!$D$57/360,""))),5)</f>
        <v>0</v>
      </c>
      <c r="E1593" s="121">
        <f>ROUND(IF(C1593&lt;='FR_Mantenimiento tasas'!$C$55,'Tabla Ahorro Futuro Reservas'!C1593*'FR_Mantenimiento tasas'!$E$55/360,IF(C1593&lt;='FR_Mantenimiento tasas'!$C$56,'Tabla Ahorro Futuro Reservas'!C1593*'FR_Mantenimiento tasas'!$E$56/360,IF(C1593&lt;='FR_Mantenimiento tasas'!$C$57,'Tabla Ahorro Futuro Reservas'!C1593*'FR_Mantenimiento tasas'!$E$57/360,""))),5)</f>
        <v>0</v>
      </c>
    </row>
    <row r="1594" spans="1:5">
      <c r="A1594" s="123">
        <f t="shared" si="48"/>
        <v>1592</v>
      </c>
      <c r="B1594" s="122">
        <f>IF(DAY(A1594)=DAY('F-Ahorro Futuro Reservas'!$H$10),'F-Ahorro Futuro Reservas'!$H$9,0)</f>
        <v>0</v>
      </c>
      <c r="C1594" s="122">
        <f t="shared" si="49"/>
        <v>0</v>
      </c>
      <c r="D1594" s="121">
        <f>ROUND(IF(C1594&lt;='FR_Mantenimiento tasas'!$C$55,'Tabla Ahorro Futuro Reservas'!C1594*'FR_Mantenimiento tasas'!$D$55/360,IF(C1594&lt;='FR_Mantenimiento tasas'!$C$56,'Tabla Ahorro Futuro Reservas'!C1594*'FR_Mantenimiento tasas'!$D$56/360,IF(C1594&lt;='FR_Mantenimiento tasas'!$C$57,'Tabla Ahorro Futuro Reservas'!C1594*'FR_Mantenimiento tasas'!$D$57/360,""))),5)</f>
        <v>0</v>
      </c>
      <c r="E1594" s="121">
        <f>ROUND(IF(C1594&lt;='FR_Mantenimiento tasas'!$C$55,'Tabla Ahorro Futuro Reservas'!C1594*'FR_Mantenimiento tasas'!$E$55/360,IF(C1594&lt;='FR_Mantenimiento tasas'!$C$56,'Tabla Ahorro Futuro Reservas'!C1594*'FR_Mantenimiento tasas'!$E$56/360,IF(C1594&lt;='FR_Mantenimiento tasas'!$C$57,'Tabla Ahorro Futuro Reservas'!C1594*'FR_Mantenimiento tasas'!$E$57/360,""))),5)</f>
        <v>0</v>
      </c>
    </row>
    <row r="1595" spans="1:5">
      <c r="A1595" s="123">
        <f t="shared" si="48"/>
        <v>1593</v>
      </c>
      <c r="B1595" s="122">
        <f>IF(DAY(A1595)=DAY('F-Ahorro Futuro Reservas'!$H$10),'F-Ahorro Futuro Reservas'!$H$9,0)</f>
        <v>0</v>
      </c>
      <c r="C1595" s="122">
        <f t="shared" si="49"/>
        <v>0</v>
      </c>
      <c r="D1595" s="121">
        <f>ROUND(IF(C1595&lt;='FR_Mantenimiento tasas'!$C$55,'Tabla Ahorro Futuro Reservas'!C1595*'FR_Mantenimiento tasas'!$D$55/360,IF(C1595&lt;='FR_Mantenimiento tasas'!$C$56,'Tabla Ahorro Futuro Reservas'!C1595*'FR_Mantenimiento tasas'!$D$56/360,IF(C1595&lt;='FR_Mantenimiento tasas'!$C$57,'Tabla Ahorro Futuro Reservas'!C1595*'FR_Mantenimiento tasas'!$D$57/360,""))),5)</f>
        <v>0</v>
      </c>
      <c r="E1595" s="121">
        <f>ROUND(IF(C1595&lt;='FR_Mantenimiento tasas'!$C$55,'Tabla Ahorro Futuro Reservas'!C1595*'FR_Mantenimiento tasas'!$E$55/360,IF(C1595&lt;='FR_Mantenimiento tasas'!$C$56,'Tabla Ahorro Futuro Reservas'!C1595*'FR_Mantenimiento tasas'!$E$56/360,IF(C1595&lt;='FR_Mantenimiento tasas'!$C$57,'Tabla Ahorro Futuro Reservas'!C1595*'FR_Mantenimiento tasas'!$E$57/360,""))),5)</f>
        <v>0</v>
      </c>
    </row>
    <row r="1596" spans="1:5">
      <c r="A1596" s="123">
        <f t="shared" si="48"/>
        <v>1594</v>
      </c>
      <c r="B1596" s="122">
        <f>IF(DAY(A1596)=DAY('F-Ahorro Futuro Reservas'!$H$10),'F-Ahorro Futuro Reservas'!$H$9,0)</f>
        <v>0</v>
      </c>
      <c r="C1596" s="122">
        <f t="shared" si="49"/>
        <v>0</v>
      </c>
      <c r="D1596" s="121">
        <f>ROUND(IF(C1596&lt;='FR_Mantenimiento tasas'!$C$55,'Tabla Ahorro Futuro Reservas'!C1596*'FR_Mantenimiento tasas'!$D$55/360,IF(C1596&lt;='FR_Mantenimiento tasas'!$C$56,'Tabla Ahorro Futuro Reservas'!C1596*'FR_Mantenimiento tasas'!$D$56/360,IF(C1596&lt;='FR_Mantenimiento tasas'!$C$57,'Tabla Ahorro Futuro Reservas'!C1596*'FR_Mantenimiento tasas'!$D$57/360,""))),5)</f>
        <v>0</v>
      </c>
      <c r="E1596" s="121">
        <f>ROUND(IF(C1596&lt;='FR_Mantenimiento tasas'!$C$55,'Tabla Ahorro Futuro Reservas'!C1596*'FR_Mantenimiento tasas'!$E$55/360,IF(C1596&lt;='FR_Mantenimiento tasas'!$C$56,'Tabla Ahorro Futuro Reservas'!C1596*'FR_Mantenimiento tasas'!$E$56/360,IF(C1596&lt;='FR_Mantenimiento tasas'!$C$57,'Tabla Ahorro Futuro Reservas'!C1596*'FR_Mantenimiento tasas'!$E$57/360,""))),5)</f>
        <v>0</v>
      </c>
    </row>
    <row r="1597" spans="1:5">
      <c r="A1597" s="123">
        <f t="shared" si="48"/>
        <v>1595</v>
      </c>
      <c r="B1597" s="122">
        <f>IF(DAY(A1597)=DAY('F-Ahorro Futuro Reservas'!$H$10),'F-Ahorro Futuro Reservas'!$H$9,0)</f>
        <v>0</v>
      </c>
      <c r="C1597" s="122">
        <f t="shared" si="49"/>
        <v>0</v>
      </c>
      <c r="D1597" s="121">
        <f>ROUND(IF(C1597&lt;='FR_Mantenimiento tasas'!$C$55,'Tabla Ahorro Futuro Reservas'!C1597*'FR_Mantenimiento tasas'!$D$55/360,IF(C1597&lt;='FR_Mantenimiento tasas'!$C$56,'Tabla Ahorro Futuro Reservas'!C1597*'FR_Mantenimiento tasas'!$D$56/360,IF(C1597&lt;='FR_Mantenimiento tasas'!$C$57,'Tabla Ahorro Futuro Reservas'!C1597*'FR_Mantenimiento tasas'!$D$57/360,""))),5)</f>
        <v>0</v>
      </c>
      <c r="E1597" s="121">
        <f>ROUND(IF(C1597&lt;='FR_Mantenimiento tasas'!$C$55,'Tabla Ahorro Futuro Reservas'!C1597*'FR_Mantenimiento tasas'!$E$55/360,IF(C1597&lt;='FR_Mantenimiento tasas'!$C$56,'Tabla Ahorro Futuro Reservas'!C1597*'FR_Mantenimiento tasas'!$E$56/360,IF(C1597&lt;='FR_Mantenimiento tasas'!$C$57,'Tabla Ahorro Futuro Reservas'!C1597*'FR_Mantenimiento tasas'!$E$57/360,""))),5)</f>
        <v>0</v>
      </c>
    </row>
    <row r="1598" spans="1:5">
      <c r="A1598" s="123">
        <f t="shared" si="48"/>
        <v>1596</v>
      </c>
      <c r="B1598" s="122">
        <f>IF(DAY(A1598)=DAY('F-Ahorro Futuro Reservas'!$H$10),'F-Ahorro Futuro Reservas'!$H$9,0)</f>
        <v>0</v>
      </c>
      <c r="C1598" s="122">
        <f t="shared" si="49"/>
        <v>0</v>
      </c>
      <c r="D1598" s="121">
        <f>ROUND(IF(C1598&lt;='FR_Mantenimiento tasas'!$C$55,'Tabla Ahorro Futuro Reservas'!C1598*'FR_Mantenimiento tasas'!$D$55/360,IF(C1598&lt;='FR_Mantenimiento tasas'!$C$56,'Tabla Ahorro Futuro Reservas'!C1598*'FR_Mantenimiento tasas'!$D$56/360,IF(C1598&lt;='FR_Mantenimiento tasas'!$C$57,'Tabla Ahorro Futuro Reservas'!C1598*'FR_Mantenimiento tasas'!$D$57/360,""))),5)</f>
        <v>0</v>
      </c>
      <c r="E1598" s="121">
        <f>ROUND(IF(C1598&lt;='FR_Mantenimiento tasas'!$C$55,'Tabla Ahorro Futuro Reservas'!C1598*'FR_Mantenimiento tasas'!$E$55/360,IF(C1598&lt;='FR_Mantenimiento tasas'!$C$56,'Tabla Ahorro Futuro Reservas'!C1598*'FR_Mantenimiento tasas'!$E$56/360,IF(C1598&lt;='FR_Mantenimiento tasas'!$C$57,'Tabla Ahorro Futuro Reservas'!C1598*'FR_Mantenimiento tasas'!$E$57/360,""))),5)</f>
        <v>0</v>
      </c>
    </row>
    <row r="1599" spans="1:5">
      <c r="A1599" s="123">
        <f t="shared" si="48"/>
        <v>1597</v>
      </c>
      <c r="B1599" s="122">
        <f>IF(DAY(A1599)=DAY('F-Ahorro Futuro Reservas'!$H$10),'F-Ahorro Futuro Reservas'!$H$9,0)</f>
        <v>0</v>
      </c>
      <c r="C1599" s="122">
        <f t="shared" si="49"/>
        <v>0</v>
      </c>
      <c r="D1599" s="121">
        <f>ROUND(IF(C1599&lt;='FR_Mantenimiento tasas'!$C$55,'Tabla Ahorro Futuro Reservas'!C1599*'FR_Mantenimiento tasas'!$D$55/360,IF(C1599&lt;='FR_Mantenimiento tasas'!$C$56,'Tabla Ahorro Futuro Reservas'!C1599*'FR_Mantenimiento tasas'!$D$56/360,IF(C1599&lt;='FR_Mantenimiento tasas'!$C$57,'Tabla Ahorro Futuro Reservas'!C1599*'FR_Mantenimiento tasas'!$D$57/360,""))),5)</f>
        <v>0</v>
      </c>
      <c r="E1599" s="121">
        <f>ROUND(IF(C1599&lt;='FR_Mantenimiento tasas'!$C$55,'Tabla Ahorro Futuro Reservas'!C1599*'FR_Mantenimiento tasas'!$E$55/360,IF(C1599&lt;='FR_Mantenimiento tasas'!$C$56,'Tabla Ahorro Futuro Reservas'!C1599*'FR_Mantenimiento tasas'!$E$56/360,IF(C1599&lt;='FR_Mantenimiento tasas'!$C$57,'Tabla Ahorro Futuro Reservas'!C1599*'FR_Mantenimiento tasas'!$E$57/360,""))),5)</f>
        <v>0</v>
      </c>
    </row>
    <row r="1600" spans="1:5">
      <c r="A1600" s="123">
        <f t="shared" si="48"/>
        <v>1598</v>
      </c>
      <c r="B1600" s="122">
        <f>IF(DAY(A1600)=DAY('F-Ahorro Futuro Reservas'!$H$10),'F-Ahorro Futuro Reservas'!$H$9,0)</f>
        <v>0</v>
      </c>
      <c r="C1600" s="122">
        <f t="shared" si="49"/>
        <v>0</v>
      </c>
      <c r="D1600" s="121">
        <f>ROUND(IF(C1600&lt;='FR_Mantenimiento tasas'!$C$55,'Tabla Ahorro Futuro Reservas'!C1600*'FR_Mantenimiento tasas'!$D$55/360,IF(C1600&lt;='FR_Mantenimiento tasas'!$C$56,'Tabla Ahorro Futuro Reservas'!C1600*'FR_Mantenimiento tasas'!$D$56/360,IF(C1600&lt;='FR_Mantenimiento tasas'!$C$57,'Tabla Ahorro Futuro Reservas'!C1600*'FR_Mantenimiento tasas'!$D$57/360,""))),5)</f>
        <v>0</v>
      </c>
      <c r="E1600" s="121">
        <f>ROUND(IF(C1600&lt;='FR_Mantenimiento tasas'!$C$55,'Tabla Ahorro Futuro Reservas'!C1600*'FR_Mantenimiento tasas'!$E$55/360,IF(C1600&lt;='FR_Mantenimiento tasas'!$C$56,'Tabla Ahorro Futuro Reservas'!C1600*'FR_Mantenimiento tasas'!$E$56/360,IF(C1600&lt;='FR_Mantenimiento tasas'!$C$57,'Tabla Ahorro Futuro Reservas'!C1600*'FR_Mantenimiento tasas'!$E$57/360,""))),5)</f>
        <v>0</v>
      </c>
    </row>
    <row r="1601" spans="1:5">
      <c r="A1601" s="123">
        <f t="shared" si="48"/>
        <v>1599</v>
      </c>
      <c r="B1601" s="122">
        <f>IF(DAY(A1601)=DAY('F-Ahorro Futuro Reservas'!$H$10),'F-Ahorro Futuro Reservas'!$H$9,0)</f>
        <v>0</v>
      </c>
      <c r="C1601" s="122">
        <f t="shared" si="49"/>
        <v>0</v>
      </c>
      <c r="D1601" s="121">
        <f>ROUND(IF(C1601&lt;='FR_Mantenimiento tasas'!$C$55,'Tabla Ahorro Futuro Reservas'!C1601*'FR_Mantenimiento tasas'!$D$55/360,IF(C1601&lt;='FR_Mantenimiento tasas'!$C$56,'Tabla Ahorro Futuro Reservas'!C1601*'FR_Mantenimiento tasas'!$D$56/360,IF(C1601&lt;='FR_Mantenimiento tasas'!$C$57,'Tabla Ahorro Futuro Reservas'!C1601*'FR_Mantenimiento tasas'!$D$57/360,""))),5)</f>
        <v>0</v>
      </c>
      <c r="E1601" s="121">
        <f>ROUND(IF(C1601&lt;='FR_Mantenimiento tasas'!$C$55,'Tabla Ahorro Futuro Reservas'!C1601*'FR_Mantenimiento tasas'!$E$55/360,IF(C1601&lt;='FR_Mantenimiento tasas'!$C$56,'Tabla Ahorro Futuro Reservas'!C1601*'FR_Mantenimiento tasas'!$E$56/360,IF(C1601&lt;='FR_Mantenimiento tasas'!$C$57,'Tabla Ahorro Futuro Reservas'!C1601*'FR_Mantenimiento tasas'!$E$57/360,""))),5)</f>
        <v>0</v>
      </c>
    </row>
    <row r="1602" spans="1:5">
      <c r="A1602" s="123">
        <f t="shared" si="48"/>
        <v>1600</v>
      </c>
      <c r="B1602" s="122">
        <f>IF(DAY(A1602)=DAY('F-Ahorro Futuro Reservas'!$H$10),'F-Ahorro Futuro Reservas'!$H$9,0)</f>
        <v>0</v>
      </c>
      <c r="C1602" s="122">
        <f t="shared" si="49"/>
        <v>0</v>
      </c>
      <c r="D1602" s="121">
        <f>ROUND(IF(C1602&lt;='FR_Mantenimiento tasas'!$C$55,'Tabla Ahorro Futuro Reservas'!C1602*'FR_Mantenimiento tasas'!$D$55/360,IF(C1602&lt;='FR_Mantenimiento tasas'!$C$56,'Tabla Ahorro Futuro Reservas'!C1602*'FR_Mantenimiento tasas'!$D$56/360,IF(C1602&lt;='FR_Mantenimiento tasas'!$C$57,'Tabla Ahorro Futuro Reservas'!C1602*'FR_Mantenimiento tasas'!$D$57/360,""))),5)</f>
        <v>0</v>
      </c>
      <c r="E1602" s="121">
        <f>ROUND(IF(C1602&lt;='FR_Mantenimiento tasas'!$C$55,'Tabla Ahorro Futuro Reservas'!C1602*'FR_Mantenimiento tasas'!$E$55/360,IF(C1602&lt;='FR_Mantenimiento tasas'!$C$56,'Tabla Ahorro Futuro Reservas'!C1602*'FR_Mantenimiento tasas'!$E$56/360,IF(C1602&lt;='FR_Mantenimiento tasas'!$C$57,'Tabla Ahorro Futuro Reservas'!C1602*'FR_Mantenimiento tasas'!$E$57/360,""))),5)</f>
        <v>0</v>
      </c>
    </row>
    <row r="1603" spans="1:5">
      <c r="A1603" s="123">
        <f t="shared" si="48"/>
        <v>1601</v>
      </c>
      <c r="B1603" s="122">
        <f>IF(DAY(A1603)=DAY('F-Ahorro Futuro Reservas'!$H$10),'F-Ahorro Futuro Reservas'!$H$9,0)</f>
        <v>0</v>
      </c>
      <c r="C1603" s="122">
        <f t="shared" si="49"/>
        <v>0</v>
      </c>
      <c r="D1603" s="121">
        <f>ROUND(IF(C1603&lt;='FR_Mantenimiento tasas'!$C$55,'Tabla Ahorro Futuro Reservas'!C1603*'FR_Mantenimiento tasas'!$D$55/360,IF(C1603&lt;='FR_Mantenimiento tasas'!$C$56,'Tabla Ahorro Futuro Reservas'!C1603*'FR_Mantenimiento tasas'!$D$56/360,IF(C1603&lt;='FR_Mantenimiento tasas'!$C$57,'Tabla Ahorro Futuro Reservas'!C1603*'FR_Mantenimiento tasas'!$D$57/360,""))),5)</f>
        <v>0</v>
      </c>
      <c r="E1603" s="121">
        <f>ROUND(IF(C1603&lt;='FR_Mantenimiento tasas'!$C$55,'Tabla Ahorro Futuro Reservas'!C1603*'FR_Mantenimiento tasas'!$E$55/360,IF(C1603&lt;='FR_Mantenimiento tasas'!$C$56,'Tabla Ahorro Futuro Reservas'!C1603*'FR_Mantenimiento tasas'!$E$56/360,IF(C1603&lt;='FR_Mantenimiento tasas'!$C$57,'Tabla Ahorro Futuro Reservas'!C1603*'FR_Mantenimiento tasas'!$E$57/360,""))),5)</f>
        <v>0</v>
      </c>
    </row>
    <row r="1604" spans="1:5">
      <c r="A1604" s="123">
        <f t="shared" ref="A1604:A1667" si="50">+A1603+1</f>
        <v>1602</v>
      </c>
      <c r="B1604" s="122">
        <f>IF(DAY(A1604)=DAY('F-Ahorro Futuro Reservas'!$H$10),'F-Ahorro Futuro Reservas'!$H$9,0)</f>
        <v>0</v>
      </c>
      <c r="C1604" s="122">
        <f t="shared" ref="C1604:C1667" si="51">+B1604+C1603+D1603</f>
        <v>0</v>
      </c>
      <c r="D1604" s="121">
        <f>ROUND(IF(C1604&lt;='FR_Mantenimiento tasas'!$C$55,'Tabla Ahorro Futuro Reservas'!C1604*'FR_Mantenimiento tasas'!$D$55/360,IF(C1604&lt;='FR_Mantenimiento tasas'!$C$56,'Tabla Ahorro Futuro Reservas'!C1604*'FR_Mantenimiento tasas'!$D$56/360,IF(C1604&lt;='FR_Mantenimiento tasas'!$C$57,'Tabla Ahorro Futuro Reservas'!C1604*'FR_Mantenimiento tasas'!$D$57/360,""))),5)</f>
        <v>0</v>
      </c>
      <c r="E1604" s="121">
        <f>ROUND(IF(C1604&lt;='FR_Mantenimiento tasas'!$C$55,'Tabla Ahorro Futuro Reservas'!C1604*'FR_Mantenimiento tasas'!$E$55/360,IF(C1604&lt;='FR_Mantenimiento tasas'!$C$56,'Tabla Ahorro Futuro Reservas'!C1604*'FR_Mantenimiento tasas'!$E$56/360,IF(C1604&lt;='FR_Mantenimiento tasas'!$C$57,'Tabla Ahorro Futuro Reservas'!C1604*'FR_Mantenimiento tasas'!$E$57/360,""))),5)</f>
        <v>0</v>
      </c>
    </row>
    <row r="1605" spans="1:5">
      <c r="A1605" s="123">
        <f t="shared" si="50"/>
        <v>1603</v>
      </c>
      <c r="B1605" s="122">
        <f>IF(DAY(A1605)=DAY('F-Ahorro Futuro Reservas'!$H$10),'F-Ahorro Futuro Reservas'!$H$9,0)</f>
        <v>0</v>
      </c>
      <c r="C1605" s="122">
        <f t="shared" si="51"/>
        <v>0</v>
      </c>
      <c r="D1605" s="121">
        <f>ROUND(IF(C1605&lt;='FR_Mantenimiento tasas'!$C$55,'Tabla Ahorro Futuro Reservas'!C1605*'FR_Mantenimiento tasas'!$D$55/360,IF(C1605&lt;='FR_Mantenimiento tasas'!$C$56,'Tabla Ahorro Futuro Reservas'!C1605*'FR_Mantenimiento tasas'!$D$56/360,IF(C1605&lt;='FR_Mantenimiento tasas'!$C$57,'Tabla Ahorro Futuro Reservas'!C1605*'FR_Mantenimiento tasas'!$D$57/360,""))),5)</f>
        <v>0</v>
      </c>
      <c r="E1605" s="121">
        <f>ROUND(IF(C1605&lt;='FR_Mantenimiento tasas'!$C$55,'Tabla Ahorro Futuro Reservas'!C1605*'FR_Mantenimiento tasas'!$E$55/360,IF(C1605&lt;='FR_Mantenimiento tasas'!$C$56,'Tabla Ahorro Futuro Reservas'!C1605*'FR_Mantenimiento tasas'!$E$56/360,IF(C1605&lt;='FR_Mantenimiento tasas'!$C$57,'Tabla Ahorro Futuro Reservas'!C1605*'FR_Mantenimiento tasas'!$E$57/360,""))),5)</f>
        <v>0</v>
      </c>
    </row>
    <row r="1606" spans="1:5">
      <c r="A1606" s="123">
        <f t="shared" si="50"/>
        <v>1604</v>
      </c>
      <c r="B1606" s="122">
        <f>IF(DAY(A1606)=DAY('F-Ahorro Futuro Reservas'!$H$10),'F-Ahorro Futuro Reservas'!$H$9,0)</f>
        <v>0</v>
      </c>
      <c r="C1606" s="122">
        <f t="shared" si="51"/>
        <v>0</v>
      </c>
      <c r="D1606" s="121">
        <f>ROUND(IF(C1606&lt;='FR_Mantenimiento tasas'!$C$55,'Tabla Ahorro Futuro Reservas'!C1606*'FR_Mantenimiento tasas'!$D$55/360,IF(C1606&lt;='FR_Mantenimiento tasas'!$C$56,'Tabla Ahorro Futuro Reservas'!C1606*'FR_Mantenimiento tasas'!$D$56/360,IF(C1606&lt;='FR_Mantenimiento tasas'!$C$57,'Tabla Ahorro Futuro Reservas'!C1606*'FR_Mantenimiento tasas'!$D$57/360,""))),5)</f>
        <v>0</v>
      </c>
      <c r="E1606" s="121">
        <f>ROUND(IF(C1606&lt;='FR_Mantenimiento tasas'!$C$55,'Tabla Ahorro Futuro Reservas'!C1606*'FR_Mantenimiento tasas'!$E$55/360,IF(C1606&lt;='FR_Mantenimiento tasas'!$C$56,'Tabla Ahorro Futuro Reservas'!C1606*'FR_Mantenimiento tasas'!$E$56/360,IF(C1606&lt;='FR_Mantenimiento tasas'!$C$57,'Tabla Ahorro Futuro Reservas'!C1606*'FR_Mantenimiento tasas'!$E$57/360,""))),5)</f>
        <v>0</v>
      </c>
    </row>
    <row r="1607" spans="1:5">
      <c r="A1607" s="123">
        <f t="shared" si="50"/>
        <v>1605</v>
      </c>
      <c r="B1607" s="122">
        <f>IF(DAY(A1607)=DAY('F-Ahorro Futuro Reservas'!$H$10),'F-Ahorro Futuro Reservas'!$H$9,0)</f>
        <v>0</v>
      </c>
      <c r="C1607" s="122">
        <f t="shared" si="51"/>
        <v>0</v>
      </c>
      <c r="D1607" s="121">
        <f>ROUND(IF(C1607&lt;='FR_Mantenimiento tasas'!$C$55,'Tabla Ahorro Futuro Reservas'!C1607*'FR_Mantenimiento tasas'!$D$55/360,IF(C1607&lt;='FR_Mantenimiento tasas'!$C$56,'Tabla Ahorro Futuro Reservas'!C1607*'FR_Mantenimiento tasas'!$D$56/360,IF(C1607&lt;='FR_Mantenimiento tasas'!$C$57,'Tabla Ahorro Futuro Reservas'!C1607*'FR_Mantenimiento tasas'!$D$57/360,""))),5)</f>
        <v>0</v>
      </c>
      <c r="E1607" s="121">
        <f>ROUND(IF(C1607&lt;='FR_Mantenimiento tasas'!$C$55,'Tabla Ahorro Futuro Reservas'!C1607*'FR_Mantenimiento tasas'!$E$55/360,IF(C1607&lt;='FR_Mantenimiento tasas'!$C$56,'Tabla Ahorro Futuro Reservas'!C1607*'FR_Mantenimiento tasas'!$E$56/360,IF(C1607&lt;='FR_Mantenimiento tasas'!$C$57,'Tabla Ahorro Futuro Reservas'!C1607*'FR_Mantenimiento tasas'!$E$57/360,""))),5)</f>
        <v>0</v>
      </c>
    </row>
    <row r="1608" spans="1:5">
      <c r="A1608" s="123">
        <f t="shared" si="50"/>
        <v>1606</v>
      </c>
      <c r="B1608" s="122">
        <f>IF(DAY(A1608)=DAY('F-Ahorro Futuro Reservas'!$H$10),'F-Ahorro Futuro Reservas'!$H$9,0)</f>
        <v>0</v>
      </c>
      <c r="C1608" s="122">
        <f t="shared" si="51"/>
        <v>0</v>
      </c>
      <c r="D1608" s="121">
        <f>ROUND(IF(C1608&lt;='FR_Mantenimiento tasas'!$C$55,'Tabla Ahorro Futuro Reservas'!C1608*'FR_Mantenimiento tasas'!$D$55/360,IF(C1608&lt;='FR_Mantenimiento tasas'!$C$56,'Tabla Ahorro Futuro Reservas'!C1608*'FR_Mantenimiento tasas'!$D$56/360,IF(C1608&lt;='FR_Mantenimiento tasas'!$C$57,'Tabla Ahorro Futuro Reservas'!C1608*'FR_Mantenimiento tasas'!$D$57/360,""))),5)</f>
        <v>0</v>
      </c>
      <c r="E1608" s="121">
        <f>ROUND(IF(C1608&lt;='FR_Mantenimiento tasas'!$C$55,'Tabla Ahorro Futuro Reservas'!C1608*'FR_Mantenimiento tasas'!$E$55/360,IF(C1608&lt;='FR_Mantenimiento tasas'!$C$56,'Tabla Ahorro Futuro Reservas'!C1608*'FR_Mantenimiento tasas'!$E$56/360,IF(C1608&lt;='FR_Mantenimiento tasas'!$C$57,'Tabla Ahorro Futuro Reservas'!C1608*'FR_Mantenimiento tasas'!$E$57/360,""))),5)</f>
        <v>0</v>
      </c>
    </row>
    <row r="1609" spans="1:5">
      <c r="A1609" s="123">
        <f t="shared" si="50"/>
        <v>1607</v>
      </c>
      <c r="B1609" s="122">
        <f>IF(DAY(A1609)=DAY('F-Ahorro Futuro Reservas'!$H$10),'F-Ahorro Futuro Reservas'!$H$9,0)</f>
        <v>0</v>
      </c>
      <c r="C1609" s="122">
        <f t="shared" si="51"/>
        <v>0</v>
      </c>
      <c r="D1609" s="121">
        <f>ROUND(IF(C1609&lt;='FR_Mantenimiento tasas'!$C$55,'Tabla Ahorro Futuro Reservas'!C1609*'FR_Mantenimiento tasas'!$D$55/360,IF(C1609&lt;='FR_Mantenimiento tasas'!$C$56,'Tabla Ahorro Futuro Reservas'!C1609*'FR_Mantenimiento tasas'!$D$56/360,IF(C1609&lt;='FR_Mantenimiento tasas'!$C$57,'Tabla Ahorro Futuro Reservas'!C1609*'FR_Mantenimiento tasas'!$D$57/360,""))),5)</f>
        <v>0</v>
      </c>
      <c r="E1609" s="121">
        <f>ROUND(IF(C1609&lt;='FR_Mantenimiento tasas'!$C$55,'Tabla Ahorro Futuro Reservas'!C1609*'FR_Mantenimiento tasas'!$E$55/360,IF(C1609&lt;='FR_Mantenimiento tasas'!$C$56,'Tabla Ahorro Futuro Reservas'!C1609*'FR_Mantenimiento tasas'!$E$56/360,IF(C1609&lt;='FR_Mantenimiento tasas'!$C$57,'Tabla Ahorro Futuro Reservas'!C1609*'FR_Mantenimiento tasas'!$E$57/360,""))),5)</f>
        <v>0</v>
      </c>
    </row>
    <row r="1610" spans="1:5">
      <c r="A1610" s="123">
        <f t="shared" si="50"/>
        <v>1608</v>
      </c>
      <c r="B1610" s="122">
        <f>IF(DAY(A1610)=DAY('F-Ahorro Futuro Reservas'!$H$10),'F-Ahorro Futuro Reservas'!$H$9,0)</f>
        <v>0</v>
      </c>
      <c r="C1610" s="122">
        <f t="shared" si="51"/>
        <v>0</v>
      </c>
      <c r="D1610" s="121">
        <f>ROUND(IF(C1610&lt;='FR_Mantenimiento tasas'!$C$55,'Tabla Ahorro Futuro Reservas'!C1610*'FR_Mantenimiento tasas'!$D$55/360,IF(C1610&lt;='FR_Mantenimiento tasas'!$C$56,'Tabla Ahorro Futuro Reservas'!C1610*'FR_Mantenimiento tasas'!$D$56/360,IF(C1610&lt;='FR_Mantenimiento tasas'!$C$57,'Tabla Ahorro Futuro Reservas'!C1610*'FR_Mantenimiento tasas'!$D$57/360,""))),5)</f>
        <v>0</v>
      </c>
      <c r="E1610" s="121">
        <f>ROUND(IF(C1610&lt;='FR_Mantenimiento tasas'!$C$55,'Tabla Ahorro Futuro Reservas'!C1610*'FR_Mantenimiento tasas'!$E$55/360,IF(C1610&lt;='FR_Mantenimiento tasas'!$C$56,'Tabla Ahorro Futuro Reservas'!C1610*'FR_Mantenimiento tasas'!$E$56/360,IF(C1610&lt;='FR_Mantenimiento tasas'!$C$57,'Tabla Ahorro Futuro Reservas'!C1610*'FR_Mantenimiento tasas'!$E$57/360,""))),5)</f>
        <v>0</v>
      </c>
    </row>
    <row r="1611" spans="1:5">
      <c r="A1611" s="123">
        <f t="shared" si="50"/>
        <v>1609</v>
      </c>
      <c r="B1611" s="122">
        <f>IF(DAY(A1611)=DAY('F-Ahorro Futuro Reservas'!$H$10),'F-Ahorro Futuro Reservas'!$H$9,0)</f>
        <v>0</v>
      </c>
      <c r="C1611" s="122">
        <f t="shared" si="51"/>
        <v>0</v>
      </c>
      <c r="D1611" s="121">
        <f>ROUND(IF(C1611&lt;='FR_Mantenimiento tasas'!$C$55,'Tabla Ahorro Futuro Reservas'!C1611*'FR_Mantenimiento tasas'!$D$55/360,IF(C1611&lt;='FR_Mantenimiento tasas'!$C$56,'Tabla Ahorro Futuro Reservas'!C1611*'FR_Mantenimiento tasas'!$D$56/360,IF(C1611&lt;='FR_Mantenimiento tasas'!$C$57,'Tabla Ahorro Futuro Reservas'!C1611*'FR_Mantenimiento tasas'!$D$57/360,""))),5)</f>
        <v>0</v>
      </c>
      <c r="E1611" s="121">
        <f>ROUND(IF(C1611&lt;='FR_Mantenimiento tasas'!$C$55,'Tabla Ahorro Futuro Reservas'!C1611*'FR_Mantenimiento tasas'!$E$55/360,IF(C1611&lt;='FR_Mantenimiento tasas'!$C$56,'Tabla Ahorro Futuro Reservas'!C1611*'FR_Mantenimiento tasas'!$E$56/360,IF(C1611&lt;='FR_Mantenimiento tasas'!$C$57,'Tabla Ahorro Futuro Reservas'!C1611*'FR_Mantenimiento tasas'!$E$57/360,""))),5)</f>
        <v>0</v>
      </c>
    </row>
    <row r="1612" spans="1:5">
      <c r="A1612" s="123">
        <f t="shared" si="50"/>
        <v>1610</v>
      </c>
      <c r="B1612" s="122">
        <f>IF(DAY(A1612)=DAY('F-Ahorro Futuro Reservas'!$H$10),'F-Ahorro Futuro Reservas'!$H$9,0)</f>
        <v>0</v>
      </c>
      <c r="C1612" s="122">
        <f t="shared" si="51"/>
        <v>0</v>
      </c>
      <c r="D1612" s="121">
        <f>ROUND(IF(C1612&lt;='FR_Mantenimiento tasas'!$C$55,'Tabla Ahorro Futuro Reservas'!C1612*'FR_Mantenimiento tasas'!$D$55/360,IF(C1612&lt;='FR_Mantenimiento tasas'!$C$56,'Tabla Ahorro Futuro Reservas'!C1612*'FR_Mantenimiento tasas'!$D$56/360,IF(C1612&lt;='FR_Mantenimiento tasas'!$C$57,'Tabla Ahorro Futuro Reservas'!C1612*'FR_Mantenimiento tasas'!$D$57/360,""))),5)</f>
        <v>0</v>
      </c>
      <c r="E1612" s="121">
        <f>ROUND(IF(C1612&lt;='FR_Mantenimiento tasas'!$C$55,'Tabla Ahorro Futuro Reservas'!C1612*'FR_Mantenimiento tasas'!$E$55/360,IF(C1612&lt;='FR_Mantenimiento tasas'!$C$56,'Tabla Ahorro Futuro Reservas'!C1612*'FR_Mantenimiento tasas'!$E$56/360,IF(C1612&lt;='FR_Mantenimiento tasas'!$C$57,'Tabla Ahorro Futuro Reservas'!C1612*'FR_Mantenimiento tasas'!$E$57/360,""))),5)</f>
        <v>0</v>
      </c>
    </row>
    <row r="1613" spans="1:5">
      <c r="A1613" s="123">
        <f t="shared" si="50"/>
        <v>1611</v>
      </c>
      <c r="B1613" s="122">
        <f>IF(DAY(A1613)=DAY('F-Ahorro Futuro Reservas'!$H$10),'F-Ahorro Futuro Reservas'!$H$9,0)</f>
        <v>0</v>
      </c>
      <c r="C1613" s="122">
        <f t="shared" si="51"/>
        <v>0</v>
      </c>
      <c r="D1613" s="121">
        <f>ROUND(IF(C1613&lt;='FR_Mantenimiento tasas'!$C$55,'Tabla Ahorro Futuro Reservas'!C1613*'FR_Mantenimiento tasas'!$D$55/360,IF(C1613&lt;='FR_Mantenimiento tasas'!$C$56,'Tabla Ahorro Futuro Reservas'!C1613*'FR_Mantenimiento tasas'!$D$56/360,IF(C1613&lt;='FR_Mantenimiento tasas'!$C$57,'Tabla Ahorro Futuro Reservas'!C1613*'FR_Mantenimiento tasas'!$D$57/360,""))),5)</f>
        <v>0</v>
      </c>
      <c r="E1613" s="121">
        <f>ROUND(IF(C1613&lt;='FR_Mantenimiento tasas'!$C$55,'Tabla Ahorro Futuro Reservas'!C1613*'FR_Mantenimiento tasas'!$E$55/360,IF(C1613&lt;='FR_Mantenimiento tasas'!$C$56,'Tabla Ahorro Futuro Reservas'!C1613*'FR_Mantenimiento tasas'!$E$56/360,IF(C1613&lt;='FR_Mantenimiento tasas'!$C$57,'Tabla Ahorro Futuro Reservas'!C1613*'FR_Mantenimiento tasas'!$E$57/360,""))),5)</f>
        <v>0</v>
      </c>
    </row>
    <row r="1614" spans="1:5">
      <c r="A1614" s="123">
        <f t="shared" si="50"/>
        <v>1612</v>
      </c>
      <c r="B1614" s="122">
        <f>IF(DAY(A1614)=DAY('F-Ahorro Futuro Reservas'!$H$10),'F-Ahorro Futuro Reservas'!$H$9,0)</f>
        <v>0</v>
      </c>
      <c r="C1614" s="122">
        <f t="shared" si="51"/>
        <v>0</v>
      </c>
      <c r="D1614" s="121">
        <f>ROUND(IF(C1614&lt;='FR_Mantenimiento tasas'!$C$55,'Tabla Ahorro Futuro Reservas'!C1614*'FR_Mantenimiento tasas'!$D$55/360,IF(C1614&lt;='FR_Mantenimiento tasas'!$C$56,'Tabla Ahorro Futuro Reservas'!C1614*'FR_Mantenimiento tasas'!$D$56/360,IF(C1614&lt;='FR_Mantenimiento tasas'!$C$57,'Tabla Ahorro Futuro Reservas'!C1614*'FR_Mantenimiento tasas'!$D$57/360,""))),5)</f>
        <v>0</v>
      </c>
      <c r="E1614" s="121">
        <f>ROUND(IF(C1614&lt;='FR_Mantenimiento tasas'!$C$55,'Tabla Ahorro Futuro Reservas'!C1614*'FR_Mantenimiento tasas'!$E$55/360,IF(C1614&lt;='FR_Mantenimiento tasas'!$C$56,'Tabla Ahorro Futuro Reservas'!C1614*'FR_Mantenimiento tasas'!$E$56/360,IF(C1614&lt;='FR_Mantenimiento tasas'!$C$57,'Tabla Ahorro Futuro Reservas'!C1614*'FR_Mantenimiento tasas'!$E$57/360,""))),5)</f>
        <v>0</v>
      </c>
    </row>
    <row r="1615" spans="1:5">
      <c r="A1615" s="123">
        <f t="shared" si="50"/>
        <v>1613</v>
      </c>
      <c r="B1615" s="122">
        <f>IF(DAY(A1615)=DAY('F-Ahorro Futuro Reservas'!$H$10),'F-Ahorro Futuro Reservas'!$H$9,0)</f>
        <v>0</v>
      </c>
      <c r="C1615" s="122">
        <f t="shared" si="51"/>
        <v>0</v>
      </c>
      <c r="D1615" s="121">
        <f>ROUND(IF(C1615&lt;='FR_Mantenimiento tasas'!$C$55,'Tabla Ahorro Futuro Reservas'!C1615*'FR_Mantenimiento tasas'!$D$55/360,IF(C1615&lt;='FR_Mantenimiento tasas'!$C$56,'Tabla Ahorro Futuro Reservas'!C1615*'FR_Mantenimiento tasas'!$D$56/360,IF(C1615&lt;='FR_Mantenimiento tasas'!$C$57,'Tabla Ahorro Futuro Reservas'!C1615*'FR_Mantenimiento tasas'!$D$57/360,""))),5)</f>
        <v>0</v>
      </c>
      <c r="E1615" s="121">
        <f>ROUND(IF(C1615&lt;='FR_Mantenimiento tasas'!$C$55,'Tabla Ahorro Futuro Reservas'!C1615*'FR_Mantenimiento tasas'!$E$55/360,IF(C1615&lt;='FR_Mantenimiento tasas'!$C$56,'Tabla Ahorro Futuro Reservas'!C1615*'FR_Mantenimiento tasas'!$E$56/360,IF(C1615&lt;='FR_Mantenimiento tasas'!$C$57,'Tabla Ahorro Futuro Reservas'!C1615*'FR_Mantenimiento tasas'!$E$57/360,""))),5)</f>
        <v>0</v>
      </c>
    </row>
    <row r="1616" spans="1:5">
      <c r="A1616" s="123">
        <f t="shared" si="50"/>
        <v>1614</v>
      </c>
      <c r="B1616" s="122">
        <f>IF(DAY(A1616)=DAY('F-Ahorro Futuro Reservas'!$H$10),'F-Ahorro Futuro Reservas'!$H$9,0)</f>
        <v>0</v>
      </c>
      <c r="C1616" s="122">
        <f t="shared" si="51"/>
        <v>0</v>
      </c>
      <c r="D1616" s="121">
        <f>ROUND(IF(C1616&lt;='FR_Mantenimiento tasas'!$C$55,'Tabla Ahorro Futuro Reservas'!C1616*'FR_Mantenimiento tasas'!$D$55/360,IF(C1616&lt;='FR_Mantenimiento tasas'!$C$56,'Tabla Ahorro Futuro Reservas'!C1616*'FR_Mantenimiento tasas'!$D$56/360,IF(C1616&lt;='FR_Mantenimiento tasas'!$C$57,'Tabla Ahorro Futuro Reservas'!C1616*'FR_Mantenimiento tasas'!$D$57/360,""))),5)</f>
        <v>0</v>
      </c>
      <c r="E1616" s="121">
        <f>ROUND(IF(C1616&lt;='FR_Mantenimiento tasas'!$C$55,'Tabla Ahorro Futuro Reservas'!C1616*'FR_Mantenimiento tasas'!$E$55/360,IF(C1616&lt;='FR_Mantenimiento tasas'!$C$56,'Tabla Ahorro Futuro Reservas'!C1616*'FR_Mantenimiento tasas'!$E$56/360,IF(C1616&lt;='FR_Mantenimiento tasas'!$C$57,'Tabla Ahorro Futuro Reservas'!C1616*'FR_Mantenimiento tasas'!$E$57/360,""))),5)</f>
        <v>0</v>
      </c>
    </row>
    <row r="1617" spans="1:5">
      <c r="A1617" s="123">
        <f t="shared" si="50"/>
        <v>1615</v>
      </c>
      <c r="B1617" s="122">
        <f>IF(DAY(A1617)=DAY('F-Ahorro Futuro Reservas'!$H$10),'F-Ahorro Futuro Reservas'!$H$9,0)</f>
        <v>0</v>
      </c>
      <c r="C1617" s="122">
        <f t="shared" si="51"/>
        <v>0</v>
      </c>
      <c r="D1617" s="121">
        <f>ROUND(IF(C1617&lt;='FR_Mantenimiento tasas'!$C$55,'Tabla Ahorro Futuro Reservas'!C1617*'FR_Mantenimiento tasas'!$D$55/360,IF(C1617&lt;='FR_Mantenimiento tasas'!$C$56,'Tabla Ahorro Futuro Reservas'!C1617*'FR_Mantenimiento tasas'!$D$56/360,IF(C1617&lt;='FR_Mantenimiento tasas'!$C$57,'Tabla Ahorro Futuro Reservas'!C1617*'FR_Mantenimiento tasas'!$D$57/360,""))),5)</f>
        <v>0</v>
      </c>
      <c r="E1617" s="121">
        <f>ROUND(IF(C1617&lt;='FR_Mantenimiento tasas'!$C$55,'Tabla Ahorro Futuro Reservas'!C1617*'FR_Mantenimiento tasas'!$E$55/360,IF(C1617&lt;='FR_Mantenimiento tasas'!$C$56,'Tabla Ahorro Futuro Reservas'!C1617*'FR_Mantenimiento tasas'!$E$56/360,IF(C1617&lt;='FR_Mantenimiento tasas'!$C$57,'Tabla Ahorro Futuro Reservas'!C1617*'FR_Mantenimiento tasas'!$E$57/360,""))),5)</f>
        <v>0</v>
      </c>
    </row>
    <row r="1618" spans="1:5">
      <c r="A1618" s="123">
        <f t="shared" si="50"/>
        <v>1616</v>
      </c>
      <c r="B1618" s="122">
        <f>IF(DAY(A1618)=DAY('F-Ahorro Futuro Reservas'!$H$10),'F-Ahorro Futuro Reservas'!$H$9,0)</f>
        <v>0</v>
      </c>
      <c r="C1618" s="122">
        <f t="shared" si="51"/>
        <v>0</v>
      </c>
      <c r="D1618" s="121">
        <f>ROUND(IF(C1618&lt;='FR_Mantenimiento tasas'!$C$55,'Tabla Ahorro Futuro Reservas'!C1618*'FR_Mantenimiento tasas'!$D$55/360,IF(C1618&lt;='FR_Mantenimiento tasas'!$C$56,'Tabla Ahorro Futuro Reservas'!C1618*'FR_Mantenimiento tasas'!$D$56/360,IF(C1618&lt;='FR_Mantenimiento tasas'!$C$57,'Tabla Ahorro Futuro Reservas'!C1618*'FR_Mantenimiento tasas'!$D$57/360,""))),5)</f>
        <v>0</v>
      </c>
      <c r="E1618" s="121">
        <f>ROUND(IF(C1618&lt;='FR_Mantenimiento tasas'!$C$55,'Tabla Ahorro Futuro Reservas'!C1618*'FR_Mantenimiento tasas'!$E$55/360,IF(C1618&lt;='FR_Mantenimiento tasas'!$C$56,'Tabla Ahorro Futuro Reservas'!C1618*'FR_Mantenimiento tasas'!$E$56/360,IF(C1618&lt;='FR_Mantenimiento tasas'!$C$57,'Tabla Ahorro Futuro Reservas'!C1618*'FR_Mantenimiento tasas'!$E$57/360,""))),5)</f>
        <v>0</v>
      </c>
    </row>
    <row r="1619" spans="1:5">
      <c r="A1619" s="123">
        <f t="shared" si="50"/>
        <v>1617</v>
      </c>
      <c r="B1619" s="122">
        <f>IF(DAY(A1619)=DAY('F-Ahorro Futuro Reservas'!$H$10),'F-Ahorro Futuro Reservas'!$H$9,0)</f>
        <v>0</v>
      </c>
      <c r="C1619" s="122">
        <f t="shared" si="51"/>
        <v>0</v>
      </c>
      <c r="D1619" s="121">
        <f>ROUND(IF(C1619&lt;='FR_Mantenimiento tasas'!$C$55,'Tabla Ahorro Futuro Reservas'!C1619*'FR_Mantenimiento tasas'!$D$55/360,IF(C1619&lt;='FR_Mantenimiento tasas'!$C$56,'Tabla Ahorro Futuro Reservas'!C1619*'FR_Mantenimiento tasas'!$D$56/360,IF(C1619&lt;='FR_Mantenimiento tasas'!$C$57,'Tabla Ahorro Futuro Reservas'!C1619*'FR_Mantenimiento tasas'!$D$57/360,""))),5)</f>
        <v>0</v>
      </c>
      <c r="E1619" s="121">
        <f>ROUND(IF(C1619&lt;='FR_Mantenimiento tasas'!$C$55,'Tabla Ahorro Futuro Reservas'!C1619*'FR_Mantenimiento tasas'!$E$55/360,IF(C1619&lt;='FR_Mantenimiento tasas'!$C$56,'Tabla Ahorro Futuro Reservas'!C1619*'FR_Mantenimiento tasas'!$E$56/360,IF(C1619&lt;='FR_Mantenimiento tasas'!$C$57,'Tabla Ahorro Futuro Reservas'!C1619*'FR_Mantenimiento tasas'!$E$57/360,""))),5)</f>
        <v>0</v>
      </c>
    </row>
    <row r="1620" spans="1:5">
      <c r="A1620" s="123">
        <f t="shared" si="50"/>
        <v>1618</v>
      </c>
      <c r="B1620" s="122">
        <f>IF(DAY(A1620)=DAY('F-Ahorro Futuro Reservas'!$H$10),'F-Ahorro Futuro Reservas'!$H$9,0)</f>
        <v>0</v>
      </c>
      <c r="C1620" s="122">
        <f t="shared" si="51"/>
        <v>0</v>
      </c>
      <c r="D1620" s="121">
        <f>ROUND(IF(C1620&lt;='FR_Mantenimiento tasas'!$C$55,'Tabla Ahorro Futuro Reservas'!C1620*'FR_Mantenimiento tasas'!$D$55/360,IF(C1620&lt;='FR_Mantenimiento tasas'!$C$56,'Tabla Ahorro Futuro Reservas'!C1620*'FR_Mantenimiento tasas'!$D$56/360,IF(C1620&lt;='FR_Mantenimiento tasas'!$C$57,'Tabla Ahorro Futuro Reservas'!C1620*'FR_Mantenimiento tasas'!$D$57/360,""))),5)</f>
        <v>0</v>
      </c>
      <c r="E1620" s="121">
        <f>ROUND(IF(C1620&lt;='FR_Mantenimiento tasas'!$C$55,'Tabla Ahorro Futuro Reservas'!C1620*'FR_Mantenimiento tasas'!$E$55/360,IF(C1620&lt;='FR_Mantenimiento tasas'!$C$56,'Tabla Ahorro Futuro Reservas'!C1620*'FR_Mantenimiento tasas'!$E$56/360,IF(C1620&lt;='FR_Mantenimiento tasas'!$C$57,'Tabla Ahorro Futuro Reservas'!C1620*'FR_Mantenimiento tasas'!$E$57/360,""))),5)</f>
        <v>0</v>
      </c>
    </row>
    <row r="1621" spans="1:5">
      <c r="A1621" s="123">
        <f t="shared" si="50"/>
        <v>1619</v>
      </c>
      <c r="B1621" s="122">
        <f>IF(DAY(A1621)=DAY('F-Ahorro Futuro Reservas'!$H$10),'F-Ahorro Futuro Reservas'!$H$9,0)</f>
        <v>0</v>
      </c>
      <c r="C1621" s="122">
        <f t="shared" si="51"/>
        <v>0</v>
      </c>
      <c r="D1621" s="121">
        <f>ROUND(IF(C1621&lt;='FR_Mantenimiento tasas'!$C$55,'Tabla Ahorro Futuro Reservas'!C1621*'FR_Mantenimiento tasas'!$D$55/360,IF(C1621&lt;='FR_Mantenimiento tasas'!$C$56,'Tabla Ahorro Futuro Reservas'!C1621*'FR_Mantenimiento tasas'!$D$56/360,IF(C1621&lt;='FR_Mantenimiento tasas'!$C$57,'Tabla Ahorro Futuro Reservas'!C1621*'FR_Mantenimiento tasas'!$D$57/360,""))),5)</f>
        <v>0</v>
      </c>
      <c r="E1621" s="121">
        <f>ROUND(IF(C1621&lt;='FR_Mantenimiento tasas'!$C$55,'Tabla Ahorro Futuro Reservas'!C1621*'FR_Mantenimiento tasas'!$E$55/360,IF(C1621&lt;='FR_Mantenimiento tasas'!$C$56,'Tabla Ahorro Futuro Reservas'!C1621*'FR_Mantenimiento tasas'!$E$56/360,IF(C1621&lt;='FR_Mantenimiento tasas'!$C$57,'Tabla Ahorro Futuro Reservas'!C1621*'FR_Mantenimiento tasas'!$E$57/360,""))),5)</f>
        <v>0</v>
      </c>
    </row>
    <row r="1622" spans="1:5">
      <c r="A1622" s="123">
        <f t="shared" si="50"/>
        <v>1620</v>
      </c>
      <c r="B1622" s="122">
        <f>IF(DAY(A1622)=DAY('F-Ahorro Futuro Reservas'!$H$10),'F-Ahorro Futuro Reservas'!$H$9,0)</f>
        <v>0</v>
      </c>
      <c r="C1622" s="122">
        <f t="shared" si="51"/>
        <v>0</v>
      </c>
      <c r="D1622" s="121">
        <f>ROUND(IF(C1622&lt;='FR_Mantenimiento tasas'!$C$55,'Tabla Ahorro Futuro Reservas'!C1622*'FR_Mantenimiento tasas'!$D$55/360,IF(C1622&lt;='FR_Mantenimiento tasas'!$C$56,'Tabla Ahorro Futuro Reservas'!C1622*'FR_Mantenimiento tasas'!$D$56/360,IF(C1622&lt;='FR_Mantenimiento tasas'!$C$57,'Tabla Ahorro Futuro Reservas'!C1622*'FR_Mantenimiento tasas'!$D$57/360,""))),5)</f>
        <v>0</v>
      </c>
      <c r="E1622" s="121">
        <f>ROUND(IF(C1622&lt;='FR_Mantenimiento tasas'!$C$55,'Tabla Ahorro Futuro Reservas'!C1622*'FR_Mantenimiento tasas'!$E$55/360,IF(C1622&lt;='FR_Mantenimiento tasas'!$C$56,'Tabla Ahorro Futuro Reservas'!C1622*'FR_Mantenimiento tasas'!$E$56/360,IF(C1622&lt;='FR_Mantenimiento tasas'!$C$57,'Tabla Ahorro Futuro Reservas'!C1622*'FR_Mantenimiento tasas'!$E$57/360,""))),5)</f>
        <v>0</v>
      </c>
    </row>
    <row r="1623" spans="1:5">
      <c r="A1623" s="123">
        <f t="shared" si="50"/>
        <v>1621</v>
      </c>
      <c r="B1623" s="122">
        <f>IF(DAY(A1623)=DAY('F-Ahorro Futuro Reservas'!$H$10),'F-Ahorro Futuro Reservas'!$H$9,0)</f>
        <v>0</v>
      </c>
      <c r="C1623" s="122">
        <f t="shared" si="51"/>
        <v>0</v>
      </c>
      <c r="D1623" s="121">
        <f>ROUND(IF(C1623&lt;='FR_Mantenimiento tasas'!$C$55,'Tabla Ahorro Futuro Reservas'!C1623*'FR_Mantenimiento tasas'!$D$55/360,IF(C1623&lt;='FR_Mantenimiento tasas'!$C$56,'Tabla Ahorro Futuro Reservas'!C1623*'FR_Mantenimiento tasas'!$D$56/360,IF(C1623&lt;='FR_Mantenimiento tasas'!$C$57,'Tabla Ahorro Futuro Reservas'!C1623*'FR_Mantenimiento tasas'!$D$57/360,""))),5)</f>
        <v>0</v>
      </c>
      <c r="E1623" s="121">
        <f>ROUND(IF(C1623&lt;='FR_Mantenimiento tasas'!$C$55,'Tabla Ahorro Futuro Reservas'!C1623*'FR_Mantenimiento tasas'!$E$55/360,IF(C1623&lt;='FR_Mantenimiento tasas'!$C$56,'Tabla Ahorro Futuro Reservas'!C1623*'FR_Mantenimiento tasas'!$E$56/360,IF(C1623&lt;='FR_Mantenimiento tasas'!$C$57,'Tabla Ahorro Futuro Reservas'!C1623*'FR_Mantenimiento tasas'!$E$57/360,""))),5)</f>
        <v>0</v>
      </c>
    </row>
    <row r="1624" spans="1:5">
      <c r="A1624" s="123">
        <f t="shared" si="50"/>
        <v>1622</v>
      </c>
      <c r="B1624" s="122">
        <f>IF(DAY(A1624)=DAY('F-Ahorro Futuro Reservas'!$H$10),'F-Ahorro Futuro Reservas'!$H$9,0)</f>
        <v>0</v>
      </c>
      <c r="C1624" s="122">
        <f t="shared" si="51"/>
        <v>0</v>
      </c>
      <c r="D1624" s="121">
        <f>ROUND(IF(C1624&lt;='FR_Mantenimiento tasas'!$C$55,'Tabla Ahorro Futuro Reservas'!C1624*'FR_Mantenimiento tasas'!$D$55/360,IF(C1624&lt;='FR_Mantenimiento tasas'!$C$56,'Tabla Ahorro Futuro Reservas'!C1624*'FR_Mantenimiento tasas'!$D$56/360,IF(C1624&lt;='FR_Mantenimiento tasas'!$C$57,'Tabla Ahorro Futuro Reservas'!C1624*'FR_Mantenimiento tasas'!$D$57/360,""))),5)</f>
        <v>0</v>
      </c>
      <c r="E1624" s="121">
        <f>ROUND(IF(C1624&lt;='FR_Mantenimiento tasas'!$C$55,'Tabla Ahorro Futuro Reservas'!C1624*'FR_Mantenimiento tasas'!$E$55/360,IF(C1624&lt;='FR_Mantenimiento tasas'!$C$56,'Tabla Ahorro Futuro Reservas'!C1624*'FR_Mantenimiento tasas'!$E$56/360,IF(C1624&lt;='FR_Mantenimiento tasas'!$C$57,'Tabla Ahorro Futuro Reservas'!C1624*'FR_Mantenimiento tasas'!$E$57/360,""))),5)</f>
        <v>0</v>
      </c>
    </row>
    <row r="1625" spans="1:5">
      <c r="A1625" s="123">
        <f t="shared" si="50"/>
        <v>1623</v>
      </c>
      <c r="B1625" s="122">
        <f>IF(DAY(A1625)=DAY('F-Ahorro Futuro Reservas'!$H$10),'F-Ahorro Futuro Reservas'!$H$9,0)</f>
        <v>0</v>
      </c>
      <c r="C1625" s="122">
        <f t="shared" si="51"/>
        <v>0</v>
      </c>
      <c r="D1625" s="121">
        <f>ROUND(IF(C1625&lt;='FR_Mantenimiento tasas'!$C$55,'Tabla Ahorro Futuro Reservas'!C1625*'FR_Mantenimiento tasas'!$D$55/360,IF(C1625&lt;='FR_Mantenimiento tasas'!$C$56,'Tabla Ahorro Futuro Reservas'!C1625*'FR_Mantenimiento tasas'!$D$56/360,IF(C1625&lt;='FR_Mantenimiento tasas'!$C$57,'Tabla Ahorro Futuro Reservas'!C1625*'FR_Mantenimiento tasas'!$D$57/360,""))),5)</f>
        <v>0</v>
      </c>
      <c r="E1625" s="121">
        <f>ROUND(IF(C1625&lt;='FR_Mantenimiento tasas'!$C$55,'Tabla Ahorro Futuro Reservas'!C1625*'FR_Mantenimiento tasas'!$E$55/360,IF(C1625&lt;='FR_Mantenimiento tasas'!$C$56,'Tabla Ahorro Futuro Reservas'!C1625*'FR_Mantenimiento tasas'!$E$56/360,IF(C1625&lt;='FR_Mantenimiento tasas'!$C$57,'Tabla Ahorro Futuro Reservas'!C1625*'FR_Mantenimiento tasas'!$E$57/360,""))),5)</f>
        <v>0</v>
      </c>
    </row>
    <row r="1626" spans="1:5">
      <c r="A1626" s="123">
        <f t="shared" si="50"/>
        <v>1624</v>
      </c>
      <c r="B1626" s="122">
        <f>IF(DAY(A1626)=DAY('F-Ahorro Futuro Reservas'!$H$10),'F-Ahorro Futuro Reservas'!$H$9,0)</f>
        <v>0</v>
      </c>
      <c r="C1626" s="122">
        <f t="shared" si="51"/>
        <v>0</v>
      </c>
      <c r="D1626" s="121">
        <f>ROUND(IF(C1626&lt;='FR_Mantenimiento tasas'!$C$55,'Tabla Ahorro Futuro Reservas'!C1626*'FR_Mantenimiento tasas'!$D$55/360,IF(C1626&lt;='FR_Mantenimiento tasas'!$C$56,'Tabla Ahorro Futuro Reservas'!C1626*'FR_Mantenimiento tasas'!$D$56/360,IF(C1626&lt;='FR_Mantenimiento tasas'!$C$57,'Tabla Ahorro Futuro Reservas'!C1626*'FR_Mantenimiento tasas'!$D$57/360,""))),5)</f>
        <v>0</v>
      </c>
      <c r="E1626" s="121">
        <f>ROUND(IF(C1626&lt;='FR_Mantenimiento tasas'!$C$55,'Tabla Ahorro Futuro Reservas'!C1626*'FR_Mantenimiento tasas'!$E$55/360,IF(C1626&lt;='FR_Mantenimiento tasas'!$C$56,'Tabla Ahorro Futuro Reservas'!C1626*'FR_Mantenimiento tasas'!$E$56/360,IF(C1626&lt;='FR_Mantenimiento tasas'!$C$57,'Tabla Ahorro Futuro Reservas'!C1626*'FR_Mantenimiento tasas'!$E$57/360,""))),5)</f>
        <v>0</v>
      </c>
    </row>
    <row r="1627" spans="1:5">
      <c r="A1627" s="123">
        <f t="shared" si="50"/>
        <v>1625</v>
      </c>
      <c r="B1627" s="122">
        <f>IF(DAY(A1627)=DAY('F-Ahorro Futuro Reservas'!$H$10),'F-Ahorro Futuro Reservas'!$H$9,0)</f>
        <v>0</v>
      </c>
      <c r="C1627" s="122">
        <f t="shared" si="51"/>
        <v>0</v>
      </c>
      <c r="D1627" s="121">
        <f>ROUND(IF(C1627&lt;='FR_Mantenimiento tasas'!$C$55,'Tabla Ahorro Futuro Reservas'!C1627*'FR_Mantenimiento tasas'!$D$55/360,IF(C1627&lt;='FR_Mantenimiento tasas'!$C$56,'Tabla Ahorro Futuro Reservas'!C1627*'FR_Mantenimiento tasas'!$D$56/360,IF(C1627&lt;='FR_Mantenimiento tasas'!$C$57,'Tabla Ahorro Futuro Reservas'!C1627*'FR_Mantenimiento tasas'!$D$57/360,""))),5)</f>
        <v>0</v>
      </c>
      <c r="E1627" s="121">
        <f>ROUND(IF(C1627&lt;='FR_Mantenimiento tasas'!$C$55,'Tabla Ahorro Futuro Reservas'!C1627*'FR_Mantenimiento tasas'!$E$55/360,IF(C1627&lt;='FR_Mantenimiento tasas'!$C$56,'Tabla Ahorro Futuro Reservas'!C1627*'FR_Mantenimiento tasas'!$E$56/360,IF(C1627&lt;='FR_Mantenimiento tasas'!$C$57,'Tabla Ahorro Futuro Reservas'!C1627*'FR_Mantenimiento tasas'!$E$57/360,""))),5)</f>
        <v>0</v>
      </c>
    </row>
    <row r="1628" spans="1:5">
      <c r="A1628" s="123">
        <f t="shared" si="50"/>
        <v>1626</v>
      </c>
      <c r="B1628" s="122">
        <f>IF(DAY(A1628)=DAY('F-Ahorro Futuro Reservas'!$H$10),'F-Ahorro Futuro Reservas'!$H$9,0)</f>
        <v>0</v>
      </c>
      <c r="C1628" s="122">
        <f t="shared" si="51"/>
        <v>0</v>
      </c>
      <c r="D1628" s="121">
        <f>ROUND(IF(C1628&lt;='FR_Mantenimiento tasas'!$C$55,'Tabla Ahorro Futuro Reservas'!C1628*'FR_Mantenimiento tasas'!$D$55/360,IF(C1628&lt;='FR_Mantenimiento tasas'!$C$56,'Tabla Ahorro Futuro Reservas'!C1628*'FR_Mantenimiento tasas'!$D$56/360,IF(C1628&lt;='FR_Mantenimiento tasas'!$C$57,'Tabla Ahorro Futuro Reservas'!C1628*'FR_Mantenimiento tasas'!$D$57/360,""))),5)</f>
        <v>0</v>
      </c>
      <c r="E1628" s="121">
        <f>ROUND(IF(C1628&lt;='FR_Mantenimiento tasas'!$C$55,'Tabla Ahorro Futuro Reservas'!C1628*'FR_Mantenimiento tasas'!$E$55/360,IF(C1628&lt;='FR_Mantenimiento tasas'!$C$56,'Tabla Ahorro Futuro Reservas'!C1628*'FR_Mantenimiento tasas'!$E$56/360,IF(C1628&lt;='FR_Mantenimiento tasas'!$C$57,'Tabla Ahorro Futuro Reservas'!C1628*'FR_Mantenimiento tasas'!$E$57/360,""))),5)</f>
        <v>0</v>
      </c>
    </row>
    <row r="1629" spans="1:5">
      <c r="A1629" s="123">
        <f t="shared" si="50"/>
        <v>1627</v>
      </c>
      <c r="B1629" s="122">
        <f>IF(DAY(A1629)=DAY('F-Ahorro Futuro Reservas'!$H$10),'F-Ahorro Futuro Reservas'!$H$9,0)</f>
        <v>0</v>
      </c>
      <c r="C1629" s="122">
        <f t="shared" si="51"/>
        <v>0</v>
      </c>
      <c r="D1629" s="121">
        <f>ROUND(IF(C1629&lt;='FR_Mantenimiento tasas'!$C$55,'Tabla Ahorro Futuro Reservas'!C1629*'FR_Mantenimiento tasas'!$D$55/360,IF(C1629&lt;='FR_Mantenimiento tasas'!$C$56,'Tabla Ahorro Futuro Reservas'!C1629*'FR_Mantenimiento tasas'!$D$56/360,IF(C1629&lt;='FR_Mantenimiento tasas'!$C$57,'Tabla Ahorro Futuro Reservas'!C1629*'FR_Mantenimiento tasas'!$D$57/360,""))),5)</f>
        <v>0</v>
      </c>
      <c r="E1629" s="121">
        <f>ROUND(IF(C1629&lt;='FR_Mantenimiento tasas'!$C$55,'Tabla Ahorro Futuro Reservas'!C1629*'FR_Mantenimiento tasas'!$E$55/360,IF(C1629&lt;='FR_Mantenimiento tasas'!$C$56,'Tabla Ahorro Futuro Reservas'!C1629*'FR_Mantenimiento tasas'!$E$56/360,IF(C1629&lt;='FR_Mantenimiento tasas'!$C$57,'Tabla Ahorro Futuro Reservas'!C1629*'FR_Mantenimiento tasas'!$E$57/360,""))),5)</f>
        <v>0</v>
      </c>
    </row>
    <row r="1630" spans="1:5">
      <c r="A1630" s="123">
        <f t="shared" si="50"/>
        <v>1628</v>
      </c>
      <c r="B1630" s="122">
        <f>IF(DAY(A1630)=DAY('F-Ahorro Futuro Reservas'!$H$10),'F-Ahorro Futuro Reservas'!$H$9,0)</f>
        <v>0</v>
      </c>
      <c r="C1630" s="122">
        <f t="shared" si="51"/>
        <v>0</v>
      </c>
      <c r="D1630" s="121">
        <f>ROUND(IF(C1630&lt;='FR_Mantenimiento tasas'!$C$55,'Tabla Ahorro Futuro Reservas'!C1630*'FR_Mantenimiento tasas'!$D$55/360,IF(C1630&lt;='FR_Mantenimiento tasas'!$C$56,'Tabla Ahorro Futuro Reservas'!C1630*'FR_Mantenimiento tasas'!$D$56/360,IF(C1630&lt;='FR_Mantenimiento tasas'!$C$57,'Tabla Ahorro Futuro Reservas'!C1630*'FR_Mantenimiento tasas'!$D$57/360,""))),5)</f>
        <v>0</v>
      </c>
      <c r="E1630" s="121">
        <f>ROUND(IF(C1630&lt;='FR_Mantenimiento tasas'!$C$55,'Tabla Ahorro Futuro Reservas'!C1630*'FR_Mantenimiento tasas'!$E$55/360,IF(C1630&lt;='FR_Mantenimiento tasas'!$C$56,'Tabla Ahorro Futuro Reservas'!C1630*'FR_Mantenimiento tasas'!$E$56/360,IF(C1630&lt;='FR_Mantenimiento tasas'!$C$57,'Tabla Ahorro Futuro Reservas'!C1630*'FR_Mantenimiento tasas'!$E$57/360,""))),5)</f>
        <v>0</v>
      </c>
    </row>
    <row r="1631" spans="1:5">
      <c r="A1631" s="123">
        <f t="shared" si="50"/>
        <v>1629</v>
      </c>
      <c r="B1631" s="122">
        <f>IF(DAY(A1631)=DAY('F-Ahorro Futuro Reservas'!$H$10),'F-Ahorro Futuro Reservas'!$H$9,0)</f>
        <v>0</v>
      </c>
      <c r="C1631" s="122">
        <f t="shared" si="51"/>
        <v>0</v>
      </c>
      <c r="D1631" s="121">
        <f>ROUND(IF(C1631&lt;='FR_Mantenimiento tasas'!$C$55,'Tabla Ahorro Futuro Reservas'!C1631*'FR_Mantenimiento tasas'!$D$55/360,IF(C1631&lt;='FR_Mantenimiento tasas'!$C$56,'Tabla Ahorro Futuro Reservas'!C1631*'FR_Mantenimiento tasas'!$D$56/360,IF(C1631&lt;='FR_Mantenimiento tasas'!$C$57,'Tabla Ahorro Futuro Reservas'!C1631*'FR_Mantenimiento tasas'!$D$57/360,""))),5)</f>
        <v>0</v>
      </c>
      <c r="E1631" s="121">
        <f>ROUND(IF(C1631&lt;='FR_Mantenimiento tasas'!$C$55,'Tabla Ahorro Futuro Reservas'!C1631*'FR_Mantenimiento tasas'!$E$55/360,IF(C1631&lt;='FR_Mantenimiento tasas'!$C$56,'Tabla Ahorro Futuro Reservas'!C1631*'FR_Mantenimiento tasas'!$E$56/360,IF(C1631&lt;='FR_Mantenimiento tasas'!$C$57,'Tabla Ahorro Futuro Reservas'!C1631*'FR_Mantenimiento tasas'!$E$57/360,""))),5)</f>
        <v>0</v>
      </c>
    </row>
    <row r="1632" spans="1:5">
      <c r="A1632" s="123">
        <f t="shared" si="50"/>
        <v>1630</v>
      </c>
      <c r="B1632" s="122">
        <f>IF(DAY(A1632)=DAY('F-Ahorro Futuro Reservas'!$H$10),'F-Ahorro Futuro Reservas'!$H$9,0)</f>
        <v>0</v>
      </c>
      <c r="C1632" s="122">
        <f t="shared" si="51"/>
        <v>0</v>
      </c>
      <c r="D1632" s="121">
        <f>ROUND(IF(C1632&lt;='FR_Mantenimiento tasas'!$C$55,'Tabla Ahorro Futuro Reservas'!C1632*'FR_Mantenimiento tasas'!$D$55/360,IF(C1632&lt;='FR_Mantenimiento tasas'!$C$56,'Tabla Ahorro Futuro Reservas'!C1632*'FR_Mantenimiento tasas'!$D$56/360,IF(C1632&lt;='FR_Mantenimiento tasas'!$C$57,'Tabla Ahorro Futuro Reservas'!C1632*'FR_Mantenimiento tasas'!$D$57/360,""))),5)</f>
        <v>0</v>
      </c>
      <c r="E1632" s="121">
        <f>ROUND(IF(C1632&lt;='FR_Mantenimiento tasas'!$C$55,'Tabla Ahorro Futuro Reservas'!C1632*'FR_Mantenimiento tasas'!$E$55/360,IF(C1632&lt;='FR_Mantenimiento tasas'!$C$56,'Tabla Ahorro Futuro Reservas'!C1632*'FR_Mantenimiento tasas'!$E$56/360,IF(C1632&lt;='FR_Mantenimiento tasas'!$C$57,'Tabla Ahorro Futuro Reservas'!C1632*'FR_Mantenimiento tasas'!$E$57/360,""))),5)</f>
        <v>0</v>
      </c>
    </row>
    <row r="1633" spans="1:5">
      <c r="A1633" s="123">
        <f t="shared" si="50"/>
        <v>1631</v>
      </c>
      <c r="B1633" s="122">
        <f>IF(DAY(A1633)=DAY('F-Ahorro Futuro Reservas'!$H$10),'F-Ahorro Futuro Reservas'!$H$9,0)</f>
        <v>0</v>
      </c>
      <c r="C1633" s="122">
        <f t="shared" si="51"/>
        <v>0</v>
      </c>
      <c r="D1633" s="121">
        <f>ROUND(IF(C1633&lt;='FR_Mantenimiento tasas'!$C$55,'Tabla Ahorro Futuro Reservas'!C1633*'FR_Mantenimiento tasas'!$D$55/360,IF(C1633&lt;='FR_Mantenimiento tasas'!$C$56,'Tabla Ahorro Futuro Reservas'!C1633*'FR_Mantenimiento tasas'!$D$56/360,IF(C1633&lt;='FR_Mantenimiento tasas'!$C$57,'Tabla Ahorro Futuro Reservas'!C1633*'FR_Mantenimiento tasas'!$D$57/360,""))),5)</f>
        <v>0</v>
      </c>
      <c r="E1633" s="121">
        <f>ROUND(IF(C1633&lt;='FR_Mantenimiento tasas'!$C$55,'Tabla Ahorro Futuro Reservas'!C1633*'FR_Mantenimiento tasas'!$E$55/360,IF(C1633&lt;='FR_Mantenimiento tasas'!$C$56,'Tabla Ahorro Futuro Reservas'!C1633*'FR_Mantenimiento tasas'!$E$56/360,IF(C1633&lt;='FR_Mantenimiento tasas'!$C$57,'Tabla Ahorro Futuro Reservas'!C1633*'FR_Mantenimiento tasas'!$E$57/360,""))),5)</f>
        <v>0</v>
      </c>
    </row>
    <row r="1634" spans="1:5">
      <c r="A1634" s="123">
        <f t="shared" si="50"/>
        <v>1632</v>
      </c>
      <c r="B1634" s="122">
        <f>IF(DAY(A1634)=DAY('F-Ahorro Futuro Reservas'!$H$10),'F-Ahorro Futuro Reservas'!$H$9,0)</f>
        <v>0</v>
      </c>
      <c r="C1634" s="122">
        <f t="shared" si="51"/>
        <v>0</v>
      </c>
      <c r="D1634" s="121">
        <f>ROUND(IF(C1634&lt;='FR_Mantenimiento tasas'!$C$55,'Tabla Ahorro Futuro Reservas'!C1634*'FR_Mantenimiento tasas'!$D$55/360,IF(C1634&lt;='FR_Mantenimiento tasas'!$C$56,'Tabla Ahorro Futuro Reservas'!C1634*'FR_Mantenimiento tasas'!$D$56/360,IF(C1634&lt;='FR_Mantenimiento tasas'!$C$57,'Tabla Ahorro Futuro Reservas'!C1634*'FR_Mantenimiento tasas'!$D$57/360,""))),5)</f>
        <v>0</v>
      </c>
      <c r="E1634" s="121">
        <f>ROUND(IF(C1634&lt;='FR_Mantenimiento tasas'!$C$55,'Tabla Ahorro Futuro Reservas'!C1634*'FR_Mantenimiento tasas'!$E$55/360,IF(C1634&lt;='FR_Mantenimiento tasas'!$C$56,'Tabla Ahorro Futuro Reservas'!C1634*'FR_Mantenimiento tasas'!$E$56/360,IF(C1634&lt;='FR_Mantenimiento tasas'!$C$57,'Tabla Ahorro Futuro Reservas'!C1634*'FR_Mantenimiento tasas'!$E$57/360,""))),5)</f>
        <v>0</v>
      </c>
    </row>
    <row r="1635" spans="1:5">
      <c r="A1635" s="123">
        <f t="shared" si="50"/>
        <v>1633</v>
      </c>
      <c r="B1635" s="122">
        <f>IF(DAY(A1635)=DAY('F-Ahorro Futuro Reservas'!$H$10),'F-Ahorro Futuro Reservas'!$H$9,0)</f>
        <v>0</v>
      </c>
      <c r="C1635" s="122">
        <f t="shared" si="51"/>
        <v>0</v>
      </c>
      <c r="D1635" s="121">
        <f>ROUND(IF(C1635&lt;='FR_Mantenimiento tasas'!$C$55,'Tabla Ahorro Futuro Reservas'!C1635*'FR_Mantenimiento tasas'!$D$55/360,IF(C1635&lt;='FR_Mantenimiento tasas'!$C$56,'Tabla Ahorro Futuro Reservas'!C1635*'FR_Mantenimiento tasas'!$D$56/360,IF(C1635&lt;='FR_Mantenimiento tasas'!$C$57,'Tabla Ahorro Futuro Reservas'!C1635*'FR_Mantenimiento tasas'!$D$57/360,""))),5)</f>
        <v>0</v>
      </c>
      <c r="E1635" s="121">
        <f>ROUND(IF(C1635&lt;='FR_Mantenimiento tasas'!$C$55,'Tabla Ahorro Futuro Reservas'!C1635*'FR_Mantenimiento tasas'!$E$55/360,IF(C1635&lt;='FR_Mantenimiento tasas'!$C$56,'Tabla Ahorro Futuro Reservas'!C1635*'FR_Mantenimiento tasas'!$E$56/360,IF(C1635&lt;='FR_Mantenimiento tasas'!$C$57,'Tabla Ahorro Futuro Reservas'!C1635*'FR_Mantenimiento tasas'!$E$57/360,""))),5)</f>
        <v>0</v>
      </c>
    </row>
    <row r="1636" spans="1:5">
      <c r="A1636" s="123">
        <f t="shared" si="50"/>
        <v>1634</v>
      </c>
      <c r="B1636" s="122">
        <f>IF(DAY(A1636)=DAY('F-Ahorro Futuro Reservas'!$H$10),'F-Ahorro Futuro Reservas'!$H$9,0)</f>
        <v>0</v>
      </c>
      <c r="C1636" s="122">
        <f t="shared" si="51"/>
        <v>0</v>
      </c>
      <c r="D1636" s="121">
        <f>ROUND(IF(C1636&lt;='FR_Mantenimiento tasas'!$C$55,'Tabla Ahorro Futuro Reservas'!C1636*'FR_Mantenimiento tasas'!$D$55/360,IF(C1636&lt;='FR_Mantenimiento tasas'!$C$56,'Tabla Ahorro Futuro Reservas'!C1636*'FR_Mantenimiento tasas'!$D$56/360,IF(C1636&lt;='FR_Mantenimiento tasas'!$C$57,'Tabla Ahorro Futuro Reservas'!C1636*'FR_Mantenimiento tasas'!$D$57/360,""))),5)</f>
        <v>0</v>
      </c>
      <c r="E1636" s="121">
        <f>ROUND(IF(C1636&lt;='FR_Mantenimiento tasas'!$C$55,'Tabla Ahorro Futuro Reservas'!C1636*'FR_Mantenimiento tasas'!$E$55/360,IF(C1636&lt;='FR_Mantenimiento tasas'!$C$56,'Tabla Ahorro Futuro Reservas'!C1636*'FR_Mantenimiento tasas'!$E$56/360,IF(C1636&lt;='FR_Mantenimiento tasas'!$C$57,'Tabla Ahorro Futuro Reservas'!C1636*'FR_Mantenimiento tasas'!$E$57/360,""))),5)</f>
        <v>0</v>
      </c>
    </row>
    <row r="1637" spans="1:5">
      <c r="A1637" s="123">
        <f t="shared" si="50"/>
        <v>1635</v>
      </c>
      <c r="B1637" s="122">
        <f>IF(DAY(A1637)=DAY('F-Ahorro Futuro Reservas'!$H$10),'F-Ahorro Futuro Reservas'!$H$9,0)</f>
        <v>0</v>
      </c>
      <c r="C1637" s="122">
        <f t="shared" si="51"/>
        <v>0</v>
      </c>
      <c r="D1637" s="121">
        <f>ROUND(IF(C1637&lt;='FR_Mantenimiento tasas'!$C$55,'Tabla Ahorro Futuro Reservas'!C1637*'FR_Mantenimiento tasas'!$D$55/360,IF(C1637&lt;='FR_Mantenimiento tasas'!$C$56,'Tabla Ahorro Futuro Reservas'!C1637*'FR_Mantenimiento tasas'!$D$56/360,IF(C1637&lt;='FR_Mantenimiento tasas'!$C$57,'Tabla Ahorro Futuro Reservas'!C1637*'FR_Mantenimiento tasas'!$D$57/360,""))),5)</f>
        <v>0</v>
      </c>
      <c r="E1637" s="121">
        <f>ROUND(IF(C1637&lt;='FR_Mantenimiento tasas'!$C$55,'Tabla Ahorro Futuro Reservas'!C1637*'FR_Mantenimiento tasas'!$E$55/360,IF(C1637&lt;='FR_Mantenimiento tasas'!$C$56,'Tabla Ahorro Futuro Reservas'!C1637*'FR_Mantenimiento tasas'!$E$56/360,IF(C1637&lt;='FR_Mantenimiento tasas'!$C$57,'Tabla Ahorro Futuro Reservas'!C1637*'FR_Mantenimiento tasas'!$E$57/360,""))),5)</f>
        <v>0</v>
      </c>
    </row>
    <row r="1638" spans="1:5">
      <c r="A1638" s="123">
        <f t="shared" si="50"/>
        <v>1636</v>
      </c>
      <c r="B1638" s="122">
        <f>IF(DAY(A1638)=DAY('F-Ahorro Futuro Reservas'!$H$10),'F-Ahorro Futuro Reservas'!$H$9,0)</f>
        <v>0</v>
      </c>
      <c r="C1638" s="122">
        <f t="shared" si="51"/>
        <v>0</v>
      </c>
      <c r="D1638" s="121">
        <f>ROUND(IF(C1638&lt;='FR_Mantenimiento tasas'!$C$55,'Tabla Ahorro Futuro Reservas'!C1638*'FR_Mantenimiento tasas'!$D$55/360,IF(C1638&lt;='FR_Mantenimiento tasas'!$C$56,'Tabla Ahorro Futuro Reservas'!C1638*'FR_Mantenimiento tasas'!$D$56/360,IF(C1638&lt;='FR_Mantenimiento tasas'!$C$57,'Tabla Ahorro Futuro Reservas'!C1638*'FR_Mantenimiento tasas'!$D$57/360,""))),5)</f>
        <v>0</v>
      </c>
      <c r="E1638" s="121">
        <f>ROUND(IF(C1638&lt;='FR_Mantenimiento tasas'!$C$55,'Tabla Ahorro Futuro Reservas'!C1638*'FR_Mantenimiento tasas'!$E$55/360,IF(C1638&lt;='FR_Mantenimiento tasas'!$C$56,'Tabla Ahorro Futuro Reservas'!C1638*'FR_Mantenimiento tasas'!$E$56/360,IF(C1638&lt;='FR_Mantenimiento tasas'!$C$57,'Tabla Ahorro Futuro Reservas'!C1638*'FR_Mantenimiento tasas'!$E$57/360,""))),5)</f>
        <v>0</v>
      </c>
    </row>
    <row r="1639" spans="1:5">
      <c r="A1639" s="123">
        <f t="shared" si="50"/>
        <v>1637</v>
      </c>
      <c r="B1639" s="122">
        <f>IF(DAY(A1639)=DAY('F-Ahorro Futuro Reservas'!$H$10),'F-Ahorro Futuro Reservas'!$H$9,0)</f>
        <v>0</v>
      </c>
      <c r="C1639" s="122">
        <f t="shared" si="51"/>
        <v>0</v>
      </c>
      <c r="D1639" s="121">
        <f>ROUND(IF(C1639&lt;='FR_Mantenimiento tasas'!$C$55,'Tabla Ahorro Futuro Reservas'!C1639*'FR_Mantenimiento tasas'!$D$55/360,IF(C1639&lt;='FR_Mantenimiento tasas'!$C$56,'Tabla Ahorro Futuro Reservas'!C1639*'FR_Mantenimiento tasas'!$D$56/360,IF(C1639&lt;='FR_Mantenimiento tasas'!$C$57,'Tabla Ahorro Futuro Reservas'!C1639*'FR_Mantenimiento tasas'!$D$57/360,""))),5)</f>
        <v>0</v>
      </c>
      <c r="E1639" s="121">
        <f>ROUND(IF(C1639&lt;='FR_Mantenimiento tasas'!$C$55,'Tabla Ahorro Futuro Reservas'!C1639*'FR_Mantenimiento tasas'!$E$55/360,IF(C1639&lt;='FR_Mantenimiento tasas'!$C$56,'Tabla Ahorro Futuro Reservas'!C1639*'FR_Mantenimiento tasas'!$E$56/360,IF(C1639&lt;='FR_Mantenimiento tasas'!$C$57,'Tabla Ahorro Futuro Reservas'!C1639*'FR_Mantenimiento tasas'!$E$57/360,""))),5)</f>
        <v>0</v>
      </c>
    </row>
    <row r="1640" spans="1:5">
      <c r="A1640" s="123">
        <f t="shared" si="50"/>
        <v>1638</v>
      </c>
      <c r="B1640" s="122">
        <f>IF(DAY(A1640)=DAY('F-Ahorro Futuro Reservas'!$H$10),'F-Ahorro Futuro Reservas'!$H$9,0)</f>
        <v>0</v>
      </c>
      <c r="C1640" s="122">
        <f t="shared" si="51"/>
        <v>0</v>
      </c>
      <c r="D1640" s="121">
        <f>ROUND(IF(C1640&lt;='FR_Mantenimiento tasas'!$C$55,'Tabla Ahorro Futuro Reservas'!C1640*'FR_Mantenimiento tasas'!$D$55/360,IF(C1640&lt;='FR_Mantenimiento tasas'!$C$56,'Tabla Ahorro Futuro Reservas'!C1640*'FR_Mantenimiento tasas'!$D$56/360,IF(C1640&lt;='FR_Mantenimiento tasas'!$C$57,'Tabla Ahorro Futuro Reservas'!C1640*'FR_Mantenimiento tasas'!$D$57/360,""))),5)</f>
        <v>0</v>
      </c>
      <c r="E1640" s="121">
        <f>ROUND(IF(C1640&lt;='FR_Mantenimiento tasas'!$C$55,'Tabla Ahorro Futuro Reservas'!C1640*'FR_Mantenimiento tasas'!$E$55/360,IF(C1640&lt;='FR_Mantenimiento tasas'!$C$56,'Tabla Ahorro Futuro Reservas'!C1640*'FR_Mantenimiento tasas'!$E$56/360,IF(C1640&lt;='FR_Mantenimiento tasas'!$C$57,'Tabla Ahorro Futuro Reservas'!C1640*'FR_Mantenimiento tasas'!$E$57/360,""))),5)</f>
        <v>0</v>
      </c>
    </row>
    <row r="1641" spans="1:5">
      <c r="A1641" s="123">
        <f t="shared" si="50"/>
        <v>1639</v>
      </c>
      <c r="B1641" s="122">
        <f>IF(DAY(A1641)=DAY('F-Ahorro Futuro Reservas'!$H$10),'F-Ahorro Futuro Reservas'!$H$9,0)</f>
        <v>0</v>
      </c>
      <c r="C1641" s="122">
        <f t="shared" si="51"/>
        <v>0</v>
      </c>
      <c r="D1641" s="121">
        <f>ROUND(IF(C1641&lt;='FR_Mantenimiento tasas'!$C$55,'Tabla Ahorro Futuro Reservas'!C1641*'FR_Mantenimiento tasas'!$D$55/360,IF(C1641&lt;='FR_Mantenimiento tasas'!$C$56,'Tabla Ahorro Futuro Reservas'!C1641*'FR_Mantenimiento tasas'!$D$56/360,IF(C1641&lt;='FR_Mantenimiento tasas'!$C$57,'Tabla Ahorro Futuro Reservas'!C1641*'FR_Mantenimiento tasas'!$D$57/360,""))),5)</f>
        <v>0</v>
      </c>
      <c r="E1641" s="121">
        <f>ROUND(IF(C1641&lt;='FR_Mantenimiento tasas'!$C$55,'Tabla Ahorro Futuro Reservas'!C1641*'FR_Mantenimiento tasas'!$E$55/360,IF(C1641&lt;='FR_Mantenimiento tasas'!$C$56,'Tabla Ahorro Futuro Reservas'!C1641*'FR_Mantenimiento tasas'!$E$56/360,IF(C1641&lt;='FR_Mantenimiento tasas'!$C$57,'Tabla Ahorro Futuro Reservas'!C1641*'FR_Mantenimiento tasas'!$E$57/360,""))),5)</f>
        <v>0</v>
      </c>
    </row>
    <row r="1642" spans="1:5">
      <c r="A1642" s="123">
        <f t="shared" si="50"/>
        <v>1640</v>
      </c>
      <c r="B1642" s="122">
        <f>IF(DAY(A1642)=DAY('F-Ahorro Futuro Reservas'!$H$10),'F-Ahorro Futuro Reservas'!$H$9,0)</f>
        <v>0</v>
      </c>
      <c r="C1642" s="122">
        <f t="shared" si="51"/>
        <v>0</v>
      </c>
      <c r="D1642" s="121">
        <f>ROUND(IF(C1642&lt;='FR_Mantenimiento tasas'!$C$55,'Tabla Ahorro Futuro Reservas'!C1642*'FR_Mantenimiento tasas'!$D$55/360,IF(C1642&lt;='FR_Mantenimiento tasas'!$C$56,'Tabla Ahorro Futuro Reservas'!C1642*'FR_Mantenimiento tasas'!$D$56/360,IF(C1642&lt;='FR_Mantenimiento tasas'!$C$57,'Tabla Ahorro Futuro Reservas'!C1642*'FR_Mantenimiento tasas'!$D$57/360,""))),5)</f>
        <v>0</v>
      </c>
      <c r="E1642" s="121">
        <f>ROUND(IF(C1642&lt;='FR_Mantenimiento tasas'!$C$55,'Tabla Ahorro Futuro Reservas'!C1642*'FR_Mantenimiento tasas'!$E$55/360,IF(C1642&lt;='FR_Mantenimiento tasas'!$C$56,'Tabla Ahorro Futuro Reservas'!C1642*'FR_Mantenimiento tasas'!$E$56/360,IF(C1642&lt;='FR_Mantenimiento tasas'!$C$57,'Tabla Ahorro Futuro Reservas'!C1642*'FR_Mantenimiento tasas'!$E$57/360,""))),5)</f>
        <v>0</v>
      </c>
    </row>
    <row r="1643" spans="1:5">
      <c r="A1643" s="123">
        <f t="shared" si="50"/>
        <v>1641</v>
      </c>
      <c r="B1643" s="122">
        <f>IF(DAY(A1643)=DAY('F-Ahorro Futuro Reservas'!$H$10),'F-Ahorro Futuro Reservas'!$H$9,0)</f>
        <v>0</v>
      </c>
      <c r="C1643" s="122">
        <f t="shared" si="51"/>
        <v>0</v>
      </c>
      <c r="D1643" s="121">
        <f>ROUND(IF(C1643&lt;='FR_Mantenimiento tasas'!$C$55,'Tabla Ahorro Futuro Reservas'!C1643*'FR_Mantenimiento tasas'!$D$55/360,IF(C1643&lt;='FR_Mantenimiento tasas'!$C$56,'Tabla Ahorro Futuro Reservas'!C1643*'FR_Mantenimiento tasas'!$D$56/360,IF(C1643&lt;='FR_Mantenimiento tasas'!$C$57,'Tabla Ahorro Futuro Reservas'!C1643*'FR_Mantenimiento tasas'!$D$57/360,""))),5)</f>
        <v>0</v>
      </c>
      <c r="E1643" s="121">
        <f>ROUND(IF(C1643&lt;='FR_Mantenimiento tasas'!$C$55,'Tabla Ahorro Futuro Reservas'!C1643*'FR_Mantenimiento tasas'!$E$55/360,IF(C1643&lt;='FR_Mantenimiento tasas'!$C$56,'Tabla Ahorro Futuro Reservas'!C1643*'FR_Mantenimiento tasas'!$E$56/360,IF(C1643&lt;='FR_Mantenimiento tasas'!$C$57,'Tabla Ahorro Futuro Reservas'!C1643*'FR_Mantenimiento tasas'!$E$57/360,""))),5)</f>
        <v>0</v>
      </c>
    </row>
    <row r="1644" spans="1:5">
      <c r="A1644" s="123">
        <f t="shared" si="50"/>
        <v>1642</v>
      </c>
      <c r="B1644" s="122">
        <f>IF(DAY(A1644)=DAY('F-Ahorro Futuro Reservas'!$H$10),'F-Ahorro Futuro Reservas'!$H$9,0)</f>
        <v>0</v>
      </c>
      <c r="C1644" s="122">
        <f t="shared" si="51"/>
        <v>0</v>
      </c>
      <c r="D1644" s="121">
        <f>ROUND(IF(C1644&lt;='FR_Mantenimiento tasas'!$C$55,'Tabla Ahorro Futuro Reservas'!C1644*'FR_Mantenimiento tasas'!$D$55/360,IF(C1644&lt;='FR_Mantenimiento tasas'!$C$56,'Tabla Ahorro Futuro Reservas'!C1644*'FR_Mantenimiento tasas'!$D$56/360,IF(C1644&lt;='FR_Mantenimiento tasas'!$C$57,'Tabla Ahorro Futuro Reservas'!C1644*'FR_Mantenimiento tasas'!$D$57/360,""))),5)</f>
        <v>0</v>
      </c>
      <c r="E1644" s="121">
        <f>ROUND(IF(C1644&lt;='FR_Mantenimiento tasas'!$C$55,'Tabla Ahorro Futuro Reservas'!C1644*'FR_Mantenimiento tasas'!$E$55/360,IF(C1644&lt;='FR_Mantenimiento tasas'!$C$56,'Tabla Ahorro Futuro Reservas'!C1644*'FR_Mantenimiento tasas'!$E$56/360,IF(C1644&lt;='FR_Mantenimiento tasas'!$C$57,'Tabla Ahorro Futuro Reservas'!C1644*'FR_Mantenimiento tasas'!$E$57/360,""))),5)</f>
        <v>0</v>
      </c>
    </row>
    <row r="1645" spans="1:5">
      <c r="A1645" s="123">
        <f t="shared" si="50"/>
        <v>1643</v>
      </c>
      <c r="B1645" s="122">
        <f>IF(DAY(A1645)=DAY('F-Ahorro Futuro Reservas'!$H$10),'F-Ahorro Futuro Reservas'!$H$9,0)</f>
        <v>0</v>
      </c>
      <c r="C1645" s="122">
        <f t="shared" si="51"/>
        <v>0</v>
      </c>
      <c r="D1645" s="121">
        <f>ROUND(IF(C1645&lt;='FR_Mantenimiento tasas'!$C$55,'Tabla Ahorro Futuro Reservas'!C1645*'FR_Mantenimiento tasas'!$D$55/360,IF(C1645&lt;='FR_Mantenimiento tasas'!$C$56,'Tabla Ahorro Futuro Reservas'!C1645*'FR_Mantenimiento tasas'!$D$56/360,IF(C1645&lt;='FR_Mantenimiento tasas'!$C$57,'Tabla Ahorro Futuro Reservas'!C1645*'FR_Mantenimiento tasas'!$D$57/360,""))),5)</f>
        <v>0</v>
      </c>
      <c r="E1645" s="121">
        <f>ROUND(IF(C1645&lt;='FR_Mantenimiento tasas'!$C$55,'Tabla Ahorro Futuro Reservas'!C1645*'FR_Mantenimiento tasas'!$E$55/360,IF(C1645&lt;='FR_Mantenimiento tasas'!$C$56,'Tabla Ahorro Futuro Reservas'!C1645*'FR_Mantenimiento tasas'!$E$56/360,IF(C1645&lt;='FR_Mantenimiento tasas'!$C$57,'Tabla Ahorro Futuro Reservas'!C1645*'FR_Mantenimiento tasas'!$E$57/360,""))),5)</f>
        <v>0</v>
      </c>
    </row>
    <row r="1646" spans="1:5">
      <c r="A1646" s="123">
        <f t="shared" si="50"/>
        <v>1644</v>
      </c>
      <c r="B1646" s="122">
        <f>IF(DAY(A1646)=DAY('F-Ahorro Futuro Reservas'!$H$10),'F-Ahorro Futuro Reservas'!$H$9,0)</f>
        <v>0</v>
      </c>
      <c r="C1646" s="122">
        <f t="shared" si="51"/>
        <v>0</v>
      </c>
      <c r="D1646" s="121">
        <f>ROUND(IF(C1646&lt;='FR_Mantenimiento tasas'!$C$55,'Tabla Ahorro Futuro Reservas'!C1646*'FR_Mantenimiento tasas'!$D$55/360,IF(C1646&lt;='FR_Mantenimiento tasas'!$C$56,'Tabla Ahorro Futuro Reservas'!C1646*'FR_Mantenimiento tasas'!$D$56/360,IF(C1646&lt;='FR_Mantenimiento tasas'!$C$57,'Tabla Ahorro Futuro Reservas'!C1646*'FR_Mantenimiento tasas'!$D$57/360,""))),5)</f>
        <v>0</v>
      </c>
      <c r="E1646" s="121">
        <f>ROUND(IF(C1646&lt;='FR_Mantenimiento tasas'!$C$55,'Tabla Ahorro Futuro Reservas'!C1646*'FR_Mantenimiento tasas'!$E$55/360,IF(C1646&lt;='FR_Mantenimiento tasas'!$C$56,'Tabla Ahorro Futuro Reservas'!C1646*'FR_Mantenimiento tasas'!$E$56/360,IF(C1646&lt;='FR_Mantenimiento tasas'!$C$57,'Tabla Ahorro Futuro Reservas'!C1646*'FR_Mantenimiento tasas'!$E$57/360,""))),5)</f>
        <v>0</v>
      </c>
    </row>
    <row r="1647" spans="1:5">
      <c r="A1647" s="123">
        <f t="shared" si="50"/>
        <v>1645</v>
      </c>
      <c r="B1647" s="122">
        <f>IF(DAY(A1647)=DAY('F-Ahorro Futuro Reservas'!$H$10),'F-Ahorro Futuro Reservas'!$H$9,0)</f>
        <v>0</v>
      </c>
      <c r="C1647" s="122">
        <f t="shared" si="51"/>
        <v>0</v>
      </c>
      <c r="D1647" s="121">
        <f>ROUND(IF(C1647&lt;='FR_Mantenimiento tasas'!$C$55,'Tabla Ahorro Futuro Reservas'!C1647*'FR_Mantenimiento tasas'!$D$55/360,IF(C1647&lt;='FR_Mantenimiento tasas'!$C$56,'Tabla Ahorro Futuro Reservas'!C1647*'FR_Mantenimiento tasas'!$D$56/360,IF(C1647&lt;='FR_Mantenimiento tasas'!$C$57,'Tabla Ahorro Futuro Reservas'!C1647*'FR_Mantenimiento tasas'!$D$57/360,""))),5)</f>
        <v>0</v>
      </c>
      <c r="E1647" s="121">
        <f>ROUND(IF(C1647&lt;='FR_Mantenimiento tasas'!$C$55,'Tabla Ahorro Futuro Reservas'!C1647*'FR_Mantenimiento tasas'!$E$55/360,IF(C1647&lt;='FR_Mantenimiento tasas'!$C$56,'Tabla Ahorro Futuro Reservas'!C1647*'FR_Mantenimiento tasas'!$E$56/360,IF(C1647&lt;='FR_Mantenimiento tasas'!$C$57,'Tabla Ahorro Futuro Reservas'!C1647*'FR_Mantenimiento tasas'!$E$57/360,""))),5)</f>
        <v>0</v>
      </c>
    </row>
    <row r="1648" spans="1:5">
      <c r="A1648" s="123">
        <f t="shared" si="50"/>
        <v>1646</v>
      </c>
      <c r="B1648" s="122">
        <f>IF(DAY(A1648)=DAY('F-Ahorro Futuro Reservas'!$H$10),'F-Ahorro Futuro Reservas'!$H$9,0)</f>
        <v>0</v>
      </c>
      <c r="C1648" s="122">
        <f t="shared" si="51"/>
        <v>0</v>
      </c>
      <c r="D1648" s="121">
        <f>ROUND(IF(C1648&lt;='FR_Mantenimiento tasas'!$C$55,'Tabla Ahorro Futuro Reservas'!C1648*'FR_Mantenimiento tasas'!$D$55/360,IF(C1648&lt;='FR_Mantenimiento tasas'!$C$56,'Tabla Ahorro Futuro Reservas'!C1648*'FR_Mantenimiento tasas'!$D$56/360,IF(C1648&lt;='FR_Mantenimiento tasas'!$C$57,'Tabla Ahorro Futuro Reservas'!C1648*'FR_Mantenimiento tasas'!$D$57/360,""))),5)</f>
        <v>0</v>
      </c>
      <c r="E1648" s="121">
        <f>ROUND(IF(C1648&lt;='FR_Mantenimiento tasas'!$C$55,'Tabla Ahorro Futuro Reservas'!C1648*'FR_Mantenimiento tasas'!$E$55/360,IF(C1648&lt;='FR_Mantenimiento tasas'!$C$56,'Tabla Ahorro Futuro Reservas'!C1648*'FR_Mantenimiento tasas'!$E$56/360,IF(C1648&lt;='FR_Mantenimiento tasas'!$C$57,'Tabla Ahorro Futuro Reservas'!C1648*'FR_Mantenimiento tasas'!$E$57/360,""))),5)</f>
        <v>0</v>
      </c>
    </row>
    <row r="1649" spans="1:5">
      <c r="A1649" s="123">
        <f t="shared" si="50"/>
        <v>1647</v>
      </c>
      <c r="B1649" s="122">
        <f>IF(DAY(A1649)=DAY('F-Ahorro Futuro Reservas'!$H$10),'F-Ahorro Futuro Reservas'!$H$9,0)</f>
        <v>0</v>
      </c>
      <c r="C1649" s="122">
        <f t="shared" si="51"/>
        <v>0</v>
      </c>
      <c r="D1649" s="121">
        <f>ROUND(IF(C1649&lt;='FR_Mantenimiento tasas'!$C$55,'Tabla Ahorro Futuro Reservas'!C1649*'FR_Mantenimiento tasas'!$D$55/360,IF(C1649&lt;='FR_Mantenimiento tasas'!$C$56,'Tabla Ahorro Futuro Reservas'!C1649*'FR_Mantenimiento tasas'!$D$56/360,IF(C1649&lt;='FR_Mantenimiento tasas'!$C$57,'Tabla Ahorro Futuro Reservas'!C1649*'FR_Mantenimiento tasas'!$D$57/360,""))),5)</f>
        <v>0</v>
      </c>
      <c r="E1649" s="121">
        <f>ROUND(IF(C1649&lt;='FR_Mantenimiento tasas'!$C$55,'Tabla Ahorro Futuro Reservas'!C1649*'FR_Mantenimiento tasas'!$E$55/360,IF(C1649&lt;='FR_Mantenimiento tasas'!$C$56,'Tabla Ahorro Futuro Reservas'!C1649*'FR_Mantenimiento tasas'!$E$56/360,IF(C1649&lt;='FR_Mantenimiento tasas'!$C$57,'Tabla Ahorro Futuro Reservas'!C1649*'FR_Mantenimiento tasas'!$E$57/360,""))),5)</f>
        <v>0</v>
      </c>
    </row>
    <row r="1650" spans="1:5">
      <c r="A1650" s="123">
        <f t="shared" si="50"/>
        <v>1648</v>
      </c>
      <c r="B1650" s="122">
        <f>IF(DAY(A1650)=DAY('F-Ahorro Futuro Reservas'!$H$10),'F-Ahorro Futuro Reservas'!$H$9,0)</f>
        <v>0</v>
      </c>
      <c r="C1650" s="122">
        <f t="shared" si="51"/>
        <v>0</v>
      </c>
      <c r="D1650" s="121">
        <f>ROUND(IF(C1650&lt;='FR_Mantenimiento tasas'!$C$55,'Tabla Ahorro Futuro Reservas'!C1650*'FR_Mantenimiento tasas'!$D$55/360,IF(C1650&lt;='FR_Mantenimiento tasas'!$C$56,'Tabla Ahorro Futuro Reservas'!C1650*'FR_Mantenimiento tasas'!$D$56/360,IF(C1650&lt;='FR_Mantenimiento tasas'!$C$57,'Tabla Ahorro Futuro Reservas'!C1650*'FR_Mantenimiento tasas'!$D$57/360,""))),5)</f>
        <v>0</v>
      </c>
      <c r="E1650" s="121">
        <f>ROUND(IF(C1650&lt;='FR_Mantenimiento tasas'!$C$55,'Tabla Ahorro Futuro Reservas'!C1650*'FR_Mantenimiento tasas'!$E$55/360,IF(C1650&lt;='FR_Mantenimiento tasas'!$C$56,'Tabla Ahorro Futuro Reservas'!C1650*'FR_Mantenimiento tasas'!$E$56/360,IF(C1650&lt;='FR_Mantenimiento tasas'!$C$57,'Tabla Ahorro Futuro Reservas'!C1650*'FR_Mantenimiento tasas'!$E$57/360,""))),5)</f>
        <v>0</v>
      </c>
    </row>
    <row r="1651" spans="1:5">
      <c r="A1651" s="123">
        <f t="shared" si="50"/>
        <v>1649</v>
      </c>
      <c r="B1651" s="122">
        <f>IF(DAY(A1651)=DAY('F-Ahorro Futuro Reservas'!$H$10),'F-Ahorro Futuro Reservas'!$H$9,0)</f>
        <v>0</v>
      </c>
      <c r="C1651" s="122">
        <f t="shared" si="51"/>
        <v>0</v>
      </c>
      <c r="D1651" s="121">
        <f>ROUND(IF(C1651&lt;='FR_Mantenimiento tasas'!$C$55,'Tabla Ahorro Futuro Reservas'!C1651*'FR_Mantenimiento tasas'!$D$55/360,IF(C1651&lt;='FR_Mantenimiento tasas'!$C$56,'Tabla Ahorro Futuro Reservas'!C1651*'FR_Mantenimiento tasas'!$D$56/360,IF(C1651&lt;='FR_Mantenimiento tasas'!$C$57,'Tabla Ahorro Futuro Reservas'!C1651*'FR_Mantenimiento tasas'!$D$57/360,""))),5)</f>
        <v>0</v>
      </c>
      <c r="E1651" s="121">
        <f>ROUND(IF(C1651&lt;='FR_Mantenimiento tasas'!$C$55,'Tabla Ahorro Futuro Reservas'!C1651*'FR_Mantenimiento tasas'!$E$55/360,IF(C1651&lt;='FR_Mantenimiento tasas'!$C$56,'Tabla Ahorro Futuro Reservas'!C1651*'FR_Mantenimiento tasas'!$E$56/360,IF(C1651&lt;='FR_Mantenimiento tasas'!$C$57,'Tabla Ahorro Futuro Reservas'!C1651*'FR_Mantenimiento tasas'!$E$57/360,""))),5)</f>
        <v>0</v>
      </c>
    </row>
    <row r="1652" spans="1:5">
      <c r="A1652" s="123">
        <f t="shared" si="50"/>
        <v>1650</v>
      </c>
      <c r="B1652" s="122">
        <f>IF(DAY(A1652)=DAY('F-Ahorro Futuro Reservas'!$H$10),'F-Ahorro Futuro Reservas'!$H$9,0)</f>
        <v>0</v>
      </c>
      <c r="C1652" s="122">
        <f t="shared" si="51"/>
        <v>0</v>
      </c>
      <c r="D1652" s="121">
        <f>ROUND(IF(C1652&lt;='FR_Mantenimiento tasas'!$C$55,'Tabla Ahorro Futuro Reservas'!C1652*'FR_Mantenimiento tasas'!$D$55/360,IF(C1652&lt;='FR_Mantenimiento tasas'!$C$56,'Tabla Ahorro Futuro Reservas'!C1652*'FR_Mantenimiento tasas'!$D$56/360,IF(C1652&lt;='FR_Mantenimiento tasas'!$C$57,'Tabla Ahorro Futuro Reservas'!C1652*'FR_Mantenimiento tasas'!$D$57/360,""))),5)</f>
        <v>0</v>
      </c>
      <c r="E1652" s="121">
        <f>ROUND(IF(C1652&lt;='FR_Mantenimiento tasas'!$C$55,'Tabla Ahorro Futuro Reservas'!C1652*'FR_Mantenimiento tasas'!$E$55/360,IF(C1652&lt;='FR_Mantenimiento tasas'!$C$56,'Tabla Ahorro Futuro Reservas'!C1652*'FR_Mantenimiento tasas'!$E$56/360,IF(C1652&lt;='FR_Mantenimiento tasas'!$C$57,'Tabla Ahorro Futuro Reservas'!C1652*'FR_Mantenimiento tasas'!$E$57/360,""))),5)</f>
        <v>0</v>
      </c>
    </row>
    <row r="1653" spans="1:5">
      <c r="A1653" s="123">
        <f t="shared" si="50"/>
        <v>1651</v>
      </c>
      <c r="B1653" s="122">
        <f>IF(DAY(A1653)=DAY('F-Ahorro Futuro Reservas'!$H$10),'F-Ahorro Futuro Reservas'!$H$9,0)</f>
        <v>0</v>
      </c>
      <c r="C1653" s="122">
        <f t="shared" si="51"/>
        <v>0</v>
      </c>
      <c r="D1653" s="121">
        <f>ROUND(IF(C1653&lt;='FR_Mantenimiento tasas'!$C$55,'Tabla Ahorro Futuro Reservas'!C1653*'FR_Mantenimiento tasas'!$D$55/360,IF(C1653&lt;='FR_Mantenimiento tasas'!$C$56,'Tabla Ahorro Futuro Reservas'!C1653*'FR_Mantenimiento tasas'!$D$56/360,IF(C1653&lt;='FR_Mantenimiento tasas'!$C$57,'Tabla Ahorro Futuro Reservas'!C1653*'FR_Mantenimiento tasas'!$D$57/360,""))),5)</f>
        <v>0</v>
      </c>
      <c r="E1653" s="121">
        <f>ROUND(IF(C1653&lt;='FR_Mantenimiento tasas'!$C$55,'Tabla Ahorro Futuro Reservas'!C1653*'FR_Mantenimiento tasas'!$E$55/360,IF(C1653&lt;='FR_Mantenimiento tasas'!$C$56,'Tabla Ahorro Futuro Reservas'!C1653*'FR_Mantenimiento tasas'!$E$56/360,IF(C1653&lt;='FR_Mantenimiento tasas'!$C$57,'Tabla Ahorro Futuro Reservas'!C1653*'FR_Mantenimiento tasas'!$E$57/360,""))),5)</f>
        <v>0</v>
      </c>
    </row>
    <row r="1654" spans="1:5">
      <c r="A1654" s="123">
        <f t="shared" si="50"/>
        <v>1652</v>
      </c>
      <c r="B1654" s="122">
        <f>IF(DAY(A1654)=DAY('F-Ahorro Futuro Reservas'!$H$10),'F-Ahorro Futuro Reservas'!$H$9,0)</f>
        <v>0</v>
      </c>
      <c r="C1654" s="122">
        <f t="shared" si="51"/>
        <v>0</v>
      </c>
      <c r="D1654" s="121">
        <f>ROUND(IF(C1654&lt;='FR_Mantenimiento tasas'!$C$55,'Tabla Ahorro Futuro Reservas'!C1654*'FR_Mantenimiento tasas'!$D$55/360,IF(C1654&lt;='FR_Mantenimiento tasas'!$C$56,'Tabla Ahorro Futuro Reservas'!C1654*'FR_Mantenimiento tasas'!$D$56/360,IF(C1654&lt;='FR_Mantenimiento tasas'!$C$57,'Tabla Ahorro Futuro Reservas'!C1654*'FR_Mantenimiento tasas'!$D$57/360,""))),5)</f>
        <v>0</v>
      </c>
      <c r="E1654" s="121">
        <f>ROUND(IF(C1654&lt;='FR_Mantenimiento tasas'!$C$55,'Tabla Ahorro Futuro Reservas'!C1654*'FR_Mantenimiento tasas'!$E$55/360,IF(C1654&lt;='FR_Mantenimiento tasas'!$C$56,'Tabla Ahorro Futuro Reservas'!C1654*'FR_Mantenimiento tasas'!$E$56/360,IF(C1654&lt;='FR_Mantenimiento tasas'!$C$57,'Tabla Ahorro Futuro Reservas'!C1654*'FR_Mantenimiento tasas'!$E$57/360,""))),5)</f>
        <v>0</v>
      </c>
    </row>
    <row r="1655" spans="1:5">
      <c r="A1655" s="123">
        <f t="shared" si="50"/>
        <v>1653</v>
      </c>
      <c r="B1655" s="122">
        <f>IF(DAY(A1655)=DAY('F-Ahorro Futuro Reservas'!$H$10),'F-Ahorro Futuro Reservas'!$H$9,0)</f>
        <v>0</v>
      </c>
      <c r="C1655" s="122">
        <f t="shared" si="51"/>
        <v>0</v>
      </c>
      <c r="D1655" s="121">
        <f>ROUND(IF(C1655&lt;='FR_Mantenimiento tasas'!$C$55,'Tabla Ahorro Futuro Reservas'!C1655*'FR_Mantenimiento tasas'!$D$55/360,IF(C1655&lt;='FR_Mantenimiento tasas'!$C$56,'Tabla Ahorro Futuro Reservas'!C1655*'FR_Mantenimiento tasas'!$D$56/360,IF(C1655&lt;='FR_Mantenimiento tasas'!$C$57,'Tabla Ahorro Futuro Reservas'!C1655*'FR_Mantenimiento tasas'!$D$57/360,""))),5)</f>
        <v>0</v>
      </c>
      <c r="E1655" s="121">
        <f>ROUND(IF(C1655&lt;='FR_Mantenimiento tasas'!$C$55,'Tabla Ahorro Futuro Reservas'!C1655*'FR_Mantenimiento tasas'!$E$55/360,IF(C1655&lt;='FR_Mantenimiento tasas'!$C$56,'Tabla Ahorro Futuro Reservas'!C1655*'FR_Mantenimiento tasas'!$E$56/360,IF(C1655&lt;='FR_Mantenimiento tasas'!$C$57,'Tabla Ahorro Futuro Reservas'!C1655*'FR_Mantenimiento tasas'!$E$57/360,""))),5)</f>
        <v>0</v>
      </c>
    </row>
    <row r="1656" spans="1:5">
      <c r="A1656" s="123">
        <f t="shared" si="50"/>
        <v>1654</v>
      </c>
      <c r="B1656" s="122">
        <f>IF(DAY(A1656)=DAY('F-Ahorro Futuro Reservas'!$H$10),'F-Ahorro Futuro Reservas'!$H$9,0)</f>
        <v>0</v>
      </c>
      <c r="C1656" s="122">
        <f t="shared" si="51"/>
        <v>0</v>
      </c>
      <c r="D1656" s="121">
        <f>ROUND(IF(C1656&lt;='FR_Mantenimiento tasas'!$C$55,'Tabla Ahorro Futuro Reservas'!C1656*'FR_Mantenimiento tasas'!$D$55/360,IF(C1656&lt;='FR_Mantenimiento tasas'!$C$56,'Tabla Ahorro Futuro Reservas'!C1656*'FR_Mantenimiento tasas'!$D$56/360,IF(C1656&lt;='FR_Mantenimiento tasas'!$C$57,'Tabla Ahorro Futuro Reservas'!C1656*'FR_Mantenimiento tasas'!$D$57/360,""))),5)</f>
        <v>0</v>
      </c>
      <c r="E1656" s="121">
        <f>ROUND(IF(C1656&lt;='FR_Mantenimiento tasas'!$C$55,'Tabla Ahorro Futuro Reservas'!C1656*'FR_Mantenimiento tasas'!$E$55/360,IF(C1656&lt;='FR_Mantenimiento tasas'!$C$56,'Tabla Ahorro Futuro Reservas'!C1656*'FR_Mantenimiento tasas'!$E$56/360,IF(C1656&lt;='FR_Mantenimiento tasas'!$C$57,'Tabla Ahorro Futuro Reservas'!C1656*'FR_Mantenimiento tasas'!$E$57/360,""))),5)</f>
        <v>0</v>
      </c>
    </row>
    <row r="1657" spans="1:5">
      <c r="A1657" s="123">
        <f t="shared" si="50"/>
        <v>1655</v>
      </c>
      <c r="B1657" s="122">
        <f>IF(DAY(A1657)=DAY('F-Ahorro Futuro Reservas'!$H$10),'F-Ahorro Futuro Reservas'!$H$9,0)</f>
        <v>0</v>
      </c>
      <c r="C1657" s="122">
        <f t="shared" si="51"/>
        <v>0</v>
      </c>
      <c r="D1657" s="121">
        <f>ROUND(IF(C1657&lt;='FR_Mantenimiento tasas'!$C$55,'Tabla Ahorro Futuro Reservas'!C1657*'FR_Mantenimiento tasas'!$D$55/360,IF(C1657&lt;='FR_Mantenimiento tasas'!$C$56,'Tabla Ahorro Futuro Reservas'!C1657*'FR_Mantenimiento tasas'!$D$56/360,IF(C1657&lt;='FR_Mantenimiento tasas'!$C$57,'Tabla Ahorro Futuro Reservas'!C1657*'FR_Mantenimiento tasas'!$D$57/360,""))),5)</f>
        <v>0</v>
      </c>
      <c r="E1657" s="121">
        <f>ROUND(IF(C1657&lt;='FR_Mantenimiento tasas'!$C$55,'Tabla Ahorro Futuro Reservas'!C1657*'FR_Mantenimiento tasas'!$E$55/360,IF(C1657&lt;='FR_Mantenimiento tasas'!$C$56,'Tabla Ahorro Futuro Reservas'!C1657*'FR_Mantenimiento tasas'!$E$56/360,IF(C1657&lt;='FR_Mantenimiento tasas'!$C$57,'Tabla Ahorro Futuro Reservas'!C1657*'FR_Mantenimiento tasas'!$E$57/360,""))),5)</f>
        <v>0</v>
      </c>
    </row>
    <row r="1658" spans="1:5">
      <c r="A1658" s="123">
        <f t="shared" si="50"/>
        <v>1656</v>
      </c>
      <c r="B1658" s="122">
        <f>IF(DAY(A1658)=DAY('F-Ahorro Futuro Reservas'!$H$10),'F-Ahorro Futuro Reservas'!$H$9,0)</f>
        <v>0</v>
      </c>
      <c r="C1658" s="122">
        <f t="shared" si="51"/>
        <v>0</v>
      </c>
      <c r="D1658" s="121">
        <f>ROUND(IF(C1658&lt;='FR_Mantenimiento tasas'!$C$55,'Tabla Ahorro Futuro Reservas'!C1658*'FR_Mantenimiento tasas'!$D$55/360,IF(C1658&lt;='FR_Mantenimiento tasas'!$C$56,'Tabla Ahorro Futuro Reservas'!C1658*'FR_Mantenimiento tasas'!$D$56/360,IF(C1658&lt;='FR_Mantenimiento tasas'!$C$57,'Tabla Ahorro Futuro Reservas'!C1658*'FR_Mantenimiento tasas'!$D$57/360,""))),5)</f>
        <v>0</v>
      </c>
      <c r="E1658" s="121">
        <f>ROUND(IF(C1658&lt;='FR_Mantenimiento tasas'!$C$55,'Tabla Ahorro Futuro Reservas'!C1658*'FR_Mantenimiento tasas'!$E$55/360,IF(C1658&lt;='FR_Mantenimiento tasas'!$C$56,'Tabla Ahorro Futuro Reservas'!C1658*'FR_Mantenimiento tasas'!$E$56/360,IF(C1658&lt;='FR_Mantenimiento tasas'!$C$57,'Tabla Ahorro Futuro Reservas'!C1658*'FR_Mantenimiento tasas'!$E$57/360,""))),5)</f>
        <v>0</v>
      </c>
    </row>
    <row r="1659" spans="1:5">
      <c r="A1659" s="123">
        <f t="shared" si="50"/>
        <v>1657</v>
      </c>
      <c r="B1659" s="122">
        <f>IF(DAY(A1659)=DAY('F-Ahorro Futuro Reservas'!$H$10),'F-Ahorro Futuro Reservas'!$H$9,0)</f>
        <v>0</v>
      </c>
      <c r="C1659" s="122">
        <f t="shared" si="51"/>
        <v>0</v>
      </c>
      <c r="D1659" s="121">
        <f>ROUND(IF(C1659&lt;='FR_Mantenimiento tasas'!$C$55,'Tabla Ahorro Futuro Reservas'!C1659*'FR_Mantenimiento tasas'!$D$55/360,IF(C1659&lt;='FR_Mantenimiento tasas'!$C$56,'Tabla Ahorro Futuro Reservas'!C1659*'FR_Mantenimiento tasas'!$D$56/360,IF(C1659&lt;='FR_Mantenimiento tasas'!$C$57,'Tabla Ahorro Futuro Reservas'!C1659*'FR_Mantenimiento tasas'!$D$57/360,""))),5)</f>
        <v>0</v>
      </c>
      <c r="E1659" s="121">
        <f>ROUND(IF(C1659&lt;='FR_Mantenimiento tasas'!$C$55,'Tabla Ahorro Futuro Reservas'!C1659*'FR_Mantenimiento tasas'!$E$55/360,IF(C1659&lt;='FR_Mantenimiento tasas'!$C$56,'Tabla Ahorro Futuro Reservas'!C1659*'FR_Mantenimiento tasas'!$E$56/360,IF(C1659&lt;='FR_Mantenimiento tasas'!$C$57,'Tabla Ahorro Futuro Reservas'!C1659*'FR_Mantenimiento tasas'!$E$57/360,""))),5)</f>
        <v>0</v>
      </c>
    </row>
    <row r="1660" spans="1:5">
      <c r="A1660" s="123">
        <f t="shared" si="50"/>
        <v>1658</v>
      </c>
      <c r="B1660" s="122">
        <f>IF(DAY(A1660)=DAY('F-Ahorro Futuro Reservas'!$H$10),'F-Ahorro Futuro Reservas'!$H$9,0)</f>
        <v>0</v>
      </c>
      <c r="C1660" s="122">
        <f t="shared" si="51"/>
        <v>0</v>
      </c>
      <c r="D1660" s="121">
        <f>ROUND(IF(C1660&lt;='FR_Mantenimiento tasas'!$C$55,'Tabla Ahorro Futuro Reservas'!C1660*'FR_Mantenimiento tasas'!$D$55/360,IF(C1660&lt;='FR_Mantenimiento tasas'!$C$56,'Tabla Ahorro Futuro Reservas'!C1660*'FR_Mantenimiento tasas'!$D$56/360,IF(C1660&lt;='FR_Mantenimiento tasas'!$C$57,'Tabla Ahorro Futuro Reservas'!C1660*'FR_Mantenimiento tasas'!$D$57/360,""))),5)</f>
        <v>0</v>
      </c>
      <c r="E1660" s="121">
        <f>ROUND(IF(C1660&lt;='FR_Mantenimiento tasas'!$C$55,'Tabla Ahorro Futuro Reservas'!C1660*'FR_Mantenimiento tasas'!$E$55/360,IF(C1660&lt;='FR_Mantenimiento tasas'!$C$56,'Tabla Ahorro Futuro Reservas'!C1660*'FR_Mantenimiento tasas'!$E$56/360,IF(C1660&lt;='FR_Mantenimiento tasas'!$C$57,'Tabla Ahorro Futuro Reservas'!C1660*'FR_Mantenimiento tasas'!$E$57/360,""))),5)</f>
        <v>0</v>
      </c>
    </row>
    <row r="1661" spans="1:5">
      <c r="A1661" s="123">
        <f t="shared" si="50"/>
        <v>1659</v>
      </c>
      <c r="B1661" s="122">
        <f>IF(DAY(A1661)=DAY('F-Ahorro Futuro Reservas'!$H$10),'F-Ahorro Futuro Reservas'!$H$9,0)</f>
        <v>0</v>
      </c>
      <c r="C1661" s="122">
        <f t="shared" si="51"/>
        <v>0</v>
      </c>
      <c r="D1661" s="121">
        <f>ROUND(IF(C1661&lt;='FR_Mantenimiento tasas'!$C$55,'Tabla Ahorro Futuro Reservas'!C1661*'FR_Mantenimiento tasas'!$D$55/360,IF(C1661&lt;='FR_Mantenimiento tasas'!$C$56,'Tabla Ahorro Futuro Reservas'!C1661*'FR_Mantenimiento tasas'!$D$56/360,IF(C1661&lt;='FR_Mantenimiento tasas'!$C$57,'Tabla Ahorro Futuro Reservas'!C1661*'FR_Mantenimiento tasas'!$D$57/360,""))),5)</f>
        <v>0</v>
      </c>
      <c r="E1661" s="121">
        <f>ROUND(IF(C1661&lt;='FR_Mantenimiento tasas'!$C$55,'Tabla Ahorro Futuro Reservas'!C1661*'FR_Mantenimiento tasas'!$E$55/360,IF(C1661&lt;='FR_Mantenimiento tasas'!$C$56,'Tabla Ahorro Futuro Reservas'!C1661*'FR_Mantenimiento tasas'!$E$56/360,IF(C1661&lt;='FR_Mantenimiento tasas'!$C$57,'Tabla Ahorro Futuro Reservas'!C1661*'FR_Mantenimiento tasas'!$E$57/360,""))),5)</f>
        <v>0</v>
      </c>
    </row>
    <row r="1662" spans="1:5">
      <c r="A1662" s="123">
        <f t="shared" si="50"/>
        <v>1660</v>
      </c>
      <c r="B1662" s="122">
        <f>IF(DAY(A1662)=DAY('F-Ahorro Futuro Reservas'!$H$10),'F-Ahorro Futuro Reservas'!$H$9,0)</f>
        <v>0</v>
      </c>
      <c r="C1662" s="122">
        <f t="shared" si="51"/>
        <v>0</v>
      </c>
      <c r="D1662" s="121">
        <f>ROUND(IF(C1662&lt;='FR_Mantenimiento tasas'!$C$55,'Tabla Ahorro Futuro Reservas'!C1662*'FR_Mantenimiento tasas'!$D$55/360,IF(C1662&lt;='FR_Mantenimiento tasas'!$C$56,'Tabla Ahorro Futuro Reservas'!C1662*'FR_Mantenimiento tasas'!$D$56/360,IF(C1662&lt;='FR_Mantenimiento tasas'!$C$57,'Tabla Ahorro Futuro Reservas'!C1662*'FR_Mantenimiento tasas'!$D$57/360,""))),5)</f>
        <v>0</v>
      </c>
      <c r="E1662" s="121">
        <f>ROUND(IF(C1662&lt;='FR_Mantenimiento tasas'!$C$55,'Tabla Ahorro Futuro Reservas'!C1662*'FR_Mantenimiento tasas'!$E$55/360,IF(C1662&lt;='FR_Mantenimiento tasas'!$C$56,'Tabla Ahorro Futuro Reservas'!C1662*'FR_Mantenimiento tasas'!$E$56/360,IF(C1662&lt;='FR_Mantenimiento tasas'!$C$57,'Tabla Ahorro Futuro Reservas'!C1662*'FR_Mantenimiento tasas'!$E$57/360,""))),5)</f>
        <v>0</v>
      </c>
    </row>
    <row r="1663" spans="1:5">
      <c r="A1663" s="123">
        <f t="shared" si="50"/>
        <v>1661</v>
      </c>
      <c r="B1663" s="122">
        <f>IF(DAY(A1663)=DAY('F-Ahorro Futuro Reservas'!$H$10),'F-Ahorro Futuro Reservas'!$H$9,0)</f>
        <v>0</v>
      </c>
      <c r="C1663" s="122">
        <f t="shared" si="51"/>
        <v>0</v>
      </c>
      <c r="D1663" s="121">
        <f>ROUND(IF(C1663&lt;='FR_Mantenimiento tasas'!$C$55,'Tabla Ahorro Futuro Reservas'!C1663*'FR_Mantenimiento tasas'!$D$55/360,IF(C1663&lt;='FR_Mantenimiento tasas'!$C$56,'Tabla Ahorro Futuro Reservas'!C1663*'FR_Mantenimiento tasas'!$D$56/360,IF(C1663&lt;='FR_Mantenimiento tasas'!$C$57,'Tabla Ahorro Futuro Reservas'!C1663*'FR_Mantenimiento tasas'!$D$57/360,""))),5)</f>
        <v>0</v>
      </c>
      <c r="E1663" s="121">
        <f>ROUND(IF(C1663&lt;='FR_Mantenimiento tasas'!$C$55,'Tabla Ahorro Futuro Reservas'!C1663*'FR_Mantenimiento tasas'!$E$55/360,IF(C1663&lt;='FR_Mantenimiento tasas'!$C$56,'Tabla Ahorro Futuro Reservas'!C1663*'FR_Mantenimiento tasas'!$E$56/360,IF(C1663&lt;='FR_Mantenimiento tasas'!$C$57,'Tabla Ahorro Futuro Reservas'!C1663*'FR_Mantenimiento tasas'!$E$57/360,""))),5)</f>
        <v>0</v>
      </c>
    </row>
    <row r="1664" spans="1:5">
      <c r="A1664" s="123">
        <f t="shared" si="50"/>
        <v>1662</v>
      </c>
      <c r="B1664" s="122">
        <f>IF(DAY(A1664)=DAY('F-Ahorro Futuro Reservas'!$H$10),'F-Ahorro Futuro Reservas'!$H$9,0)</f>
        <v>0</v>
      </c>
      <c r="C1664" s="122">
        <f t="shared" si="51"/>
        <v>0</v>
      </c>
      <c r="D1664" s="121">
        <f>ROUND(IF(C1664&lt;='FR_Mantenimiento tasas'!$C$55,'Tabla Ahorro Futuro Reservas'!C1664*'FR_Mantenimiento tasas'!$D$55/360,IF(C1664&lt;='FR_Mantenimiento tasas'!$C$56,'Tabla Ahorro Futuro Reservas'!C1664*'FR_Mantenimiento tasas'!$D$56/360,IF(C1664&lt;='FR_Mantenimiento tasas'!$C$57,'Tabla Ahorro Futuro Reservas'!C1664*'FR_Mantenimiento tasas'!$D$57/360,""))),5)</f>
        <v>0</v>
      </c>
      <c r="E1664" s="121">
        <f>ROUND(IF(C1664&lt;='FR_Mantenimiento tasas'!$C$55,'Tabla Ahorro Futuro Reservas'!C1664*'FR_Mantenimiento tasas'!$E$55/360,IF(C1664&lt;='FR_Mantenimiento tasas'!$C$56,'Tabla Ahorro Futuro Reservas'!C1664*'FR_Mantenimiento tasas'!$E$56/360,IF(C1664&lt;='FR_Mantenimiento tasas'!$C$57,'Tabla Ahorro Futuro Reservas'!C1664*'FR_Mantenimiento tasas'!$E$57/360,""))),5)</f>
        <v>0</v>
      </c>
    </row>
    <row r="1665" spans="1:5">
      <c r="A1665" s="123">
        <f t="shared" si="50"/>
        <v>1663</v>
      </c>
      <c r="B1665" s="122">
        <f>IF(DAY(A1665)=DAY('F-Ahorro Futuro Reservas'!$H$10),'F-Ahorro Futuro Reservas'!$H$9,0)</f>
        <v>0</v>
      </c>
      <c r="C1665" s="122">
        <f t="shared" si="51"/>
        <v>0</v>
      </c>
      <c r="D1665" s="121">
        <f>ROUND(IF(C1665&lt;='FR_Mantenimiento tasas'!$C$55,'Tabla Ahorro Futuro Reservas'!C1665*'FR_Mantenimiento tasas'!$D$55/360,IF(C1665&lt;='FR_Mantenimiento tasas'!$C$56,'Tabla Ahorro Futuro Reservas'!C1665*'FR_Mantenimiento tasas'!$D$56/360,IF(C1665&lt;='FR_Mantenimiento tasas'!$C$57,'Tabla Ahorro Futuro Reservas'!C1665*'FR_Mantenimiento tasas'!$D$57/360,""))),5)</f>
        <v>0</v>
      </c>
      <c r="E1665" s="121">
        <f>ROUND(IF(C1665&lt;='FR_Mantenimiento tasas'!$C$55,'Tabla Ahorro Futuro Reservas'!C1665*'FR_Mantenimiento tasas'!$E$55/360,IF(C1665&lt;='FR_Mantenimiento tasas'!$C$56,'Tabla Ahorro Futuro Reservas'!C1665*'FR_Mantenimiento tasas'!$E$56/360,IF(C1665&lt;='FR_Mantenimiento tasas'!$C$57,'Tabla Ahorro Futuro Reservas'!C1665*'FR_Mantenimiento tasas'!$E$57/360,""))),5)</f>
        <v>0</v>
      </c>
    </row>
    <row r="1666" spans="1:5">
      <c r="A1666" s="123">
        <f t="shared" si="50"/>
        <v>1664</v>
      </c>
      <c r="B1666" s="122">
        <f>IF(DAY(A1666)=DAY('F-Ahorro Futuro Reservas'!$H$10),'F-Ahorro Futuro Reservas'!$H$9,0)</f>
        <v>0</v>
      </c>
      <c r="C1666" s="122">
        <f t="shared" si="51"/>
        <v>0</v>
      </c>
      <c r="D1666" s="121">
        <f>ROUND(IF(C1666&lt;='FR_Mantenimiento tasas'!$C$55,'Tabla Ahorro Futuro Reservas'!C1666*'FR_Mantenimiento tasas'!$D$55/360,IF(C1666&lt;='FR_Mantenimiento tasas'!$C$56,'Tabla Ahorro Futuro Reservas'!C1666*'FR_Mantenimiento tasas'!$D$56/360,IF(C1666&lt;='FR_Mantenimiento tasas'!$C$57,'Tabla Ahorro Futuro Reservas'!C1666*'FR_Mantenimiento tasas'!$D$57/360,""))),5)</f>
        <v>0</v>
      </c>
      <c r="E1666" s="121">
        <f>ROUND(IF(C1666&lt;='FR_Mantenimiento tasas'!$C$55,'Tabla Ahorro Futuro Reservas'!C1666*'FR_Mantenimiento tasas'!$E$55/360,IF(C1666&lt;='FR_Mantenimiento tasas'!$C$56,'Tabla Ahorro Futuro Reservas'!C1666*'FR_Mantenimiento tasas'!$E$56/360,IF(C1666&lt;='FR_Mantenimiento tasas'!$C$57,'Tabla Ahorro Futuro Reservas'!C1666*'FR_Mantenimiento tasas'!$E$57/360,""))),5)</f>
        <v>0</v>
      </c>
    </row>
    <row r="1667" spans="1:5">
      <c r="A1667" s="123">
        <f t="shared" si="50"/>
        <v>1665</v>
      </c>
      <c r="B1667" s="122">
        <f>IF(DAY(A1667)=DAY('F-Ahorro Futuro Reservas'!$H$10),'F-Ahorro Futuro Reservas'!$H$9,0)</f>
        <v>0</v>
      </c>
      <c r="C1667" s="122">
        <f t="shared" si="51"/>
        <v>0</v>
      </c>
      <c r="D1667" s="121">
        <f>ROUND(IF(C1667&lt;='FR_Mantenimiento tasas'!$C$55,'Tabla Ahorro Futuro Reservas'!C1667*'FR_Mantenimiento tasas'!$D$55/360,IF(C1667&lt;='FR_Mantenimiento tasas'!$C$56,'Tabla Ahorro Futuro Reservas'!C1667*'FR_Mantenimiento tasas'!$D$56/360,IF(C1667&lt;='FR_Mantenimiento tasas'!$C$57,'Tabla Ahorro Futuro Reservas'!C1667*'FR_Mantenimiento tasas'!$D$57/360,""))),5)</f>
        <v>0</v>
      </c>
      <c r="E1667" s="121">
        <f>ROUND(IF(C1667&lt;='FR_Mantenimiento tasas'!$C$55,'Tabla Ahorro Futuro Reservas'!C1667*'FR_Mantenimiento tasas'!$E$55/360,IF(C1667&lt;='FR_Mantenimiento tasas'!$C$56,'Tabla Ahorro Futuro Reservas'!C1667*'FR_Mantenimiento tasas'!$E$56/360,IF(C1667&lt;='FR_Mantenimiento tasas'!$C$57,'Tabla Ahorro Futuro Reservas'!C1667*'FR_Mantenimiento tasas'!$E$57/360,""))),5)</f>
        <v>0</v>
      </c>
    </row>
    <row r="1668" spans="1:5">
      <c r="A1668" s="123">
        <f t="shared" ref="A1668:A1731" si="52">+A1667+1</f>
        <v>1666</v>
      </c>
      <c r="B1668" s="122">
        <f>IF(DAY(A1668)=DAY('F-Ahorro Futuro Reservas'!$H$10),'F-Ahorro Futuro Reservas'!$H$9,0)</f>
        <v>0</v>
      </c>
      <c r="C1668" s="122">
        <f t="shared" ref="C1668:C1731" si="53">+B1668+C1667+D1667</f>
        <v>0</v>
      </c>
      <c r="D1668" s="121">
        <f>ROUND(IF(C1668&lt;='FR_Mantenimiento tasas'!$C$55,'Tabla Ahorro Futuro Reservas'!C1668*'FR_Mantenimiento tasas'!$D$55/360,IF(C1668&lt;='FR_Mantenimiento tasas'!$C$56,'Tabla Ahorro Futuro Reservas'!C1668*'FR_Mantenimiento tasas'!$D$56/360,IF(C1668&lt;='FR_Mantenimiento tasas'!$C$57,'Tabla Ahorro Futuro Reservas'!C1668*'FR_Mantenimiento tasas'!$D$57/360,""))),5)</f>
        <v>0</v>
      </c>
      <c r="E1668" s="121">
        <f>ROUND(IF(C1668&lt;='FR_Mantenimiento tasas'!$C$55,'Tabla Ahorro Futuro Reservas'!C1668*'FR_Mantenimiento tasas'!$E$55/360,IF(C1668&lt;='FR_Mantenimiento tasas'!$C$56,'Tabla Ahorro Futuro Reservas'!C1668*'FR_Mantenimiento tasas'!$E$56/360,IF(C1668&lt;='FR_Mantenimiento tasas'!$C$57,'Tabla Ahorro Futuro Reservas'!C1668*'FR_Mantenimiento tasas'!$E$57/360,""))),5)</f>
        <v>0</v>
      </c>
    </row>
    <row r="1669" spans="1:5">
      <c r="A1669" s="123">
        <f t="shared" si="52"/>
        <v>1667</v>
      </c>
      <c r="B1669" s="122">
        <f>IF(DAY(A1669)=DAY('F-Ahorro Futuro Reservas'!$H$10),'F-Ahorro Futuro Reservas'!$H$9,0)</f>
        <v>0</v>
      </c>
      <c r="C1669" s="122">
        <f t="shared" si="53"/>
        <v>0</v>
      </c>
      <c r="D1669" s="121">
        <f>ROUND(IF(C1669&lt;='FR_Mantenimiento tasas'!$C$55,'Tabla Ahorro Futuro Reservas'!C1669*'FR_Mantenimiento tasas'!$D$55/360,IF(C1669&lt;='FR_Mantenimiento tasas'!$C$56,'Tabla Ahorro Futuro Reservas'!C1669*'FR_Mantenimiento tasas'!$D$56/360,IF(C1669&lt;='FR_Mantenimiento tasas'!$C$57,'Tabla Ahorro Futuro Reservas'!C1669*'FR_Mantenimiento tasas'!$D$57/360,""))),5)</f>
        <v>0</v>
      </c>
      <c r="E1669" s="121">
        <f>ROUND(IF(C1669&lt;='FR_Mantenimiento tasas'!$C$55,'Tabla Ahorro Futuro Reservas'!C1669*'FR_Mantenimiento tasas'!$E$55/360,IF(C1669&lt;='FR_Mantenimiento tasas'!$C$56,'Tabla Ahorro Futuro Reservas'!C1669*'FR_Mantenimiento tasas'!$E$56/360,IF(C1669&lt;='FR_Mantenimiento tasas'!$C$57,'Tabla Ahorro Futuro Reservas'!C1669*'FR_Mantenimiento tasas'!$E$57/360,""))),5)</f>
        <v>0</v>
      </c>
    </row>
    <row r="1670" spans="1:5">
      <c r="A1670" s="123">
        <f t="shared" si="52"/>
        <v>1668</v>
      </c>
      <c r="B1670" s="122">
        <f>IF(DAY(A1670)=DAY('F-Ahorro Futuro Reservas'!$H$10),'F-Ahorro Futuro Reservas'!$H$9,0)</f>
        <v>0</v>
      </c>
      <c r="C1670" s="122">
        <f t="shared" si="53"/>
        <v>0</v>
      </c>
      <c r="D1670" s="121">
        <f>ROUND(IF(C1670&lt;='FR_Mantenimiento tasas'!$C$55,'Tabla Ahorro Futuro Reservas'!C1670*'FR_Mantenimiento tasas'!$D$55/360,IF(C1670&lt;='FR_Mantenimiento tasas'!$C$56,'Tabla Ahorro Futuro Reservas'!C1670*'FR_Mantenimiento tasas'!$D$56/360,IF(C1670&lt;='FR_Mantenimiento tasas'!$C$57,'Tabla Ahorro Futuro Reservas'!C1670*'FR_Mantenimiento tasas'!$D$57/360,""))),5)</f>
        <v>0</v>
      </c>
      <c r="E1670" s="121">
        <f>ROUND(IF(C1670&lt;='FR_Mantenimiento tasas'!$C$55,'Tabla Ahorro Futuro Reservas'!C1670*'FR_Mantenimiento tasas'!$E$55/360,IF(C1670&lt;='FR_Mantenimiento tasas'!$C$56,'Tabla Ahorro Futuro Reservas'!C1670*'FR_Mantenimiento tasas'!$E$56/360,IF(C1670&lt;='FR_Mantenimiento tasas'!$C$57,'Tabla Ahorro Futuro Reservas'!C1670*'FR_Mantenimiento tasas'!$E$57/360,""))),5)</f>
        <v>0</v>
      </c>
    </row>
    <row r="1671" spans="1:5">
      <c r="A1671" s="123">
        <f t="shared" si="52"/>
        <v>1669</v>
      </c>
      <c r="B1671" s="122">
        <f>IF(DAY(A1671)=DAY('F-Ahorro Futuro Reservas'!$H$10),'F-Ahorro Futuro Reservas'!$H$9,0)</f>
        <v>0</v>
      </c>
      <c r="C1671" s="122">
        <f t="shared" si="53"/>
        <v>0</v>
      </c>
      <c r="D1671" s="121">
        <f>ROUND(IF(C1671&lt;='FR_Mantenimiento tasas'!$C$55,'Tabla Ahorro Futuro Reservas'!C1671*'FR_Mantenimiento tasas'!$D$55/360,IF(C1671&lt;='FR_Mantenimiento tasas'!$C$56,'Tabla Ahorro Futuro Reservas'!C1671*'FR_Mantenimiento tasas'!$D$56/360,IF(C1671&lt;='FR_Mantenimiento tasas'!$C$57,'Tabla Ahorro Futuro Reservas'!C1671*'FR_Mantenimiento tasas'!$D$57/360,""))),5)</f>
        <v>0</v>
      </c>
      <c r="E1671" s="121">
        <f>ROUND(IF(C1671&lt;='FR_Mantenimiento tasas'!$C$55,'Tabla Ahorro Futuro Reservas'!C1671*'FR_Mantenimiento tasas'!$E$55/360,IF(C1671&lt;='FR_Mantenimiento tasas'!$C$56,'Tabla Ahorro Futuro Reservas'!C1671*'FR_Mantenimiento tasas'!$E$56/360,IF(C1671&lt;='FR_Mantenimiento tasas'!$C$57,'Tabla Ahorro Futuro Reservas'!C1671*'FR_Mantenimiento tasas'!$E$57/360,""))),5)</f>
        <v>0</v>
      </c>
    </row>
    <row r="1672" spans="1:5">
      <c r="A1672" s="123">
        <f t="shared" si="52"/>
        <v>1670</v>
      </c>
      <c r="B1672" s="122">
        <f>IF(DAY(A1672)=DAY('F-Ahorro Futuro Reservas'!$H$10),'F-Ahorro Futuro Reservas'!$H$9,0)</f>
        <v>0</v>
      </c>
      <c r="C1672" s="122">
        <f t="shared" si="53"/>
        <v>0</v>
      </c>
      <c r="D1672" s="121">
        <f>ROUND(IF(C1672&lt;='FR_Mantenimiento tasas'!$C$55,'Tabla Ahorro Futuro Reservas'!C1672*'FR_Mantenimiento tasas'!$D$55/360,IF(C1672&lt;='FR_Mantenimiento tasas'!$C$56,'Tabla Ahorro Futuro Reservas'!C1672*'FR_Mantenimiento tasas'!$D$56/360,IF(C1672&lt;='FR_Mantenimiento tasas'!$C$57,'Tabla Ahorro Futuro Reservas'!C1672*'FR_Mantenimiento tasas'!$D$57/360,""))),5)</f>
        <v>0</v>
      </c>
      <c r="E1672" s="121">
        <f>ROUND(IF(C1672&lt;='FR_Mantenimiento tasas'!$C$55,'Tabla Ahorro Futuro Reservas'!C1672*'FR_Mantenimiento tasas'!$E$55/360,IF(C1672&lt;='FR_Mantenimiento tasas'!$C$56,'Tabla Ahorro Futuro Reservas'!C1672*'FR_Mantenimiento tasas'!$E$56/360,IF(C1672&lt;='FR_Mantenimiento tasas'!$C$57,'Tabla Ahorro Futuro Reservas'!C1672*'FR_Mantenimiento tasas'!$E$57/360,""))),5)</f>
        <v>0</v>
      </c>
    </row>
    <row r="1673" spans="1:5">
      <c r="A1673" s="123">
        <f t="shared" si="52"/>
        <v>1671</v>
      </c>
      <c r="B1673" s="122">
        <f>IF(DAY(A1673)=DAY('F-Ahorro Futuro Reservas'!$H$10),'F-Ahorro Futuro Reservas'!$H$9,0)</f>
        <v>0</v>
      </c>
      <c r="C1673" s="122">
        <f t="shared" si="53"/>
        <v>0</v>
      </c>
      <c r="D1673" s="121">
        <f>ROUND(IF(C1673&lt;='FR_Mantenimiento tasas'!$C$55,'Tabla Ahorro Futuro Reservas'!C1673*'FR_Mantenimiento tasas'!$D$55/360,IF(C1673&lt;='FR_Mantenimiento tasas'!$C$56,'Tabla Ahorro Futuro Reservas'!C1673*'FR_Mantenimiento tasas'!$D$56/360,IF(C1673&lt;='FR_Mantenimiento tasas'!$C$57,'Tabla Ahorro Futuro Reservas'!C1673*'FR_Mantenimiento tasas'!$D$57/360,""))),5)</f>
        <v>0</v>
      </c>
      <c r="E1673" s="121">
        <f>ROUND(IF(C1673&lt;='FR_Mantenimiento tasas'!$C$55,'Tabla Ahorro Futuro Reservas'!C1673*'FR_Mantenimiento tasas'!$E$55/360,IF(C1673&lt;='FR_Mantenimiento tasas'!$C$56,'Tabla Ahorro Futuro Reservas'!C1673*'FR_Mantenimiento tasas'!$E$56/360,IF(C1673&lt;='FR_Mantenimiento tasas'!$C$57,'Tabla Ahorro Futuro Reservas'!C1673*'FR_Mantenimiento tasas'!$E$57/360,""))),5)</f>
        <v>0</v>
      </c>
    </row>
    <row r="1674" spans="1:5">
      <c r="A1674" s="123">
        <f t="shared" si="52"/>
        <v>1672</v>
      </c>
      <c r="B1674" s="122">
        <f>IF(DAY(A1674)=DAY('F-Ahorro Futuro Reservas'!$H$10),'F-Ahorro Futuro Reservas'!$H$9,0)</f>
        <v>0</v>
      </c>
      <c r="C1674" s="122">
        <f t="shared" si="53"/>
        <v>0</v>
      </c>
      <c r="D1674" s="121">
        <f>ROUND(IF(C1674&lt;='FR_Mantenimiento tasas'!$C$55,'Tabla Ahorro Futuro Reservas'!C1674*'FR_Mantenimiento tasas'!$D$55/360,IF(C1674&lt;='FR_Mantenimiento tasas'!$C$56,'Tabla Ahorro Futuro Reservas'!C1674*'FR_Mantenimiento tasas'!$D$56/360,IF(C1674&lt;='FR_Mantenimiento tasas'!$C$57,'Tabla Ahorro Futuro Reservas'!C1674*'FR_Mantenimiento tasas'!$D$57/360,""))),5)</f>
        <v>0</v>
      </c>
      <c r="E1674" s="121">
        <f>ROUND(IF(C1674&lt;='FR_Mantenimiento tasas'!$C$55,'Tabla Ahorro Futuro Reservas'!C1674*'FR_Mantenimiento tasas'!$E$55/360,IF(C1674&lt;='FR_Mantenimiento tasas'!$C$56,'Tabla Ahorro Futuro Reservas'!C1674*'FR_Mantenimiento tasas'!$E$56/360,IF(C1674&lt;='FR_Mantenimiento tasas'!$C$57,'Tabla Ahorro Futuro Reservas'!C1674*'FR_Mantenimiento tasas'!$E$57/360,""))),5)</f>
        <v>0</v>
      </c>
    </row>
    <row r="1675" spans="1:5">
      <c r="A1675" s="123">
        <f t="shared" si="52"/>
        <v>1673</v>
      </c>
      <c r="B1675" s="122">
        <f>IF(DAY(A1675)=DAY('F-Ahorro Futuro Reservas'!$H$10),'F-Ahorro Futuro Reservas'!$H$9,0)</f>
        <v>0</v>
      </c>
      <c r="C1675" s="122">
        <f t="shared" si="53"/>
        <v>0</v>
      </c>
      <c r="D1675" s="121">
        <f>ROUND(IF(C1675&lt;='FR_Mantenimiento tasas'!$C$55,'Tabla Ahorro Futuro Reservas'!C1675*'FR_Mantenimiento tasas'!$D$55/360,IF(C1675&lt;='FR_Mantenimiento tasas'!$C$56,'Tabla Ahorro Futuro Reservas'!C1675*'FR_Mantenimiento tasas'!$D$56/360,IF(C1675&lt;='FR_Mantenimiento tasas'!$C$57,'Tabla Ahorro Futuro Reservas'!C1675*'FR_Mantenimiento tasas'!$D$57/360,""))),5)</f>
        <v>0</v>
      </c>
      <c r="E1675" s="121">
        <f>ROUND(IF(C1675&lt;='FR_Mantenimiento tasas'!$C$55,'Tabla Ahorro Futuro Reservas'!C1675*'FR_Mantenimiento tasas'!$E$55/360,IF(C1675&lt;='FR_Mantenimiento tasas'!$C$56,'Tabla Ahorro Futuro Reservas'!C1675*'FR_Mantenimiento tasas'!$E$56/360,IF(C1675&lt;='FR_Mantenimiento tasas'!$C$57,'Tabla Ahorro Futuro Reservas'!C1675*'FR_Mantenimiento tasas'!$E$57/360,""))),5)</f>
        <v>0</v>
      </c>
    </row>
    <row r="1676" spans="1:5">
      <c r="A1676" s="123">
        <f t="shared" si="52"/>
        <v>1674</v>
      </c>
      <c r="B1676" s="122">
        <f>IF(DAY(A1676)=DAY('F-Ahorro Futuro Reservas'!$H$10),'F-Ahorro Futuro Reservas'!$H$9,0)</f>
        <v>0</v>
      </c>
      <c r="C1676" s="122">
        <f t="shared" si="53"/>
        <v>0</v>
      </c>
      <c r="D1676" s="121">
        <f>ROUND(IF(C1676&lt;='FR_Mantenimiento tasas'!$C$55,'Tabla Ahorro Futuro Reservas'!C1676*'FR_Mantenimiento tasas'!$D$55/360,IF(C1676&lt;='FR_Mantenimiento tasas'!$C$56,'Tabla Ahorro Futuro Reservas'!C1676*'FR_Mantenimiento tasas'!$D$56/360,IF(C1676&lt;='FR_Mantenimiento tasas'!$C$57,'Tabla Ahorro Futuro Reservas'!C1676*'FR_Mantenimiento tasas'!$D$57/360,""))),5)</f>
        <v>0</v>
      </c>
      <c r="E1676" s="121">
        <f>ROUND(IF(C1676&lt;='FR_Mantenimiento tasas'!$C$55,'Tabla Ahorro Futuro Reservas'!C1676*'FR_Mantenimiento tasas'!$E$55/360,IF(C1676&lt;='FR_Mantenimiento tasas'!$C$56,'Tabla Ahorro Futuro Reservas'!C1676*'FR_Mantenimiento tasas'!$E$56/360,IF(C1676&lt;='FR_Mantenimiento tasas'!$C$57,'Tabla Ahorro Futuro Reservas'!C1676*'FR_Mantenimiento tasas'!$E$57/360,""))),5)</f>
        <v>0</v>
      </c>
    </row>
    <row r="1677" spans="1:5">
      <c r="A1677" s="123">
        <f t="shared" si="52"/>
        <v>1675</v>
      </c>
      <c r="B1677" s="122">
        <f>IF(DAY(A1677)=DAY('F-Ahorro Futuro Reservas'!$H$10),'F-Ahorro Futuro Reservas'!$H$9,0)</f>
        <v>0</v>
      </c>
      <c r="C1677" s="122">
        <f t="shared" si="53"/>
        <v>0</v>
      </c>
      <c r="D1677" s="121">
        <f>ROUND(IF(C1677&lt;='FR_Mantenimiento tasas'!$C$55,'Tabla Ahorro Futuro Reservas'!C1677*'FR_Mantenimiento tasas'!$D$55/360,IF(C1677&lt;='FR_Mantenimiento tasas'!$C$56,'Tabla Ahorro Futuro Reservas'!C1677*'FR_Mantenimiento tasas'!$D$56/360,IF(C1677&lt;='FR_Mantenimiento tasas'!$C$57,'Tabla Ahorro Futuro Reservas'!C1677*'FR_Mantenimiento tasas'!$D$57/360,""))),5)</f>
        <v>0</v>
      </c>
      <c r="E1677" s="121">
        <f>ROUND(IF(C1677&lt;='FR_Mantenimiento tasas'!$C$55,'Tabla Ahorro Futuro Reservas'!C1677*'FR_Mantenimiento tasas'!$E$55/360,IF(C1677&lt;='FR_Mantenimiento tasas'!$C$56,'Tabla Ahorro Futuro Reservas'!C1677*'FR_Mantenimiento tasas'!$E$56/360,IF(C1677&lt;='FR_Mantenimiento tasas'!$C$57,'Tabla Ahorro Futuro Reservas'!C1677*'FR_Mantenimiento tasas'!$E$57/360,""))),5)</f>
        <v>0</v>
      </c>
    </row>
    <row r="1678" spans="1:5">
      <c r="A1678" s="123">
        <f t="shared" si="52"/>
        <v>1676</v>
      </c>
      <c r="B1678" s="122">
        <f>IF(DAY(A1678)=DAY('F-Ahorro Futuro Reservas'!$H$10),'F-Ahorro Futuro Reservas'!$H$9,0)</f>
        <v>0</v>
      </c>
      <c r="C1678" s="122">
        <f t="shared" si="53"/>
        <v>0</v>
      </c>
      <c r="D1678" s="121">
        <f>ROUND(IF(C1678&lt;='FR_Mantenimiento tasas'!$C$55,'Tabla Ahorro Futuro Reservas'!C1678*'FR_Mantenimiento tasas'!$D$55/360,IF(C1678&lt;='FR_Mantenimiento tasas'!$C$56,'Tabla Ahorro Futuro Reservas'!C1678*'FR_Mantenimiento tasas'!$D$56/360,IF(C1678&lt;='FR_Mantenimiento tasas'!$C$57,'Tabla Ahorro Futuro Reservas'!C1678*'FR_Mantenimiento tasas'!$D$57/360,""))),5)</f>
        <v>0</v>
      </c>
      <c r="E1678" s="121">
        <f>ROUND(IF(C1678&lt;='FR_Mantenimiento tasas'!$C$55,'Tabla Ahorro Futuro Reservas'!C1678*'FR_Mantenimiento tasas'!$E$55/360,IF(C1678&lt;='FR_Mantenimiento tasas'!$C$56,'Tabla Ahorro Futuro Reservas'!C1678*'FR_Mantenimiento tasas'!$E$56/360,IF(C1678&lt;='FR_Mantenimiento tasas'!$C$57,'Tabla Ahorro Futuro Reservas'!C1678*'FR_Mantenimiento tasas'!$E$57/360,""))),5)</f>
        <v>0</v>
      </c>
    </row>
    <row r="1679" spans="1:5">
      <c r="A1679" s="123">
        <f t="shared" si="52"/>
        <v>1677</v>
      </c>
      <c r="B1679" s="122">
        <f>IF(DAY(A1679)=DAY('F-Ahorro Futuro Reservas'!$H$10),'F-Ahorro Futuro Reservas'!$H$9,0)</f>
        <v>0</v>
      </c>
      <c r="C1679" s="122">
        <f t="shared" si="53"/>
        <v>0</v>
      </c>
      <c r="D1679" s="121">
        <f>ROUND(IF(C1679&lt;='FR_Mantenimiento tasas'!$C$55,'Tabla Ahorro Futuro Reservas'!C1679*'FR_Mantenimiento tasas'!$D$55/360,IF(C1679&lt;='FR_Mantenimiento tasas'!$C$56,'Tabla Ahorro Futuro Reservas'!C1679*'FR_Mantenimiento tasas'!$D$56/360,IF(C1679&lt;='FR_Mantenimiento tasas'!$C$57,'Tabla Ahorro Futuro Reservas'!C1679*'FR_Mantenimiento tasas'!$D$57/360,""))),5)</f>
        <v>0</v>
      </c>
      <c r="E1679" s="121">
        <f>ROUND(IF(C1679&lt;='FR_Mantenimiento tasas'!$C$55,'Tabla Ahorro Futuro Reservas'!C1679*'FR_Mantenimiento tasas'!$E$55/360,IF(C1679&lt;='FR_Mantenimiento tasas'!$C$56,'Tabla Ahorro Futuro Reservas'!C1679*'FR_Mantenimiento tasas'!$E$56/360,IF(C1679&lt;='FR_Mantenimiento tasas'!$C$57,'Tabla Ahorro Futuro Reservas'!C1679*'FR_Mantenimiento tasas'!$E$57/360,""))),5)</f>
        <v>0</v>
      </c>
    </row>
    <row r="1680" spans="1:5">
      <c r="A1680" s="123">
        <f t="shared" si="52"/>
        <v>1678</v>
      </c>
      <c r="B1680" s="122">
        <f>IF(DAY(A1680)=DAY('F-Ahorro Futuro Reservas'!$H$10),'F-Ahorro Futuro Reservas'!$H$9,0)</f>
        <v>0</v>
      </c>
      <c r="C1680" s="122">
        <f t="shared" si="53"/>
        <v>0</v>
      </c>
      <c r="D1680" s="121">
        <f>ROUND(IF(C1680&lt;='FR_Mantenimiento tasas'!$C$55,'Tabla Ahorro Futuro Reservas'!C1680*'FR_Mantenimiento tasas'!$D$55/360,IF(C1680&lt;='FR_Mantenimiento tasas'!$C$56,'Tabla Ahorro Futuro Reservas'!C1680*'FR_Mantenimiento tasas'!$D$56/360,IF(C1680&lt;='FR_Mantenimiento tasas'!$C$57,'Tabla Ahorro Futuro Reservas'!C1680*'FR_Mantenimiento tasas'!$D$57/360,""))),5)</f>
        <v>0</v>
      </c>
      <c r="E1680" s="121">
        <f>ROUND(IF(C1680&lt;='FR_Mantenimiento tasas'!$C$55,'Tabla Ahorro Futuro Reservas'!C1680*'FR_Mantenimiento tasas'!$E$55/360,IF(C1680&lt;='FR_Mantenimiento tasas'!$C$56,'Tabla Ahorro Futuro Reservas'!C1680*'FR_Mantenimiento tasas'!$E$56/360,IF(C1680&lt;='FR_Mantenimiento tasas'!$C$57,'Tabla Ahorro Futuro Reservas'!C1680*'FR_Mantenimiento tasas'!$E$57/360,""))),5)</f>
        <v>0</v>
      </c>
    </row>
    <row r="1681" spans="1:5">
      <c r="A1681" s="123">
        <f t="shared" si="52"/>
        <v>1679</v>
      </c>
      <c r="B1681" s="122">
        <f>IF(DAY(A1681)=DAY('F-Ahorro Futuro Reservas'!$H$10),'F-Ahorro Futuro Reservas'!$H$9,0)</f>
        <v>0</v>
      </c>
      <c r="C1681" s="122">
        <f t="shared" si="53"/>
        <v>0</v>
      </c>
      <c r="D1681" s="121">
        <f>ROUND(IF(C1681&lt;='FR_Mantenimiento tasas'!$C$55,'Tabla Ahorro Futuro Reservas'!C1681*'FR_Mantenimiento tasas'!$D$55/360,IF(C1681&lt;='FR_Mantenimiento tasas'!$C$56,'Tabla Ahorro Futuro Reservas'!C1681*'FR_Mantenimiento tasas'!$D$56/360,IF(C1681&lt;='FR_Mantenimiento tasas'!$C$57,'Tabla Ahorro Futuro Reservas'!C1681*'FR_Mantenimiento tasas'!$D$57/360,""))),5)</f>
        <v>0</v>
      </c>
      <c r="E1681" s="121">
        <f>ROUND(IF(C1681&lt;='FR_Mantenimiento tasas'!$C$55,'Tabla Ahorro Futuro Reservas'!C1681*'FR_Mantenimiento tasas'!$E$55/360,IF(C1681&lt;='FR_Mantenimiento tasas'!$C$56,'Tabla Ahorro Futuro Reservas'!C1681*'FR_Mantenimiento tasas'!$E$56/360,IF(C1681&lt;='FR_Mantenimiento tasas'!$C$57,'Tabla Ahorro Futuro Reservas'!C1681*'FR_Mantenimiento tasas'!$E$57/360,""))),5)</f>
        <v>0</v>
      </c>
    </row>
    <row r="1682" spans="1:5">
      <c r="A1682" s="123">
        <f t="shared" si="52"/>
        <v>1680</v>
      </c>
      <c r="B1682" s="122">
        <f>IF(DAY(A1682)=DAY('F-Ahorro Futuro Reservas'!$H$10),'F-Ahorro Futuro Reservas'!$H$9,0)</f>
        <v>0</v>
      </c>
      <c r="C1682" s="122">
        <f t="shared" si="53"/>
        <v>0</v>
      </c>
      <c r="D1682" s="121">
        <f>ROUND(IF(C1682&lt;='FR_Mantenimiento tasas'!$C$55,'Tabla Ahorro Futuro Reservas'!C1682*'FR_Mantenimiento tasas'!$D$55/360,IF(C1682&lt;='FR_Mantenimiento tasas'!$C$56,'Tabla Ahorro Futuro Reservas'!C1682*'FR_Mantenimiento tasas'!$D$56/360,IF(C1682&lt;='FR_Mantenimiento tasas'!$C$57,'Tabla Ahorro Futuro Reservas'!C1682*'FR_Mantenimiento tasas'!$D$57/360,""))),5)</f>
        <v>0</v>
      </c>
      <c r="E1682" s="121">
        <f>ROUND(IF(C1682&lt;='FR_Mantenimiento tasas'!$C$55,'Tabla Ahorro Futuro Reservas'!C1682*'FR_Mantenimiento tasas'!$E$55/360,IF(C1682&lt;='FR_Mantenimiento tasas'!$C$56,'Tabla Ahorro Futuro Reservas'!C1682*'FR_Mantenimiento tasas'!$E$56/360,IF(C1682&lt;='FR_Mantenimiento tasas'!$C$57,'Tabla Ahorro Futuro Reservas'!C1682*'FR_Mantenimiento tasas'!$E$57/360,""))),5)</f>
        <v>0</v>
      </c>
    </row>
    <row r="1683" spans="1:5">
      <c r="A1683" s="123">
        <f t="shared" si="52"/>
        <v>1681</v>
      </c>
      <c r="B1683" s="122">
        <f>IF(DAY(A1683)=DAY('F-Ahorro Futuro Reservas'!$H$10),'F-Ahorro Futuro Reservas'!$H$9,0)</f>
        <v>0</v>
      </c>
      <c r="C1683" s="122">
        <f t="shared" si="53"/>
        <v>0</v>
      </c>
      <c r="D1683" s="121">
        <f>ROUND(IF(C1683&lt;='FR_Mantenimiento tasas'!$C$55,'Tabla Ahorro Futuro Reservas'!C1683*'FR_Mantenimiento tasas'!$D$55/360,IF(C1683&lt;='FR_Mantenimiento tasas'!$C$56,'Tabla Ahorro Futuro Reservas'!C1683*'FR_Mantenimiento tasas'!$D$56/360,IF(C1683&lt;='FR_Mantenimiento tasas'!$C$57,'Tabla Ahorro Futuro Reservas'!C1683*'FR_Mantenimiento tasas'!$D$57/360,""))),5)</f>
        <v>0</v>
      </c>
      <c r="E1683" s="121">
        <f>ROUND(IF(C1683&lt;='FR_Mantenimiento tasas'!$C$55,'Tabla Ahorro Futuro Reservas'!C1683*'FR_Mantenimiento tasas'!$E$55/360,IF(C1683&lt;='FR_Mantenimiento tasas'!$C$56,'Tabla Ahorro Futuro Reservas'!C1683*'FR_Mantenimiento tasas'!$E$56/360,IF(C1683&lt;='FR_Mantenimiento tasas'!$C$57,'Tabla Ahorro Futuro Reservas'!C1683*'FR_Mantenimiento tasas'!$E$57/360,""))),5)</f>
        <v>0</v>
      </c>
    </row>
    <row r="1684" spans="1:5">
      <c r="A1684" s="123">
        <f t="shared" si="52"/>
        <v>1682</v>
      </c>
      <c r="B1684" s="122">
        <f>IF(DAY(A1684)=DAY('F-Ahorro Futuro Reservas'!$H$10),'F-Ahorro Futuro Reservas'!$H$9,0)</f>
        <v>0</v>
      </c>
      <c r="C1684" s="122">
        <f t="shared" si="53"/>
        <v>0</v>
      </c>
      <c r="D1684" s="121">
        <f>ROUND(IF(C1684&lt;='FR_Mantenimiento tasas'!$C$55,'Tabla Ahorro Futuro Reservas'!C1684*'FR_Mantenimiento tasas'!$D$55/360,IF(C1684&lt;='FR_Mantenimiento tasas'!$C$56,'Tabla Ahorro Futuro Reservas'!C1684*'FR_Mantenimiento tasas'!$D$56/360,IF(C1684&lt;='FR_Mantenimiento tasas'!$C$57,'Tabla Ahorro Futuro Reservas'!C1684*'FR_Mantenimiento tasas'!$D$57/360,""))),5)</f>
        <v>0</v>
      </c>
      <c r="E1684" s="121">
        <f>ROUND(IF(C1684&lt;='FR_Mantenimiento tasas'!$C$55,'Tabla Ahorro Futuro Reservas'!C1684*'FR_Mantenimiento tasas'!$E$55/360,IF(C1684&lt;='FR_Mantenimiento tasas'!$C$56,'Tabla Ahorro Futuro Reservas'!C1684*'FR_Mantenimiento tasas'!$E$56/360,IF(C1684&lt;='FR_Mantenimiento tasas'!$C$57,'Tabla Ahorro Futuro Reservas'!C1684*'FR_Mantenimiento tasas'!$E$57/360,""))),5)</f>
        <v>0</v>
      </c>
    </row>
    <row r="1685" spans="1:5">
      <c r="A1685" s="123">
        <f t="shared" si="52"/>
        <v>1683</v>
      </c>
      <c r="B1685" s="122">
        <f>IF(DAY(A1685)=DAY('F-Ahorro Futuro Reservas'!$H$10),'F-Ahorro Futuro Reservas'!$H$9,0)</f>
        <v>0</v>
      </c>
      <c r="C1685" s="122">
        <f t="shared" si="53"/>
        <v>0</v>
      </c>
      <c r="D1685" s="121">
        <f>ROUND(IF(C1685&lt;='FR_Mantenimiento tasas'!$C$55,'Tabla Ahorro Futuro Reservas'!C1685*'FR_Mantenimiento tasas'!$D$55/360,IF(C1685&lt;='FR_Mantenimiento tasas'!$C$56,'Tabla Ahorro Futuro Reservas'!C1685*'FR_Mantenimiento tasas'!$D$56/360,IF(C1685&lt;='FR_Mantenimiento tasas'!$C$57,'Tabla Ahorro Futuro Reservas'!C1685*'FR_Mantenimiento tasas'!$D$57/360,""))),5)</f>
        <v>0</v>
      </c>
      <c r="E1685" s="121">
        <f>ROUND(IF(C1685&lt;='FR_Mantenimiento tasas'!$C$55,'Tabla Ahorro Futuro Reservas'!C1685*'FR_Mantenimiento tasas'!$E$55/360,IF(C1685&lt;='FR_Mantenimiento tasas'!$C$56,'Tabla Ahorro Futuro Reservas'!C1685*'FR_Mantenimiento tasas'!$E$56/360,IF(C1685&lt;='FR_Mantenimiento tasas'!$C$57,'Tabla Ahorro Futuro Reservas'!C1685*'FR_Mantenimiento tasas'!$E$57/360,""))),5)</f>
        <v>0</v>
      </c>
    </row>
    <row r="1686" spans="1:5">
      <c r="A1686" s="123">
        <f t="shared" si="52"/>
        <v>1684</v>
      </c>
      <c r="B1686" s="122">
        <f>IF(DAY(A1686)=DAY('F-Ahorro Futuro Reservas'!$H$10),'F-Ahorro Futuro Reservas'!$H$9,0)</f>
        <v>0</v>
      </c>
      <c r="C1686" s="122">
        <f t="shared" si="53"/>
        <v>0</v>
      </c>
      <c r="D1686" s="121">
        <f>ROUND(IF(C1686&lt;='FR_Mantenimiento tasas'!$C$55,'Tabla Ahorro Futuro Reservas'!C1686*'FR_Mantenimiento tasas'!$D$55/360,IF(C1686&lt;='FR_Mantenimiento tasas'!$C$56,'Tabla Ahorro Futuro Reservas'!C1686*'FR_Mantenimiento tasas'!$D$56/360,IF(C1686&lt;='FR_Mantenimiento tasas'!$C$57,'Tabla Ahorro Futuro Reservas'!C1686*'FR_Mantenimiento tasas'!$D$57/360,""))),5)</f>
        <v>0</v>
      </c>
      <c r="E1686" s="121">
        <f>ROUND(IF(C1686&lt;='FR_Mantenimiento tasas'!$C$55,'Tabla Ahorro Futuro Reservas'!C1686*'FR_Mantenimiento tasas'!$E$55/360,IF(C1686&lt;='FR_Mantenimiento tasas'!$C$56,'Tabla Ahorro Futuro Reservas'!C1686*'FR_Mantenimiento tasas'!$E$56/360,IF(C1686&lt;='FR_Mantenimiento tasas'!$C$57,'Tabla Ahorro Futuro Reservas'!C1686*'FR_Mantenimiento tasas'!$E$57/360,""))),5)</f>
        <v>0</v>
      </c>
    </row>
    <row r="1687" spans="1:5">
      <c r="A1687" s="123">
        <f t="shared" si="52"/>
        <v>1685</v>
      </c>
      <c r="B1687" s="122">
        <f>IF(DAY(A1687)=DAY('F-Ahorro Futuro Reservas'!$H$10),'F-Ahorro Futuro Reservas'!$H$9,0)</f>
        <v>0</v>
      </c>
      <c r="C1687" s="122">
        <f t="shared" si="53"/>
        <v>0</v>
      </c>
      <c r="D1687" s="121">
        <f>ROUND(IF(C1687&lt;='FR_Mantenimiento tasas'!$C$55,'Tabla Ahorro Futuro Reservas'!C1687*'FR_Mantenimiento tasas'!$D$55/360,IF(C1687&lt;='FR_Mantenimiento tasas'!$C$56,'Tabla Ahorro Futuro Reservas'!C1687*'FR_Mantenimiento tasas'!$D$56/360,IF(C1687&lt;='FR_Mantenimiento tasas'!$C$57,'Tabla Ahorro Futuro Reservas'!C1687*'FR_Mantenimiento tasas'!$D$57/360,""))),5)</f>
        <v>0</v>
      </c>
      <c r="E1687" s="121">
        <f>ROUND(IF(C1687&lt;='FR_Mantenimiento tasas'!$C$55,'Tabla Ahorro Futuro Reservas'!C1687*'FR_Mantenimiento tasas'!$E$55/360,IF(C1687&lt;='FR_Mantenimiento tasas'!$C$56,'Tabla Ahorro Futuro Reservas'!C1687*'FR_Mantenimiento tasas'!$E$56/360,IF(C1687&lt;='FR_Mantenimiento tasas'!$C$57,'Tabla Ahorro Futuro Reservas'!C1687*'FR_Mantenimiento tasas'!$E$57/360,""))),5)</f>
        <v>0</v>
      </c>
    </row>
    <row r="1688" spans="1:5">
      <c r="A1688" s="123">
        <f t="shared" si="52"/>
        <v>1686</v>
      </c>
      <c r="B1688" s="122">
        <f>IF(DAY(A1688)=DAY('F-Ahorro Futuro Reservas'!$H$10),'F-Ahorro Futuro Reservas'!$H$9,0)</f>
        <v>0</v>
      </c>
      <c r="C1688" s="122">
        <f t="shared" si="53"/>
        <v>0</v>
      </c>
      <c r="D1688" s="121">
        <f>ROUND(IF(C1688&lt;='FR_Mantenimiento tasas'!$C$55,'Tabla Ahorro Futuro Reservas'!C1688*'FR_Mantenimiento tasas'!$D$55/360,IF(C1688&lt;='FR_Mantenimiento tasas'!$C$56,'Tabla Ahorro Futuro Reservas'!C1688*'FR_Mantenimiento tasas'!$D$56/360,IF(C1688&lt;='FR_Mantenimiento tasas'!$C$57,'Tabla Ahorro Futuro Reservas'!C1688*'FR_Mantenimiento tasas'!$D$57/360,""))),5)</f>
        <v>0</v>
      </c>
      <c r="E1688" s="121">
        <f>ROUND(IF(C1688&lt;='FR_Mantenimiento tasas'!$C$55,'Tabla Ahorro Futuro Reservas'!C1688*'FR_Mantenimiento tasas'!$E$55/360,IF(C1688&lt;='FR_Mantenimiento tasas'!$C$56,'Tabla Ahorro Futuro Reservas'!C1688*'FR_Mantenimiento tasas'!$E$56/360,IF(C1688&lt;='FR_Mantenimiento tasas'!$C$57,'Tabla Ahorro Futuro Reservas'!C1688*'FR_Mantenimiento tasas'!$E$57/360,""))),5)</f>
        <v>0</v>
      </c>
    </row>
    <row r="1689" spans="1:5">
      <c r="A1689" s="123">
        <f t="shared" si="52"/>
        <v>1687</v>
      </c>
      <c r="B1689" s="122">
        <f>IF(DAY(A1689)=DAY('F-Ahorro Futuro Reservas'!$H$10),'F-Ahorro Futuro Reservas'!$H$9,0)</f>
        <v>0</v>
      </c>
      <c r="C1689" s="122">
        <f t="shared" si="53"/>
        <v>0</v>
      </c>
      <c r="D1689" s="121">
        <f>ROUND(IF(C1689&lt;='FR_Mantenimiento tasas'!$C$55,'Tabla Ahorro Futuro Reservas'!C1689*'FR_Mantenimiento tasas'!$D$55/360,IF(C1689&lt;='FR_Mantenimiento tasas'!$C$56,'Tabla Ahorro Futuro Reservas'!C1689*'FR_Mantenimiento tasas'!$D$56/360,IF(C1689&lt;='FR_Mantenimiento tasas'!$C$57,'Tabla Ahorro Futuro Reservas'!C1689*'FR_Mantenimiento tasas'!$D$57/360,""))),5)</f>
        <v>0</v>
      </c>
      <c r="E1689" s="121">
        <f>ROUND(IF(C1689&lt;='FR_Mantenimiento tasas'!$C$55,'Tabla Ahorro Futuro Reservas'!C1689*'FR_Mantenimiento tasas'!$E$55/360,IF(C1689&lt;='FR_Mantenimiento tasas'!$C$56,'Tabla Ahorro Futuro Reservas'!C1689*'FR_Mantenimiento tasas'!$E$56/360,IF(C1689&lt;='FR_Mantenimiento tasas'!$C$57,'Tabla Ahorro Futuro Reservas'!C1689*'FR_Mantenimiento tasas'!$E$57/360,""))),5)</f>
        <v>0</v>
      </c>
    </row>
    <row r="1690" spans="1:5">
      <c r="A1690" s="123">
        <f t="shared" si="52"/>
        <v>1688</v>
      </c>
      <c r="B1690" s="122">
        <f>IF(DAY(A1690)=DAY('F-Ahorro Futuro Reservas'!$H$10),'F-Ahorro Futuro Reservas'!$H$9,0)</f>
        <v>0</v>
      </c>
      <c r="C1690" s="122">
        <f t="shared" si="53"/>
        <v>0</v>
      </c>
      <c r="D1690" s="121">
        <f>ROUND(IF(C1690&lt;='FR_Mantenimiento tasas'!$C$55,'Tabla Ahorro Futuro Reservas'!C1690*'FR_Mantenimiento tasas'!$D$55/360,IF(C1690&lt;='FR_Mantenimiento tasas'!$C$56,'Tabla Ahorro Futuro Reservas'!C1690*'FR_Mantenimiento tasas'!$D$56/360,IF(C1690&lt;='FR_Mantenimiento tasas'!$C$57,'Tabla Ahorro Futuro Reservas'!C1690*'FR_Mantenimiento tasas'!$D$57/360,""))),5)</f>
        <v>0</v>
      </c>
      <c r="E1690" s="121">
        <f>ROUND(IF(C1690&lt;='FR_Mantenimiento tasas'!$C$55,'Tabla Ahorro Futuro Reservas'!C1690*'FR_Mantenimiento tasas'!$E$55/360,IF(C1690&lt;='FR_Mantenimiento tasas'!$C$56,'Tabla Ahorro Futuro Reservas'!C1690*'FR_Mantenimiento tasas'!$E$56/360,IF(C1690&lt;='FR_Mantenimiento tasas'!$C$57,'Tabla Ahorro Futuro Reservas'!C1690*'FR_Mantenimiento tasas'!$E$57/360,""))),5)</f>
        <v>0</v>
      </c>
    </row>
    <row r="1691" spans="1:5">
      <c r="A1691" s="123">
        <f t="shared" si="52"/>
        <v>1689</v>
      </c>
      <c r="B1691" s="122">
        <f>IF(DAY(A1691)=DAY('F-Ahorro Futuro Reservas'!$H$10),'F-Ahorro Futuro Reservas'!$H$9,0)</f>
        <v>0</v>
      </c>
      <c r="C1691" s="122">
        <f t="shared" si="53"/>
        <v>0</v>
      </c>
      <c r="D1691" s="121">
        <f>ROUND(IF(C1691&lt;='FR_Mantenimiento tasas'!$C$55,'Tabla Ahorro Futuro Reservas'!C1691*'FR_Mantenimiento tasas'!$D$55/360,IF(C1691&lt;='FR_Mantenimiento tasas'!$C$56,'Tabla Ahorro Futuro Reservas'!C1691*'FR_Mantenimiento tasas'!$D$56/360,IF(C1691&lt;='FR_Mantenimiento tasas'!$C$57,'Tabla Ahorro Futuro Reservas'!C1691*'FR_Mantenimiento tasas'!$D$57/360,""))),5)</f>
        <v>0</v>
      </c>
      <c r="E1691" s="121">
        <f>ROUND(IF(C1691&lt;='FR_Mantenimiento tasas'!$C$55,'Tabla Ahorro Futuro Reservas'!C1691*'FR_Mantenimiento tasas'!$E$55/360,IF(C1691&lt;='FR_Mantenimiento tasas'!$C$56,'Tabla Ahorro Futuro Reservas'!C1691*'FR_Mantenimiento tasas'!$E$56/360,IF(C1691&lt;='FR_Mantenimiento tasas'!$C$57,'Tabla Ahorro Futuro Reservas'!C1691*'FR_Mantenimiento tasas'!$E$57/360,""))),5)</f>
        <v>0</v>
      </c>
    </row>
    <row r="1692" spans="1:5">
      <c r="A1692" s="123">
        <f t="shared" si="52"/>
        <v>1690</v>
      </c>
      <c r="B1692" s="122">
        <f>IF(DAY(A1692)=DAY('F-Ahorro Futuro Reservas'!$H$10),'F-Ahorro Futuro Reservas'!$H$9,0)</f>
        <v>0</v>
      </c>
      <c r="C1692" s="122">
        <f t="shared" si="53"/>
        <v>0</v>
      </c>
      <c r="D1692" s="121">
        <f>ROUND(IF(C1692&lt;='FR_Mantenimiento tasas'!$C$55,'Tabla Ahorro Futuro Reservas'!C1692*'FR_Mantenimiento tasas'!$D$55/360,IF(C1692&lt;='FR_Mantenimiento tasas'!$C$56,'Tabla Ahorro Futuro Reservas'!C1692*'FR_Mantenimiento tasas'!$D$56/360,IF(C1692&lt;='FR_Mantenimiento tasas'!$C$57,'Tabla Ahorro Futuro Reservas'!C1692*'FR_Mantenimiento tasas'!$D$57/360,""))),5)</f>
        <v>0</v>
      </c>
      <c r="E1692" s="121">
        <f>ROUND(IF(C1692&lt;='FR_Mantenimiento tasas'!$C$55,'Tabla Ahorro Futuro Reservas'!C1692*'FR_Mantenimiento tasas'!$E$55/360,IF(C1692&lt;='FR_Mantenimiento tasas'!$C$56,'Tabla Ahorro Futuro Reservas'!C1692*'FR_Mantenimiento tasas'!$E$56/360,IF(C1692&lt;='FR_Mantenimiento tasas'!$C$57,'Tabla Ahorro Futuro Reservas'!C1692*'FR_Mantenimiento tasas'!$E$57/360,""))),5)</f>
        <v>0</v>
      </c>
    </row>
    <row r="1693" spans="1:5">
      <c r="A1693" s="123">
        <f t="shared" si="52"/>
        <v>1691</v>
      </c>
      <c r="B1693" s="122">
        <f>IF(DAY(A1693)=DAY('F-Ahorro Futuro Reservas'!$H$10),'F-Ahorro Futuro Reservas'!$H$9,0)</f>
        <v>0</v>
      </c>
      <c r="C1693" s="122">
        <f t="shared" si="53"/>
        <v>0</v>
      </c>
      <c r="D1693" s="121">
        <f>ROUND(IF(C1693&lt;='FR_Mantenimiento tasas'!$C$55,'Tabla Ahorro Futuro Reservas'!C1693*'FR_Mantenimiento tasas'!$D$55/360,IF(C1693&lt;='FR_Mantenimiento tasas'!$C$56,'Tabla Ahorro Futuro Reservas'!C1693*'FR_Mantenimiento tasas'!$D$56/360,IF(C1693&lt;='FR_Mantenimiento tasas'!$C$57,'Tabla Ahorro Futuro Reservas'!C1693*'FR_Mantenimiento tasas'!$D$57/360,""))),5)</f>
        <v>0</v>
      </c>
      <c r="E1693" s="121">
        <f>ROUND(IF(C1693&lt;='FR_Mantenimiento tasas'!$C$55,'Tabla Ahorro Futuro Reservas'!C1693*'FR_Mantenimiento tasas'!$E$55/360,IF(C1693&lt;='FR_Mantenimiento tasas'!$C$56,'Tabla Ahorro Futuro Reservas'!C1693*'FR_Mantenimiento tasas'!$E$56/360,IF(C1693&lt;='FR_Mantenimiento tasas'!$C$57,'Tabla Ahorro Futuro Reservas'!C1693*'FR_Mantenimiento tasas'!$E$57/360,""))),5)</f>
        <v>0</v>
      </c>
    </row>
    <row r="1694" spans="1:5">
      <c r="A1694" s="123">
        <f t="shared" si="52"/>
        <v>1692</v>
      </c>
      <c r="B1694" s="122">
        <f>IF(DAY(A1694)=DAY('F-Ahorro Futuro Reservas'!$H$10),'F-Ahorro Futuro Reservas'!$H$9,0)</f>
        <v>0</v>
      </c>
      <c r="C1694" s="122">
        <f t="shared" si="53"/>
        <v>0</v>
      </c>
      <c r="D1694" s="121">
        <f>ROUND(IF(C1694&lt;='FR_Mantenimiento tasas'!$C$55,'Tabla Ahorro Futuro Reservas'!C1694*'FR_Mantenimiento tasas'!$D$55/360,IF(C1694&lt;='FR_Mantenimiento tasas'!$C$56,'Tabla Ahorro Futuro Reservas'!C1694*'FR_Mantenimiento tasas'!$D$56/360,IF(C1694&lt;='FR_Mantenimiento tasas'!$C$57,'Tabla Ahorro Futuro Reservas'!C1694*'FR_Mantenimiento tasas'!$D$57/360,""))),5)</f>
        <v>0</v>
      </c>
      <c r="E1694" s="121">
        <f>ROUND(IF(C1694&lt;='FR_Mantenimiento tasas'!$C$55,'Tabla Ahorro Futuro Reservas'!C1694*'FR_Mantenimiento tasas'!$E$55/360,IF(C1694&lt;='FR_Mantenimiento tasas'!$C$56,'Tabla Ahorro Futuro Reservas'!C1694*'FR_Mantenimiento tasas'!$E$56/360,IF(C1694&lt;='FR_Mantenimiento tasas'!$C$57,'Tabla Ahorro Futuro Reservas'!C1694*'FR_Mantenimiento tasas'!$E$57/360,""))),5)</f>
        <v>0</v>
      </c>
    </row>
    <row r="1695" spans="1:5">
      <c r="A1695" s="123">
        <f t="shared" si="52"/>
        <v>1693</v>
      </c>
      <c r="B1695" s="122">
        <f>IF(DAY(A1695)=DAY('F-Ahorro Futuro Reservas'!$H$10),'F-Ahorro Futuro Reservas'!$H$9,0)</f>
        <v>0</v>
      </c>
      <c r="C1695" s="122">
        <f t="shared" si="53"/>
        <v>0</v>
      </c>
      <c r="D1695" s="121">
        <f>ROUND(IF(C1695&lt;='FR_Mantenimiento tasas'!$C$55,'Tabla Ahorro Futuro Reservas'!C1695*'FR_Mantenimiento tasas'!$D$55/360,IF(C1695&lt;='FR_Mantenimiento tasas'!$C$56,'Tabla Ahorro Futuro Reservas'!C1695*'FR_Mantenimiento tasas'!$D$56/360,IF(C1695&lt;='FR_Mantenimiento tasas'!$C$57,'Tabla Ahorro Futuro Reservas'!C1695*'FR_Mantenimiento tasas'!$D$57/360,""))),5)</f>
        <v>0</v>
      </c>
      <c r="E1695" s="121">
        <f>ROUND(IF(C1695&lt;='FR_Mantenimiento tasas'!$C$55,'Tabla Ahorro Futuro Reservas'!C1695*'FR_Mantenimiento tasas'!$E$55/360,IF(C1695&lt;='FR_Mantenimiento tasas'!$C$56,'Tabla Ahorro Futuro Reservas'!C1695*'FR_Mantenimiento tasas'!$E$56/360,IF(C1695&lt;='FR_Mantenimiento tasas'!$C$57,'Tabla Ahorro Futuro Reservas'!C1695*'FR_Mantenimiento tasas'!$E$57/360,""))),5)</f>
        <v>0</v>
      </c>
    </row>
    <row r="1696" spans="1:5">
      <c r="A1696" s="123">
        <f t="shared" si="52"/>
        <v>1694</v>
      </c>
      <c r="B1696" s="122">
        <f>IF(DAY(A1696)=DAY('F-Ahorro Futuro Reservas'!$H$10),'F-Ahorro Futuro Reservas'!$H$9,0)</f>
        <v>0</v>
      </c>
      <c r="C1696" s="122">
        <f t="shared" si="53"/>
        <v>0</v>
      </c>
      <c r="D1696" s="121">
        <f>ROUND(IF(C1696&lt;='FR_Mantenimiento tasas'!$C$55,'Tabla Ahorro Futuro Reservas'!C1696*'FR_Mantenimiento tasas'!$D$55/360,IF(C1696&lt;='FR_Mantenimiento tasas'!$C$56,'Tabla Ahorro Futuro Reservas'!C1696*'FR_Mantenimiento tasas'!$D$56/360,IF(C1696&lt;='FR_Mantenimiento tasas'!$C$57,'Tabla Ahorro Futuro Reservas'!C1696*'FR_Mantenimiento tasas'!$D$57/360,""))),5)</f>
        <v>0</v>
      </c>
      <c r="E1696" s="121">
        <f>ROUND(IF(C1696&lt;='FR_Mantenimiento tasas'!$C$55,'Tabla Ahorro Futuro Reservas'!C1696*'FR_Mantenimiento tasas'!$E$55/360,IF(C1696&lt;='FR_Mantenimiento tasas'!$C$56,'Tabla Ahorro Futuro Reservas'!C1696*'FR_Mantenimiento tasas'!$E$56/360,IF(C1696&lt;='FR_Mantenimiento tasas'!$C$57,'Tabla Ahorro Futuro Reservas'!C1696*'FR_Mantenimiento tasas'!$E$57/360,""))),5)</f>
        <v>0</v>
      </c>
    </row>
    <row r="1697" spans="1:5">
      <c r="A1697" s="123">
        <f t="shared" si="52"/>
        <v>1695</v>
      </c>
      <c r="B1697" s="122">
        <f>IF(DAY(A1697)=DAY('F-Ahorro Futuro Reservas'!$H$10),'F-Ahorro Futuro Reservas'!$H$9,0)</f>
        <v>0</v>
      </c>
      <c r="C1697" s="122">
        <f t="shared" si="53"/>
        <v>0</v>
      </c>
      <c r="D1697" s="121">
        <f>ROUND(IF(C1697&lt;='FR_Mantenimiento tasas'!$C$55,'Tabla Ahorro Futuro Reservas'!C1697*'FR_Mantenimiento tasas'!$D$55/360,IF(C1697&lt;='FR_Mantenimiento tasas'!$C$56,'Tabla Ahorro Futuro Reservas'!C1697*'FR_Mantenimiento tasas'!$D$56/360,IF(C1697&lt;='FR_Mantenimiento tasas'!$C$57,'Tabla Ahorro Futuro Reservas'!C1697*'FR_Mantenimiento tasas'!$D$57/360,""))),5)</f>
        <v>0</v>
      </c>
      <c r="E1697" s="121">
        <f>ROUND(IF(C1697&lt;='FR_Mantenimiento tasas'!$C$55,'Tabla Ahorro Futuro Reservas'!C1697*'FR_Mantenimiento tasas'!$E$55/360,IF(C1697&lt;='FR_Mantenimiento tasas'!$C$56,'Tabla Ahorro Futuro Reservas'!C1697*'FR_Mantenimiento tasas'!$E$56/360,IF(C1697&lt;='FR_Mantenimiento tasas'!$C$57,'Tabla Ahorro Futuro Reservas'!C1697*'FR_Mantenimiento tasas'!$E$57/360,""))),5)</f>
        <v>0</v>
      </c>
    </row>
    <row r="1698" spans="1:5">
      <c r="A1698" s="123">
        <f t="shared" si="52"/>
        <v>1696</v>
      </c>
      <c r="B1698" s="122">
        <f>IF(DAY(A1698)=DAY('F-Ahorro Futuro Reservas'!$H$10),'F-Ahorro Futuro Reservas'!$H$9,0)</f>
        <v>0</v>
      </c>
      <c r="C1698" s="122">
        <f t="shared" si="53"/>
        <v>0</v>
      </c>
      <c r="D1698" s="121">
        <f>ROUND(IF(C1698&lt;='FR_Mantenimiento tasas'!$C$55,'Tabla Ahorro Futuro Reservas'!C1698*'FR_Mantenimiento tasas'!$D$55/360,IF(C1698&lt;='FR_Mantenimiento tasas'!$C$56,'Tabla Ahorro Futuro Reservas'!C1698*'FR_Mantenimiento tasas'!$D$56/360,IF(C1698&lt;='FR_Mantenimiento tasas'!$C$57,'Tabla Ahorro Futuro Reservas'!C1698*'FR_Mantenimiento tasas'!$D$57/360,""))),5)</f>
        <v>0</v>
      </c>
      <c r="E1698" s="121">
        <f>ROUND(IF(C1698&lt;='FR_Mantenimiento tasas'!$C$55,'Tabla Ahorro Futuro Reservas'!C1698*'FR_Mantenimiento tasas'!$E$55/360,IF(C1698&lt;='FR_Mantenimiento tasas'!$C$56,'Tabla Ahorro Futuro Reservas'!C1698*'FR_Mantenimiento tasas'!$E$56/360,IF(C1698&lt;='FR_Mantenimiento tasas'!$C$57,'Tabla Ahorro Futuro Reservas'!C1698*'FR_Mantenimiento tasas'!$E$57/360,""))),5)</f>
        <v>0</v>
      </c>
    </row>
    <row r="1699" spans="1:5">
      <c r="A1699" s="123">
        <f t="shared" si="52"/>
        <v>1697</v>
      </c>
      <c r="B1699" s="122">
        <f>IF(DAY(A1699)=DAY('F-Ahorro Futuro Reservas'!$H$10),'F-Ahorro Futuro Reservas'!$H$9,0)</f>
        <v>0</v>
      </c>
      <c r="C1699" s="122">
        <f t="shared" si="53"/>
        <v>0</v>
      </c>
      <c r="D1699" s="121">
        <f>ROUND(IF(C1699&lt;='FR_Mantenimiento tasas'!$C$55,'Tabla Ahorro Futuro Reservas'!C1699*'FR_Mantenimiento tasas'!$D$55/360,IF(C1699&lt;='FR_Mantenimiento tasas'!$C$56,'Tabla Ahorro Futuro Reservas'!C1699*'FR_Mantenimiento tasas'!$D$56/360,IF(C1699&lt;='FR_Mantenimiento tasas'!$C$57,'Tabla Ahorro Futuro Reservas'!C1699*'FR_Mantenimiento tasas'!$D$57/360,""))),5)</f>
        <v>0</v>
      </c>
      <c r="E1699" s="121">
        <f>ROUND(IF(C1699&lt;='FR_Mantenimiento tasas'!$C$55,'Tabla Ahorro Futuro Reservas'!C1699*'FR_Mantenimiento tasas'!$E$55/360,IF(C1699&lt;='FR_Mantenimiento tasas'!$C$56,'Tabla Ahorro Futuro Reservas'!C1699*'FR_Mantenimiento tasas'!$E$56/360,IF(C1699&lt;='FR_Mantenimiento tasas'!$C$57,'Tabla Ahorro Futuro Reservas'!C1699*'FR_Mantenimiento tasas'!$E$57/360,""))),5)</f>
        <v>0</v>
      </c>
    </row>
    <row r="1700" spans="1:5">
      <c r="A1700" s="123">
        <f t="shared" si="52"/>
        <v>1698</v>
      </c>
      <c r="B1700" s="122">
        <f>IF(DAY(A1700)=DAY('F-Ahorro Futuro Reservas'!$H$10),'F-Ahorro Futuro Reservas'!$H$9,0)</f>
        <v>0</v>
      </c>
      <c r="C1700" s="122">
        <f t="shared" si="53"/>
        <v>0</v>
      </c>
      <c r="D1700" s="121">
        <f>ROUND(IF(C1700&lt;='FR_Mantenimiento tasas'!$C$55,'Tabla Ahorro Futuro Reservas'!C1700*'FR_Mantenimiento tasas'!$D$55/360,IF(C1700&lt;='FR_Mantenimiento tasas'!$C$56,'Tabla Ahorro Futuro Reservas'!C1700*'FR_Mantenimiento tasas'!$D$56/360,IF(C1700&lt;='FR_Mantenimiento tasas'!$C$57,'Tabla Ahorro Futuro Reservas'!C1700*'FR_Mantenimiento tasas'!$D$57/360,""))),5)</f>
        <v>0</v>
      </c>
      <c r="E1700" s="121">
        <f>ROUND(IF(C1700&lt;='FR_Mantenimiento tasas'!$C$55,'Tabla Ahorro Futuro Reservas'!C1700*'FR_Mantenimiento tasas'!$E$55/360,IF(C1700&lt;='FR_Mantenimiento tasas'!$C$56,'Tabla Ahorro Futuro Reservas'!C1700*'FR_Mantenimiento tasas'!$E$56/360,IF(C1700&lt;='FR_Mantenimiento tasas'!$C$57,'Tabla Ahorro Futuro Reservas'!C1700*'FR_Mantenimiento tasas'!$E$57/360,""))),5)</f>
        <v>0</v>
      </c>
    </row>
    <row r="1701" spans="1:5">
      <c r="A1701" s="123">
        <f t="shared" si="52"/>
        <v>1699</v>
      </c>
      <c r="B1701" s="122">
        <f>IF(DAY(A1701)=DAY('F-Ahorro Futuro Reservas'!$H$10),'F-Ahorro Futuro Reservas'!$H$9,0)</f>
        <v>0</v>
      </c>
      <c r="C1701" s="122">
        <f t="shared" si="53"/>
        <v>0</v>
      </c>
      <c r="D1701" s="121">
        <f>ROUND(IF(C1701&lt;='FR_Mantenimiento tasas'!$C$55,'Tabla Ahorro Futuro Reservas'!C1701*'FR_Mantenimiento tasas'!$D$55/360,IF(C1701&lt;='FR_Mantenimiento tasas'!$C$56,'Tabla Ahorro Futuro Reservas'!C1701*'FR_Mantenimiento tasas'!$D$56/360,IF(C1701&lt;='FR_Mantenimiento tasas'!$C$57,'Tabla Ahorro Futuro Reservas'!C1701*'FR_Mantenimiento tasas'!$D$57/360,""))),5)</f>
        <v>0</v>
      </c>
      <c r="E1701" s="121">
        <f>ROUND(IF(C1701&lt;='FR_Mantenimiento tasas'!$C$55,'Tabla Ahorro Futuro Reservas'!C1701*'FR_Mantenimiento tasas'!$E$55/360,IF(C1701&lt;='FR_Mantenimiento tasas'!$C$56,'Tabla Ahorro Futuro Reservas'!C1701*'FR_Mantenimiento tasas'!$E$56/360,IF(C1701&lt;='FR_Mantenimiento tasas'!$C$57,'Tabla Ahorro Futuro Reservas'!C1701*'FR_Mantenimiento tasas'!$E$57/360,""))),5)</f>
        <v>0</v>
      </c>
    </row>
    <row r="1702" spans="1:5">
      <c r="A1702" s="123">
        <f t="shared" si="52"/>
        <v>1700</v>
      </c>
      <c r="B1702" s="122">
        <f>IF(DAY(A1702)=DAY('F-Ahorro Futuro Reservas'!$H$10),'F-Ahorro Futuro Reservas'!$H$9,0)</f>
        <v>0</v>
      </c>
      <c r="C1702" s="122">
        <f t="shared" si="53"/>
        <v>0</v>
      </c>
      <c r="D1702" s="121">
        <f>ROUND(IF(C1702&lt;='FR_Mantenimiento tasas'!$C$55,'Tabla Ahorro Futuro Reservas'!C1702*'FR_Mantenimiento tasas'!$D$55/360,IF(C1702&lt;='FR_Mantenimiento tasas'!$C$56,'Tabla Ahorro Futuro Reservas'!C1702*'FR_Mantenimiento tasas'!$D$56/360,IF(C1702&lt;='FR_Mantenimiento tasas'!$C$57,'Tabla Ahorro Futuro Reservas'!C1702*'FR_Mantenimiento tasas'!$D$57/360,""))),5)</f>
        <v>0</v>
      </c>
      <c r="E1702" s="121">
        <f>ROUND(IF(C1702&lt;='FR_Mantenimiento tasas'!$C$55,'Tabla Ahorro Futuro Reservas'!C1702*'FR_Mantenimiento tasas'!$E$55/360,IF(C1702&lt;='FR_Mantenimiento tasas'!$C$56,'Tabla Ahorro Futuro Reservas'!C1702*'FR_Mantenimiento tasas'!$E$56/360,IF(C1702&lt;='FR_Mantenimiento tasas'!$C$57,'Tabla Ahorro Futuro Reservas'!C1702*'FR_Mantenimiento tasas'!$E$57/360,""))),5)</f>
        <v>0</v>
      </c>
    </row>
    <row r="1703" spans="1:5">
      <c r="A1703" s="123">
        <f t="shared" si="52"/>
        <v>1701</v>
      </c>
      <c r="B1703" s="122">
        <f>IF(DAY(A1703)=DAY('F-Ahorro Futuro Reservas'!$H$10),'F-Ahorro Futuro Reservas'!$H$9,0)</f>
        <v>0</v>
      </c>
      <c r="C1703" s="122">
        <f t="shared" si="53"/>
        <v>0</v>
      </c>
      <c r="D1703" s="121">
        <f>ROUND(IF(C1703&lt;='FR_Mantenimiento tasas'!$C$55,'Tabla Ahorro Futuro Reservas'!C1703*'FR_Mantenimiento tasas'!$D$55/360,IF(C1703&lt;='FR_Mantenimiento tasas'!$C$56,'Tabla Ahorro Futuro Reservas'!C1703*'FR_Mantenimiento tasas'!$D$56/360,IF(C1703&lt;='FR_Mantenimiento tasas'!$C$57,'Tabla Ahorro Futuro Reservas'!C1703*'FR_Mantenimiento tasas'!$D$57/360,""))),5)</f>
        <v>0</v>
      </c>
      <c r="E1703" s="121">
        <f>ROUND(IF(C1703&lt;='FR_Mantenimiento tasas'!$C$55,'Tabla Ahorro Futuro Reservas'!C1703*'FR_Mantenimiento tasas'!$E$55/360,IF(C1703&lt;='FR_Mantenimiento tasas'!$C$56,'Tabla Ahorro Futuro Reservas'!C1703*'FR_Mantenimiento tasas'!$E$56/360,IF(C1703&lt;='FR_Mantenimiento tasas'!$C$57,'Tabla Ahorro Futuro Reservas'!C1703*'FR_Mantenimiento tasas'!$E$57/360,""))),5)</f>
        <v>0</v>
      </c>
    </row>
    <row r="1704" spans="1:5">
      <c r="A1704" s="123">
        <f t="shared" si="52"/>
        <v>1702</v>
      </c>
      <c r="B1704" s="122">
        <f>IF(DAY(A1704)=DAY('F-Ahorro Futuro Reservas'!$H$10),'F-Ahorro Futuro Reservas'!$H$9,0)</f>
        <v>0</v>
      </c>
      <c r="C1704" s="122">
        <f t="shared" si="53"/>
        <v>0</v>
      </c>
      <c r="D1704" s="121">
        <f>ROUND(IF(C1704&lt;='FR_Mantenimiento tasas'!$C$55,'Tabla Ahorro Futuro Reservas'!C1704*'FR_Mantenimiento tasas'!$D$55/360,IF(C1704&lt;='FR_Mantenimiento tasas'!$C$56,'Tabla Ahorro Futuro Reservas'!C1704*'FR_Mantenimiento tasas'!$D$56/360,IF(C1704&lt;='FR_Mantenimiento tasas'!$C$57,'Tabla Ahorro Futuro Reservas'!C1704*'FR_Mantenimiento tasas'!$D$57/360,""))),5)</f>
        <v>0</v>
      </c>
      <c r="E1704" s="121">
        <f>ROUND(IF(C1704&lt;='FR_Mantenimiento tasas'!$C$55,'Tabla Ahorro Futuro Reservas'!C1704*'FR_Mantenimiento tasas'!$E$55/360,IF(C1704&lt;='FR_Mantenimiento tasas'!$C$56,'Tabla Ahorro Futuro Reservas'!C1704*'FR_Mantenimiento tasas'!$E$56/360,IF(C1704&lt;='FR_Mantenimiento tasas'!$C$57,'Tabla Ahorro Futuro Reservas'!C1704*'FR_Mantenimiento tasas'!$E$57/360,""))),5)</f>
        <v>0</v>
      </c>
    </row>
    <row r="1705" spans="1:5">
      <c r="A1705" s="123">
        <f t="shared" si="52"/>
        <v>1703</v>
      </c>
      <c r="B1705" s="122">
        <f>IF(DAY(A1705)=DAY('F-Ahorro Futuro Reservas'!$H$10),'F-Ahorro Futuro Reservas'!$H$9,0)</f>
        <v>0</v>
      </c>
      <c r="C1705" s="122">
        <f t="shared" si="53"/>
        <v>0</v>
      </c>
      <c r="D1705" s="121">
        <f>ROUND(IF(C1705&lt;='FR_Mantenimiento tasas'!$C$55,'Tabla Ahorro Futuro Reservas'!C1705*'FR_Mantenimiento tasas'!$D$55/360,IF(C1705&lt;='FR_Mantenimiento tasas'!$C$56,'Tabla Ahorro Futuro Reservas'!C1705*'FR_Mantenimiento tasas'!$D$56/360,IF(C1705&lt;='FR_Mantenimiento tasas'!$C$57,'Tabla Ahorro Futuro Reservas'!C1705*'FR_Mantenimiento tasas'!$D$57/360,""))),5)</f>
        <v>0</v>
      </c>
      <c r="E1705" s="121">
        <f>ROUND(IF(C1705&lt;='FR_Mantenimiento tasas'!$C$55,'Tabla Ahorro Futuro Reservas'!C1705*'FR_Mantenimiento tasas'!$E$55/360,IF(C1705&lt;='FR_Mantenimiento tasas'!$C$56,'Tabla Ahorro Futuro Reservas'!C1705*'FR_Mantenimiento tasas'!$E$56/360,IF(C1705&lt;='FR_Mantenimiento tasas'!$C$57,'Tabla Ahorro Futuro Reservas'!C1705*'FR_Mantenimiento tasas'!$E$57/360,""))),5)</f>
        <v>0</v>
      </c>
    </row>
    <row r="1706" spans="1:5">
      <c r="A1706" s="123">
        <f t="shared" si="52"/>
        <v>1704</v>
      </c>
      <c r="B1706" s="122">
        <f>IF(DAY(A1706)=DAY('F-Ahorro Futuro Reservas'!$H$10),'F-Ahorro Futuro Reservas'!$H$9,0)</f>
        <v>0</v>
      </c>
      <c r="C1706" s="122">
        <f t="shared" si="53"/>
        <v>0</v>
      </c>
      <c r="D1706" s="121">
        <f>ROUND(IF(C1706&lt;='FR_Mantenimiento tasas'!$C$55,'Tabla Ahorro Futuro Reservas'!C1706*'FR_Mantenimiento tasas'!$D$55/360,IF(C1706&lt;='FR_Mantenimiento tasas'!$C$56,'Tabla Ahorro Futuro Reservas'!C1706*'FR_Mantenimiento tasas'!$D$56/360,IF(C1706&lt;='FR_Mantenimiento tasas'!$C$57,'Tabla Ahorro Futuro Reservas'!C1706*'FR_Mantenimiento tasas'!$D$57/360,""))),5)</f>
        <v>0</v>
      </c>
      <c r="E1706" s="121">
        <f>ROUND(IF(C1706&lt;='FR_Mantenimiento tasas'!$C$55,'Tabla Ahorro Futuro Reservas'!C1706*'FR_Mantenimiento tasas'!$E$55/360,IF(C1706&lt;='FR_Mantenimiento tasas'!$C$56,'Tabla Ahorro Futuro Reservas'!C1706*'FR_Mantenimiento tasas'!$E$56/360,IF(C1706&lt;='FR_Mantenimiento tasas'!$C$57,'Tabla Ahorro Futuro Reservas'!C1706*'FR_Mantenimiento tasas'!$E$57/360,""))),5)</f>
        <v>0</v>
      </c>
    </row>
    <row r="1707" spans="1:5">
      <c r="A1707" s="123">
        <f t="shared" si="52"/>
        <v>1705</v>
      </c>
      <c r="B1707" s="122">
        <f>IF(DAY(A1707)=DAY('F-Ahorro Futuro Reservas'!$H$10),'F-Ahorro Futuro Reservas'!$H$9,0)</f>
        <v>0</v>
      </c>
      <c r="C1707" s="122">
        <f t="shared" si="53"/>
        <v>0</v>
      </c>
      <c r="D1707" s="121">
        <f>ROUND(IF(C1707&lt;='FR_Mantenimiento tasas'!$C$55,'Tabla Ahorro Futuro Reservas'!C1707*'FR_Mantenimiento tasas'!$D$55/360,IF(C1707&lt;='FR_Mantenimiento tasas'!$C$56,'Tabla Ahorro Futuro Reservas'!C1707*'FR_Mantenimiento tasas'!$D$56/360,IF(C1707&lt;='FR_Mantenimiento tasas'!$C$57,'Tabla Ahorro Futuro Reservas'!C1707*'FR_Mantenimiento tasas'!$D$57/360,""))),5)</f>
        <v>0</v>
      </c>
      <c r="E1707" s="121">
        <f>ROUND(IF(C1707&lt;='FR_Mantenimiento tasas'!$C$55,'Tabla Ahorro Futuro Reservas'!C1707*'FR_Mantenimiento tasas'!$E$55/360,IF(C1707&lt;='FR_Mantenimiento tasas'!$C$56,'Tabla Ahorro Futuro Reservas'!C1707*'FR_Mantenimiento tasas'!$E$56/360,IF(C1707&lt;='FR_Mantenimiento tasas'!$C$57,'Tabla Ahorro Futuro Reservas'!C1707*'FR_Mantenimiento tasas'!$E$57/360,""))),5)</f>
        <v>0</v>
      </c>
    </row>
    <row r="1708" spans="1:5">
      <c r="A1708" s="123">
        <f t="shared" si="52"/>
        <v>1706</v>
      </c>
      <c r="B1708" s="122">
        <f>IF(DAY(A1708)=DAY('F-Ahorro Futuro Reservas'!$H$10),'F-Ahorro Futuro Reservas'!$H$9,0)</f>
        <v>0</v>
      </c>
      <c r="C1708" s="122">
        <f t="shared" si="53"/>
        <v>0</v>
      </c>
      <c r="D1708" s="121">
        <f>ROUND(IF(C1708&lt;='FR_Mantenimiento tasas'!$C$55,'Tabla Ahorro Futuro Reservas'!C1708*'FR_Mantenimiento tasas'!$D$55/360,IF(C1708&lt;='FR_Mantenimiento tasas'!$C$56,'Tabla Ahorro Futuro Reservas'!C1708*'FR_Mantenimiento tasas'!$D$56/360,IF(C1708&lt;='FR_Mantenimiento tasas'!$C$57,'Tabla Ahorro Futuro Reservas'!C1708*'FR_Mantenimiento tasas'!$D$57/360,""))),5)</f>
        <v>0</v>
      </c>
      <c r="E1708" s="121">
        <f>ROUND(IF(C1708&lt;='FR_Mantenimiento tasas'!$C$55,'Tabla Ahorro Futuro Reservas'!C1708*'FR_Mantenimiento tasas'!$E$55/360,IF(C1708&lt;='FR_Mantenimiento tasas'!$C$56,'Tabla Ahorro Futuro Reservas'!C1708*'FR_Mantenimiento tasas'!$E$56/360,IF(C1708&lt;='FR_Mantenimiento tasas'!$C$57,'Tabla Ahorro Futuro Reservas'!C1708*'FR_Mantenimiento tasas'!$E$57/360,""))),5)</f>
        <v>0</v>
      </c>
    </row>
    <row r="1709" spans="1:5">
      <c r="A1709" s="123">
        <f t="shared" si="52"/>
        <v>1707</v>
      </c>
      <c r="B1709" s="122">
        <f>IF(DAY(A1709)=DAY('F-Ahorro Futuro Reservas'!$H$10),'F-Ahorro Futuro Reservas'!$H$9,0)</f>
        <v>0</v>
      </c>
      <c r="C1709" s="122">
        <f t="shared" si="53"/>
        <v>0</v>
      </c>
      <c r="D1709" s="121">
        <f>ROUND(IF(C1709&lt;='FR_Mantenimiento tasas'!$C$55,'Tabla Ahorro Futuro Reservas'!C1709*'FR_Mantenimiento tasas'!$D$55/360,IF(C1709&lt;='FR_Mantenimiento tasas'!$C$56,'Tabla Ahorro Futuro Reservas'!C1709*'FR_Mantenimiento tasas'!$D$56/360,IF(C1709&lt;='FR_Mantenimiento tasas'!$C$57,'Tabla Ahorro Futuro Reservas'!C1709*'FR_Mantenimiento tasas'!$D$57/360,""))),5)</f>
        <v>0</v>
      </c>
      <c r="E1709" s="121">
        <f>ROUND(IF(C1709&lt;='FR_Mantenimiento tasas'!$C$55,'Tabla Ahorro Futuro Reservas'!C1709*'FR_Mantenimiento tasas'!$E$55/360,IF(C1709&lt;='FR_Mantenimiento tasas'!$C$56,'Tabla Ahorro Futuro Reservas'!C1709*'FR_Mantenimiento tasas'!$E$56/360,IF(C1709&lt;='FR_Mantenimiento tasas'!$C$57,'Tabla Ahorro Futuro Reservas'!C1709*'FR_Mantenimiento tasas'!$E$57/360,""))),5)</f>
        <v>0</v>
      </c>
    </row>
    <row r="1710" spans="1:5">
      <c r="A1710" s="123">
        <f t="shared" si="52"/>
        <v>1708</v>
      </c>
      <c r="B1710" s="122">
        <f>IF(DAY(A1710)=DAY('F-Ahorro Futuro Reservas'!$H$10),'F-Ahorro Futuro Reservas'!$H$9,0)</f>
        <v>0</v>
      </c>
      <c r="C1710" s="122">
        <f t="shared" si="53"/>
        <v>0</v>
      </c>
      <c r="D1710" s="121">
        <f>ROUND(IF(C1710&lt;='FR_Mantenimiento tasas'!$C$55,'Tabla Ahorro Futuro Reservas'!C1710*'FR_Mantenimiento tasas'!$D$55/360,IF(C1710&lt;='FR_Mantenimiento tasas'!$C$56,'Tabla Ahorro Futuro Reservas'!C1710*'FR_Mantenimiento tasas'!$D$56/360,IF(C1710&lt;='FR_Mantenimiento tasas'!$C$57,'Tabla Ahorro Futuro Reservas'!C1710*'FR_Mantenimiento tasas'!$D$57/360,""))),5)</f>
        <v>0</v>
      </c>
      <c r="E1710" s="121">
        <f>ROUND(IF(C1710&lt;='FR_Mantenimiento tasas'!$C$55,'Tabla Ahorro Futuro Reservas'!C1710*'FR_Mantenimiento tasas'!$E$55/360,IF(C1710&lt;='FR_Mantenimiento tasas'!$C$56,'Tabla Ahorro Futuro Reservas'!C1710*'FR_Mantenimiento tasas'!$E$56/360,IF(C1710&lt;='FR_Mantenimiento tasas'!$C$57,'Tabla Ahorro Futuro Reservas'!C1710*'FR_Mantenimiento tasas'!$E$57/360,""))),5)</f>
        <v>0</v>
      </c>
    </row>
    <row r="1711" spans="1:5">
      <c r="A1711" s="123">
        <f t="shared" si="52"/>
        <v>1709</v>
      </c>
      <c r="B1711" s="122">
        <f>IF(DAY(A1711)=DAY('F-Ahorro Futuro Reservas'!$H$10),'F-Ahorro Futuro Reservas'!$H$9,0)</f>
        <v>0</v>
      </c>
      <c r="C1711" s="122">
        <f t="shared" si="53"/>
        <v>0</v>
      </c>
      <c r="D1711" s="121">
        <f>ROUND(IF(C1711&lt;='FR_Mantenimiento tasas'!$C$55,'Tabla Ahorro Futuro Reservas'!C1711*'FR_Mantenimiento tasas'!$D$55/360,IF(C1711&lt;='FR_Mantenimiento tasas'!$C$56,'Tabla Ahorro Futuro Reservas'!C1711*'FR_Mantenimiento tasas'!$D$56/360,IF(C1711&lt;='FR_Mantenimiento tasas'!$C$57,'Tabla Ahorro Futuro Reservas'!C1711*'FR_Mantenimiento tasas'!$D$57/360,""))),5)</f>
        <v>0</v>
      </c>
      <c r="E1711" s="121">
        <f>ROUND(IF(C1711&lt;='FR_Mantenimiento tasas'!$C$55,'Tabla Ahorro Futuro Reservas'!C1711*'FR_Mantenimiento tasas'!$E$55/360,IF(C1711&lt;='FR_Mantenimiento tasas'!$C$56,'Tabla Ahorro Futuro Reservas'!C1711*'FR_Mantenimiento tasas'!$E$56/360,IF(C1711&lt;='FR_Mantenimiento tasas'!$C$57,'Tabla Ahorro Futuro Reservas'!C1711*'FR_Mantenimiento tasas'!$E$57/360,""))),5)</f>
        <v>0</v>
      </c>
    </row>
    <row r="1712" spans="1:5">
      <c r="A1712" s="123">
        <f t="shared" si="52"/>
        <v>1710</v>
      </c>
      <c r="B1712" s="122">
        <f>IF(DAY(A1712)=DAY('F-Ahorro Futuro Reservas'!$H$10),'F-Ahorro Futuro Reservas'!$H$9,0)</f>
        <v>0</v>
      </c>
      <c r="C1712" s="122">
        <f t="shared" si="53"/>
        <v>0</v>
      </c>
      <c r="D1712" s="121">
        <f>ROUND(IF(C1712&lt;='FR_Mantenimiento tasas'!$C$55,'Tabla Ahorro Futuro Reservas'!C1712*'FR_Mantenimiento tasas'!$D$55/360,IF(C1712&lt;='FR_Mantenimiento tasas'!$C$56,'Tabla Ahorro Futuro Reservas'!C1712*'FR_Mantenimiento tasas'!$D$56/360,IF(C1712&lt;='FR_Mantenimiento tasas'!$C$57,'Tabla Ahorro Futuro Reservas'!C1712*'FR_Mantenimiento tasas'!$D$57/360,""))),5)</f>
        <v>0</v>
      </c>
      <c r="E1712" s="121">
        <f>ROUND(IF(C1712&lt;='FR_Mantenimiento tasas'!$C$55,'Tabla Ahorro Futuro Reservas'!C1712*'FR_Mantenimiento tasas'!$E$55/360,IF(C1712&lt;='FR_Mantenimiento tasas'!$C$56,'Tabla Ahorro Futuro Reservas'!C1712*'FR_Mantenimiento tasas'!$E$56/360,IF(C1712&lt;='FR_Mantenimiento tasas'!$C$57,'Tabla Ahorro Futuro Reservas'!C1712*'FR_Mantenimiento tasas'!$E$57/360,""))),5)</f>
        <v>0</v>
      </c>
    </row>
    <row r="1713" spans="1:5">
      <c r="A1713" s="123">
        <f t="shared" si="52"/>
        <v>1711</v>
      </c>
      <c r="B1713" s="122">
        <f>IF(DAY(A1713)=DAY('F-Ahorro Futuro Reservas'!$H$10),'F-Ahorro Futuro Reservas'!$H$9,0)</f>
        <v>0</v>
      </c>
      <c r="C1713" s="122">
        <f t="shared" si="53"/>
        <v>0</v>
      </c>
      <c r="D1713" s="121">
        <f>ROUND(IF(C1713&lt;='FR_Mantenimiento tasas'!$C$55,'Tabla Ahorro Futuro Reservas'!C1713*'FR_Mantenimiento tasas'!$D$55/360,IF(C1713&lt;='FR_Mantenimiento tasas'!$C$56,'Tabla Ahorro Futuro Reservas'!C1713*'FR_Mantenimiento tasas'!$D$56/360,IF(C1713&lt;='FR_Mantenimiento tasas'!$C$57,'Tabla Ahorro Futuro Reservas'!C1713*'FR_Mantenimiento tasas'!$D$57/360,""))),5)</f>
        <v>0</v>
      </c>
      <c r="E1713" s="121">
        <f>ROUND(IF(C1713&lt;='FR_Mantenimiento tasas'!$C$55,'Tabla Ahorro Futuro Reservas'!C1713*'FR_Mantenimiento tasas'!$E$55/360,IF(C1713&lt;='FR_Mantenimiento tasas'!$C$56,'Tabla Ahorro Futuro Reservas'!C1713*'FR_Mantenimiento tasas'!$E$56/360,IF(C1713&lt;='FR_Mantenimiento tasas'!$C$57,'Tabla Ahorro Futuro Reservas'!C1713*'FR_Mantenimiento tasas'!$E$57/360,""))),5)</f>
        <v>0</v>
      </c>
    </row>
    <row r="1714" spans="1:5">
      <c r="A1714" s="123">
        <f t="shared" si="52"/>
        <v>1712</v>
      </c>
      <c r="B1714" s="122">
        <f>IF(DAY(A1714)=DAY('F-Ahorro Futuro Reservas'!$H$10),'F-Ahorro Futuro Reservas'!$H$9,0)</f>
        <v>0</v>
      </c>
      <c r="C1714" s="122">
        <f t="shared" si="53"/>
        <v>0</v>
      </c>
      <c r="D1714" s="121">
        <f>ROUND(IF(C1714&lt;='FR_Mantenimiento tasas'!$C$55,'Tabla Ahorro Futuro Reservas'!C1714*'FR_Mantenimiento tasas'!$D$55/360,IF(C1714&lt;='FR_Mantenimiento tasas'!$C$56,'Tabla Ahorro Futuro Reservas'!C1714*'FR_Mantenimiento tasas'!$D$56/360,IF(C1714&lt;='FR_Mantenimiento tasas'!$C$57,'Tabla Ahorro Futuro Reservas'!C1714*'FR_Mantenimiento tasas'!$D$57/360,""))),5)</f>
        <v>0</v>
      </c>
      <c r="E1714" s="121">
        <f>ROUND(IF(C1714&lt;='FR_Mantenimiento tasas'!$C$55,'Tabla Ahorro Futuro Reservas'!C1714*'FR_Mantenimiento tasas'!$E$55/360,IF(C1714&lt;='FR_Mantenimiento tasas'!$C$56,'Tabla Ahorro Futuro Reservas'!C1714*'FR_Mantenimiento tasas'!$E$56/360,IF(C1714&lt;='FR_Mantenimiento tasas'!$C$57,'Tabla Ahorro Futuro Reservas'!C1714*'FR_Mantenimiento tasas'!$E$57/360,""))),5)</f>
        <v>0</v>
      </c>
    </row>
    <row r="1715" spans="1:5">
      <c r="A1715" s="123">
        <f t="shared" si="52"/>
        <v>1713</v>
      </c>
      <c r="B1715" s="122">
        <f>IF(DAY(A1715)=DAY('F-Ahorro Futuro Reservas'!$H$10),'F-Ahorro Futuro Reservas'!$H$9,0)</f>
        <v>0</v>
      </c>
      <c r="C1715" s="122">
        <f t="shared" si="53"/>
        <v>0</v>
      </c>
      <c r="D1715" s="121">
        <f>ROUND(IF(C1715&lt;='FR_Mantenimiento tasas'!$C$55,'Tabla Ahorro Futuro Reservas'!C1715*'FR_Mantenimiento tasas'!$D$55/360,IF(C1715&lt;='FR_Mantenimiento tasas'!$C$56,'Tabla Ahorro Futuro Reservas'!C1715*'FR_Mantenimiento tasas'!$D$56/360,IF(C1715&lt;='FR_Mantenimiento tasas'!$C$57,'Tabla Ahorro Futuro Reservas'!C1715*'FR_Mantenimiento tasas'!$D$57/360,""))),5)</f>
        <v>0</v>
      </c>
      <c r="E1715" s="121">
        <f>ROUND(IF(C1715&lt;='FR_Mantenimiento tasas'!$C$55,'Tabla Ahorro Futuro Reservas'!C1715*'FR_Mantenimiento tasas'!$E$55/360,IF(C1715&lt;='FR_Mantenimiento tasas'!$C$56,'Tabla Ahorro Futuro Reservas'!C1715*'FR_Mantenimiento tasas'!$E$56/360,IF(C1715&lt;='FR_Mantenimiento tasas'!$C$57,'Tabla Ahorro Futuro Reservas'!C1715*'FR_Mantenimiento tasas'!$E$57/360,""))),5)</f>
        <v>0</v>
      </c>
    </row>
    <row r="1716" spans="1:5">
      <c r="A1716" s="123">
        <f t="shared" si="52"/>
        <v>1714</v>
      </c>
      <c r="B1716" s="122">
        <f>IF(DAY(A1716)=DAY('F-Ahorro Futuro Reservas'!$H$10),'F-Ahorro Futuro Reservas'!$H$9,0)</f>
        <v>0</v>
      </c>
      <c r="C1716" s="122">
        <f t="shared" si="53"/>
        <v>0</v>
      </c>
      <c r="D1716" s="121">
        <f>ROUND(IF(C1716&lt;='FR_Mantenimiento tasas'!$C$55,'Tabla Ahorro Futuro Reservas'!C1716*'FR_Mantenimiento tasas'!$D$55/360,IF(C1716&lt;='FR_Mantenimiento tasas'!$C$56,'Tabla Ahorro Futuro Reservas'!C1716*'FR_Mantenimiento tasas'!$D$56/360,IF(C1716&lt;='FR_Mantenimiento tasas'!$C$57,'Tabla Ahorro Futuro Reservas'!C1716*'FR_Mantenimiento tasas'!$D$57/360,""))),5)</f>
        <v>0</v>
      </c>
      <c r="E1716" s="121">
        <f>ROUND(IF(C1716&lt;='FR_Mantenimiento tasas'!$C$55,'Tabla Ahorro Futuro Reservas'!C1716*'FR_Mantenimiento tasas'!$E$55/360,IF(C1716&lt;='FR_Mantenimiento tasas'!$C$56,'Tabla Ahorro Futuro Reservas'!C1716*'FR_Mantenimiento tasas'!$E$56/360,IF(C1716&lt;='FR_Mantenimiento tasas'!$C$57,'Tabla Ahorro Futuro Reservas'!C1716*'FR_Mantenimiento tasas'!$E$57/360,""))),5)</f>
        <v>0</v>
      </c>
    </row>
    <row r="1717" spans="1:5">
      <c r="A1717" s="123">
        <f t="shared" si="52"/>
        <v>1715</v>
      </c>
      <c r="B1717" s="122">
        <f>IF(DAY(A1717)=DAY('F-Ahorro Futuro Reservas'!$H$10),'F-Ahorro Futuro Reservas'!$H$9,0)</f>
        <v>0</v>
      </c>
      <c r="C1717" s="122">
        <f t="shared" si="53"/>
        <v>0</v>
      </c>
      <c r="D1717" s="121">
        <f>ROUND(IF(C1717&lt;='FR_Mantenimiento tasas'!$C$55,'Tabla Ahorro Futuro Reservas'!C1717*'FR_Mantenimiento tasas'!$D$55/360,IF(C1717&lt;='FR_Mantenimiento tasas'!$C$56,'Tabla Ahorro Futuro Reservas'!C1717*'FR_Mantenimiento tasas'!$D$56/360,IF(C1717&lt;='FR_Mantenimiento tasas'!$C$57,'Tabla Ahorro Futuro Reservas'!C1717*'FR_Mantenimiento tasas'!$D$57/360,""))),5)</f>
        <v>0</v>
      </c>
      <c r="E1717" s="121">
        <f>ROUND(IF(C1717&lt;='FR_Mantenimiento tasas'!$C$55,'Tabla Ahorro Futuro Reservas'!C1717*'FR_Mantenimiento tasas'!$E$55/360,IF(C1717&lt;='FR_Mantenimiento tasas'!$C$56,'Tabla Ahorro Futuro Reservas'!C1717*'FR_Mantenimiento tasas'!$E$56/360,IF(C1717&lt;='FR_Mantenimiento tasas'!$C$57,'Tabla Ahorro Futuro Reservas'!C1717*'FR_Mantenimiento tasas'!$E$57/360,""))),5)</f>
        <v>0</v>
      </c>
    </row>
    <row r="1718" spans="1:5">
      <c r="A1718" s="123">
        <f t="shared" si="52"/>
        <v>1716</v>
      </c>
      <c r="B1718" s="122">
        <f>IF(DAY(A1718)=DAY('F-Ahorro Futuro Reservas'!$H$10),'F-Ahorro Futuro Reservas'!$H$9,0)</f>
        <v>0</v>
      </c>
      <c r="C1718" s="122">
        <f t="shared" si="53"/>
        <v>0</v>
      </c>
      <c r="D1718" s="121">
        <f>ROUND(IF(C1718&lt;='FR_Mantenimiento tasas'!$C$55,'Tabla Ahorro Futuro Reservas'!C1718*'FR_Mantenimiento tasas'!$D$55/360,IF(C1718&lt;='FR_Mantenimiento tasas'!$C$56,'Tabla Ahorro Futuro Reservas'!C1718*'FR_Mantenimiento tasas'!$D$56/360,IF(C1718&lt;='FR_Mantenimiento tasas'!$C$57,'Tabla Ahorro Futuro Reservas'!C1718*'FR_Mantenimiento tasas'!$D$57/360,""))),5)</f>
        <v>0</v>
      </c>
      <c r="E1718" s="121">
        <f>ROUND(IF(C1718&lt;='FR_Mantenimiento tasas'!$C$55,'Tabla Ahorro Futuro Reservas'!C1718*'FR_Mantenimiento tasas'!$E$55/360,IF(C1718&lt;='FR_Mantenimiento tasas'!$C$56,'Tabla Ahorro Futuro Reservas'!C1718*'FR_Mantenimiento tasas'!$E$56/360,IF(C1718&lt;='FR_Mantenimiento tasas'!$C$57,'Tabla Ahorro Futuro Reservas'!C1718*'FR_Mantenimiento tasas'!$E$57/360,""))),5)</f>
        <v>0</v>
      </c>
    </row>
    <row r="1719" spans="1:5">
      <c r="A1719" s="123">
        <f t="shared" si="52"/>
        <v>1717</v>
      </c>
      <c r="B1719" s="122">
        <f>IF(DAY(A1719)=DAY('F-Ahorro Futuro Reservas'!$H$10),'F-Ahorro Futuro Reservas'!$H$9,0)</f>
        <v>0</v>
      </c>
      <c r="C1719" s="122">
        <f t="shared" si="53"/>
        <v>0</v>
      </c>
      <c r="D1719" s="121">
        <f>ROUND(IF(C1719&lt;='FR_Mantenimiento tasas'!$C$55,'Tabla Ahorro Futuro Reservas'!C1719*'FR_Mantenimiento tasas'!$D$55/360,IF(C1719&lt;='FR_Mantenimiento tasas'!$C$56,'Tabla Ahorro Futuro Reservas'!C1719*'FR_Mantenimiento tasas'!$D$56/360,IF(C1719&lt;='FR_Mantenimiento tasas'!$C$57,'Tabla Ahorro Futuro Reservas'!C1719*'FR_Mantenimiento tasas'!$D$57/360,""))),5)</f>
        <v>0</v>
      </c>
      <c r="E1719" s="121">
        <f>ROUND(IF(C1719&lt;='FR_Mantenimiento tasas'!$C$55,'Tabla Ahorro Futuro Reservas'!C1719*'FR_Mantenimiento tasas'!$E$55/360,IF(C1719&lt;='FR_Mantenimiento tasas'!$C$56,'Tabla Ahorro Futuro Reservas'!C1719*'FR_Mantenimiento tasas'!$E$56/360,IF(C1719&lt;='FR_Mantenimiento tasas'!$C$57,'Tabla Ahorro Futuro Reservas'!C1719*'FR_Mantenimiento tasas'!$E$57/360,""))),5)</f>
        <v>0</v>
      </c>
    </row>
    <row r="1720" spans="1:5">
      <c r="A1720" s="123">
        <f t="shared" si="52"/>
        <v>1718</v>
      </c>
      <c r="B1720" s="122">
        <f>IF(DAY(A1720)=DAY('F-Ahorro Futuro Reservas'!$H$10),'F-Ahorro Futuro Reservas'!$H$9,0)</f>
        <v>0</v>
      </c>
      <c r="C1720" s="122">
        <f t="shared" si="53"/>
        <v>0</v>
      </c>
      <c r="D1720" s="121">
        <f>ROUND(IF(C1720&lt;='FR_Mantenimiento tasas'!$C$55,'Tabla Ahorro Futuro Reservas'!C1720*'FR_Mantenimiento tasas'!$D$55/360,IF(C1720&lt;='FR_Mantenimiento tasas'!$C$56,'Tabla Ahorro Futuro Reservas'!C1720*'FR_Mantenimiento tasas'!$D$56/360,IF(C1720&lt;='FR_Mantenimiento tasas'!$C$57,'Tabla Ahorro Futuro Reservas'!C1720*'FR_Mantenimiento tasas'!$D$57/360,""))),5)</f>
        <v>0</v>
      </c>
      <c r="E1720" s="121">
        <f>ROUND(IF(C1720&lt;='FR_Mantenimiento tasas'!$C$55,'Tabla Ahorro Futuro Reservas'!C1720*'FR_Mantenimiento tasas'!$E$55/360,IF(C1720&lt;='FR_Mantenimiento tasas'!$C$56,'Tabla Ahorro Futuro Reservas'!C1720*'FR_Mantenimiento tasas'!$E$56/360,IF(C1720&lt;='FR_Mantenimiento tasas'!$C$57,'Tabla Ahorro Futuro Reservas'!C1720*'FR_Mantenimiento tasas'!$E$57/360,""))),5)</f>
        <v>0</v>
      </c>
    </row>
    <row r="1721" spans="1:5">
      <c r="A1721" s="123">
        <f t="shared" si="52"/>
        <v>1719</v>
      </c>
      <c r="B1721" s="122">
        <f>IF(DAY(A1721)=DAY('F-Ahorro Futuro Reservas'!$H$10),'F-Ahorro Futuro Reservas'!$H$9,0)</f>
        <v>0</v>
      </c>
      <c r="C1721" s="122">
        <f t="shared" si="53"/>
        <v>0</v>
      </c>
      <c r="D1721" s="121">
        <f>ROUND(IF(C1721&lt;='FR_Mantenimiento tasas'!$C$55,'Tabla Ahorro Futuro Reservas'!C1721*'FR_Mantenimiento tasas'!$D$55/360,IF(C1721&lt;='FR_Mantenimiento tasas'!$C$56,'Tabla Ahorro Futuro Reservas'!C1721*'FR_Mantenimiento tasas'!$D$56/360,IF(C1721&lt;='FR_Mantenimiento tasas'!$C$57,'Tabla Ahorro Futuro Reservas'!C1721*'FR_Mantenimiento tasas'!$D$57/360,""))),5)</f>
        <v>0</v>
      </c>
      <c r="E1721" s="121">
        <f>ROUND(IF(C1721&lt;='FR_Mantenimiento tasas'!$C$55,'Tabla Ahorro Futuro Reservas'!C1721*'FR_Mantenimiento tasas'!$E$55/360,IF(C1721&lt;='FR_Mantenimiento tasas'!$C$56,'Tabla Ahorro Futuro Reservas'!C1721*'FR_Mantenimiento tasas'!$E$56/360,IF(C1721&lt;='FR_Mantenimiento tasas'!$C$57,'Tabla Ahorro Futuro Reservas'!C1721*'FR_Mantenimiento tasas'!$E$57/360,""))),5)</f>
        <v>0</v>
      </c>
    </row>
    <row r="1722" spans="1:5">
      <c r="A1722" s="123">
        <f t="shared" si="52"/>
        <v>1720</v>
      </c>
      <c r="B1722" s="122">
        <f>IF(DAY(A1722)=DAY('F-Ahorro Futuro Reservas'!$H$10),'F-Ahorro Futuro Reservas'!$H$9,0)</f>
        <v>0</v>
      </c>
      <c r="C1722" s="122">
        <f t="shared" si="53"/>
        <v>0</v>
      </c>
      <c r="D1722" s="121">
        <f>ROUND(IF(C1722&lt;='FR_Mantenimiento tasas'!$C$55,'Tabla Ahorro Futuro Reservas'!C1722*'FR_Mantenimiento tasas'!$D$55/360,IF(C1722&lt;='FR_Mantenimiento tasas'!$C$56,'Tabla Ahorro Futuro Reservas'!C1722*'FR_Mantenimiento tasas'!$D$56/360,IF(C1722&lt;='FR_Mantenimiento tasas'!$C$57,'Tabla Ahorro Futuro Reservas'!C1722*'FR_Mantenimiento tasas'!$D$57/360,""))),5)</f>
        <v>0</v>
      </c>
      <c r="E1722" s="121">
        <f>ROUND(IF(C1722&lt;='FR_Mantenimiento tasas'!$C$55,'Tabla Ahorro Futuro Reservas'!C1722*'FR_Mantenimiento tasas'!$E$55/360,IF(C1722&lt;='FR_Mantenimiento tasas'!$C$56,'Tabla Ahorro Futuro Reservas'!C1722*'FR_Mantenimiento tasas'!$E$56/360,IF(C1722&lt;='FR_Mantenimiento tasas'!$C$57,'Tabla Ahorro Futuro Reservas'!C1722*'FR_Mantenimiento tasas'!$E$57/360,""))),5)</f>
        <v>0</v>
      </c>
    </row>
    <row r="1723" spans="1:5">
      <c r="A1723" s="123">
        <f t="shared" si="52"/>
        <v>1721</v>
      </c>
      <c r="B1723" s="122">
        <f>IF(DAY(A1723)=DAY('F-Ahorro Futuro Reservas'!$H$10),'F-Ahorro Futuro Reservas'!$H$9,0)</f>
        <v>0</v>
      </c>
      <c r="C1723" s="122">
        <f t="shared" si="53"/>
        <v>0</v>
      </c>
      <c r="D1723" s="121">
        <f>ROUND(IF(C1723&lt;='FR_Mantenimiento tasas'!$C$55,'Tabla Ahorro Futuro Reservas'!C1723*'FR_Mantenimiento tasas'!$D$55/360,IF(C1723&lt;='FR_Mantenimiento tasas'!$C$56,'Tabla Ahorro Futuro Reservas'!C1723*'FR_Mantenimiento tasas'!$D$56/360,IF(C1723&lt;='FR_Mantenimiento tasas'!$C$57,'Tabla Ahorro Futuro Reservas'!C1723*'FR_Mantenimiento tasas'!$D$57/360,""))),5)</f>
        <v>0</v>
      </c>
      <c r="E1723" s="121">
        <f>ROUND(IF(C1723&lt;='FR_Mantenimiento tasas'!$C$55,'Tabla Ahorro Futuro Reservas'!C1723*'FR_Mantenimiento tasas'!$E$55/360,IF(C1723&lt;='FR_Mantenimiento tasas'!$C$56,'Tabla Ahorro Futuro Reservas'!C1723*'FR_Mantenimiento tasas'!$E$56/360,IF(C1723&lt;='FR_Mantenimiento tasas'!$C$57,'Tabla Ahorro Futuro Reservas'!C1723*'FR_Mantenimiento tasas'!$E$57/360,""))),5)</f>
        <v>0</v>
      </c>
    </row>
    <row r="1724" spans="1:5">
      <c r="A1724" s="123">
        <f t="shared" si="52"/>
        <v>1722</v>
      </c>
      <c r="B1724" s="122">
        <f>IF(DAY(A1724)=DAY('F-Ahorro Futuro Reservas'!$H$10),'F-Ahorro Futuro Reservas'!$H$9,0)</f>
        <v>0</v>
      </c>
      <c r="C1724" s="122">
        <f t="shared" si="53"/>
        <v>0</v>
      </c>
      <c r="D1724" s="121">
        <f>ROUND(IF(C1724&lt;='FR_Mantenimiento tasas'!$C$55,'Tabla Ahorro Futuro Reservas'!C1724*'FR_Mantenimiento tasas'!$D$55/360,IF(C1724&lt;='FR_Mantenimiento tasas'!$C$56,'Tabla Ahorro Futuro Reservas'!C1724*'FR_Mantenimiento tasas'!$D$56/360,IF(C1724&lt;='FR_Mantenimiento tasas'!$C$57,'Tabla Ahorro Futuro Reservas'!C1724*'FR_Mantenimiento tasas'!$D$57/360,""))),5)</f>
        <v>0</v>
      </c>
      <c r="E1724" s="121">
        <f>ROUND(IF(C1724&lt;='FR_Mantenimiento tasas'!$C$55,'Tabla Ahorro Futuro Reservas'!C1724*'FR_Mantenimiento tasas'!$E$55/360,IF(C1724&lt;='FR_Mantenimiento tasas'!$C$56,'Tabla Ahorro Futuro Reservas'!C1724*'FR_Mantenimiento tasas'!$E$56/360,IF(C1724&lt;='FR_Mantenimiento tasas'!$C$57,'Tabla Ahorro Futuro Reservas'!C1724*'FR_Mantenimiento tasas'!$E$57/360,""))),5)</f>
        <v>0</v>
      </c>
    </row>
    <row r="1725" spans="1:5">
      <c r="A1725" s="123">
        <f t="shared" si="52"/>
        <v>1723</v>
      </c>
      <c r="B1725" s="122">
        <f>IF(DAY(A1725)=DAY('F-Ahorro Futuro Reservas'!$H$10),'F-Ahorro Futuro Reservas'!$H$9,0)</f>
        <v>0</v>
      </c>
      <c r="C1725" s="122">
        <f t="shared" si="53"/>
        <v>0</v>
      </c>
      <c r="D1725" s="121">
        <f>ROUND(IF(C1725&lt;='FR_Mantenimiento tasas'!$C$55,'Tabla Ahorro Futuro Reservas'!C1725*'FR_Mantenimiento tasas'!$D$55/360,IF(C1725&lt;='FR_Mantenimiento tasas'!$C$56,'Tabla Ahorro Futuro Reservas'!C1725*'FR_Mantenimiento tasas'!$D$56/360,IF(C1725&lt;='FR_Mantenimiento tasas'!$C$57,'Tabla Ahorro Futuro Reservas'!C1725*'FR_Mantenimiento tasas'!$D$57/360,""))),5)</f>
        <v>0</v>
      </c>
      <c r="E1725" s="121">
        <f>ROUND(IF(C1725&lt;='FR_Mantenimiento tasas'!$C$55,'Tabla Ahorro Futuro Reservas'!C1725*'FR_Mantenimiento tasas'!$E$55/360,IF(C1725&lt;='FR_Mantenimiento tasas'!$C$56,'Tabla Ahorro Futuro Reservas'!C1725*'FR_Mantenimiento tasas'!$E$56/360,IF(C1725&lt;='FR_Mantenimiento tasas'!$C$57,'Tabla Ahorro Futuro Reservas'!C1725*'FR_Mantenimiento tasas'!$E$57/360,""))),5)</f>
        <v>0</v>
      </c>
    </row>
    <row r="1726" spans="1:5">
      <c r="A1726" s="123">
        <f t="shared" si="52"/>
        <v>1724</v>
      </c>
      <c r="B1726" s="122">
        <f>IF(DAY(A1726)=DAY('F-Ahorro Futuro Reservas'!$H$10),'F-Ahorro Futuro Reservas'!$H$9,0)</f>
        <v>0</v>
      </c>
      <c r="C1726" s="122">
        <f t="shared" si="53"/>
        <v>0</v>
      </c>
      <c r="D1726" s="121">
        <f>ROUND(IF(C1726&lt;='FR_Mantenimiento tasas'!$C$55,'Tabla Ahorro Futuro Reservas'!C1726*'FR_Mantenimiento tasas'!$D$55/360,IF(C1726&lt;='FR_Mantenimiento tasas'!$C$56,'Tabla Ahorro Futuro Reservas'!C1726*'FR_Mantenimiento tasas'!$D$56/360,IF(C1726&lt;='FR_Mantenimiento tasas'!$C$57,'Tabla Ahorro Futuro Reservas'!C1726*'FR_Mantenimiento tasas'!$D$57/360,""))),5)</f>
        <v>0</v>
      </c>
      <c r="E1726" s="121">
        <f>ROUND(IF(C1726&lt;='FR_Mantenimiento tasas'!$C$55,'Tabla Ahorro Futuro Reservas'!C1726*'FR_Mantenimiento tasas'!$E$55/360,IF(C1726&lt;='FR_Mantenimiento tasas'!$C$56,'Tabla Ahorro Futuro Reservas'!C1726*'FR_Mantenimiento tasas'!$E$56/360,IF(C1726&lt;='FR_Mantenimiento tasas'!$C$57,'Tabla Ahorro Futuro Reservas'!C1726*'FR_Mantenimiento tasas'!$E$57/360,""))),5)</f>
        <v>0</v>
      </c>
    </row>
    <row r="1727" spans="1:5">
      <c r="A1727" s="123">
        <f t="shared" si="52"/>
        <v>1725</v>
      </c>
      <c r="B1727" s="122">
        <f>IF(DAY(A1727)=DAY('F-Ahorro Futuro Reservas'!$H$10),'F-Ahorro Futuro Reservas'!$H$9,0)</f>
        <v>0</v>
      </c>
      <c r="C1727" s="122">
        <f t="shared" si="53"/>
        <v>0</v>
      </c>
      <c r="D1727" s="121">
        <f>ROUND(IF(C1727&lt;='FR_Mantenimiento tasas'!$C$55,'Tabla Ahorro Futuro Reservas'!C1727*'FR_Mantenimiento tasas'!$D$55/360,IF(C1727&lt;='FR_Mantenimiento tasas'!$C$56,'Tabla Ahorro Futuro Reservas'!C1727*'FR_Mantenimiento tasas'!$D$56/360,IF(C1727&lt;='FR_Mantenimiento tasas'!$C$57,'Tabla Ahorro Futuro Reservas'!C1727*'FR_Mantenimiento tasas'!$D$57/360,""))),5)</f>
        <v>0</v>
      </c>
      <c r="E1727" s="121">
        <f>ROUND(IF(C1727&lt;='FR_Mantenimiento tasas'!$C$55,'Tabla Ahorro Futuro Reservas'!C1727*'FR_Mantenimiento tasas'!$E$55/360,IF(C1727&lt;='FR_Mantenimiento tasas'!$C$56,'Tabla Ahorro Futuro Reservas'!C1727*'FR_Mantenimiento tasas'!$E$56/360,IF(C1727&lt;='FR_Mantenimiento tasas'!$C$57,'Tabla Ahorro Futuro Reservas'!C1727*'FR_Mantenimiento tasas'!$E$57/360,""))),5)</f>
        <v>0</v>
      </c>
    </row>
    <row r="1728" spans="1:5">
      <c r="A1728" s="123">
        <f t="shared" si="52"/>
        <v>1726</v>
      </c>
      <c r="B1728" s="122">
        <f>IF(DAY(A1728)=DAY('F-Ahorro Futuro Reservas'!$H$10),'F-Ahorro Futuro Reservas'!$H$9,0)</f>
        <v>0</v>
      </c>
      <c r="C1728" s="122">
        <f t="shared" si="53"/>
        <v>0</v>
      </c>
      <c r="D1728" s="121">
        <f>ROUND(IF(C1728&lt;='FR_Mantenimiento tasas'!$C$55,'Tabla Ahorro Futuro Reservas'!C1728*'FR_Mantenimiento tasas'!$D$55/360,IF(C1728&lt;='FR_Mantenimiento tasas'!$C$56,'Tabla Ahorro Futuro Reservas'!C1728*'FR_Mantenimiento tasas'!$D$56/360,IF(C1728&lt;='FR_Mantenimiento tasas'!$C$57,'Tabla Ahorro Futuro Reservas'!C1728*'FR_Mantenimiento tasas'!$D$57/360,""))),5)</f>
        <v>0</v>
      </c>
      <c r="E1728" s="121">
        <f>ROUND(IF(C1728&lt;='FR_Mantenimiento tasas'!$C$55,'Tabla Ahorro Futuro Reservas'!C1728*'FR_Mantenimiento tasas'!$E$55/360,IF(C1728&lt;='FR_Mantenimiento tasas'!$C$56,'Tabla Ahorro Futuro Reservas'!C1728*'FR_Mantenimiento tasas'!$E$56/360,IF(C1728&lt;='FR_Mantenimiento tasas'!$C$57,'Tabla Ahorro Futuro Reservas'!C1728*'FR_Mantenimiento tasas'!$E$57/360,""))),5)</f>
        <v>0</v>
      </c>
    </row>
    <row r="1729" spans="1:5">
      <c r="A1729" s="123">
        <f t="shared" si="52"/>
        <v>1727</v>
      </c>
      <c r="B1729" s="122">
        <f>IF(DAY(A1729)=DAY('F-Ahorro Futuro Reservas'!$H$10),'F-Ahorro Futuro Reservas'!$H$9,0)</f>
        <v>0</v>
      </c>
      <c r="C1729" s="122">
        <f t="shared" si="53"/>
        <v>0</v>
      </c>
      <c r="D1729" s="121">
        <f>ROUND(IF(C1729&lt;='FR_Mantenimiento tasas'!$C$55,'Tabla Ahorro Futuro Reservas'!C1729*'FR_Mantenimiento tasas'!$D$55/360,IF(C1729&lt;='FR_Mantenimiento tasas'!$C$56,'Tabla Ahorro Futuro Reservas'!C1729*'FR_Mantenimiento tasas'!$D$56/360,IF(C1729&lt;='FR_Mantenimiento tasas'!$C$57,'Tabla Ahorro Futuro Reservas'!C1729*'FR_Mantenimiento tasas'!$D$57/360,""))),5)</f>
        <v>0</v>
      </c>
      <c r="E1729" s="121">
        <f>ROUND(IF(C1729&lt;='FR_Mantenimiento tasas'!$C$55,'Tabla Ahorro Futuro Reservas'!C1729*'FR_Mantenimiento tasas'!$E$55/360,IF(C1729&lt;='FR_Mantenimiento tasas'!$C$56,'Tabla Ahorro Futuro Reservas'!C1729*'FR_Mantenimiento tasas'!$E$56/360,IF(C1729&lt;='FR_Mantenimiento tasas'!$C$57,'Tabla Ahorro Futuro Reservas'!C1729*'FR_Mantenimiento tasas'!$E$57/360,""))),5)</f>
        <v>0</v>
      </c>
    </row>
    <row r="1730" spans="1:5">
      <c r="A1730" s="123">
        <f t="shared" si="52"/>
        <v>1728</v>
      </c>
      <c r="B1730" s="122">
        <f>IF(DAY(A1730)=DAY('F-Ahorro Futuro Reservas'!$H$10),'F-Ahorro Futuro Reservas'!$H$9,0)</f>
        <v>0</v>
      </c>
      <c r="C1730" s="122">
        <f t="shared" si="53"/>
        <v>0</v>
      </c>
      <c r="D1730" s="121">
        <f>ROUND(IF(C1730&lt;='FR_Mantenimiento tasas'!$C$55,'Tabla Ahorro Futuro Reservas'!C1730*'FR_Mantenimiento tasas'!$D$55/360,IF(C1730&lt;='FR_Mantenimiento tasas'!$C$56,'Tabla Ahorro Futuro Reservas'!C1730*'FR_Mantenimiento tasas'!$D$56/360,IF(C1730&lt;='FR_Mantenimiento tasas'!$C$57,'Tabla Ahorro Futuro Reservas'!C1730*'FR_Mantenimiento tasas'!$D$57/360,""))),5)</f>
        <v>0</v>
      </c>
      <c r="E1730" s="121">
        <f>ROUND(IF(C1730&lt;='FR_Mantenimiento tasas'!$C$55,'Tabla Ahorro Futuro Reservas'!C1730*'FR_Mantenimiento tasas'!$E$55/360,IF(C1730&lt;='FR_Mantenimiento tasas'!$C$56,'Tabla Ahorro Futuro Reservas'!C1730*'FR_Mantenimiento tasas'!$E$56/360,IF(C1730&lt;='FR_Mantenimiento tasas'!$C$57,'Tabla Ahorro Futuro Reservas'!C1730*'FR_Mantenimiento tasas'!$E$57/360,""))),5)</f>
        <v>0</v>
      </c>
    </row>
    <row r="1731" spans="1:5">
      <c r="A1731" s="123">
        <f t="shared" si="52"/>
        <v>1729</v>
      </c>
      <c r="B1731" s="122">
        <f>IF(DAY(A1731)=DAY('F-Ahorro Futuro Reservas'!$H$10),'F-Ahorro Futuro Reservas'!$H$9,0)</f>
        <v>0</v>
      </c>
      <c r="C1731" s="122">
        <f t="shared" si="53"/>
        <v>0</v>
      </c>
      <c r="D1731" s="121">
        <f>ROUND(IF(C1731&lt;='FR_Mantenimiento tasas'!$C$55,'Tabla Ahorro Futuro Reservas'!C1731*'FR_Mantenimiento tasas'!$D$55/360,IF(C1731&lt;='FR_Mantenimiento tasas'!$C$56,'Tabla Ahorro Futuro Reservas'!C1731*'FR_Mantenimiento tasas'!$D$56/360,IF(C1731&lt;='FR_Mantenimiento tasas'!$C$57,'Tabla Ahorro Futuro Reservas'!C1731*'FR_Mantenimiento tasas'!$D$57/360,""))),5)</f>
        <v>0</v>
      </c>
      <c r="E1731" s="121">
        <f>ROUND(IF(C1731&lt;='FR_Mantenimiento tasas'!$C$55,'Tabla Ahorro Futuro Reservas'!C1731*'FR_Mantenimiento tasas'!$E$55/360,IF(C1731&lt;='FR_Mantenimiento tasas'!$C$56,'Tabla Ahorro Futuro Reservas'!C1731*'FR_Mantenimiento tasas'!$E$56/360,IF(C1731&lt;='FR_Mantenimiento tasas'!$C$57,'Tabla Ahorro Futuro Reservas'!C1731*'FR_Mantenimiento tasas'!$E$57/360,""))),5)</f>
        <v>0</v>
      </c>
    </row>
    <row r="1732" spans="1:5">
      <c r="A1732" s="123">
        <f t="shared" ref="A1732:A1795" si="54">+A1731+1</f>
        <v>1730</v>
      </c>
      <c r="B1732" s="122">
        <f>IF(DAY(A1732)=DAY('F-Ahorro Futuro Reservas'!$H$10),'F-Ahorro Futuro Reservas'!$H$9,0)</f>
        <v>0</v>
      </c>
      <c r="C1732" s="122">
        <f t="shared" ref="C1732:C1795" si="55">+B1732+C1731+D1731</f>
        <v>0</v>
      </c>
      <c r="D1732" s="121">
        <f>ROUND(IF(C1732&lt;='FR_Mantenimiento tasas'!$C$55,'Tabla Ahorro Futuro Reservas'!C1732*'FR_Mantenimiento tasas'!$D$55/360,IF(C1732&lt;='FR_Mantenimiento tasas'!$C$56,'Tabla Ahorro Futuro Reservas'!C1732*'FR_Mantenimiento tasas'!$D$56/360,IF(C1732&lt;='FR_Mantenimiento tasas'!$C$57,'Tabla Ahorro Futuro Reservas'!C1732*'FR_Mantenimiento tasas'!$D$57/360,""))),5)</f>
        <v>0</v>
      </c>
      <c r="E1732" s="121">
        <f>ROUND(IF(C1732&lt;='FR_Mantenimiento tasas'!$C$55,'Tabla Ahorro Futuro Reservas'!C1732*'FR_Mantenimiento tasas'!$E$55/360,IF(C1732&lt;='FR_Mantenimiento tasas'!$C$56,'Tabla Ahorro Futuro Reservas'!C1732*'FR_Mantenimiento tasas'!$E$56/360,IF(C1732&lt;='FR_Mantenimiento tasas'!$C$57,'Tabla Ahorro Futuro Reservas'!C1732*'FR_Mantenimiento tasas'!$E$57/360,""))),5)</f>
        <v>0</v>
      </c>
    </row>
    <row r="1733" spans="1:5">
      <c r="A1733" s="123">
        <f t="shared" si="54"/>
        <v>1731</v>
      </c>
      <c r="B1733" s="122">
        <f>IF(DAY(A1733)=DAY('F-Ahorro Futuro Reservas'!$H$10),'F-Ahorro Futuro Reservas'!$H$9,0)</f>
        <v>0</v>
      </c>
      <c r="C1733" s="122">
        <f t="shared" si="55"/>
        <v>0</v>
      </c>
      <c r="D1733" s="121">
        <f>ROUND(IF(C1733&lt;='FR_Mantenimiento tasas'!$C$55,'Tabla Ahorro Futuro Reservas'!C1733*'FR_Mantenimiento tasas'!$D$55/360,IF(C1733&lt;='FR_Mantenimiento tasas'!$C$56,'Tabla Ahorro Futuro Reservas'!C1733*'FR_Mantenimiento tasas'!$D$56/360,IF(C1733&lt;='FR_Mantenimiento tasas'!$C$57,'Tabla Ahorro Futuro Reservas'!C1733*'FR_Mantenimiento tasas'!$D$57/360,""))),5)</f>
        <v>0</v>
      </c>
      <c r="E1733" s="121">
        <f>ROUND(IF(C1733&lt;='FR_Mantenimiento tasas'!$C$55,'Tabla Ahorro Futuro Reservas'!C1733*'FR_Mantenimiento tasas'!$E$55/360,IF(C1733&lt;='FR_Mantenimiento tasas'!$C$56,'Tabla Ahorro Futuro Reservas'!C1733*'FR_Mantenimiento tasas'!$E$56/360,IF(C1733&lt;='FR_Mantenimiento tasas'!$C$57,'Tabla Ahorro Futuro Reservas'!C1733*'FR_Mantenimiento tasas'!$E$57/360,""))),5)</f>
        <v>0</v>
      </c>
    </row>
    <row r="1734" spans="1:5">
      <c r="A1734" s="123">
        <f t="shared" si="54"/>
        <v>1732</v>
      </c>
      <c r="B1734" s="122">
        <f>IF(DAY(A1734)=DAY('F-Ahorro Futuro Reservas'!$H$10),'F-Ahorro Futuro Reservas'!$H$9,0)</f>
        <v>0</v>
      </c>
      <c r="C1734" s="122">
        <f t="shared" si="55"/>
        <v>0</v>
      </c>
      <c r="D1734" s="121">
        <f>ROUND(IF(C1734&lt;='FR_Mantenimiento tasas'!$C$55,'Tabla Ahorro Futuro Reservas'!C1734*'FR_Mantenimiento tasas'!$D$55/360,IF(C1734&lt;='FR_Mantenimiento tasas'!$C$56,'Tabla Ahorro Futuro Reservas'!C1734*'FR_Mantenimiento tasas'!$D$56/360,IF(C1734&lt;='FR_Mantenimiento tasas'!$C$57,'Tabla Ahorro Futuro Reservas'!C1734*'FR_Mantenimiento tasas'!$D$57/360,""))),5)</f>
        <v>0</v>
      </c>
      <c r="E1734" s="121">
        <f>ROUND(IF(C1734&lt;='FR_Mantenimiento tasas'!$C$55,'Tabla Ahorro Futuro Reservas'!C1734*'FR_Mantenimiento tasas'!$E$55/360,IF(C1734&lt;='FR_Mantenimiento tasas'!$C$56,'Tabla Ahorro Futuro Reservas'!C1734*'FR_Mantenimiento tasas'!$E$56/360,IF(C1734&lt;='FR_Mantenimiento tasas'!$C$57,'Tabla Ahorro Futuro Reservas'!C1734*'FR_Mantenimiento tasas'!$E$57/360,""))),5)</f>
        <v>0</v>
      </c>
    </row>
    <row r="1735" spans="1:5">
      <c r="A1735" s="123">
        <f t="shared" si="54"/>
        <v>1733</v>
      </c>
      <c r="B1735" s="122">
        <f>IF(DAY(A1735)=DAY('F-Ahorro Futuro Reservas'!$H$10),'F-Ahorro Futuro Reservas'!$H$9,0)</f>
        <v>0</v>
      </c>
      <c r="C1735" s="122">
        <f t="shared" si="55"/>
        <v>0</v>
      </c>
      <c r="D1735" s="121">
        <f>ROUND(IF(C1735&lt;='FR_Mantenimiento tasas'!$C$55,'Tabla Ahorro Futuro Reservas'!C1735*'FR_Mantenimiento tasas'!$D$55/360,IF(C1735&lt;='FR_Mantenimiento tasas'!$C$56,'Tabla Ahorro Futuro Reservas'!C1735*'FR_Mantenimiento tasas'!$D$56/360,IF(C1735&lt;='FR_Mantenimiento tasas'!$C$57,'Tabla Ahorro Futuro Reservas'!C1735*'FR_Mantenimiento tasas'!$D$57/360,""))),5)</f>
        <v>0</v>
      </c>
      <c r="E1735" s="121">
        <f>ROUND(IF(C1735&lt;='FR_Mantenimiento tasas'!$C$55,'Tabla Ahorro Futuro Reservas'!C1735*'FR_Mantenimiento tasas'!$E$55/360,IF(C1735&lt;='FR_Mantenimiento tasas'!$C$56,'Tabla Ahorro Futuro Reservas'!C1735*'FR_Mantenimiento tasas'!$E$56/360,IF(C1735&lt;='FR_Mantenimiento tasas'!$C$57,'Tabla Ahorro Futuro Reservas'!C1735*'FR_Mantenimiento tasas'!$E$57/360,""))),5)</f>
        <v>0</v>
      </c>
    </row>
    <row r="1736" spans="1:5">
      <c r="A1736" s="123">
        <f t="shared" si="54"/>
        <v>1734</v>
      </c>
      <c r="B1736" s="122">
        <f>IF(DAY(A1736)=DAY('F-Ahorro Futuro Reservas'!$H$10),'F-Ahorro Futuro Reservas'!$H$9,0)</f>
        <v>0</v>
      </c>
      <c r="C1736" s="122">
        <f t="shared" si="55"/>
        <v>0</v>
      </c>
      <c r="D1736" s="121">
        <f>ROUND(IF(C1736&lt;='FR_Mantenimiento tasas'!$C$55,'Tabla Ahorro Futuro Reservas'!C1736*'FR_Mantenimiento tasas'!$D$55/360,IF(C1736&lt;='FR_Mantenimiento tasas'!$C$56,'Tabla Ahorro Futuro Reservas'!C1736*'FR_Mantenimiento tasas'!$D$56/360,IF(C1736&lt;='FR_Mantenimiento tasas'!$C$57,'Tabla Ahorro Futuro Reservas'!C1736*'FR_Mantenimiento tasas'!$D$57/360,""))),5)</f>
        <v>0</v>
      </c>
      <c r="E1736" s="121">
        <f>ROUND(IF(C1736&lt;='FR_Mantenimiento tasas'!$C$55,'Tabla Ahorro Futuro Reservas'!C1736*'FR_Mantenimiento tasas'!$E$55/360,IF(C1736&lt;='FR_Mantenimiento tasas'!$C$56,'Tabla Ahorro Futuro Reservas'!C1736*'FR_Mantenimiento tasas'!$E$56/360,IF(C1736&lt;='FR_Mantenimiento tasas'!$C$57,'Tabla Ahorro Futuro Reservas'!C1736*'FR_Mantenimiento tasas'!$E$57/360,""))),5)</f>
        <v>0</v>
      </c>
    </row>
    <row r="1737" spans="1:5">
      <c r="A1737" s="123">
        <f t="shared" si="54"/>
        <v>1735</v>
      </c>
      <c r="B1737" s="122">
        <f>IF(DAY(A1737)=DAY('F-Ahorro Futuro Reservas'!$H$10),'F-Ahorro Futuro Reservas'!$H$9,0)</f>
        <v>0</v>
      </c>
      <c r="C1737" s="122">
        <f t="shared" si="55"/>
        <v>0</v>
      </c>
      <c r="D1737" s="121">
        <f>ROUND(IF(C1737&lt;='FR_Mantenimiento tasas'!$C$55,'Tabla Ahorro Futuro Reservas'!C1737*'FR_Mantenimiento tasas'!$D$55/360,IF(C1737&lt;='FR_Mantenimiento tasas'!$C$56,'Tabla Ahorro Futuro Reservas'!C1737*'FR_Mantenimiento tasas'!$D$56/360,IF(C1737&lt;='FR_Mantenimiento tasas'!$C$57,'Tabla Ahorro Futuro Reservas'!C1737*'FR_Mantenimiento tasas'!$D$57/360,""))),5)</f>
        <v>0</v>
      </c>
      <c r="E1737" s="121">
        <f>ROUND(IF(C1737&lt;='FR_Mantenimiento tasas'!$C$55,'Tabla Ahorro Futuro Reservas'!C1737*'FR_Mantenimiento tasas'!$E$55/360,IF(C1737&lt;='FR_Mantenimiento tasas'!$C$56,'Tabla Ahorro Futuro Reservas'!C1737*'FR_Mantenimiento tasas'!$E$56/360,IF(C1737&lt;='FR_Mantenimiento tasas'!$C$57,'Tabla Ahorro Futuro Reservas'!C1737*'FR_Mantenimiento tasas'!$E$57/360,""))),5)</f>
        <v>0</v>
      </c>
    </row>
    <row r="1738" spans="1:5">
      <c r="A1738" s="123">
        <f t="shared" si="54"/>
        <v>1736</v>
      </c>
      <c r="B1738" s="122">
        <f>IF(DAY(A1738)=DAY('F-Ahorro Futuro Reservas'!$H$10),'F-Ahorro Futuro Reservas'!$H$9,0)</f>
        <v>0</v>
      </c>
      <c r="C1738" s="122">
        <f t="shared" si="55"/>
        <v>0</v>
      </c>
      <c r="D1738" s="121">
        <f>ROUND(IF(C1738&lt;='FR_Mantenimiento tasas'!$C$55,'Tabla Ahorro Futuro Reservas'!C1738*'FR_Mantenimiento tasas'!$D$55/360,IF(C1738&lt;='FR_Mantenimiento tasas'!$C$56,'Tabla Ahorro Futuro Reservas'!C1738*'FR_Mantenimiento tasas'!$D$56/360,IF(C1738&lt;='FR_Mantenimiento tasas'!$C$57,'Tabla Ahorro Futuro Reservas'!C1738*'FR_Mantenimiento tasas'!$D$57/360,""))),5)</f>
        <v>0</v>
      </c>
      <c r="E1738" s="121">
        <f>ROUND(IF(C1738&lt;='FR_Mantenimiento tasas'!$C$55,'Tabla Ahorro Futuro Reservas'!C1738*'FR_Mantenimiento tasas'!$E$55/360,IF(C1738&lt;='FR_Mantenimiento tasas'!$C$56,'Tabla Ahorro Futuro Reservas'!C1738*'FR_Mantenimiento tasas'!$E$56/360,IF(C1738&lt;='FR_Mantenimiento tasas'!$C$57,'Tabla Ahorro Futuro Reservas'!C1738*'FR_Mantenimiento tasas'!$E$57/360,""))),5)</f>
        <v>0</v>
      </c>
    </row>
    <row r="1739" spans="1:5">
      <c r="A1739" s="123">
        <f t="shared" si="54"/>
        <v>1737</v>
      </c>
      <c r="B1739" s="122">
        <f>IF(DAY(A1739)=DAY('F-Ahorro Futuro Reservas'!$H$10),'F-Ahorro Futuro Reservas'!$H$9,0)</f>
        <v>0</v>
      </c>
      <c r="C1739" s="122">
        <f t="shared" si="55"/>
        <v>0</v>
      </c>
      <c r="D1739" s="121">
        <f>ROUND(IF(C1739&lt;='FR_Mantenimiento tasas'!$C$55,'Tabla Ahorro Futuro Reservas'!C1739*'FR_Mantenimiento tasas'!$D$55/360,IF(C1739&lt;='FR_Mantenimiento tasas'!$C$56,'Tabla Ahorro Futuro Reservas'!C1739*'FR_Mantenimiento tasas'!$D$56/360,IF(C1739&lt;='FR_Mantenimiento tasas'!$C$57,'Tabla Ahorro Futuro Reservas'!C1739*'FR_Mantenimiento tasas'!$D$57/360,""))),5)</f>
        <v>0</v>
      </c>
      <c r="E1739" s="121">
        <f>ROUND(IF(C1739&lt;='FR_Mantenimiento tasas'!$C$55,'Tabla Ahorro Futuro Reservas'!C1739*'FR_Mantenimiento tasas'!$E$55/360,IF(C1739&lt;='FR_Mantenimiento tasas'!$C$56,'Tabla Ahorro Futuro Reservas'!C1739*'FR_Mantenimiento tasas'!$E$56/360,IF(C1739&lt;='FR_Mantenimiento tasas'!$C$57,'Tabla Ahorro Futuro Reservas'!C1739*'FR_Mantenimiento tasas'!$E$57/360,""))),5)</f>
        <v>0</v>
      </c>
    </row>
    <row r="1740" spans="1:5">
      <c r="A1740" s="123">
        <f t="shared" si="54"/>
        <v>1738</v>
      </c>
      <c r="B1740" s="122">
        <f>IF(DAY(A1740)=DAY('F-Ahorro Futuro Reservas'!$H$10),'F-Ahorro Futuro Reservas'!$H$9,0)</f>
        <v>0</v>
      </c>
      <c r="C1740" s="122">
        <f t="shared" si="55"/>
        <v>0</v>
      </c>
      <c r="D1740" s="121">
        <f>ROUND(IF(C1740&lt;='FR_Mantenimiento tasas'!$C$55,'Tabla Ahorro Futuro Reservas'!C1740*'FR_Mantenimiento tasas'!$D$55/360,IF(C1740&lt;='FR_Mantenimiento tasas'!$C$56,'Tabla Ahorro Futuro Reservas'!C1740*'FR_Mantenimiento tasas'!$D$56/360,IF(C1740&lt;='FR_Mantenimiento tasas'!$C$57,'Tabla Ahorro Futuro Reservas'!C1740*'FR_Mantenimiento tasas'!$D$57/360,""))),5)</f>
        <v>0</v>
      </c>
      <c r="E1740" s="121">
        <f>ROUND(IF(C1740&lt;='FR_Mantenimiento tasas'!$C$55,'Tabla Ahorro Futuro Reservas'!C1740*'FR_Mantenimiento tasas'!$E$55/360,IF(C1740&lt;='FR_Mantenimiento tasas'!$C$56,'Tabla Ahorro Futuro Reservas'!C1740*'FR_Mantenimiento tasas'!$E$56/360,IF(C1740&lt;='FR_Mantenimiento tasas'!$C$57,'Tabla Ahorro Futuro Reservas'!C1740*'FR_Mantenimiento tasas'!$E$57/360,""))),5)</f>
        <v>0</v>
      </c>
    </row>
    <row r="1741" spans="1:5">
      <c r="A1741" s="123">
        <f t="shared" si="54"/>
        <v>1739</v>
      </c>
      <c r="B1741" s="122">
        <f>IF(DAY(A1741)=DAY('F-Ahorro Futuro Reservas'!$H$10),'F-Ahorro Futuro Reservas'!$H$9,0)</f>
        <v>0</v>
      </c>
      <c r="C1741" s="122">
        <f t="shared" si="55"/>
        <v>0</v>
      </c>
      <c r="D1741" s="121">
        <f>ROUND(IF(C1741&lt;='FR_Mantenimiento tasas'!$C$55,'Tabla Ahorro Futuro Reservas'!C1741*'FR_Mantenimiento tasas'!$D$55/360,IF(C1741&lt;='FR_Mantenimiento tasas'!$C$56,'Tabla Ahorro Futuro Reservas'!C1741*'FR_Mantenimiento tasas'!$D$56/360,IF(C1741&lt;='FR_Mantenimiento tasas'!$C$57,'Tabla Ahorro Futuro Reservas'!C1741*'FR_Mantenimiento tasas'!$D$57/360,""))),5)</f>
        <v>0</v>
      </c>
      <c r="E1741" s="121">
        <f>ROUND(IF(C1741&lt;='FR_Mantenimiento tasas'!$C$55,'Tabla Ahorro Futuro Reservas'!C1741*'FR_Mantenimiento tasas'!$E$55/360,IF(C1741&lt;='FR_Mantenimiento tasas'!$C$56,'Tabla Ahorro Futuro Reservas'!C1741*'FR_Mantenimiento tasas'!$E$56/360,IF(C1741&lt;='FR_Mantenimiento tasas'!$C$57,'Tabla Ahorro Futuro Reservas'!C1741*'FR_Mantenimiento tasas'!$E$57/360,""))),5)</f>
        <v>0</v>
      </c>
    </row>
    <row r="1742" spans="1:5">
      <c r="A1742" s="123">
        <f t="shared" si="54"/>
        <v>1740</v>
      </c>
      <c r="B1742" s="122">
        <f>IF(DAY(A1742)=DAY('F-Ahorro Futuro Reservas'!$H$10),'F-Ahorro Futuro Reservas'!$H$9,0)</f>
        <v>0</v>
      </c>
      <c r="C1742" s="122">
        <f t="shared" si="55"/>
        <v>0</v>
      </c>
      <c r="D1742" s="121">
        <f>ROUND(IF(C1742&lt;='FR_Mantenimiento tasas'!$C$55,'Tabla Ahorro Futuro Reservas'!C1742*'FR_Mantenimiento tasas'!$D$55/360,IF(C1742&lt;='FR_Mantenimiento tasas'!$C$56,'Tabla Ahorro Futuro Reservas'!C1742*'FR_Mantenimiento tasas'!$D$56/360,IF(C1742&lt;='FR_Mantenimiento tasas'!$C$57,'Tabla Ahorro Futuro Reservas'!C1742*'FR_Mantenimiento tasas'!$D$57/360,""))),5)</f>
        <v>0</v>
      </c>
      <c r="E1742" s="121">
        <f>ROUND(IF(C1742&lt;='FR_Mantenimiento tasas'!$C$55,'Tabla Ahorro Futuro Reservas'!C1742*'FR_Mantenimiento tasas'!$E$55/360,IF(C1742&lt;='FR_Mantenimiento tasas'!$C$56,'Tabla Ahorro Futuro Reservas'!C1742*'FR_Mantenimiento tasas'!$E$56/360,IF(C1742&lt;='FR_Mantenimiento tasas'!$C$57,'Tabla Ahorro Futuro Reservas'!C1742*'FR_Mantenimiento tasas'!$E$57/360,""))),5)</f>
        <v>0</v>
      </c>
    </row>
    <row r="1743" spans="1:5">
      <c r="A1743" s="123">
        <f t="shared" si="54"/>
        <v>1741</v>
      </c>
      <c r="B1743" s="122">
        <f>IF(DAY(A1743)=DAY('F-Ahorro Futuro Reservas'!$H$10),'F-Ahorro Futuro Reservas'!$H$9,0)</f>
        <v>0</v>
      </c>
      <c r="C1743" s="122">
        <f t="shared" si="55"/>
        <v>0</v>
      </c>
      <c r="D1743" s="121">
        <f>ROUND(IF(C1743&lt;='FR_Mantenimiento tasas'!$C$55,'Tabla Ahorro Futuro Reservas'!C1743*'FR_Mantenimiento tasas'!$D$55/360,IF(C1743&lt;='FR_Mantenimiento tasas'!$C$56,'Tabla Ahorro Futuro Reservas'!C1743*'FR_Mantenimiento tasas'!$D$56/360,IF(C1743&lt;='FR_Mantenimiento tasas'!$C$57,'Tabla Ahorro Futuro Reservas'!C1743*'FR_Mantenimiento tasas'!$D$57/360,""))),5)</f>
        <v>0</v>
      </c>
      <c r="E1743" s="121">
        <f>ROUND(IF(C1743&lt;='FR_Mantenimiento tasas'!$C$55,'Tabla Ahorro Futuro Reservas'!C1743*'FR_Mantenimiento tasas'!$E$55/360,IF(C1743&lt;='FR_Mantenimiento tasas'!$C$56,'Tabla Ahorro Futuro Reservas'!C1743*'FR_Mantenimiento tasas'!$E$56/360,IF(C1743&lt;='FR_Mantenimiento tasas'!$C$57,'Tabla Ahorro Futuro Reservas'!C1743*'FR_Mantenimiento tasas'!$E$57/360,""))),5)</f>
        <v>0</v>
      </c>
    </row>
    <row r="1744" spans="1:5">
      <c r="A1744" s="123">
        <f t="shared" si="54"/>
        <v>1742</v>
      </c>
      <c r="B1744" s="122">
        <f>IF(DAY(A1744)=DAY('F-Ahorro Futuro Reservas'!$H$10),'F-Ahorro Futuro Reservas'!$H$9,0)</f>
        <v>0</v>
      </c>
      <c r="C1744" s="122">
        <f t="shared" si="55"/>
        <v>0</v>
      </c>
      <c r="D1744" s="121">
        <f>ROUND(IF(C1744&lt;='FR_Mantenimiento tasas'!$C$55,'Tabla Ahorro Futuro Reservas'!C1744*'FR_Mantenimiento tasas'!$D$55/360,IF(C1744&lt;='FR_Mantenimiento tasas'!$C$56,'Tabla Ahorro Futuro Reservas'!C1744*'FR_Mantenimiento tasas'!$D$56/360,IF(C1744&lt;='FR_Mantenimiento tasas'!$C$57,'Tabla Ahorro Futuro Reservas'!C1744*'FR_Mantenimiento tasas'!$D$57/360,""))),5)</f>
        <v>0</v>
      </c>
      <c r="E1744" s="121">
        <f>ROUND(IF(C1744&lt;='FR_Mantenimiento tasas'!$C$55,'Tabla Ahorro Futuro Reservas'!C1744*'FR_Mantenimiento tasas'!$E$55/360,IF(C1744&lt;='FR_Mantenimiento tasas'!$C$56,'Tabla Ahorro Futuro Reservas'!C1744*'FR_Mantenimiento tasas'!$E$56/360,IF(C1744&lt;='FR_Mantenimiento tasas'!$C$57,'Tabla Ahorro Futuro Reservas'!C1744*'FR_Mantenimiento tasas'!$E$57/360,""))),5)</f>
        <v>0</v>
      </c>
    </row>
    <row r="1745" spans="1:5">
      <c r="A1745" s="123">
        <f t="shared" si="54"/>
        <v>1743</v>
      </c>
      <c r="B1745" s="122">
        <f>IF(DAY(A1745)=DAY('F-Ahorro Futuro Reservas'!$H$10),'F-Ahorro Futuro Reservas'!$H$9,0)</f>
        <v>0</v>
      </c>
      <c r="C1745" s="122">
        <f t="shared" si="55"/>
        <v>0</v>
      </c>
      <c r="D1745" s="121">
        <f>ROUND(IF(C1745&lt;='FR_Mantenimiento tasas'!$C$55,'Tabla Ahorro Futuro Reservas'!C1745*'FR_Mantenimiento tasas'!$D$55/360,IF(C1745&lt;='FR_Mantenimiento tasas'!$C$56,'Tabla Ahorro Futuro Reservas'!C1745*'FR_Mantenimiento tasas'!$D$56/360,IF(C1745&lt;='FR_Mantenimiento tasas'!$C$57,'Tabla Ahorro Futuro Reservas'!C1745*'FR_Mantenimiento tasas'!$D$57/360,""))),5)</f>
        <v>0</v>
      </c>
      <c r="E1745" s="121">
        <f>ROUND(IF(C1745&lt;='FR_Mantenimiento tasas'!$C$55,'Tabla Ahorro Futuro Reservas'!C1745*'FR_Mantenimiento tasas'!$E$55/360,IF(C1745&lt;='FR_Mantenimiento tasas'!$C$56,'Tabla Ahorro Futuro Reservas'!C1745*'FR_Mantenimiento tasas'!$E$56/360,IF(C1745&lt;='FR_Mantenimiento tasas'!$C$57,'Tabla Ahorro Futuro Reservas'!C1745*'FR_Mantenimiento tasas'!$E$57/360,""))),5)</f>
        <v>0</v>
      </c>
    </row>
    <row r="1746" spans="1:5">
      <c r="A1746" s="123">
        <f t="shared" si="54"/>
        <v>1744</v>
      </c>
      <c r="B1746" s="122">
        <f>IF(DAY(A1746)=DAY('F-Ahorro Futuro Reservas'!$H$10),'F-Ahorro Futuro Reservas'!$H$9,0)</f>
        <v>0</v>
      </c>
      <c r="C1746" s="122">
        <f t="shared" si="55"/>
        <v>0</v>
      </c>
      <c r="D1746" s="121">
        <f>ROUND(IF(C1746&lt;='FR_Mantenimiento tasas'!$C$55,'Tabla Ahorro Futuro Reservas'!C1746*'FR_Mantenimiento tasas'!$D$55/360,IF(C1746&lt;='FR_Mantenimiento tasas'!$C$56,'Tabla Ahorro Futuro Reservas'!C1746*'FR_Mantenimiento tasas'!$D$56/360,IF(C1746&lt;='FR_Mantenimiento tasas'!$C$57,'Tabla Ahorro Futuro Reservas'!C1746*'FR_Mantenimiento tasas'!$D$57/360,""))),5)</f>
        <v>0</v>
      </c>
      <c r="E1746" s="121">
        <f>ROUND(IF(C1746&lt;='FR_Mantenimiento tasas'!$C$55,'Tabla Ahorro Futuro Reservas'!C1746*'FR_Mantenimiento tasas'!$E$55/360,IF(C1746&lt;='FR_Mantenimiento tasas'!$C$56,'Tabla Ahorro Futuro Reservas'!C1746*'FR_Mantenimiento tasas'!$E$56/360,IF(C1746&lt;='FR_Mantenimiento tasas'!$C$57,'Tabla Ahorro Futuro Reservas'!C1746*'FR_Mantenimiento tasas'!$E$57/360,""))),5)</f>
        <v>0</v>
      </c>
    </row>
    <row r="1747" spans="1:5">
      <c r="A1747" s="123">
        <f t="shared" si="54"/>
        <v>1745</v>
      </c>
      <c r="B1747" s="122">
        <f>IF(DAY(A1747)=DAY('F-Ahorro Futuro Reservas'!$H$10),'F-Ahorro Futuro Reservas'!$H$9,0)</f>
        <v>0</v>
      </c>
      <c r="C1747" s="122">
        <f t="shared" si="55"/>
        <v>0</v>
      </c>
      <c r="D1747" s="121">
        <f>ROUND(IF(C1747&lt;='FR_Mantenimiento tasas'!$C$55,'Tabla Ahorro Futuro Reservas'!C1747*'FR_Mantenimiento tasas'!$D$55/360,IF(C1747&lt;='FR_Mantenimiento tasas'!$C$56,'Tabla Ahorro Futuro Reservas'!C1747*'FR_Mantenimiento tasas'!$D$56/360,IF(C1747&lt;='FR_Mantenimiento tasas'!$C$57,'Tabla Ahorro Futuro Reservas'!C1747*'FR_Mantenimiento tasas'!$D$57/360,""))),5)</f>
        <v>0</v>
      </c>
      <c r="E1747" s="121">
        <f>ROUND(IF(C1747&lt;='FR_Mantenimiento tasas'!$C$55,'Tabla Ahorro Futuro Reservas'!C1747*'FR_Mantenimiento tasas'!$E$55/360,IF(C1747&lt;='FR_Mantenimiento tasas'!$C$56,'Tabla Ahorro Futuro Reservas'!C1747*'FR_Mantenimiento tasas'!$E$56/360,IF(C1747&lt;='FR_Mantenimiento tasas'!$C$57,'Tabla Ahorro Futuro Reservas'!C1747*'FR_Mantenimiento tasas'!$E$57/360,""))),5)</f>
        <v>0</v>
      </c>
    </row>
    <row r="1748" spans="1:5">
      <c r="A1748" s="123">
        <f t="shared" si="54"/>
        <v>1746</v>
      </c>
      <c r="B1748" s="122">
        <f>IF(DAY(A1748)=DAY('F-Ahorro Futuro Reservas'!$H$10),'F-Ahorro Futuro Reservas'!$H$9,0)</f>
        <v>0</v>
      </c>
      <c r="C1748" s="122">
        <f t="shared" si="55"/>
        <v>0</v>
      </c>
      <c r="D1748" s="121">
        <f>ROUND(IF(C1748&lt;='FR_Mantenimiento tasas'!$C$55,'Tabla Ahorro Futuro Reservas'!C1748*'FR_Mantenimiento tasas'!$D$55/360,IF(C1748&lt;='FR_Mantenimiento tasas'!$C$56,'Tabla Ahorro Futuro Reservas'!C1748*'FR_Mantenimiento tasas'!$D$56/360,IF(C1748&lt;='FR_Mantenimiento tasas'!$C$57,'Tabla Ahorro Futuro Reservas'!C1748*'FR_Mantenimiento tasas'!$D$57/360,""))),5)</f>
        <v>0</v>
      </c>
      <c r="E1748" s="121">
        <f>ROUND(IF(C1748&lt;='FR_Mantenimiento tasas'!$C$55,'Tabla Ahorro Futuro Reservas'!C1748*'FR_Mantenimiento tasas'!$E$55/360,IF(C1748&lt;='FR_Mantenimiento tasas'!$C$56,'Tabla Ahorro Futuro Reservas'!C1748*'FR_Mantenimiento tasas'!$E$56/360,IF(C1748&lt;='FR_Mantenimiento tasas'!$C$57,'Tabla Ahorro Futuro Reservas'!C1748*'FR_Mantenimiento tasas'!$E$57/360,""))),5)</f>
        <v>0</v>
      </c>
    </row>
    <row r="1749" spans="1:5">
      <c r="A1749" s="123">
        <f t="shared" si="54"/>
        <v>1747</v>
      </c>
      <c r="B1749" s="122">
        <f>IF(DAY(A1749)=DAY('F-Ahorro Futuro Reservas'!$H$10),'F-Ahorro Futuro Reservas'!$H$9,0)</f>
        <v>0</v>
      </c>
      <c r="C1749" s="122">
        <f t="shared" si="55"/>
        <v>0</v>
      </c>
      <c r="D1749" s="121">
        <f>ROUND(IF(C1749&lt;='FR_Mantenimiento tasas'!$C$55,'Tabla Ahorro Futuro Reservas'!C1749*'FR_Mantenimiento tasas'!$D$55/360,IF(C1749&lt;='FR_Mantenimiento tasas'!$C$56,'Tabla Ahorro Futuro Reservas'!C1749*'FR_Mantenimiento tasas'!$D$56/360,IF(C1749&lt;='FR_Mantenimiento tasas'!$C$57,'Tabla Ahorro Futuro Reservas'!C1749*'FR_Mantenimiento tasas'!$D$57/360,""))),5)</f>
        <v>0</v>
      </c>
      <c r="E1749" s="121">
        <f>ROUND(IF(C1749&lt;='FR_Mantenimiento tasas'!$C$55,'Tabla Ahorro Futuro Reservas'!C1749*'FR_Mantenimiento tasas'!$E$55/360,IF(C1749&lt;='FR_Mantenimiento tasas'!$C$56,'Tabla Ahorro Futuro Reservas'!C1749*'FR_Mantenimiento tasas'!$E$56/360,IF(C1749&lt;='FR_Mantenimiento tasas'!$C$57,'Tabla Ahorro Futuro Reservas'!C1749*'FR_Mantenimiento tasas'!$E$57/360,""))),5)</f>
        <v>0</v>
      </c>
    </row>
    <row r="1750" spans="1:5">
      <c r="A1750" s="123">
        <f t="shared" si="54"/>
        <v>1748</v>
      </c>
      <c r="B1750" s="122">
        <f>IF(DAY(A1750)=DAY('F-Ahorro Futuro Reservas'!$H$10),'F-Ahorro Futuro Reservas'!$H$9,0)</f>
        <v>0</v>
      </c>
      <c r="C1750" s="122">
        <f t="shared" si="55"/>
        <v>0</v>
      </c>
      <c r="D1750" s="121">
        <f>ROUND(IF(C1750&lt;='FR_Mantenimiento tasas'!$C$55,'Tabla Ahorro Futuro Reservas'!C1750*'FR_Mantenimiento tasas'!$D$55/360,IF(C1750&lt;='FR_Mantenimiento tasas'!$C$56,'Tabla Ahorro Futuro Reservas'!C1750*'FR_Mantenimiento tasas'!$D$56/360,IF(C1750&lt;='FR_Mantenimiento tasas'!$C$57,'Tabla Ahorro Futuro Reservas'!C1750*'FR_Mantenimiento tasas'!$D$57/360,""))),5)</f>
        <v>0</v>
      </c>
      <c r="E1750" s="121">
        <f>ROUND(IF(C1750&lt;='FR_Mantenimiento tasas'!$C$55,'Tabla Ahorro Futuro Reservas'!C1750*'FR_Mantenimiento tasas'!$E$55/360,IF(C1750&lt;='FR_Mantenimiento tasas'!$C$56,'Tabla Ahorro Futuro Reservas'!C1750*'FR_Mantenimiento tasas'!$E$56/360,IF(C1750&lt;='FR_Mantenimiento tasas'!$C$57,'Tabla Ahorro Futuro Reservas'!C1750*'FR_Mantenimiento tasas'!$E$57/360,""))),5)</f>
        <v>0</v>
      </c>
    </row>
    <row r="1751" spans="1:5">
      <c r="A1751" s="123">
        <f t="shared" si="54"/>
        <v>1749</v>
      </c>
      <c r="B1751" s="122">
        <f>IF(DAY(A1751)=DAY('F-Ahorro Futuro Reservas'!$H$10),'F-Ahorro Futuro Reservas'!$H$9,0)</f>
        <v>0</v>
      </c>
      <c r="C1751" s="122">
        <f t="shared" si="55"/>
        <v>0</v>
      </c>
      <c r="D1751" s="121">
        <f>ROUND(IF(C1751&lt;='FR_Mantenimiento tasas'!$C$55,'Tabla Ahorro Futuro Reservas'!C1751*'FR_Mantenimiento tasas'!$D$55/360,IF(C1751&lt;='FR_Mantenimiento tasas'!$C$56,'Tabla Ahorro Futuro Reservas'!C1751*'FR_Mantenimiento tasas'!$D$56/360,IF(C1751&lt;='FR_Mantenimiento tasas'!$C$57,'Tabla Ahorro Futuro Reservas'!C1751*'FR_Mantenimiento tasas'!$D$57/360,""))),5)</f>
        <v>0</v>
      </c>
      <c r="E1751" s="121">
        <f>ROUND(IF(C1751&lt;='FR_Mantenimiento tasas'!$C$55,'Tabla Ahorro Futuro Reservas'!C1751*'FR_Mantenimiento tasas'!$E$55/360,IF(C1751&lt;='FR_Mantenimiento tasas'!$C$56,'Tabla Ahorro Futuro Reservas'!C1751*'FR_Mantenimiento tasas'!$E$56/360,IF(C1751&lt;='FR_Mantenimiento tasas'!$C$57,'Tabla Ahorro Futuro Reservas'!C1751*'FR_Mantenimiento tasas'!$E$57/360,""))),5)</f>
        <v>0</v>
      </c>
    </row>
    <row r="1752" spans="1:5">
      <c r="A1752" s="123">
        <f t="shared" si="54"/>
        <v>1750</v>
      </c>
      <c r="B1752" s="122">
        <f>IF(DAY(A1752)=DAY('F-Ahorro Futuro Reservas'!$H$10),'F-Ahorro Futuro Reservas'!$H$9,0)</f>
        <v>0</v>
      </c>
      <c r="C1752" s="122">
        <f t="shared" si="55"/>
        <v>0</v>
      </c>
      <c r="D1752" s="121">
        <f>ROUND(IF(C1752&lt;='FR_Mantenimiento tasas'!$C$55,'Tabla Ahorro Futuro Reservas'!C1752*'FR_Mantenimiento tasas'!$D$55/360,IF(C1752&lt;='FR_Mantenimiento tasas'!$C$56,'Tabla Ahorro Futuro Reservas'!C1752*'FR_Mantenimiento tasas'!$D$56/360,IF(C1752&lt;='FR_Mantenimiento tasas'!$C$57,'Tabla Ahorro Futuro Reservas'!C1752*'FR_Mantenimiento tasas'!$D$57/360,""))),5)</f>
        <v>0</v>
      </c>
      <c r="E1752" s="121">
        <f>ROUND(IF(C1752&lt;='FR_Mantenimiento tasas'!$C$55,'Tabla Ahorro Futuro Reservas'!C1752*'FR_Mantenimiento tasas'!$E$55/360,IF(C1752&lt;='FR_Mantenimiento tasas'!$C$56,'Tabla Ahorro Futuro Reservas'!C1752*'FR_Mantenimiento tasas'!$E$56/360,IF(C1752&lt;='FR_Mantenimiento tasas'!$C$57,'Tabla Ahorro Futuro Reservas'!C1752*'FR_Mantenimiento tasas'!$E$57/360,""))),5)</f>
        <v>0</v>
      </c>
    </row>
    <row r="1753" spans="1:5">
      <c r="A1753" s="123">
        <f t="shared" si="54"/>
        <v>1751</v>
      </c>
      <c r="B1753" s="122">
        <f>IF(DAY(A1753)=DAY('F-Ahorro Futuro Reservas'!$H$10),'F-Ahorro Futuro Reservas'!$H$9,0)</f>
        <v>0</v>
      </c>
      <c r="C1753" s="122">
        <f t="shared" si="55"/>
        <v>0</v>
      </c>
      <c r="D1753" s="121">
        <f>ROUND(IF(C1753&lt;='FR_Mantenimiento tasas'!$C$55,'Tabla Ahorro Futuro Reservas'!C1753*'FR_Mantenimiento tasas'!$D$55/360,IF(C1753&lt;='FR_Mantenimiento tasas'!$C$56,'Tabla Ahorro Futuro Reservas'!C1753*'FR_Mantenimiento tasas'!$D$56/360,IF(C1753&lt;='FR_Mantenimiento tasas'!$C$57,'Tabla Ahorro Futuro Reservas'!C1753*'FR_Mantenimiento tasas'!$D$57/360,""))),5)</f>
        <v>0</v>
      </c>
      <c r="E1753" s="121">
        <f>ROUND(IF(C1753&lt;='FR_Mantenimiento tasas'!$C$55,'Tabla Ahorro Futuro Reservas'!C1753*'FR_Mantenimiento tasas'!$E$55/360,IF(C1753&lt;='FR_Mantenimiento tasas'!$C$56,'Tabla Ahorro Futuro Reservas'!C1753*'FR_Mantenimiento tasas'!$E$56/360,IF(C1753&lt;='FR_Mantenimiento tasas'!$C$57,'Tabla Ahorro Futuro Reservas'!C1753*'FR_Mantenimiento tasas'!$E$57/360,""))),5)</f>
        <v>0</v>
      </c>
    </row>
    <row r="1754" spans="1:5">
      <c r="A1754" s="123">
        <f t="shared" si="54"/>
        <v>1752</v>
      </c>
      <c r="B1754" s="122">
        <f>IF(DAY(A1754)=DAY('F-Ahorro Futuro Reservas'!$H$10),'F-Ahorro Futuro Reservas'!$H$9,0)</f>
        <v>0</v>
      </c>
      <c r="C1754" s="122">
        <f t="shared" si="55"/>
        <v>0</v>
      </c>
      <c r="D1754" s="121">
        <f>ROUND(IF(C1754&lt;='FR_Mantenimiento tasas'!$C$55,'Tabla Ahorro Futuro Reservas'!C1754*'FR_Mantenimiento tasas'!$D$55/360,IF(C1754&lt;='FR_Mantenimiento tasas'!$C$56,'Tabla Ahorro Futuro Reservas'!C1754*'FR_Mantenimiento tasas'!$D$56/360,IF(C1754&lt;='FR_Mantenimiento tasas'!$C$57,'Tabla Ahorro Futuro Reservas'!C1754*'FR_Mantenimiento tasas'!$D$57/360,""))),5)</f>
        <v>0</v>
      </c>
      <c r="E1754" s="121">
        <f>ROUND(IF(C1754&lt;='FR_Mantenimiento tasas'!$C$55,'Tabla Ahorro Futuro Reservas'!C1754*'FR_Mantenimiento tasas'!$E$55/360,IF(C1754&lt;='FR_Mantenimiento tasas'!$C$56,'Tabla Ahorro Futuro Reservas'!C1754*'FR_Mantenimiento tasas'!$E$56/360,IF(C1754&lt;='FR_Mantenimiento tasas'!$C$57,'Tabla Ahorro Futuro Reservas'!C1754*'FR_Mantenimiento tasas'!$E$57/360,""))),5)</f>
        <v>0</v>
      </c>
    </row>
    <row r="1755" spans="1:5">
      <c r="A1755" s="123">
        <f t="shared" si="54"/>
        <v>1753</v>
      </c>
      <c r="B1755" s="122">
        <f>IF(DAY(A1755)=DAY('F-Ahorro Futuro Reservas'!$H$10),'F-Ahorro Futuro Reservas'!$H$9,0)</f>
        <v>0</v>
      </c>
      <c r="C1755" s="122">
        <f t="shared" si="55"/>
        <v>0</v>
      </c>
      <c r="D1755" s="121">
        <f>ROUND(IF(C1755&lt;='FR_Mantenimiento tasas'!$C$55,'Tabla Ahorro Futuro Reservas'!C1755*'FR_Mantenimiento tasas'!$D$55/360,IF(C1755&lt;='FR_Mantenimiento tasas'!$C$56,'Tabla Ahorro Futuro Reservas'!C1755*'FR_Mantenimiento tasas'!$D$56/360,IF(C1755&lt;='FR_Mantenimiento tasas'!$C$57,'Tabla Ahorro Futuro Reservas'!C1755*'FR_Mantenimiento tasas'!$D$57/360,""))),5)</f>
        <v>0</v>
      </c>
      <c r="E1755" s="121">
        <f>ROUND(IF(C1755&lt;='FR_Mantenimiento tasas'!$C$55,'Tabla Ahorro Futuro Reservas'!C1755*'FR_Mantenimiento tasas'!$E$55/360,IF(C1755&lt;='FR_Mantenimiento tasas'!$C$56,'Tabla Ahorro Futuro Reservas'!C1755*'FR_Mantenimiento tasas'!$E$56/360,IF(C1755&lt;='FR_Mantenimiento tasas'!$C$57,'Tabla Ahorro Futuro Reservas'!C1755*'FR_Mantenimiento tasas'!$E$57/360,""))),5)</f>
        <v>0</v>
      </c>
    </row>
    <row r="1756" spans="1:5">
      <c r="A1756" s="123">
        <f t="shared" si="54"/>
        <v>1754</v>
      </c>
      <c r="B1756" s="122">
        <f>IF(DAY(A1756)=DAY('F-Ahorro Futuro Reservas'!$H$10),'F-Ahorro Futuro Reservas'!$H$9,0)</f>
        <v>0</v>
      </c>
      <c r="C1756" s="122">
        <f t="shared" si="55"/>
        <v>0</v>
      </c>
      <c r="D1756" s="121">
        <f>ROUND(IF(C1756&lt;='FR_Mantenimiento tasas'!$C$55,'Tabla Ahorro Futuro Reservas'!C1756*'FR_Mantenimiento tasas'!$D$55/360,IF(C1756&lt;='FR_Mantenimiento tasas'!$C$56,'Tabla Ahorro Futuro Reservas'!C1756*'FR_Mantenimiento tasas'!$D$56/360,IF(C1756&lt;='FR_Mantenimiento tasas'!$C$57,'Tabla Ahorro Futuro Reservas'!C1756*'FR_Mantenimiento tasas'!$D$57/360,""))),5)</f>
        <v>0</v>
      </c>
      <c r="E1756" s="121">
        <f>ROUND(IF(C1756&lt;='FR_Mantenimiento tasas'!$C$55,'Tabla Ahorro Futuro Reservas'!C1756*'FR_Mantenimiento tasas'!$E$55/360,IF(C1756&lt;='FR_Mantenimiento tasas'!$C$56,'Tabla Ahorro Futuro Reservas'!C1756*'FR_Mantenimiento tasas'!$E$56/360,IF(C1756&lt;='FR_Mantenimiento tasas'!$C$57,'Tabla Ahorro Futuro Reservas'!C1756*'FR_Mantenimiento tasas'!$E$57/360,""))),5)</f>
        <v>0</v>
      </c>
    </row>
    <row r="1757" spans="1:5">
      <c r="A1757" s="123">
        <f t="shared" si="54"/>
        <v>1755</v>
      </c>
      <c r="B1757" s="122">
        <f>IF(DAY(A1757)=DAY('F-Ahorro Futuro Reservas'!$H$10),'F-Ahorro Futuro Reservas'!$H$9,0)</f>
        <v>0</v>
      </c>
      <c r="C1757" s="122">
        <f t="shared" si="55"/>
        <v>0</v>
      </c>
      <c r="D1757" s="121">
        <f>ROUND(IF(C1757&lt;='FR_Mantenimiento tasas'!$C$55,'Tabla Ahorro Futuro Reservas'!C1757*'FR_Mantenimiento tasas'!$D$55/360,IF(C1757&lt;='FR_Mantenimiento tasas'!$C$56,'Tabla Ahorro Futuro Reservas'!C1757*'FR_Mantenimiento tasas'!$D$56/360,IF(C1757&lt;='FR_Mantenimiento tasas'!$C$57,'Tabla Ahorro Futuro Reservas'!C1757*'FR_Mantenimiento tasas'!$D$57/360,""))),5)</f>
        <v>0</v>
      </c>
      <c r="E1757" s="121">
        <f>ROUND(IF(C1757&lt;='FR_Mantenimiento tasas'!$C$55,'Tabla Ahorro Futuro Reservas'!C1757*'FR_Mantenimiento tasas'!$E$55/360,IF(C1757&lt;='FR_Mantenimiento tasas'!$C$56,'Tabla Ahorro Futuro Reservas'!C1757*'FR_Mantenimiento tasas'!$E$56/360,IF(C1757&lt;='FR_Mantenimiento tasas'!$C$57,'Tabla Ahorro Futuro Reservas'!C1757*'FR_Mantenimiento tasas'!$E$57/360,""))),5)</f>
        <v>0</v>
      </c>
    </row>
    <row r="1758" spans="1:5">
      <c r="A1758" s="123">
        <f t="shared" si="54"/>
        <v>1756</v>
      </c>
      <c r="B1758" s="122">
        <f>IF(DAY(A1758)=DAY('F-Ahorro Futuro Reservas'!$H$10),'F-Ahorro Futuro Reservas'!$H$9,0)</f>
        <v>0</v>
      </c>
      <c r="C1758" s="122">
        <f t="shared" si="55"/>
        <v>0</v>
      </c>
      <c r="D1758" s="121">
        <f>ROUND(IF(C1758&lt;='FR_Mantenimiento tasas'!$C$55,'Tabla Ahorro Futuro Reservas'!C1758*'FR_Mantenimiento tasas'!$D$55/360,IF(C1758&lt;='FR_Mantenimiento tasas'!$C$56,'Tabla Ahorro Futuro Reservas'!C1758*'FR_Mantenimiento tasas'!$D$56/360,IF(C1758&lt;='FR_Mantenimiento tasas'!$C$57,'Tabla Ahorro Futuro Reservas'!C1758*'FR_Mantenimiento tasas'!$D$57/360,""))),5)</f>
        <v>0</v>
      </c>
      <c r="E1758" s="121">
        <f>ROUND(IF(C1758&lt;='FR_Mantenimiento tasas'!$C$55,'Tabla Ahorro Futuro Reservas'!C1758*'FR_Mantenimiento tasas'!$E$55/360,IF(C1758&lt;='FR_Mantenimiento tasas'!$C$56,'Tabla Ahorro Futuro Reservas'!C1758*'FR_Mantenimiento tasas'!$E$56/360,IF(C1758&lt;='FR_Mantenimiento tasas'!$C$57,'Tabla Ahorro Futuro Reservas'!C1758*'FR_Mantenimiento tasas'!$E$57/360,""))),5)</f>
        <v>0</v>
      </c>
    </row>
    <row r="1759" spans="1:5">
      <c r="A1759" s="123">
        <f t="shared" si="54"/>
        <v>1757</v>
      </c>
      <c r="B1759" s="122">
        <f>IF(DAY(A1759)=DAY('F-Ahorro Futuro Reservas'!$H$10),'F-Ahorro Futuro Reservas'!$H$9,0)</f>
        <v>0</v>
      </c>
      <c r="C1759" s="122">
        <f t="shared" si="55"/>
        <v>0</v>
      </c>
      <c r="D1759" s="121">
        <f>ROUND(IF(C1759&lt;='FR_Mantenimiento tasas'!$C$55,'Tabla Ahorro Futuro Reservas'!C1759*'FR_Mantenimiento tasas'!$D$55/360,IF(C1759&lt;='FR_Mantenimiento tasas'!$C$56,'Tabla Ahorro Futuro Reservas'!C1759*'FR_Mantenimiento tasas'!$D$56/360,IF(C1759&lt;='FR_Mantenimiento tasas'!$C$57,'Tabla Ahorro Futuro Reservas'!C1759*'FR_Mantenimiento tasas'!$D$57/360,""))),5)</f>
        <v>0</v>
      </c>
      <c r="E1759" s="121">
        <f>ROUND(IF(C1759&lt;='FR_Mantenimiento tasas'!$C$55,'Tabla Ahorro Futuro Reservas'!C1759*'FR_Mantenimiento tasas'!$E$55/360,IF(C1759&lt;='FR_Mantenimiento tasas'!$C$56,'Tabla Ahorro Futuro Reservas'!C1759*'FR_Mantenimiento tasas'!$E$56/360,IF(C1759&lt;='FR_Mantenimiento tasas'!$C$57,'Tabla Ahorro Futuro Reservas'!C1759*'FR_Mantenimiento tasas'!$E$57/360,""))),5)</f>
        <v>0</v>
      </c>
    </row>
    <row r="1760" spans="1:5">
      <c r="A1760" s="123">
        <f t="shared" si="54"/>
        <v>1758</v>
      </c>
      <c r="B1760" s="122">
        <f>IF(DAY(A1760)=DAY('F-Ahorro Futuro Reservas'!$H$10),'F-Ahorro Futuro Reservas'!$H$9,0)</f>
        <v>0</v>
      </c>
      <c r="C1760" s="122">
        <f t="shared" si="55"/>
        <v>0</v>
      </c>
      <c r="D1760" s="121">
        <f>ROUND(IF(C1760&lt;='FR_Mantenimiento tasas'!$C$55,'Tabla Ahorro Futuro Reservas'!C1760*'FR_Mantenimiento tasas'!$D$55/360,IF(C1760&lt;='FR_Mantenimiento tasas'!$C$56,'Tabla Ahorro Futuro Reservas'!C1760*'FR_Mantenimiento tasas'!$D$56/360,IF(C1760&lt;='FR_Mantenimiento tasas'!$C$57,'Tabla Ahorro Futuro Reservas'!C1760*'FR_Mantenimiento tasas'!$D$57/360,""))),5)</f>
        <v>0</v>
      </c>
      <c r="E1760" s="121">
        <f>ROUND(IF(C1760&lt;='FR_Mantenimiento tasas'!$C$55,'Tabla Ahorro Futuro Reservas'!C1760*'FR_Mantenimiento tasas'!$E$55/360,IF(C1760&lt;='FR_Mantenimiento tasas'!$C$56,'Tabla Ahorro Futuro Reservas'!C1760*'FR_Mantenimiento tasas'!$E$56/360,IF(C1760&lt;='FR_Mantenimiento tasas'!$C$57,'Tabla Ahorro Futuro Reservas'!C1760*'FR_Mantenimiento tasas'!$E$57/360,""))),5)</f>
        <v>0</v>
      </c>
    </row>
    <row r="1761" spans="1:5">
      <c r="A1761" s="123">
        <f t="shared" si="54"/>
        <v>1759</v>
      </c>
      <c r="B1761" s="122">
        <f>IF(DAY(A1761)=DAY('F-Ahorro Futuro Reservas'!$H$10),'F-Ahorro Futuro Reservas'!$H$9,0)</f>
        <v>0</v>
      </c>
      <c r="C1761" s="122">
        <f t="shared" si="55"/>
        <v>0</v>
      </c>
      <c r="D1761" s="121">
        <f>ROUND(IF(C1761&lt;='FR_Mantenimiento tasas'!$C$55,'Tabla Ahorro Futuro Reservas'!C1761*'FR_Mantenimiento tasas'!$D$55/360,IF(C1761&lt;='FR_Mantenimiento tasas'!$C$56,'Tabla Ahorro Futuro Reservas'!C1761*'FR_Mantenimiento tasas'!$D$56/360,IF(C1761&lt;='FR_Mantenimiento tasas'!$C$57,'Tabla Ahorro Futuro Reservas'!C1761*'FR_Mantenimiento tasas'!$D$57/360,""))),5)</f>
        <v>0</v>
      </c>
      <c r="E1761" s="121">
        <f>ROUND(IF(C1761&lt;='FR_Mantenimiento tasas'!$C$55,'Tabla Ahorro Futuro Reservas'!C1761*'FR_Mantenimiento tasas'!$E$55/360,IF(C1761&lt;='FR_Mantenimiento tasas'!$C$56,'Tabla Ahorro Futuro Reservas'!C1761*'FR_Mantenimiento tasas'!$E$56/360,IF(C1761&lt;='FR_Mantenimiento tasas'!$C$57,'Tabla Ahorro Futuro Reservas'!C1761*'FR_Mantenimiento tasas'!$E$57/360,""))),5)</f>
        <v>0</v>
      </c>
    </row>
    <row r="1762" spans="1:5">
      <c r="A1762" s="123">
        <f t="shared" si="54"/>
        <v>1760</v>
      </c>
      <c r="B1762" s="122">
        <f>IF(DAY(A1762)=DAY('F-Ahorro Futuro Reservas'!$H$10),'F-Ahorro Futuro Reservas'!$H$9,0)</f>
        <v>0</v>
      </c>
      <c r="C1762" s="122">
        <f t="shared" si="55"/>
        <v>0</v>
      </c>
      <c r="D1762" s="121">
        <f>ROUND(IF(C1762&lt;='FR_Mantenimiento tasas'!$C$55,'Tabla Ahorro Futuro Reservas'!C1762*'FR_Mantenimiento tasas'!$D$55/360,IF(C1762&lt;='FR_Mantenimiento tasas'!$C$56,'Tabla Ahorro Futuro Reservas'!C1762*'FR_Mantenimiento tasas'!$D$56/360,IF(C1762&lt;='FR_Mantenimiento tasas'!$C$57,'Tabla Ahorro Futuro Reservas'!C1762*'FR_Mantenimiento tasas'!$D$57/360,""))),5)</f>
        <v>0</v>
      </c>
      <c r="E1762" s="121">
        <f>ROUND(IF(C1762&lt;='FR_Mantenimiento tasas'!$C$55,'Tabla Ahorro Futuro Reservas'!C1762*'FR_Mantenimiento tasas'!$E$55/360,IF(C1762&lt;='FR_Mantenimiento tasas'!$C$56,'Tabla Ahorro Futuro Reservas'!C1762*'FR_Mantenimiento tasas'!$E$56/360,IF(C1762&lt;='FR_Mantenimiento tasas'!$C$57,'Tabla Ahorro Futuro Reservas'!C1762*'FR_Mantenimiento tasas'!$E$57/360,""))),5)</f>
        <v>0</v>
      </c>
    </row>
    <row r="1763" spans="1:5">
      <c r="A1763" s="123">
        <f t="shared" si="54"/>
        <v>1761</v>
      </c>
      <c r="B1763" s="122">
        <f>IF(DAY(A1763)=DAY('F-Ahorro Futuro Reservas'!$H$10),'F-Ahorro Futuro Reservas'!$H$9,0)</f>
        <v>0</v>
      </c>
      <c r="C1763" s="122">
        <f t="shared" si="55"/>
        <v>0</v>
      </c>
      <c r="D1763" s="121">
        <f>ROUND(IF(C1763&lt;='FR_Mantenimiento tasas'!$C$55,'Tabla Ahorro Futuro Reservas'!C1763*'FR_Mantenimiento tasas'!$D$55/360,IF(C1763&lt;='FR_Mantenimiento tasas'!$C$56,'Tabla Ahorro Futuro Reservas'!C1763*'FR_Mantenimiento tasas'!$D$56/360,IF(C1763&lt;='FR_Mantenimiento tasas'!$C$57,'Tabla Ahorro Futuro Reservas'!C1763*'FR_Mantenimiento tasas'!$D$57/360,""))),5)</f>
        <v>0</v>
      </c>
      <c r="E1763" s="121">
        <f>ROUND(IF(C1763&lt;='FR_Mantenimiento tasas'!$C$55,'Tabla Ahorro Futuro Reservas'!C1763*'FR_Mantenimiento tasas'!$E$55/360,IF(C1763&lt;='FR_Mantenimiento tasas'!$C$56,'Tabla Ahorro Futuro Reservas'!C1763*'FR_Mantenimiento tasas'!$E$56/360,IF(C1763&lt;='FR_Mantenimiento tasas'!$C$57,'Tabla Ahorro Futuro Reservas'!C1763*'FR_Mantenimiento tasas'!$E$57/360,""))),5)</f>
        <v>0</v>
      </c>
    </row>
    <row r="1764" spans="1:5">
      <c r="A1764" s="123">
        <f t="shared" si="54"/>
        <v>1762</v>
      </c>
      <c r="B1764" s="122">
        <f>IF(DAY(A1764)=DAY('F-Ahorro Futuro Reservas'!$H$10),'F-Ahorro Futuro Reservas'!$H$9,0)</f>
        <v>0</v>
      </c>
      <c r="C1764" s="122">
        <f t="shared" si="55"/>
        <v>0</v>
      </c>
      <c r="D1764" s="121">
        <f>ROUND(IF(C1764&lt;='FR_Mantenimiento tasas'!$C$55,'Tabla Ahorro Futuro Reservas'!C1764*'FR_Mantenimiento tasas'!$D$55/360,IF(C1764&lt;='FR_Mantenimiento tasas'!$C$56,'Tabla Ahorro Futuro Reservas'!C1764*'FR_Mantenimiento tasas'!$D$56/360,IF(C1764&lt;='FR_Mantenimiento tasas'!$C$57,'Tabla Ahorro Futuro Reservas'!C1764*'FR_Mantenimiento tasas'!$D$57/360,""))),5)</f>
        <v>0</v>
      </c>
      <c r="E1764" s="121">
        <f>ROUND(IF(C1764&lt;='FR_Mantenimiento tasas'!$C$55,'Tabla Ahorro Futuro Reservas'!C1764*'FR_Mantenimiento tasas'!$E$55/360,IF(C1764&lt;='FR_Mantenimiento tasas'!$C$56,'Tabla Ahorro Futuro Reservas'!C1764*'FR_Mantenimiento tasas'!$E$56/360,IF(C1764&lt;='FR_Mantenimiento tasas'!$C$57,'Tabla Ahorro Futuro Reservas'!C1764*'FR_Mantenimiento tasas'!$E$57/360,""))),5)</f>
        <v>0</v>
      </c>
    </row>
    <row r="1765" spans="1:5">
      <c r="A1765" s="123">
        <f t="shared" si="54"/>
        <v>1763</v>
      </c>
      <c r="B1765" s="122">
        <f>IF(DAY(A1765)=DAY('F-Ahorro Futuro Reservas'!$H$10),'F-Ahorro Futuro Reservas'!$H$9,0)</f>
        <v>0</v>
      </c>
      <c r="C1765" s="122">
        <f t="shared" si="55"/>
        <v>0</v>
      </c>
      <c r="D1765" s="121">
        <f>ROUND(IF(C1765&lt;='FR_Mantenimiento tasas'!$C$55,'Tabla Ahorro Futuro Reservas'!C1765*'FR_Mantenimiento tasas'!$D$55/360,IF(C1765&lt;='FR_Mantenimiento tasas'!$C$56,'Tabla Ahorro Futuro Reservas'!C1765*'FR_Mantenimiento tasas'!$D$56/360,IF(C1765&lt;='FR_Mantenimiento tasas'!$C$57,'Tabla Ahorro Futuro Reservas'!C1765*'FR_Mantenimiento tasas'!$D$57/360,""))),5)</f>
        <v>0</v>
      </c>
      <c r="E1765" s="121">
        <f>ROUND(IF(C1765&lt;='FR_Mantenimiento tasas'!$C$55,'Tabla Ahorro Futuro Reservas'!C1765*'FR_Mantenimiento tasas'!$E$55/360,IF(C1765&lt;='FR_Mantenimiento tasas'!$C$56,'Tabla Ahorro Futuro Reservas'!C1765*'FR_Mantenimiento tasas'!$E$56/360,IF(C1765&lt;='FR_Mantenimiento tasas'!$C$57,'Tabla Ahorro Futuro Reservas'!C1765*'FR_Mantenimiento tasas'!$E$57/360,""))),5)</f>
        <v>0</v>
      </c>
    </row>
    <row r="1766" spans="1:5">
      <c r="A1766" s="123">
        <f t="shared" si="54"/>
        <v>1764</v>
      </c>
      <c r="B1766" s="122">
        <f>IF(DAY(A1766)=DAY('F-Ahorro Futuro Reservas'!$H$10),'F-Ahorro Futuro Reservas'!$H$9,0)</f>
        <v>0</v>
      </c>
      <c r="C1766" s="122">
        <f t="shared" si="55"/>
        <v>0</v>
      </c>
      <c r="D1766" s="121">
        <f>ROUND(IF(C1766&lt;='FR_Mantenimiento tasas'!$C$55,'Tabla Ahorro Futuro Reservas'!C1766*'FR_Mantenimiento tasas'!$D$55/360,IF(C1766&lt;='FR_Mantenimiento tasas'!$C$56,'Tabla Ahorro Futuro Reservas'!C1766*'FR_Mantenimiento tasas'!$D$56/360,IF(C1766&lt;='FR_Mantenimiento tasas'!$C$57,'Tabla Ahorro Futuro Reservas'!C1766*'FR_Mantenimiento tasas'!$D$57/360,""))),5)</f>
        <v>0</v>
      </c>
      <c r="E1766" s="121">
        <f>ROUND(IF(C1766&lt;='FR_Mantenimiento tasas'!$C$55,'Tabla Ahorro Futuro Reservas'!C1766*'FR_Mantenimiento tasas'!$E$55/360,IF(C1766&lt;='FR_Mantenimiento tasas'!$C$56,'Tabla Ahorro Futuro Reservas'!C1766*'FR_Mantenimiento tasas'!$E$56/360,IF(C1766&lt;='FR_Mantenimiento tasas'!$C$57,'Tabla Ahorro Futuro Reservas'!C1766*'FR_Mantenimiento tasas'!$E$57/360,""))),5)</f>
        <v>0</v>
      </c>
    </row>
    <row r="1767" spans="1:5">
      <c r="A1767" s="123">
        <f t="shared" si="54"/>
        <v>1765</v>
      </c>
      <c r="B1767" s="122">
        <f>IF(DAY(A1767)=DAY('F-Ahorro Futuro Reservas'!$H$10),'F-Ahorro Futuro Reservas'!$H$9,0)</f>
        <v>0</v>
      </c>
      <c r="C1767" s="122">
        <f t="shared" si="55"/>
        <v>0</v>
      </c>
      <c r="D1767" s="121">
        <f>ROUND(IF(C1767&lt;='FR_Mantenimiento tasas'!$C$55,'Tabla Ahorro Futuro Reservas'!C1767*'FR_Mantenimiento tasas'!$D$55/360,IF(C1767&lt;='FR_Mantenimiento tasas'!$C$56,'Tabla Ahorro Futuro Reservas'!C1767*'FR_Mantenimiento tasas'!$D$56/360,IF(C1767&lt;='FR_Mantenimiento tasas'!$C$57,'Tabla Ahorro Futuro Reservas'!C1767*'FR_Mantenimiento tasas'!$D$57/360,""))),5)</f>
        <v>0</v>
      </c>
      <c r="E1767" s="121">
        <f>ROUND(IF(C1767&lt;='FR_Mantenimiento tasas'!$C$55,'Tabla Ahorro Futuro Reservas'!C1767*'FR_Mantenimiento tasas'!$E$55/360,IF(C1767&lt;='FR_Mantenimiento tasas'!$C$56,'Tabla Ahorro Futuro Reservas'!C1767*'FR_Mantenimiento tasas'!$E$56/360,IF(C1767&lt;='FR_Mantenimiento tasas'!$C$57,'Tabla Ahorro Futuro Reservas'!C1767*'FR_Mantenimiento tasas'!$E$57/360,""))),5)</f>
        <v>0</v>
      </c>
    </row>
    <row r="1768" spans="1:5">
      <c r="A1768" s="123">
        <f t="shared" si="54"/>
        <v>1766</v>
      </c>
      <c r="B1768" s="122">
        <f>IF(DAY(A1768)=DAY('F-Ahorro Futuro Reservas'!$H$10),'F-Ahorro Futuro Reservas'!$H$9,0)</f>
        <v>0</v>
      </c>
      <c r="C1768" s="122">
        <f t="shared" si="55"/>
        <v>0</v>
      </c>
      <c r="D1768" s="121">
        <f>ROUND(IF(C1768&lt;='FR_Mantenimiento tasas'!$C$55,'Tabla Ahorro Futuro Reservas'!C1768*'FR_Mantenimiento tasas'!$D$55/360,IF(C1768&lt;='FR_Mantenimiento tasas'!$C$56,'Tabla Ahorro Futuro Reservas'!C1768*'FR_Mantenimiento tasas'!$D$56/360,IF(C1768&lt;='FR_Mantenimiento tasas'!$C$57,'Tabla Ahorro Futuro Reservas'!C1768*'FR_Mantenimiento tasas'!$D$57/360,""))),5)</f>
        <v>0</v>
      </c>
      <c r="E1768" s="121">
        <f>ROUND(IF(C1768&lt;='FR_Mantenimiento tasas'!$C$55,'Tabla Ahorro Futuro Reservas'!C1768*'FR_Mantenimiento tasas'!$E$55/360,IF(C1768&lt;='FR_Mantenimiento tasas'!$C$56,'Tabla Ahorro Futuro Reservas'!C1768*'FR_Mantenimiento tasas'!$E$56/360,IF(C1768&lt;='FR_Mantenimiento tasas'!$C$57,'Tabla Ahorro Futuro Reservas'!C1768*'FR_Mantenimiento tasas'!$E$57/360,""))),5)</f>
        <v>0</v>
      </c>
    </row>
    <row r="1769" spans="1:5">
      <c r="A1769" s="123">
        <f t="shared" si="54"/>
        <v>1767</v>
      </c>
      <c r="B1769" s="122">
        <f>IF(DAY(A1769)=DAY('F-Ahorro Futuro Reservas'!$H$10),'F-Ahorro Futuro Reservas'!$H$9,0)</f>
        <v>0</v>
      </c>
      <c r="C1769" s="122">
        <f t="shared" si="55"/>
        <v>0</v>
      </c>
      <c r="D1769" s="121">
        <f>ROUND(IF(C1769&lt;='FR_Mantenimiento tasas'!$C$55,'Tabla Ahorro Futuro Reservas'!C1769*'FR_Mantenimiento tasas'!$D$55/360,IF(C1769&lt;='FR_Mantenimiento tasas'!$C$56,'Tabla Ahorro Futuro Reservas'!C1769*'FR_Mantenimiento tasas'!$D$56/360,IF(C1769&lt;='FR_Mantenimiento tasas'!$C$57,'Tabla Ahorro Futuro Reservas'!C1769*'FR_Mantenimiento tasas'!$D$57/360,""))),5)</f>
        <v>0</v>
      </c>
      <c r="E1769" s="121">
        <f>ROUND(IF(C1769&lt;='FR_Mantenimiento tasas'!$C$55,'Tabla Ahorro Futuro Reservas'!C1769*'FR_Mantenimiento tasas'!$E$55/360,IF(C1769&lt;='FR_Mantenimiento tasas'!$C$56,'Tabla Ahorro Futuro Reservas'!C1769*'FR_Mantenimiento tasas'!$E$56/360,IF(C1769&lt;='FR_Mantenimiento tasas'!$C$57,'Tabla Ahorro Futuro Reservas'!C1769*'FR_Mantenimiento tasas'!$E$57/360,""))),5)</f>
        <v>0</v>
      </c>
    </row>
    <row r="1770" spans="1:5">
      <c r="A1770" s="123">
        <f t="shared" si="54"/>
        <v>1768</v>
      </c>
      <c r="B1770" s="122">
        <f>IF(DAY(A1770)=DAY('F-Ahorro Futuro Reservas'!$H$10),'F-Ahorro Futuro Reservas'!$H$9,0)</f>
        <v>0</v>
      </c>
      <c r="C1770" s="122">
        <f t="shared" si="55"/>
        <v>0</v>
      </c>
      <c r="D1770" s="121">
        <f>ROUND(IF(C1770&lt;='FR_Mantenimiento tasas'!$C$55,'Tabla Ahorro Futuro Reservas'!C1770*'FR_Mantenimiento tasas'!$D$55/360,IF(C1770&lt;='FR_Mantenimiento tasas'!$C$56,'Tabla Ahorro Futuro Reservas'!C1770*'FR_Mantenimiento tasas'!$D$56/360,IF(C1770&lt;='FR_Mantenimiento tasas'!$C$57,'Tabla Ahorro Futuro Reservas'!C1770*'FR_Mantenimiento tasas'!$D$57/360,""))),5)</f>
        <v>0</v>
      </c>
      <c r="E1770" s="121">
        <f>ROUND(IF(C1770&lt;='FR_Mantenimiento tasas'!$C$55,'Tabla Ahorro Futuro Reservas'!C1770*'FR_Mantenimiento tasas'!$E$55/360,IF(C1770&lt;='FR_Mantenimiento tasas'!$C$56,'Tabla Ahorro Futuro Reservas'!C1770*'FR_Mantenimiento tasas'!$E$56/360,IF(C1770&lt;='FR_Mantenimiento tasas'!$C$57,'Tabla Ahorro Futuro Reservas'!C1770*'FR_Mantenimiento tasas'!$E$57/360,""))),5)</f>
        <v>0</v>
      </c>
    </row>
    <row r="1771" spans="1:5">
      <c r="A1771" s="123">
        <f t="shared" si="54"/>
        <v>1769</v>
      </c>
      <c r="B1771" s="122">
        <f>IF(DAY(A1771)=DAY('F-Ahorro Futuro Reservas'!$H$10),'F-Ahorro Futuro Reservas'!$H$9,0)</f>
        <v>0</v>
      </c>
      <c r="C1771" s="122">
        <f t="shared" si="55"/>
        <v>0</v>
      </c>
      <c r="D1771" s="121">
        <f>ROUND(IF(C1771&lt;='FR_Mantenimiento tasas'!$C$55,'Tabla Ahorro Futuro Reservas'!C1771*'FR_Mantenimiento tasas'!$D$55/360,IF(C1771&lt;='FR_Mantenimiento tasas'!$C$56,'Tabla Ahorro Futuro Reservas'!C1771*'FR_Mantenimiento tasas'!$D$56/360,IF(C1771&lt;='FR_Mantenimiento tasas'!$C$57,'Tabla Ahorro Futuro Reservas'!C1771*'FR_Mantenimiento tasas'!$D$57/360,""))),5)</f>
        <v>0</v>
      </c>
      <c r="E1771" s="121">
        <f>ROUND(IF(C1771&lt;='FR_Mantenimiento tasas'!$C$55,'Tabla Ahorro Futuro Reservas'!C1771*'FR_Mantenimiento tasas'!$E$55/360,IF(C1771&lt;='FR_Mantenimiento tasas'!$C$56,'Tabla Ahorro Futuro Reservas'!C1771*'FR_Mantenimiento tasas'!$E$56/360,IF(C1771&lt;='FR_Mantenimiento tasas'!$C$57,'Tabla Ahorro Futuro Reservas'!C1771*'FR_Mantenimiento tasas'!$E$57/360,""))),5)</f>
        <v>0</v>
      </c>
    </row>
    <row r="1772" spans="1:5">
      <c r="A1772" s="123">
        <f t="shared" si="54"/>
        <v>1770</v>
      </c>
      <c r="B1772" s="122">
        <f>IF(DAY(A1772)=DAY('F-Ahorro Futuro Reservas'!$H$10),'F-Ahorro Futuro Reservas'!$H$9,0)</f>
        <v>0</v>
      </c>
      <c r="C1772" s="122">
        <f t="shared" si="55"/>
        <v>0</v>
      </c>
      <c r="D1772" s="121">
        <f>ROUND(IF(C1772&lt;='FR_Mantenimiento tasas'!$C$55,'Tabla Ahorro Futuro Reservas'!C1772*'FR_Mantenimiento tasas'!$D$55/360,IF(C1772&lt;='FR_Mantenimiento tasas'!$C$56,'Tabla Ahorro Futuro Reservas'!C1772*'FR_Mantenimiento tasas'!$D$56/360,IF(C1772&lt;='FR_Mantenimiento tasas'!$C$57,'Tabla Ahorro Futuro Reservas'!C1772*'FR_Mantenimiento tasas'!$D$57/360,""))),5)</f>
        <v>0</v>
      </c>
      <c r="E1772" s="121">
        <f>ROUND(IF(C1772&lt;='FR_Mantenimiento tasas'!$C$55,'Tabla Ahorro Futuro Reservas'!C1772*'FR_Mantenimiento tasas'!$E$55/360,IF(C1772&lt;='FR_Mantenimiento tasas'!$C$56,'Tabla Ahorro Futuro Reservas'!C1772*'FR_Mantenimiento tasas'!$E$56/360,IF(C1772&lt;='FR_Mantenimiento tasas'!$C$57,'Tabla Ahorro Futuro Reservas'!C1772*'FR_Mantenimiento tasas'!$E$57/360,""))),5)</f>
        <v>0</v>
      </c>
    </row>
    <row r="1773" spans="1:5">
      <c r="A1773" s="123">
        <f t="shared" si="54"/>
        <v>1771</v>
      </c>
      <c r="B1773" s="122">
        <f>IF(DAY(A1773)=DAY('F-Ahorro Futuro Reservas'!$H$10),'F-Ahorro Futuro Reservas'!$H$9,0)</f>
        <v>0</v>
      </c>
      <c r="C1773" s="122">
        <f t="shared" si="55"/>
        <v>0</v>
      </c>
      <c r="D1773" s="121">
        <f>ROUND(IF(C1773&lt;='FR_Mantenimiento tasas'!$C$55,'Tabla Ahorro Futuro Reservas'!C1773*'FR_Mantenimiento tasas'!$D$55/360,IF(C1773&lt;='FR_Mantenimiento tasas'!$C$56,'Tabla Ahorro Futuro Reservas'!C1773*'FR_Mantenimiento tasas'!$D$56/360,IF(C1773&lt;='FR_Mantenimiento tasas'!$C$57,'Tabla Ahorro Futuro Reservas'!C1773*'FR_Mantenimiento tasas'!$D$57/360,""))),5)</f>
        <v>0</v>
      </c>
      <c r="E1773" s="121">
        <f>ROUND(IF(C1773&lt;='FR_Mantenimiento tasas'!$C$55,'Tabla Ahorro Futuro Reservas'!C1773*'FR_Mantenimiento tasas'!$E$55/360,IF(C1773&lt;='FR_Mantenimiento tasas'!$C$56,'Tabla Ahorro Futuro Reservas'!C1773*'FR_Mantenimiento tasas'!$E$56/360,IF(C1773&lt;='FR_Mantenimiento tasas'!$C$57,'Tabla Ahorro Futuro Reservas'!C1773*'FR_Mantenimiento tasas'!$E$57/360,""))),5)</f>
        <v>0</v>
      </c>
    </row>
    <row r="1774" spans="1:5">
      <c r="A1774" s="123">
        <f t="shared" si="54"/>
        <v>1772</v>
      </c>
      <c r="B1774" s="122">
        <f>IF(DAY(A1774)=DAY('F-Ahorro Futuro Reservas'!$H$10),'F-Ahorro Futuro Reservas'!$H$9,0)</f>
        <v>0</v>
      </c>
      <c r="C1774" s="122">
        <f t="shared" si="55"/>
        <v>0</v>
      </c>
      <c r="D1774" s="121">
        <f>ROUND(IF(C1774&lt;='FR_Mantenimiento tasas'!$C$55,'Tabla Ahorro Futuro Reservas'!C1774*'FR_Mantenimiento tasas'!$D$55/360,IF(C1774&lt;='FR_Mantenimiento tasas'!$C$56,'Tabla Ahorro Futuro Reservas'!C1774*'FR_Mantenimiento tasas'!$D$56/360,IF(C1774&lt;='FR_Mantenimiento tasas'!$C$57,'Tabla Ahorro Futuro Reservas'!C1774*'FR_Mantenimiento tasas'!$D$57/360,""))),5)</f>
        <v>0</v>
      </c>
      <c r="E1774" s="121">
        <f>ROUND(IF(C1774&lt;='FR_Mantenimiento tasas'!$C$55,'Tabla Ahorro Futuro Reservas'!C1774*'FR_Mantenimiento tasas'!$E$55/360,IF(C1774&lt;='FR_Mantenimiento tasas'!$C$56,'Tabla Ahorro Futuro Reservas'!C1774*'FR_Mantenimiento tasas'!$E$56/360,IF(C1774&lt;='FR_Mantenimiento tasas'!$C$57,'Tabla Ahorro Futuro Reservas'!C1774*'FR_Mantenimiento tasas'!$E$57/360,""))),5)</f>
        <v>0</v>
      </c>
    </row>
    <row r="1775" spans="1:5">
      <c r="A1775" s="123">
        <f t="shared" si="54"/>
        <v>1773</v>
      </c>
      <c r="B1775" s="122">
        <f>IF(DAY(A1775)=DAY('F-Ahorro Futuro Reservas'!$H$10),'F-Ahorro Futuro Reservas'!$H$9,0)</f>
        <v>0</v>
      </c>
      <c r="C1775" s="122">
        <f t="shared" si="55"/>
        <v>0</v>
      </c>
      <c r="D1775" s="121">
        <f>ROUND(IF(C1775&lt;='FR_Mantenimiento tasas'!$C$55,'Tabla Ahorro Futuro Reservas'!C1775*'FR_Mantenimiento tasas'!$D$55/360,IF(C1775&lt;='FR_Mantenimiento tasas'!$C$56,'Tabla Ahorro Futuro Reservas'!C1775*'FR_Mantenimiento tasas'!$D$56/360,IF(C1775&lt;='FR_Mantenimiento tasas'!$C$57,'Tabla Ahorro Futuro Reservas'!C1775*'FR_Mantenimiento tasas'!$D$57/360,""))),5)</f>
        <v>0</v>
      </c>
      <c r="E1775" s="121">
        <f>ROUND(IF(C1775&lt;='FR_Mantenimiento tasas'!$C$55,'Tabla Ahorro Futuro Reservas'!C1775*'FR_Mantenimiento tasas'!$E$55/360,IF(C1775&lt;='FR_Mantenimiento tasas'!$C$56,'Tabla Ahorro Futuro Reservas'!C1775*'FR_Mantenimiento tasas'!$E$56/360,IF(C1775&lt;='FR_Mantenimiento tasas'!$C$57,'Tabla Ahorro Futuro Reservas'!C1775*'FR_Mantenimiento tasas'!$E$57/360,""))),5)</f>
        <v>0</v>
      </c>
    </row>
    <row r="1776" spans="1:5">
      <c r="A1776" s="123">
        <f t="shared" si="54"/>
        <v>1774</v>
      </c>
      <c r="B1776" s="122">
        <f>IF(DAY(A1776)=DAY('F-Ahorro Futuro Reservas'!$H$10),'F-Ahorro Futuro Reservas'!$H$9,0)</f>
        <v>0</v>
      </c>
      <c r="C1776" s="122">
        <f t="shared" si="55"/>
        <v>0</v>
      </c>
      <c r="D1776" s="121">
        <f>ROUND(IF(C1776&lt;='FR_Mantenimiento tasas'!$C$55,'Tabla Ahorro Futuro Reservas'!C1776*'FR_Mantenimiento tasas'!$D$55/360,IF(C1776&lt;='FR_Mantenimiento tasas'!$C$56,'Tabla Ahorro Futuro Reservas'!C1776*'FR_Mantenimiento tasas'!$D$56/360,IF(C1776&lt;='FR_Mantenimiento tasas'!$C$57,'Tabla Ahorro Futuro Reservas'!C1776*'FR_Mantenimiento tasas'!$D$57/360,""))),5)</f>
        <v>0</v>
      </c>
      <c r="E1776" s="121">
        <f>ROUND(IF(C1776&lt;='FR_Mantenimiento tasas'!$C$55,'Tabla Ahorro Futuro Reservas'!C1776*'FR_Mantenimiento tasas'!$E$55/360,IF(C1776&lt;='FR_Mantenimiento tasas'!$C$56,'Tabla Ahorro Futuro Reservas'!C1776*'FR_Mantenimiento tasas'!$E$56/360,IF(C1776&lt;='FR_Mantenimiento tasas'!$C$57,'Tabla Ahorro Futuro Reservas'!C1776*'FR_Mantenimiento tasas'!$E$57/360,""))),5)</f>
        <v>0</v>
      </c>
    </row>
    <row r="1777" spans="1:5">
      <c r="A1777" s="123">
        <f t="shared" si="54"/>
        <v>1775</v>
      </c>
      <c r="B1777" s="122">
        <f>IF(DAY(A1777)=DAY('F-Ahorro Futuro Reservas'!$H$10),'F-Ahorro Futuro Reservas'!$H$9,0)</f>
        <v>0</v>
      </c>
      <c r="C1777" s="122">
        <f t="shared" si="55"/>
        <v>0</v>
      </c>
      <c r="D1777" s="121">
        <f>ROUND(IF(C1777&lt;='FR_Mantenimiento tasas'!$C$55,'Tabla Ahorro Futuro Reservas'!C1777*'FR_Mantenimiento tasas'!$D$55/360,IF(C1777&lt;='FR_Mantenimiento tasas'!$C$56,'Tabla Ahorro Futuro Reservas'!C1777*'FR_Mantenimiento tasas'!$D$56/360,IF(C1777&lt;='FR_Mantenimiento tasas'!$C$57,'Tabla Ahorro Futuro Reservas'!C1777*'FR_Mantenimiento tasas'!$D$57/360,""))),5)</f>
        <v>0</v>
      </c>
      <c r="E1777" s="121">
        <f>ROUND(IF(C1777&lt;='FR_Mantenimiento tasas'!$C$55,'Tabla Ahorro Futuro Reservas'!C1777*'FR_Mantenimiento tasas'!$E$55/360,IF(C1777&lt;='FR_Mantenimiento tasas'!$C$56,'Tabla Ahorro Futuro Reservas'!C1777*'FR_Mantenimiento tasas'!$E$56/360,IF(C1777&lt;='FR_Mantenimiento tasas'!$C$57,'Tabla Ahorro Futuro Reservas'!C1777*'FR_Mantenimiento tasas'!$E$57/360,""))),5)</f>
        <v>0</v>
      </c>
    </row>
    <row r="1778" spans="1:5">
      <c r="A1778" s="123">
        <f t="shared" si="54"/>
        <v>1776</v>
      </c>
      <c r="B1778" s="122">
        <f>IF(DAY(A1778)=DAY('F-Ahorro Futuro Reservas'!$H$10),'F-Ahorro Futuro Reservas'!$H$9,0)</f>
        <v>0</v>
      </c>
      <c r="C1778" s="122">
        <f t="shared" si="55"/>
        <v>0</v>
      </c>
      <c r="D1778" s="121">
        <f>ROUND(IF(C1778&lt;='FR_Mantenimiento tasas'!$C$55,'Tabla Ahorro Futuro Reservas'!C1778*'FR_Mantenimiento tasas'!$D$55/360,IF(C1778&lt;='FR_Mantenimiento tasas'!$C$56,'Tabla Ahorro Futuro Reservas'!C1778*'FR_Mantenimiento tasas'!$D$56/360,IF(C1778&lt;='FR_Mantenimiento tasas'!$C$57,'Tabla Ahorro Futuro Reservas'!C1778*'FR_Mantenimiento tasas'!$D$57/360,""))),5)</f>
        <v>0</v>
      </c>
      <c r="E1778" s="121">
        <f>ROUND(IF(C1778&lt;='FR_Mantenimiento tasas'!$C$55,'Tabla Ahorro Futuro Reservas'!C1778*'FR_Mantenimiento tasas'!$E$55/360,IF(C1778&lt;='FR_Mantenimiento tasas'!$C$56,'Tabla Ahorro Futuro Reservas'!C1778*'FR_Mantenimiento tasas'!$E$56/360,IF(C1778&lt;='FR_Mantenimiento tasas'!$C$57,'Tabla Ahorro Futuro Reservas'!C1778*'FR_Mantenimiento tasas'!$E$57/360,""))),5)</f>
        <v>0</v>
      </c>
    </row>
    <row r="1779" spans="1:5">
      <c r="A1779" s="123">
        <f t="shared" si="54"/>
        <v>1777</v>
      </c>
      <c r="B1779" s="122">
        <f>IF(DAY(A1779)=DAY('F-Ahorro Futuro Reservas'!$H$10),'F-Ahorro Futuro Reservas'!$H$9,0)</f>
        <v>0</v>
      </c>
      <c r="C1779" s="122">
        <f t="shared" si="55"/>
        <v>0</v>
      </c>
      <c r="D1779" s="121">
        <f>ROUND(IF(C1779&lt;='FR_Mantenimiento tasas'!$C$55,'Tabla Ahorro Futuro Reservas'!C1779*'FR_Mantenimiento tasas'!$D$55/360,IF(C1779&lt;='FR_Mantenimiento tasas'!$C$56,'Tabla Ahorro Futuro Reservas'!C1779*'FR_Mantenimiento tasas'!$D$56/360,IF(C1779&lt;='FR_Mantenimiento tasas'!$C$57,'Tabla Ahorro Futuro Reservas'!C1779*'FR_Mantenimiento tasas'!$D$57/360,""))),5)</f>
        <v>0</v>
      </c>
      <c r="E1779" s="121">
        <f>ROUND(IF(C1779&lt;='FR_Mantenimiento tasas'!$C$55,'Tabla Ahorro Futuro Reservas'!C1779*'FR_Mantenimiento tasas'!$E$55/360,IF(C1779&lt;='FR_Mantenimiento tasas'!$C$56,'Tabla Ahorro Futuro Reservas'!C1779*'FR_Mantenimiento tasas'!$E$56/360,IF(C1779&lt;='FR_Mantenimiento tasas'!$C$57,'Tabla Ahorro Futuro Reservas'!C1779*'FR_Mantenimiento tasas'!$E$57/360,""))),5)</f>
        <v>0</v>
      </c>
    </row>
    <row r="1780" spans="1:5">
      <c r="A1780" s="123">
        <f t="shared" si="54"/>
        <v>1778</v>
      </c>
      <c r="B1780" s="122">
        <f>IF(DAY(A1780)=DAY('F-Ahorro Futuro Reservas'!$H$10),'F-Ahorro Futuro Reservas'!$H$9,0)</f>
        <v>0</v>
      </c>
      <c r="C1780" s="122">
        <f t="shared" si="55"/>
        <v>0</v>
      </c>
      <c r="D1780" s="121">
        <f>ROUND(IF(C1780&lt;='FR_Mantenimiento tasas'!$C$55,'Tabla Ahorro Futuro Reservas'!C1780*'FR_Mantenimiento tasas'!$D$55/360,IF(C1780&lt;='FR_Mantenimiento tasas'!$C$56,'Tabla Ahorro Futuro Reservas'!C1780*'FR_Mantenimiento tasas'!$D$56/360,IF(C1780&lt;='FR_Mantenimiento tasas'!$C$57,'Tabla Ahorro Futuro Reservas'!C1780*'FR_Mantenimiento tasas'!$D$57/360,""))),5)</f>
        <v>0</v>
      </c>
      <c r="E1780" s="121">
        <f>ROUND(IF(C1780&lt;='FR_Mantenimiento tasas'!$C$55,'Tabla Ahorro Futuro Reservas'!C1780*'FR_Mantenimiento tasas'!$E$55/360,IF(C1780&lt;='FR_Mantenimiento tasas'!$C$56,'Tabla Ahorro Futuro Reservas'!C1780*'FR_Mantenimiento tasas'!$E$56/360,IF(C1780&lt;='FR_Mantenimiento tasas'!$C$57,'Tabla Ahorro Futuro Reservas'!C1780*'FR_Mantenimiento tasas'!$E$57/360,""))),5)</f>
        <v>0</v>
      </c>
    </row>
    <row r="1781" spans="1:5">
      <c r="A1781" s="123">
        <f t="shared" si="54"/>
        <v>1779</v>
      </c>
      <c r="B1781" s="122">
        <f>IF(DAY(A1781)=DAY('F-Ahorro Futuro Reservas'!$H$10),'F-Ahorro Futuro Reservas'!$H$9,0)</f>
        <v>0</v>
      </c>
      <c r="C1781" s="122">
        <f t="shared" si="55"/>
        <v>0</v>
      </c>
      <c r="D1781" s="121">
        <f>ROUND(IF(C1781&lt;='FR_Mantenimiento tasas'!$C$55,'Tabla Ahorro Futuro Reservas'!C1781*'FR_Mantenimiento tasas'!$D$55/360,IF(C1781&lt;='FR_Mantenimiento tasas'!$C$56,'Tabla Ahorro Futuro Reservas'!C1781*'FR_Mantenimiento tasas'!$D$56/360,IF(C1781&lt;='FR_Mantenimiento tasas'!$C$57,'Tabla Ahorro Futuro Reservas'!C1781*'FR_Mantenimiento tasas'!$D$57/360,""))),5)</f>
        <v>0</v>
      </c>
      <c r="E1781" s="121">
        <f>ROUND(IF(C1781&lt;='FR_Mantenimiento tasas'!$C$55,'Tabla Ahorro Futuro Reservas'!C1781*'FR_Mantenimiento tasas'!$E$55/360,IF(C1781&lt;='FR_Mantenimiento tasas'!$C$56,'Tabla Ahorro Futuro Reservas'!C1781*'FR_Mantenimiento tasas'!$E$56/360,IF(C1781&lt;='FR_Mantenimiento tasas'!$C$57,'Tabla Ahorro Futuro Reservas'!C1781*'FR_Mantenimiento tasas'!$E$57/360,""))),5)</f>
        <v>0</v>
      </c>
    </row>
    <row r="1782" spans="1:5">
      <c r="A1782" s="123">
        <f t="shared" si="54"/>
        <v>1780</v>
      </c>
      <c r="B1782" s="122">
        <f>IF(DAY(A1782)=DAY('F-Ahorro Futuro Reservas'!$H$10),'F-Ahorro Futuro Reservas'!$H$9,0)</f>
        <v>0</v>
      </c>
      <c r="C1782" s="122">
        <f t="shared" si="55"/>
        <v>0</v>
      </c>
      <c r="D1782" s="121">
        <f>ROUND(IF(C1782&lt;='FR_Mantenimiento tasas'!$C$55,'Tabla Ahorro Futuro Reservas'!C1782*'FR_Mantenimiento tasas'!$D$55/360,IF(C1782&lt;='FR_Mantenimiento tasas'!$C$56,'Tabla Ahorro Futuro Reservas'!C1782*'FR_Mantenimiento tasas'!$D$56/360,IF(C1782&lt;='FR_Mantenimiento tasas'!$C$57,'Tabla Ahorro Futuro Reservas'!C1782*'FR_Mantenimiento tasas'!$D$57/360,""))),5)</f>
        <v>0</v>
      </c>
      <c r="E1782" s="121">
        <f>ROUND(IF(C1782&lt;='FR_Mantenimiento tasas'!$C$55,'Tabla Ahorro Futuro Reservas'!C1782*'FR_Mantenimiento tasas'!$E$55/360,IF(C1782&lt;='FR_Mantenimiento tasas'!$C$56,'Tabla Ahorro Futuro Reservas'!C1782*'FR_Mantenimiento tasas'!$E$56/360,IF(C1782&lt;='FR_Mantenimiento tasas'!$C$57,'Tabla Ahorro Futuro Reservas'!C1782*'FR_Mantenimiento tasas'!$E$57/360,""))),5)</f>
        <v>0</v>
      </c>
    </row>
    <row r="1783" spans="1:5">
      <c r="A1783" s="123">
        <f t="shared" si="54"/>
        <v>1781</v>
      </c>
      <c r="B1783" s="122">
        <f>IF(DAY(A1783)=DAY('F-Ahorro Futuro Reservas'!$H$10),'F-Ahorro Futuro Reservas'!$H$9,0)</f>
        <v>0</v>
      </c>
      <c r="C1783" s="122">
        <f t="shared" si="55"/>
        <v>0</v>
      </c>
      <c r="D1783" s="121">
        <f>ROUND(IF(C1783&lt;='FR_Mantenimiento tasas'!$C$55,'Tabla Ahorro Futuro Reservas'!C1783*'FR_Mantenimiento tasas'!$D$55/360,IF(C1783&lt;='FR_Mantenimiento tasas'!$C$56,'Tabla Ahorro Futuro Reservas'!C1783*'FR_Mantenimiento tasas'!$D$56/360,IF(C1783&lt;='FR_Mantenimiento tasas'!$C$57,'Tabla Ahorro Futuro Reservas'!C1783*'FR_Mantenimiento tasas'!$D$57/360,""))),5)</f>
        <v>0</v>
      </c>
      <c r="E1783" s="121">
        <f>ROUND(IF(C1783&lt;='FR_Mantenimiento tasas'!$C$55,'Tabla Ahorro Futuro Reservas'!C1783*'FR_Mantenimiento tasas'!$E$55/360,IF(C1783&lt;='FR_Mantenimiento tasas'!$C$56,'Tabla Ahorro Futuro Reservas'!C1783*'FR_Mantenimiento tasas'!$E$56/360,IF(C1783&lt;='FR_Mantenimiento tasas'!$C$57,'Tabla Ahorro Futuro Reservas'!C1783*'FR_Mantenimiento tasas'!$E$57/360,""))),5)</f>
        <v>0</v>
      </c>
    </row>
    <row r="1784" spans="1:5">
      <c r="A1784" s="123">
        <f t="shared" si="54"/>
        <v>1782</v>
      </c>
      <c r="B1784" s="122">
        <f>IF(DAY(A1784)=DAY('F-Ahorro Futuro Reservas'!$H$10),'F-Ahorro Futuro Reservas'!$H$9,0)</f>
        <v>0</v>
      </c>
      <c r="C1784" s="122">
        <f t="shared" si="55"/>
        <v>0</v>
      </c>
      <c r="D1784" s="121">
        <f>ROUND(IF(C1784&lt;='FR_Mantenimiento tasas'!$C$55,'Tabla Ahorro Futuro Reservas'!C1784*'FR_Mantenimiento tasas'!$D$55/360,IF(C1784&lt;='FR_Mantenimiento tasas'!$C$56,'Tabla Ahorro Futuro Reservas'!C1784*'FR_Mantenimiento tasas'!$D$56/360,IF(C1784&lt;='FR_Mantenimiento tasas'!$C$57,'Tabla Ahorro Futuro Reservas'!C1784*'FR_Mantenimiento tasas'!$D$57/360,""))),5)</f>
        <v>0</v>
      </c>
      <c r="E1784" s="121">
        <f>ROUND(IF(C1784&lt;='FR_Mantenimiento tasas'!$C$55,'Tabla Ahorro Futuro Reservas'!C1784*'FR_Mantenimiento tasas'!$E$55/360,IF(C1784&lt;='FR_Mantenimiento tasas'!$C$56,'Tabla Ahorro Futuro Reservas'!C1784*'FR_Mantenimiento tasas'!$E$56/360,IF(C1784&lt;='FR_Mantenimiento tasas'!$C$57,'Tabla Ahorro Futuro Reservas'!C1784*'FR_Mantenimiento tasas'!$E$57/360,""))),5)</f>
        <v>0</v>
      </c>
    </row>
    <row r="1785" spans="1:5">
      <c r="A1785" s="123">
        <f t="shared" si="54"/>
        <v>1783</v>
      </c>
      <c r="B1785" s="122">
        <f>IF(DAY(A1785)=DAY('F-Ahorro Futuro Reservas'!$H$10),'F-Ahorro Futuro Reservas'!$H$9,0)</f>
        <v>0</v>
      </c>
      <c r="C1785" s="122">
        <f t="shared" si="55"/>
        <v>0</v>
      </c>
      <c r="D1785" s="121">
        <f>ROUND(IF(C1785&lt;='FR_Mantenimiento tasas'!$C$55,'Tabla Ahorro Futuro Reservas'!C1785*'FR_Mantenimiento tasas'!$D$55/360,IF(C1785&lt;='FR_Mantenimiento tasas'!$C$56,'Tabla Ahorro Futuro Reservas'!C1785*'FR_Mantenimiento tasas'!$D$56/360,IF(C1785&lt;='FR_Mantenimiento tasas'!$C$57,'Tabla Ahorro Futuro Reservas'!C1785*'FR_Mantenimiento tasas'!$D$57/360,""))),5)</f>
        <v>0</v>
      </c>
      <c r="E1785" s="121">
        <f>ROUND(IF(C1785&lt;='FR_Mantenimiento tasas'!$C$55,'Tabla Ahorro Futuro Reservas'!C1785*'FR_Mantenimiento tasas'!$E$55/360,IF(C1785&lt;='FR_Mantenimiento tasas'!$C$56,'Tabla Ahorro Futuro Reservas'!C1785*'FR_Mantenimiento tasas'!$E$56/360,IF(C1785&lt;='FR_Mantenimiento tasas'!$C$57,'Tabla Ahorro Futuro Reservas'!C1785*'FR_Mantenimiento tasas'!$E$57/360,""))),5)</f>
        <v>0</v>
      </c>
    </row>
    <row r="1786" spans="1:5">
      <c r="A1786" s="123">
        <f t="shared" si="54"/>
        <v>1784</v>
      </c>
      <c r="B1786" s="122">
        <f>IF(DAY(A1786)=DAY('F-Ahorro Futuro Reservas'!$H$10),'F-Ahorro Futuro Reservas'!$H$9,0)</f>
        <v>0</v>
      </c>
      <c r="C1786" s="122">
        <f t="shared" si="55"/>
        <v>0</v>
      </c>
      <c r="D1786" s="121">
        <f>ROUND(IF(C1786&lt;='FR_Mantenimiento tasas'!$C$55,'Tabla Ahorro Futuro Reservas'!C1786*'FR_Mantenimiento tasas'!$D$55/360,IF(C1786&lt;='FR_Mantenimiento tasas'!$C$56,'Tabla Ahorro Futuro Reservas'!C1786*'FR_Mantenimiento tasas'!$D$56/360,IF(C1786&lt;='FR_Mantenimiento tasas'!$C$57,'Tabla Ahorro Futuro Reservas'!C1786*'FR_Mantenimiento tasas'!$D$57/360,""))),5)</f>
        <v>0</v>
      </c>
      <c r="E1786" s="121">
        <f>ROUND(IF(C1786&lt;='FR_Mantenimiento tasas'!$C$55,'Tabla Ahorro Futuro Reservas'!C1786*'FR_Mantenimiento tasas'!$E$55/360,IF(C1786&lt;='FR_Mantenimiento tasas'!$C$56,'Tabla Ahorro Futuro Reservas'!C1786*'FR_Mantenimiento tasas'!$E$56/360,IF(C1786&lt;='FR_Mantenimiento tasas'!$C$57,'Tabla Ahorro Futuro Reservas'!C1786*'FR_Mantenimiento tasas'!$E$57/360,""))),5)</f>
        <v>0</v>
      </c>
    </row>
    <row r="1787" spans="1:5">
      <c r="A1787" s="123">
        <f t="shared" si="54"/>
        <v>1785</v>
      </c>
      <c r="B1787" s="122">
        <f>IF(DAY(A1787)=DAY('F-Ahorro Futuro Reservas'!$H$10),'F-Ahorro Futuro Reservas'!$H$9,0)</f>
        <v>0</v>
      </c>
      <c r="C1787" s="122">
        <f t="shared" si="55"/>
        <v>0</v>
      </c>
      <c r="D1787" s="121">
        <f>ROUND(IF(C1787&lt;='FR_Mantenimiento tasas'!$C$55,'Tabla Ahorro Futuro Reservas'!C1787*'FR_Mantenimiento tasas'!$D$55/360,IF(C1787&lt;='FR_Mantenimiento tasas'!$C$56,'Tabla Ahorro Futuro Reservas'!C1787*'FR_Mantenimiento tasas'!$D$56/360,IF(C1787&lt;='FR_Mantenimiento tasas'!$C$57,'Tabla Ahorro Futuro Reservas'!C1787*'FR_Mantenimiento tasas'!$D$57/360,""))),5)</f>
        <v>0</v>
      </c>
      <c r="E1787" s="121">
        <f>ROUND(IF(C1787&lt;='FR_Mantenimiento tasas'!$C$55,'Tabla Ahorro Futuro Reservas'!C1787*'FR_Mantenimiento tasas'!$E$55/360,IF(C1787&lt;='FR_Mantenimiento tasas'!$C$56,'Tabla Ahorro Futuro Reservas'!C1787*'FR_Mantenimiento tasas'!$E$56/360,IF(C1787&lt;='FR_Mantenimiento tasas'!$C$57,'Tabla Ahorro Futuro Reservas'!C1787*'FR_Mantenimiento tasas'!$E$57/360,""))),5)</f>
        <v>0</v>
      </c>
    </row>
    <row r="1788" spans="1:5">
      <c r="A1788" s="123">
        <f t="shared" si="54"/>
        <v>1786</v>
      </c>
      <c r="B1788" s="122">
        <f>IF(DAY(A1788)=DAY('F-Ahorro Futuro Reservas'!$H$10),'F-Ahorro Futuro Reservas'!$H$9,0)</f>
        <v>0</v>
      </c>
      <c r="C1788" s="122">
        <f t="shared" si="55"/>
        <v>0</v>
      </c>
      <c r="D1788" s="121">
        <f>ROUND(IF(C1788&lt;='FR_Mantenimiento tasas'!$C$55,'Tabla Ahorro Futuro Reservas'!C1788*'FR_Mantenimiento tasas'!$D$55/360,IF(C1788&lt;='FR_Mantenimiento tasas'!$C$56,'Tabla Ahorro Futuro Reservas'!C1788*'FR_Mantenimiento tasas'!$D$56/360,IF(C1788&lt;='FR_Mantenimiento tasas'!$C$57,'Tabla Ahorro Futuro Reservas'!C1788*'FR_Mantenimiento tasas'!$D$57/360,""))),5)</f>
        <v>0</v>
      </c>
      <c r="E1788" s="121">
        <f>ROUND(IF(C1788&lt;='FR_Mantenimiento tasas'!$C$55,'Tabla Ahorro Futuro Reservas'!C1788*'FR_Mantenimiento tasas'!$E$55/360,IF(C1788&lt;='FR_Mantenimiento tasas'!$C$56,'Tabla Ahorro Futuro Reservas'!C1788*'FR_Mantenimiento tasas'!$E$56/360,IF(C1788&lt;='FR_Mantenimiento tasas'!$C$57,'Tabla Ahorro Futuro Reservas'!C1788*'FR_Mantenimiento tasas'!$E$57/360,""))),5)</f>
        <v>0</v>
      </c>
    </row>
    <row r="1789" spans="1:5">
      <c r="A1789" s="123">
        <f t="shared" si="54"/>
        <v>1787</v>
      </c>
      <c r="B1789" s="122">
        <f>IF(DAY(A1789)=DAY('F-Ahorro Futuro Reservas'!$H$10),'F-Ahorro Futuro Reservas'!$H$9,0)</f>
        <v>0</v>
      </c>
      <c r="C1789" s="122">
        <f t="shared" si="55"/>
        <v>0</v>
      </c>
      <c r="D1789" s="121">
        <f>ROUND(IF(C1789&lt;='FR_Mantenimiento tasas'!$C$55,'Tabla Ahorro Futuro Reservas'!C1789*'FR_Mantenimiento tasas'!$D$55/360,IF(C1789&lt;='FR_Mantenimiento tasas'!$C$56,'Tabla Ahorro Futuro Reservas'!C1789*'FR_Mantenimiento tasas'!$D$56/360,IF(C1789&lt;='FR_Mantenimiento tasas'!$C$57,'Tabla Ahorro Futuro Reservas'!C1789*'FR_Mantenimiento tasas'!$D$57/360,""))),5)</f>
        <v>0</v>
      </c>
      <c r="E1789" s="121">
        <f>ROUND(IF(C1789&lt;='FR_Mantenimiento tasas'!$C$55,'Tabla Ahorro Futuro Reservas'!C1789*'FR_Mantenimiento tasas'!$E$55/360,IF(C1789&lt;='FR_Mantenimiento tasas'!$C$56,'Tabla Ahorro Futuro Reservas'!C1789*'FR_Mantenimiento tasas'!$E$56/360,IF(C1789&lt;='FR_Mantenimiento tasas'!$C$57,'Tabla Ahorro Futuro Reservas'!C1789*'FR_Mantenimiento tasas'!$E$57/360,""))),5)</f>
        <v>0</v>
      </c>
    </row>
    <row r="1790" spans="1:5">
      <c r="A1790" s="123">
        <f t="shared" si="54"/>
        <v>1788</v>
      </c>
      <c r="B1790" s="122">
        <f>IF(DAY(A1790)=DAY('F-Ahorro Futuro Reservas'!$H$10),'F-Ahorro Futuro Reservas'!$H$9,0)</f>
        <v>0</v>
      </c>
      <c r="C1790" s="122">
        <f t="shared" si="55"/>
        <v>0</v>
      </c>
      <c r="D1790" s="121">
        <f>ROUND(IF(C1790&lt;='FR_Mantenimiento tasas'!$C$55,'Tabla Ahorro Futuro Reservas'!C1790*'FR_Mantenimiento tasas'!$D$55/360,IF(C1790&lt;='FR_Mantenimiento tasas'!$C$56,'Tabla Ahorro Futuro Reservas'!C1790*'FR_Mantenimiento tasas'!$D$56/360,IF(C1790&lt;='FR_Mantenimiento tasas'!$C$57,'Tabla Ahorro Futuro Reservas'!C1790*'FR_Mantenimiento tasas'!$D$57/360,""))),5)</f>
        <v>0</v>
      </c>
      <c r="E1790" s="121">
        <f>ROUND(IF(C1790&lt;='FR_Mantenimiento tasas'!$C$55,'Tabla Ahorro Futuro Reservas'!C1790*'FR_Mantenimiento tasas'!$E$55/360,IF(C1790&lt;='FR_Mantenimiento tasas'!$C$56,'Tabla Ahorro Futuro Reservas'!C1790*'FR_Mantenimiento tasas'!$E$56/360,IF(C1790&lt;='FR_Mantenimiento tasas'!$C$57,'Tabla Ahorro Futuro Reservas'!C1790*'FR_Mantenimiento tasas'!$E$57/360,""))),5)</f>
        <v>0</v>
      </c>
    </row>
    <row r="1791" spans="1:5">
      <c r="A1791" s="123">
        <f t="shared" si="54"/>
        <v>1789</v>
      </c>
      <c r="B1791" s="122">
        <f>IF(DAY(A1791)=DAY('F-Ahorro Futuro Reservas'!$H$10),'F-Ahorro Futuro Reservas'!$H$9,0)</f>
        <v>0</v>
      </c>
      <c r="C1791" s="122">
        <f t="shared" si="55"/>
        <v>0</v>
      </c>
      <c r="D1791" s="121">
        <f>ROUND(IF(C1791&lt;='FR_Mantenimiento tasas'!$C$55,'Tabla Ahorro Futuro Reservas'!C1791*'FR_Mantenimiento tasas'!$D$55/360,IF(C1791&lt;='FR_Mantenimiento tasas'!$C$56,'Tabla Ahorro Futuro Reservas'!C1791*'FR_Mantenimiento tasas'!$D$56/360,IF(C1791&lt;='FR_Mantenimiento tasas'!$C$57,'Tabla Ahorro Futuro Reservas'!C1791*'FR_Mantenimiento tasas'!$D$57/360,""))),5)</f>
        <v>0</v>
      </c>
      <c r="E1791" s="121">
        <f>ROUND(IF(C1791&lt;='FR_Mantenimiento tasas'!$C$55,'Tabla Ahorro Futuro Reservas'!C1791*'FR_Mantenimiento tasas'!$E$55/360,IF(C1791&lt;='FR_Mantenimiento tasas'!$C$56,'Tabla Ahorro Futuro Reservas'!C1791*'FR_Mantenimiento tasas'!$E$56/360,IF(C1791&lt;='FR_Mantenimiento tasas'!$C$57,'Tabla Ahorro Futuro Reservas'!C1791*'FR_Mantenimiento tasas'!$E$57/360,""))),5)</f>
        <v>0</v>
      </c>
    </row>
    <row r="1792" spans="1:5">
      <c r="A1792" s="123">
        <f t="shared" si="54"/>
        <v>1790</v>
      </c>
      <c r="B1792" s="122">
        <f>IF(DAY(A1792)=DAY('F-Ahorro Futuro Reservas'!$H$10),'F-Ahorro Futuro Reservas'!$H$9,0)</f>
        <v>0</v>
      </c>
      <c r="C1792" s="122">
        <f t="shared" si="55"/>
        <v>0</v>
      </c>
      <c r="D1792" s="121">
        <f>ROUND(IF(C1792&lt;='FR_Mantenimiento tasas'!$C$55,'Tabla Ahorro Futuro Reservas'!C1792*'FR_Mantenimiento tasas'!$D$55/360,IF(C1792&lt;='FR_Mantenimiento tasas'!$C$56,'Tabla Ahorro Futuro Reservas'!C1792*'FR_Mantenimiento tasas'!$D$56/360,IF(C1792&lt;='FR_Mantenimiento tasas'!$C$57,'Tabla Ahorro Futuro Reservas'!C1792*'FR_Mantenimiento tasas'!$D$57/360,""))),5)</f>
        <v>0</v>
      </c>
      <c r="E1792" s="121">
        <f>ROUND(IF(C1792&lt;='FR_Mantenimiento tasas'!$C$55,'Tabla Ahorro Futuro Reservas'!C1792*'FR_Mantenimiento tasas'!$E$55/360,IF(C1792&lt;='FR_Mantenimiento tasas'!$C$56,'Tabla Ahorro Futuro Reservas'!C1792*'FR_Mantenimiento tasas'!$E$56/360,IF(C1792&lt;='FR_Mantenimiento tasas'!$C$57,'Tabla Ahorro Futuro Reservas'!C1792*'FR_Mantenimiento tasas'!$E$57/360,""))),5)</f>
        <v>0</v>
      </c>
    </row>
    <row r="1793" spans="1:5">
      <c r="A1793" s="123">
        <f t="shared" si="54"/>
        <v>1791</v>
      </c>
      <c r="B1793" s="122">
        <f>IF(DAY(A1793)=DAY('F-Ahorro Futuro Reservas'!$H$10),'F-Ahorro Futuro Reservas'!$H$9,0)</f>
        <v>0</v>
      </c>
      <c r="C1793" s="122">
        <f t="shared" si="55"/>
        <v>0</v>
      </c>
      <c r="D1793" s="121">
        <f>ROUND(IF(C1793&lt;='FR_Mantenimiento tasas'!$C$55,'Tabla Ahorro Futuro Reservas'!C1793*'FR_Mantenimiento tasas'!$D$55/360,IF(C1793&lt;='FR_Mantenimiento tasas'!$C$56,'Tabla Ahorro Futuro Reservas'!C1793*'FR_Mantenimiento tasas'!$D$56/360,IF(C1793&lt;='FR_Mantenimiento tasas'!$C$57,'Tabla Ahorro Futuro Reservas'!C1793*'FR_Mantenimiento tasas'!$D$57/360,""))),5)</f>
        <v>0</v>
      </c>
      <c r="E1793" s="121">
        <f>ROUND(IF(C1793&lt;='FR_Mantenimiento tasas'!$C$55,'Tabla Ahorro Futuro Reservas'!C1793*'FR_Mantenimiento tasas'!$E$55/360,IF(C1793&lt;='FR_Mantenimiento tasas'!$C$56,'Tabla Ahorro Futuro Reservas'!C1793*'FR_Mantenimiento tasas'!$E$56/360,IF(C1793&lt;='FR_Mantenimiento tasas'!$C$57,'Tabla Ahorro Futuro Reservas'!C1793*'FR_Mantenimiento tasas'!$E$57/360,""))),5)</f>
        <v>0</v>
      </c>
    </row>
    <row r="1794" spans="1:5">
      <c r="A1794" s="123">
        <f t="shared" si="54"/>
        <v>1792</v>
      </c>
      <c r="B1794" s="122">
        <f>IF(DAY(A1794)=DAY('F-Ahorro Futuro Reservas'!$H$10),'F-Ahorro Futuro Reservas'!$H$9,0)</f>
        <v>0</v>
      </c>
      <c r="C1794" s="122">
        <f t="shared" si="55"/>
        <v>0</v>
      </c>
      <c r="D1794" s="121">
        <f>ROUND(IF(C1794&lt;='FR_Mantenimiento tasas'!$C$55,'Tabla Ahorro Futuro Reservas'!C1794*'FR_Mantenimiento tasas'!$D$55/360,IF(C1794&lt;='FR_Mantenimiento tasas'!$C$56,'Tabla Ahorro Futuro Reservas'!C1794*'FR_Mantenimiento tasas'!$D$56/360,IF(C1794&lt;='FR_Mantenimiento tasas'!$C$57,'Tabla Ahorro Futuro Reservas'!C1794*'FR_Mantenimiento tasas'!$D$57/360,""))),5)</f>
        <v>0</v>
      </c>
      <c r="E1794" s="121">
        <f>ROUND(IF(C1794&lt;='FR_Mantenimiento tasas'!$C$55,'Tabla Ahorro Futuro Reservas'!C1794*'FR_Mantenimiento tasas'!$E$55/360,IF(C1794&lt;='FR_Mantenimiento tasas'!$C$56,'Tabla Ahorro Futuro Reservas'!C1794*'FR_Mantenimiento tasas'!$E$56/360,IF(C1794&lt;='FR_Mantenimiento tasas'!$C$57,'Tabla Ahorro Futuro Reservas'!C1794*'FR_Mantenimiento tasas'!$E$57/360,""))),5)</f>
        <v>0</v>
      </c>
    </row>
    <row r="1795" spans="1:5">
      <c r="A1795" s="123">
        <f t="shared" si="54"/>
        <v>1793</v>
      </c>
      <c r="B1795" s="122">
        <f>IF(DAY(A1795)=DAY('F-Ahorro Futuro Reservas'!$H$10),'F-Ahorro Futuro Reservas'!$H$9,0)</f>
        <v>0</v>
      </c>
      <c r="C1795" s="122">
        <f t="shared" si="55"/>
        <v>0</v>
      </c>
      <c r="D1795" s="121">
        <f>ROUND(IF(C1795&lt;='FR_Mantenimiento tasas'!$C$55,'Tabla Ahorro Futuro Reservas'!C1795*'FR_Mantenimiento tasas'!$D$55/360,IF(C1795&lt;='FR_Mantenimiento tasas'!$C$56,'Tabla Ahorro Futuro Reservas'!C1795*'FR_Mantenimiento tasas'!$D$56/360,IF(C1795&lt;='FR_Mantenimiento tasas'!$C$57,'Tabla Ahorro Futuro Reservas'!C1795*'FR_Mantenimiento tasas'!$D$57/360,""))),5)</f>
        <v>0</v>
      </c>
      <c r="E1795" s="121">
        <f>ROUND(IF(C1795&lt;='FR_Mantenimiento tasas'!$C$55,'Tabla Ahorro Futuro Reservas'!C1795*'FR_Mantenimiento tasas'!$E$55/360,IF(C1795&lt;='FR_Mantenimiento tasas'!$C$56,'Tabla Ahorro Futuro Reservas'!C1795*'FR_Mantenimiento tasas'!$E$56/360,IF(C1795&lt;='FR_Mantenimiento tasas'!$C$57,'Tabla Ahorro Futuro Reservas'!C1795*'FR_Mantenimiento tasas'!$E$57/360,""))),5)</f>
        <v>0</v>
      </c>
    </row>
    <row r="1796" spans="1:5">
      <c r="A1796" s="123">
        <f t="shared" ref="A1796:A1801" si="56">+A1795+1</f>
        <v>1794</v>
      </c>
      <c r="B1796" s="122">
        <f>IF(DAY(A1796)=DAY('F-Ahorro Futuro Reservas'!$H$10),'F-Ahorro Futuro Reservas'!$H$9,0)</f>
        <v>0</v>
      </c>
      <c r="C1796" s="122">
        <f t="shared" ref="C1796:C1801" si="57">+B1796+C1795+D1795</f>
        <v>0</v>
      </c>
      <c r="D1796" s="121">
        <f>ROUND(IF(C1796&lt;='FR_Mantenimiento tasas'!$C$55,'Tabla Ahorro Futuro Reservas'!C1796*'FR_Mantenimiento tasas'!$D$55/360,IF(C1796&lt;='FR_Mantenimiento tasas'!$C$56,'Tabla Ahorro Futuro Reservas'!C1796*'FR_Mantenimiento tasas'!$D$56/360,IF(C1796&lt;='FR_Mantenimiento tasas'!$C$57,'Tabla Ahorro Futuro Reservas'!C1796*'FR_Mantenimiento tasas'!$D$57/360,""))),5)</f>
        <v>0</v>
      </c>
      <c r="E1796" s="121">
        <f>ROUND(IF(C1796&lt;='FR_Mantenimiento tasas'!$C$55,'Tabla Ahorro Futuro Reservas'!C1796*'FR_Mantenimiento tasas'!$E$55/360,IF(C1796&lt;='FR_Mantenimiento tasas'!$C$56,'Tabla Ahorro Futuro Reservas'!C1796*'FR_Mantenimiento tasas'!$E$56/360,IF(C1796&lt;='FR_Mantenimiento tasas'!$C$57,'Tabla Ahorro Futuro Reservas'!C1796*'FR_Mantenimiento tasas'!$E$57/360,""))),5)</f>
        <v>0</v>
      </c>
    </row>
    <row r="1797" spans="1:5">
      <c r="A1797" s="123">
        <f t="shared" si="56"/>
        <v>1795</v>
      </c>
      <c r="B1797" s="122">
        <f>IF(DAY(A1797)=DAY('F-Ahorro Futuro Reservas'!$H$10),'F-Ahorro Futuro Reservas'!$H$9,0)</f>
        <v>0</v>
      </c>
      <c r="C1797" s="122">
        <f t="shared" si="57"/>
        <v>0</v>
      </c>
      <c r="D1797" s="121">
        <f>ROUND(IF(C1797&lt;='FR_Mantenimiento tasas'!$C$55,'Tabla Ahorro Futuro Reservas'!C1797*'FR_Mantenimiento tasas'!$D$55/360,IF(C1797&lt;='FR_Mantenimiento tasas'!$C$56,'Tabla Ahorro Futuro Reservas'!C1797*'FR_Mantenimiento tasas'!$D$56/360,IF(C1797&lt;='FR_Mantenimiento tasas'!$C$57,'Tabla Ahorro Futuro Reservas'!C1797*'FR_Mantenimiento tasas'!$D$57/360,""))),5)</f>
        <v>0</v>
      </c>
      <c r="E1797" s="121">
        <f>ROUND(IF(C1797&lt;='FR_Mantenimiento tasas'!$C$55,'Tabla Ahorro Futuro Reservas'!C1797*'FR_Mantenimiento tasas'!$E$55/360,IF(C1797&lt;='FR_Mantenimiento tasas'!$C$56,'Tabla Ahorro Futuro Reservas'!C1797*'FR_Mantenimiento tasas'!$E$56/360,IF(C1797&lt;='FR_Mantenimiento tasas'!$C$57,'Tabla Ahorro Futuro Reservas'!C1797*'FR_Mantenimiento tasas'!$E$57/360,""))),5)</f>
        <v>0</v>
      </c>
    </row>
    <row r="1798" spans="1:5">
      <c r="A1798" s="123">
        <f t="shared" si="56"/>
        <v>1796</v>
      </c>
      <c r="B1798" s="122">
        <f>IF(DAY(A1798)=DAY('F-Ahorro Futuro Reservas'!$H$10),'F-Ahorro Futuro Reservas'!$H$9,0)</f>
        <v>0</v>
      </c>
      <c r="C1798" s="122">
        <f t="shared" si="57"/>
        <v>0</v>
      </c>
      <c r="D1798" s="121">
        <f>ROUND(IF(C1798&lt;='FR_Mantenimiento tasas'!$C$55,'Tabla Ahorro Futuro Reservas'!C1798*'FR_Mantenimiento tasas'!$D$55/360,IF(C1798&lt;='FR_Mantenimiento tasas'!$C$56,'Tabla Ahorro Futuro Reservas'!C1798*'FR_Mantenimiento tasas'!$D$56/360,IF(C1798&lt;='FR_Mantenimiento tasas'!$C$57,'Tabla Ahorro Futuro Reservas'!C1798*'FR_Mantenimiento tasas'!$D$57/360,""))),5)</f>
        <v>0</v>
      </c>
      <c r="E1798" s="121">
        <f>ROUND(IF(C1798&lt;='FR_Mantenimiento tasas'!$C$55,'Tabla Ahorro Futuro Reservas'!C1798*'FR_Mantenimiento tasas'!$E$55/360,IF(C1798&lt;='FR_Mantenimiento tasas'!$C$56,'Tabla Ahorro Futuro Reservas'!C1798*'FR_Mantenimiento tasas'!$E$56/360,IF(C1798&lt;='FR_Mantenimiento tasas'!$C$57,'Tabla Ahorro Futuro Reservas'!C1798*'FR_Mantenimiento tasas'!$E$57/360,""))),5)</f>
        <v>0</v>
      </c>
    </row>
    <row r="1799" spans="1:5">
      <c r="A1799" s="123">
        <f t="shared" si="56"/>
        <v>1797</v>
      </c>
      <c r="B1799" s="122">
        <f>IF(DAY(A1799)=DAY('F-Ahorro Futuro Reservas'!$H$10),'F-Ahorro Futuro Reservas'!$H$9,0)</f>
        <v>0</v>
      </c>
      <c r="C1799" s="122">
        <f t="shared" si="57"/>
        <v>0</v>
      </c>
      <c r="D1799" s="121">
        <f>ROUND(IF(C1799&lt;='FR_Mantenimiento tasas'!$C$55,'Tabla Ahorro Futuro Reservas'!C1799*'FR_Mantenimiento tasas'!$D$55/360,IF(C1799&lt;='FR_Mantenimiento tasas'!$C$56,'Tabla Ahorro Futuro Reservas'!C1799*'FR_Mantenimiento tasas'!$D$56/360,IF(C1799&lt;='FR_Mantenimiento tasas'!$C$57,'Tabla Ahorro Futuro Reservas'!C1799*'FR_Mantenimiento tasas'!$D$57/360,""))),5)</f>
        <v>0</v>
      </c>
      <c r="E1799" s="121">
        <f>ROUND(IF(C1799&lt;='FR_Mantenimiento tasas'!$C$55,'Tabla Ahorro Futuro Reservas'!C1799*'FR_Mantenimiento tasas'!$E$55/360,IF(C1799&lt;='FR_Mantenimiento tasas'!$C$56,'Tabla Ahorro Futuro Reservas'!C1799*'FR_Mantenimiento tasas'!$E$56/360,IF(C1799&lt;='FR_Mantenimiento tasas'!$C$57,'Tabla Ahorro Futuro Reservas'!C1799*'FR_Mantenimiento tasas'!$E$57/360,""))),5)</f>
        <v>0</v>
      </c>
    </row>
    <row r="1800" spans="1:5">
      <c r="A1800" s="123">
        <f t="shared" si="56"/>
        <v>1798</v>
      </c>
      <c r="B1800" s="122">
        <f>IF(DAY(A1800)=DAY('F-Ahorro Futuro Reservas'!$H$10),'F-Ahorro Futuro Reservas'!$H$9,0)</f>
        <v>0</v>
      </c>
      <c r="C1800" s="122">
        <f t="shared" si="57"/>
        <v>0</v>
      </c>
      <c r="D1800" s="121">
        <f>ROUND(IF(C1800&lt;='FR_Mantenimiento tasas'!$C$55,'Tabla Ahorro Futuro Reservas'!C1800*'FR_Mantenimiento tasas'!$D$55/360,IF(C1800&lt;='FR_Mantenimiento tasas'!$C$56,'Tabla Ahorro Futuro Reservas'!C1800*'FR_Mantenimiento tasas'!$D$56/360,IF(C1800&lt;='FR_Mantenimiento tasas'!$C$57,'Tabla Ahorro Futuro Reservas'!C1800*'FR_Mantenimiento tasas'!$D$57/360,""))),5)</f>
        <v>0</v>
      </c>
      <c r="E1800" s="121">
        <f>ROUND(IF(C1800&lt;='FR_Mantenimiento tasas'!$C$55,'Tabla Ahorro Futuro Reservas'!C1800*'FR_Mantenimiento tasas'!$E$55/360,IF(C1800&lt;='FR_Mantenimiento tasas'!$C$56,'Tabla Ahorro Futuro Reservas'!C1800*'FR_Mantenimiento tasas'!$E$56/360,IF(C1800&lt;='FR_Mantenimiento tasas'!$C$57,'Tabla Ahorro Futuro Reservas'!C1800*'FR_Mantenimiento tasas'!$E$57/360,""))),5)</f>
        <v>0</v>
      </c>
    </row>
    <row r="1801" spans="1:5">
      <c r="A1801" s="123">
        <f t="shared" si="56"/>
        <v>1799</v>
      </c>
      <c r="B1801" s="122">
        <f>IF(DAY(A1801)=DAY('F-Ahorro Futuro Reservas'!$H$10),'F-Ahorro Futuro Reservas'!$H$9,0)</f>
        <v>0</v>
      </c>
      <c r="C1801" s="122">
        <f t="shared" si="57"/>
        <v>0</v>
      </c>
      <c r="D1801" s="121">
        <f>ROUND(IF(C1801&lt;='FR_Mantenimiento tasas'!$C$55,'Tabla Ahorro Futuro Reservas'!C1801*'FR_Mantenimiento tasas'!$D$55/360,IF(C1801&lt;='FR_Mantenimiento tasas'!$C$56,'Tabla Ahorro Futuro Reservas'!C1801*'FR_Mantenimiento tasas'!$D$56/360,IF(C1801&lt;='FR_Mantenimiento tasas'!$C$57,'Tabla Ahorro Futuro Reservas'!C1801*'FR_Mantenimiento tasas'!$D$57/360,""))),5)</f>
        <v>0</v>
      </c>
      <c r="E1801" s="121">
        <f>ROUND(IF(C1801&lt;='FR_Mantenimiento tasas'!$C$55,'Tabla Ahorro Futuro Reservas'!C1801*'FR_Mantenimiento tasas'!$E$55/360,IF(C1801&lt;='FR_Mantenimiento tasas'!$C$56,'Tabla Ahorro Futuro Reservas'!C1801*'FR_Mantenimiento tasas'!$E$56/360,IF(C1801&lt;='FR_Mantenimiento tasas'!$C$57,'Tabla Ahorro Futuro Reservas'!C1801*'FR_Mantenimiento tasas'!$E$57/360,""))),5)</f>
        <v>0</v>
      </c>
    </row>
    <row r="1802" spans="1:5">
      <c r="A1802" s="123">
        <f t="shared" ref="A1802:A1826" si="58">+A1801+1</f>
        <v>1800</v>
      </c>
      <c r="B1802" s="122">
        <f>IF(DAY(A1802)=DAY('F-Ahorro Futuro Reservas'!$H$10),'F-Ahorro Futuro Reservas'!$H$9,0)</f>
        <v>0</v>
      </c>
      <c r="C1802" s="122">
        <f t="shared" ref="C1802:C1826" si="59">+B1802+C1801+D1801</f>
        <v>0</v>
      </c>
      <c r="D1802" s="121">
        <f>ROUND(IF(C1802&lt;='FR_Mantenimiento tasas'!$C$55,'Tabla Ahorro Futuro Reservas'!C1802*'FR_Mantenimiento tasas'!$D$55/360,IF(C1802&lt;='FR_Mantenimiento tasas'!$C$56,'Tabla Ahorro Futuro Reservas'!C1802*'FR_Mantenimiento tasas'!$D$56/360,IF(C1802&lt;='FR_Mantenimiento tasas'!$C$57,'Tabla Ahorro Futuro Reservas'!C1802*'FR_Mantenimiento tasas'!$D$57/360,""))),5)</f>
        <v>0</v>
      </c>
      <c r="E1802" s="121">
        <f>ROUND(IF(C1802&lt;='FR_Mantenimiento tasas'!$C$55,'Tabla Ahorro Futuro Reservas'!C1802*'FR_Mantenimiento tasas'!$E$55/360,IF(C1802&lt;='FR_Mantenimiento tasas'!$C$56,'Tabla Ahorro Futuro Reservas'!C1802*'FR_Mantenimiento tasas'!$E$56/360,IF(C1802&lt;='FR_Mantenimiento tasas'!$C$57,'Tabla Ahorro Futuro Reservas'!C1802*'FR_Mantenimiento tasas'!$E$57/360,""))),5)</f>
        <v>0</v>
      </c>
    </row>
    <row r="1803" spans="1:5">
      <c r="A1803" s="123">
        <f t="shared" si="58"/>
        <v>1801</v>
      </c>
      <c r="B1803" s="122">
        <f>IF(DAY(A1803)=DAY('F-Ahorro Futuro Reservas'!$H$10),'F-Ahorro Futuro Reservas'!$H$9,0)</f>
        <v>0</v>
      </c>
      <c r="C1803" s="122">
        <f t="shared" si="59"/>
        <v>0</v>
      </c>
      <c r="D1803" s="121">
        <f>ROUND(IF(C1803&lt;='FR_Mantenimiento tasas'!$C$55,'Tabla Ahorro Futuro Reservas'!C1803*'FR_Mantenimiento tasas'!$D$55/360,IF(C1803&lt;='FR_Mantenimiento tasas'!$C$56,'Tabla Ahorro Futuro Reservas'!C1803*'FR_Mantenimiento tasas'!$D$56/360,IF(C1803&lt;='FR_Mantenimiento tasas'!$C$57,'Tabla Ahorro Futuro Reservas'!C1803*'FR_Mantenimiento tasas'!$D$57/360,""))),5)</f>
        <v>0</v>
      </c>
      <c r="E1803" s="121">
        <f>ROUND(IF(C1803&lt;='FR_Mantenimiento tasas'!$C$55,'Tabla Ahorro Futuro Reservas'!C1803*'FR_Mantenimiento tasas'!$E$55/360,IF(C1803&lt;='FR_Mantenimiento tasas'!$C$56,'Tabla Ahorro Futuro Reservas'!C1803*'FR_Mantenimiento tasas'!$E$56/360,IF(C1803&lt;='FR_Mantenimiento tasas'!$C$57,'Tabla Ahorro Futuro Reservas'!C1803*'FR_Mantenimiento tasas'!$E$57/360,""))),5)</f>
        <v>0</v>
      </c>
    </row>
    <row r="1804" spans="1:5">
      <c r="A1804" s="123">
        <f t="shared" si="58"/>
        <v>1802</v>
      </c>
      <c r="B1804" s="122">
        <f>IF(DAY(A1804)=DAY('F-Ahorro Futuro Reservas'!$H$10),'F-Ahorro Futuro Reservas'!$H$9,0)</f>
        <v>0</v>
      </c>
      <c r="C1804" s="122">
        <f t="shared" si="59"/>
        <v>0</v>
      </c>
      <c r="D1804" s="121">
        <f>ROUND(IF(C1804&lt;='FR_Mantenimiento tasas'!$C$55,'Tabla Ahorro Futuro Reservas'!C1804*'FR_Mantenimiento tasas'!$D$55/360,IF(C1804&lt;='FR_Mantenimiento tasas'!$C$56,'Tabla Ahorro Futuro Reservas'!C1804*'FR_Mantenimiento tasas'!$D$56/360,IF(C1804&lt;='FR_Mantenimiento tasas'!$C$57,'Tabla Ahorro Futuro Reservas'!C1804*'FR_Mantenimiento tasas'!$D$57/360,""))),5)</f>
        <v>0</v>
      </c>
      <c r="E1804" s="121">
        <f>ROUND(IF(C1804&lt;='FR_Mantenimiento tasas'!$C$55,'Tabla Ahorro Futuro Reservas'!C1804*'FR_Mantenimiento tasas'!$E$55/360,IF(C1804&lt;='FR_Mantenimiento tasas'!$C$56,'Tabla Ahorro Futuro Reservas'!C1804*'FR_Mantenimiento tasas'!$E$56/360,IF(C1804&lt;='FR_Mantenimiento tasas'!$C$57,'Tabla Ahorro Futuro Reservas'!C1804*'FR_Mantenimiento tasas'!$E$57/360,""))),5)</f>
        <v>0</v>
      </c>
    </row>
    <row r="1805" spans="1:5">
      <c r="A1805" s="123">
        <f t="shared" si="58"/>
        <v>1803</v>
      </c>
      <c r="B1805" s="122">
        <f>IF(DAY(A1805)=DAY('F-Ahorro Futuro Reservas'!$H$10),'F-Ahorro Futuro Reservas'!$H$9,0)</f>
        <v>0</v>
      </c>
      <c r="C1805" s="122">
        <f t="shared" si="59"/>
        <v>0</v>
      </c>
      <c r="D1805" s="121">
        <f>ROUND(IF(C1805&lt;='FR_Mantenimiento tasas'!$C$55,'Tabla Ahorro Futuro Reservas'!C1805*'FR_Mantenimiento tasas'!$D$55/360,IF(C1805&lt;='FR_Mantenimiento tasas'!$C$56,'Tabla Ahorro Futuro Reservas'!C1805*'FR_Mantenimiento tasas'!$D$56/360,IF(C1805&lt;='FR_Mantenimiento tasas'!$C$57,'Tabla Ahorro Futuro Reservas'!C1805*'FR_Mantenimiento tasas'!$D$57/360,""))),5)</f>
        <v>0</v>
      </c>
      <c r="E1805" s="121">
        <f>ROUND(IF(C1805&lt;='FR_Mantenimiento tasas'!$C$55,'Tabla Ahorro Futuro Reservas'!C1805*'FR_Mantenimiento tasas'!$E$55/360,IF(C1805&lt;='FR_Mantenimiento tasas'!$C$56,'Tabla Ahorro Futuro Reservas'!C1805*'FR_Mantenimiento tasas'!$E$56/360,IF(C1805&lt;='FR_Mantenimiento tasas'!$C$57,'Tabla Ahorro Futuro Reservas'!C1805*'FR_Mantenimiento tasas'!$E$57/360,""))),5)</f>
        <v>0</v>
      </c>
    </row>
    <row r="1806" spans="1:5">
      <c r="A1806" s="123">
        <f t="shared" si="58"/>
        <v>1804</v>
      </c>
      <c r="B1806" s="122">
        <f>IF(DAY(A1806)=DAY('F-Ahorro Futuro Reservas'!$H$10),'F-Ahorro Futuro Reservas'!$H$9,0)</f>
        <v>0</v>
      </c>
      <c r="C1806" s="122">
        <f t="shared" si="59"/>
        <v>0</v>
      </c>
      <c r="D1806" s="121">
        <f>ROUND(IF(C1806&lt;='FR_Mantenimiento tasas'!$C$55,'Tabla Ahorro Futuro Reservas'!C1806*'FR_Mantenimiento tasas'!$D$55/360,IF(C1806&lt;='FR_Mantenimiento tasas'!$C$56,'Tabla Ahorro Futuro Reservas'!C1806*'FR_Mantenimiento tasas'!$D$56/360,IF(C1806&lt;='FR_Mantenimiento tasas'!$C$57,'Tabla Ahorro Futuro Reservas'!C1806*'FR_Mantenimiento tasas'!$D$57/360,""))),5)</f>
        <v>0</v>
      </c>
      <c r="E1806" s="121">
        <f>ROUND(IF(C1806&lt;='FR_Mantenimiento tasas'!$C$55,'Tabla Ahorro Futuro Reservas'!C1806*'FR_Mantenimiento tasas'!$E$55/360,IF(C1806&lt;='FR_Mantenimiento tasas'!$C$56,'Tabla Ahorro Futuro Reservas'!C1806*'FR_Mantenimiento tasas'!$E$56/360,IF(C1806&lt;='FR_Mantenimiento tasas'!$C$57,'Tabla Ahorro Futuro Reservas'!C1806*'FR_Mantenimiento tasas'!$E$57/360,""))),5)</f>
        <v>0</v>
      </c>
    </row>
    <row r="1807" spans="1:5">
      <c r="A1807" s="123">
        <f t="shared" si="58"/>
        <v>1805</v>
      </c>
      <c r="B1807" s="122">
        <f>IF(DAY(A1807)=DAY('F-Ahorro Futuro Reservas'!$H$10),'F-Ahorro Futuro Reservas'!$H$9,0)</f>
        <v>0</v>
      </c>
      <c r="C1807" s="122">
        <f t="shared" si="59"/>
        <v>0</v>
      </c>
      <c r="D1807" s="121">
        <f>ROUND(IF(C1807&lt;='FR_Mantenimiento tasas'!$C$55,'Tabla Ahorro Futuro Reservas'!C1807*'FR_Mantenimiento tasas'!$D$55/360,IF(C1807&lt;='FR_Mantenimiento tasas'!$C$56,'Tabla Ahorro Futuro Reservas'!C1807*'FR_Mantenimiento tasas'!$D$56/360,IF(C1807&lt;='FR_Mantenimiento tasas'!$C$57,'Tabla Ahorro Futuro Reservas'!C1807*'FR_Mantenimiento tasas'!$D$57/360,""))),5)</f>
        <v>0</v>
      </c>
      <c r="E1807" s="121">
        <f>ROUND(IF(C1807&lt;='FR_Mantenimiento tasas'!$C$55,'Tabla Ahorro Futuro Reservas'!C1807*'FR_Mantenimiento tasas'!$E$55/360,IF(C1807&lt;='FR_Mantenimiento tasas'!$C$56,'Tabla Ahorro Futuro Reservas'!C1807*'FR_Mantenimiento tasas'!$E$56/360,IF(C1807&lt;='FR_Mantenimiento tasas'!$C$57,'Tabla Ahorro Futuro Reservas'!C1807*'FR_Mantenimiento tasas'!$E$57/360,""))),5)</f>
        <v>0</v>
      </c>
    </row>
    <row r="1808" spans="1:5">
      <c r="A1808" s="123">
        <f t="shared" si="58"/>
        <v>1806</v>
      </c>
      <c r="B1808" s="122">
        <f>IF(DAY(A1808)=DAY('F-Ahorro Futuro Reservas'!$H$10),'F-Ahorro Futuro Reservas'!$H$9,0)</f>
        <v>0</v>
      </c>
      <c r="C1808" s="122">
        <f t="shared" si="59"/>
        <v>0</v>
      </c>
      <c r="D1808" s="121">
        <f>ROUND(IF(C1808&lt;='FR_Mantenimiento tasas'!$C$55,'Tabla Ahorro Futuro Reservas'!C1808*'FR_Mantenimiento tasas'!$D$55/360,IF(C1808&lt;='FR_Mantenimiento tasas'!$C$56,'Tabla Ahorro Futuro Reservas'!C1808*'FR_Mantenimiento tasas'!$D$56/360,IF(C1808&lt;='FR_Mantenimiento tasas'!$C$57,'Tabla Ahorro Futuro Reservas'!C1808*'FR_Mantenimiento tasas'!$D$57/360,""))),5)</f>
        <v>0</v>
      </c>
      <c r="E1808" s="121">
        <f>ROUND(IF(C1808&lt;='FR_Mantenimiento tasas'!$C$55,'Tabla Ahorro Futuro Reservas'!C1808*'FR_Mantenimiento tasas'!$E$55/360,IF(C1808&lt;='FR_Mantenimiento tasas'!$C$56,'Tabla Ahorro Futuro Reservas'!C1808*'FR_Mantenimiento tasas'!$E$56/360,IF(C1808&lt;='FR_Mantenimiento tasas'!$C$57,'Tabla Ahorro Futuro Reservas'!C1808*'FR_Mantenimiento tasas'!$E$57/360,""))),5)</f>
        <v>0</v>
      </c>
    </row>
    <row r="1809" spans="1:5">
      <c r="A1809" s="123">
        <f t="shared" si="58"/>
        <v>1807</v>
      </c>
      <c r="B1809" s="122">
        <f>IF(DAY(A1809)=DAY('F-Ahorro Futuro Reservas'!$H$10),'F-Ahorro Futuro Reservas'!$H$9,0)</f>
        <v>0</v>
      </c>
      <c r="C1809" s="122">
        <f t="shared" si="59"/>
        <v>0</v>
      </c>
      <c r="D1809" s="121">
        <f>ROUND(IF(C1809&lt;='FR_Mantenimiento tasas'!$C$55,'Tabla Ahorro Futuro Reservas'!C1809*'FR_Mantenimiento tasas'!$D$55/360,IF(C1809&lt;='FR_Mantenimiento tasas'!$C$56,'Tabla Ahorro Futuro Reservas'!C1809*'FR_Mantenimiento tasas'!$D$56/360,IF(C1809&lt;='FR_Mantenimiento tasas'!$C$57,'Tabla Ahorro Futuro Reservas'!C1809*'FR_Mantenimiento tasas'!$D$57/360,""))),5)</f>
        <v>0</v>
      </c>
      <c r="E1809" s="121">
        <f>ROUND(IF(C1809&lt;='FR_Mantenimiento tasas'!$C$55,'Tabla Ahorro Futuro Reservas'!C1809*'FR_Mantenimiento tasas'!$E$55/360,IF(C1809&lt;='FR_Mantenimiento tasas'!$C$56,'Tabla Ahorro Futuro Reservas'!C1809*'FR_Mantenimiento tasas'!$E$56/360,IF(C1809&lt;='FR_Mantenimiento tasas'!$C$57,'Tabla Ahorro Futuro Reservas'!C1809*'FR_Mantenimiento tasas'!$E$57/360,""))),5)</f>
        <v>0</v>
      </c>
    </row>
    <row r="1810" spans="1:5">
      <c r="A1810" s="123">
        <f t="shared" si="58"/>
        <v>1808</v>
      </c>
      <c r="B1810" s="122">
        <f>IF(DAY(A1810)=DAY('F-Ahorro Futuro Reservas'!$H$10),'F-Ahorro Futuro Reservas'!$H$9,0)</f>
        <v>0</v>
      </c>
      <c r="C1810" s="122">
        <f t="shared" si="59"/>
        <v>0</v>
      </c>
      <c r="D1810" s="121">
        <f>ROUND(IF(C1810&lt;='FR_Mantenimiento tasas'!$C$55,'Tabla Ahorro Futuro Reservas'!C1810*'FR_Mantenimiento tasas'!$D$55/360,IF(C1810&lt;='FR_Mantenimiento tasas'!$C$56,'Tabla Ahorro Futuro Reservas'!C1810*'FR_Mantenimiento tasas'!$D$56/360,IF(C1810&lt;='FR_Mantenimiento tasas'!$C$57,'Tabla Ahorro Futuro Reservas'!C1810*'FR_Mantenimiento tasas'!$D$57/360,""))),5)</f>
        <v>0</v>
      </c>
      <c r="E1810" s="121">
        <f>ROUND(IF(C1810&lt;='FR_Mantenimiento tasas'!$C$55,'Tabla Ahorro Futuro Reservas'!C1810*'FR_Mantenimiento tasas'!$E$55/360,IF(C1810&lt;='FR_Mantenimiento tasas'!$C$56,'Tabla Ahorro Futuro Reservas'!C1810*'FR_Mantenimiento tasas'!$E$56/360,IF(C1810&lt;='FR_Mantenimiento tasas'!$C$57,'Tabla Ahorro Futuro Reservas'!C1810*'FR_Mantenimiento tasas'!$E$57/360,""))),5)</f>
        <v>0</v>
      </c>
    </row>
    <row r="1811" spans="1:5">
      <c r="A1811" s="123">
        <f t="shared" si="58"/>
        <v>1809</v>
      </c>
      <c r="B1811" s="122">
        <f>IF(DAY(A1811)=DAY('F-Ahorro Futuro Reservas'!$H$10),'F-Ahorro Futuro Reservas'!$H$9,0)</f>
        <v>0</v>
      </c>
      <c r="C1811" s="122">
        <f t="shared" si="59"/>
        <v>0</v>
      </c>
      <c r="D1811" s="121">
        <f>ROUND(IF(C1811&lt;='FR_Mantenimiento tasas'!$C$55,'Tabla Ahorro Futuro Reservas'!C1811*'FR_Mantenimiento tasas'!$D$55/360,IF(C1811&lt;='FR_Mantenimiento tasas'!$C$56,'Tabla Ahorro Futuro Reservas'!C1811*'FR_Mantenimiento tasas'!$D$56/360,IF(C1811&lt;='FR_Mantenimiento tasas'!$C$57,'Tabla Ahorro Futuro Reservas'!C1811*'FR_Mantenimiento tasas'!$D$57/360,""))),5)</f>
        <v>0</v>
      </c>
      <c r="E1811" s="121">
        <f>ROUND(IF(C1811&lt;='FR_Mantenimiento tasas'!$C$55,'Tabla Ahorro Futuro Reservas'!C1811*'FR_Mantenimiento tasas'!$E$55/360,IF(C1811&lt;='FR_Mantenimiento tasas'!$C$56,'Tabla Ahorro Futuro Reservas'!C1811*'FR_Mantenimiento tasas'!$E$56/360,IF(C1811&lt;='FR_Mantenimiento tasas'!$C$57,'Tabla Ahorro Futuro Reservas'!C1811*'FR_Mantenimiento tasas'!$E$57/360,""))),5)</f>
        <v>0</v>
      </c>
    </row>
    <row r="1812" spans="1:5">
      <c r="A1812" s="123">
        <f t="shared" si="58"/>
        <v>1810</v>
      </c>
      <c r="B1812" s="122">
        <f>IF(DAY(A1812)=DAY('F-Ahorro Futuro Reservas'!$H$10),'F-Ahorro Futuro Reservas'!$H$9,0)</f>
        <v>0</v>
      </c>
      <c r="C1812" s="122">
        <f t="shared" si="59"/>
        <v>0</v>
      </c>
      <c r="D1812" s="121">
        <f>ROUND(IF(C1812&lt;='FR_Mantenimiento tasas'!$C$55,'Tabla Ahorro Futuro Reservas'!C1812*'FR_Mantenimiento tasas'!$D$55/360,IF(C1812&lt;='FR_Mantenimiento tasas'!$C$56,'Tabla Ahorro Futuro Reservas'!C1812*'FR_Mantenimiento tasas'!$D$56/360,IF(C1812&lt;='FR_Mantenimiento tasas'!$C$57,'Tabla Ahorro Futuro Reservas'!C1812*'FR_Mantenimiento tasas'!$D$57/360,""))),5)</f>
        <v>0</v>
      </c>
      <c r="E1812" s="121">
        <f>ROUND(IF(C1812&lt;='FR_Mantenimiento tasas'!$C$55,'Tabla Ahorro Futuro Reservas'!C1812*'FR_Mantenimiento tasas'!$E$55/360,IF(C1812&lt;='FR_Mantenimiento tasas'!$C$56,'Tabla Ahorro Futuro Reservas'!C1812*'FR_Mantenimiento tasas'!$E$56/360,IF(C1812&lt;='FR_Mantenimiento tasas'!$C$57,'Tabla Ahorro Futuro Reservas'!C1812*'FR_Mantenimiento tasas'!$E$57/360,""))),5)</f>
        <v>0</v>
      </c>
    </row>
    <row r="1813" spans="1:5">
      <c r="A1813" s="123">
        <f t="shared" si="58"/>
        <v>1811</v>
      </c>
      <c r="B1813" s="122">
        <f>IF(DAY(A1813)=DAY('F-Ahorro Futuro Reservas'!$H$10),'F-Ahorro Futuro Reservas'!$H$9,0)</f>
        <v>0</v>
      </c>
      <c r="C1813" s="122">
        <f t="shared" si="59"/>
        <v>0</v>
      </c>
      <c r="D1813" s="121">
        <f>ROUND(IF(C1813&lt;='FR_Mantenimiento tasas'!$C$55,'Tabla Ahorro Futuro Reservas'!C1813*'FR_Mantenimiento tasas'!$D$55/360,IF(C1813&lt;='FR_Mantenimiento tasas'!$C$56,'Tabla Ahorro Futuro Reservas'!C1813*'FR_Mantenimiento tasas'!$D$56/360,IF(C1813&lt;='FR_Mantenimiento tasas'!$C$57,'Tabla Ahorro Futuro Reservas'!C1813*'FR_Mantenimiento tasas'!$D$57/360,""))),5)</f>
        <v>0</v>
      </c>
      <c r="E1813" s="121">
        <f>ROUND(IF(C1813&lt;='FR_Mantenimiento tasas'!$C$55,'Tabla Ahorro Futuro Reservas'!C1813*'FR_Mantenimiento tasas'!$E$55/360,IF(C1813&lt;='FR_Mantenimiento tasas'!$C$56,'Tabla Ahorro Futuro Reservas'!C1813*'FR_Mantenimiento tasas'!$E$56/360,IF(C1813&lt;='FR_Mantenimiento tasas'!$C$57,'Tabla Ahorro Futuro Reservas'!C1813*'FR_Mantenimiento tasas'!$E$57/360,""))),5)</f>
        <v>0</v>
      </c>
    </row>
    <row r="1814" spans="1:5">
      <c r="A1814" s="123">
        <f t="shared" si="58"/>
        <v>1812</v>
      </c>
      <c r="B1814" s="122">
        <f>IF(DAY(A1814)=DAY('F-Ahorro Futuro Reservas'!$H$10),'F-Ahorro Futuro Reservas'!$H$9,0)</f>
        <v>0</v>
      </c>
      <c r="C1814" s="122">
        <f t="shared" si="59"/>
        <v>0</v>
      </c>
      <c r="D1814" s="121">
        <f>ROUND(IF(C1814&lt;='FR_Mantenimiento tasas'!$C$55,'Tabla Ahorro Futuro Reservas'!C1814*'FR_Mantenimiento tasas'!$D$55/360,IF(C1814&lt;='FR_Mantenimiento tasas'!$C$56,'Tabla Ahorro Futuro Reservas'!C1814*'FR_Mantenimiento tasas'!$D$56/360,IF(C1814&lt;='FR_Mantenimiento tasas'!$C$57,'Tabla Ahorro Futuro Reservas'!C1814*'FR_Mantenimiento tasas'!$D$57/360,""))),5)</f>
        <v>0</v>
      </c>
      <c r="E1814" s="121">
        <f>ROUND(IF(C1814&lt;='FR_Mantenimiento tasas'!$C$55,'Tabla Ahorro Futuro Reservas'!C1814*'FR_Mantenimiento tasas'!$E$55/360,IF(C1814&lt;='FR_Mantenimiento tasas'!$C$56,'Tabla Ahorro Futuro Reservas'!C1814*'FR_Mantenimiento tasas'!$E$56/360,IF(C1814&lt;='FR_Mantenimiento tasas'!$C$57,'Tabla Ahorro Futuro Reservas'!C1814*'FR_Mantenimiento tasas'!$E$57/360,""))),5)</f>
        <v>0</v>
      </c>
    </row>
    <row r="1815" spans="1:5">
      <c r="A1815" s="123">
        <f t="shared" si="58"/>
        <v>1813</v>
      </c>
      <c r="B1815" s="122">
        <f>IF(DAY(A1815)=DAY('F-Ahorro Futuro Reservas'!$H$10),'F-Ahorro Futuro Reservas'!$H$9,0)</f>
        <v>0</v>
      </c>
      <c r="C1815" s="122">
        <f t="shared" si="59"/>
        <v>0</v>
      </c>
      <c r="D1815" s="121">
        <f>ROUND(IF(C1815&lt;='FR_Mantenimiento tasas'!$C$55,'Tabla Ahorro Futuro Reservas'!C1815*'FR_Mantenimiento tasas'!$D$55/360,IF(C1815&lt;='FR_Mantenimiento tasas'!$C$56,'Tabla Ahorro Futuro Reservas'!C1815*'FR_Mantenimiento tasas'!$D$56/360,IF(C1815&lt;='FR_Mantenimiento tasas'!$C$57,'Tabla Ahorro Futuro Reservas'!C1815*'FR_Mantenimiento tasas'!$D$57/360,""))),5)</f>
        <v>0</v>
      </c>
      <c r="E1815" s="121">
        <f>ROUND(IF(C1815&lt;='FR_Mantenimiento tasas'!$C$55,'Tabla Ahorro Futuro Reservas'!C1815*'FR_Mantenimiento tasas'!$E$55/360,IF(C1815&lt;='FR_Mantenimiento tasas'!$C$56,'Tabla Ahorro Futuro Reservas'!C1815*'FR_Mantenimiento tasas'!$E$56/360,IF(C1815&lt;='FR_Mantenimiento tasas'!$C$57,'Tabla Ahorro Futuro Reservas'!C1815*'FR_Mantenimiento tasas'!$E$57/360,""))),5)</f>
        <v>0</v>
      </c>
    </row>
    <row r="1816" spans="1:5">
      <c r="A1816" s="123">
        <f t="shared" si="58"/>
        <v>1814</v>
      </c>
      <c r="B1816" s="122">
        <f>IF(DAY(A1816)=DAY('F-Ahorro Futuro Reservas'!$H$10),'F-Ahorro Futuro Reservas'!$H$9,0)</f>
        <v>0</v>
      </c>
      <c r="C1816" s="122">
        <f t="shared" si="59"/>
        <v>0</v>
      </c>
      <c r="D1816" s="121">
        <f>ROUND(IF(C1816&lt;='FR_Mantenimiento tasas'!$C$55,'Tabla Ahorro Futuro Reservas'!C1816*'FR_Mantenimiento tasas'!$D$55/360,IF(C1816&lt;='FR_Mantenimiento tasas'!$C$56,'Tabla Ahorro Futuro Reservas'!C1816*'FR_Mantenimiento tasas'!$D$56/360,IF(C1816&lt;='FR_Mantenimiento tasas'!$C$57,'Tabla Ahorro Futuro Reservas'!C1816*'FR_Mantenimiento tasas'!$D$57/360,""))),5)</f>
        <v>0</v>
      </c>
      <c r="E1816" s="121">
        <f>ROUND(IF(C1816&lt;='FR_Mantenimiento tasas'!$C$55,'Tabla Ahorro Futuro Reservas'!C1816*'FR_Mantenimiento tasas'!$E$55/360,IF(C1816&lt;='FR_Mantenimiento tasas'!$C$56,'Tabla Ahorro Futuro Reservas'!C1816*'FR_Mantenimiento tasas'!$E$56/360,IF(C1816&lt;='FR_Mantenimiento tasas'!$C$57,'Tabla Ahorro Futuro Reservas'!C1816*'FR_Mantenimiento tasas'!$E$57/360,""))),5)</f>
        <v>0</v>
      </c>
    </row>
    <row r="1817" spans="1:5">
      <c r="A1817" s="123">
        <f t="shared" si="58"/>
        <v>1815</v>
      </c>
      <c r="B1817" s="122">
        <f>IF(DAY(A1817)=DAY('F-Ahorro Futuro Reservas'!$H$10),'F-Ahorro Futuro Reservas'!$H$9,0)</f>
        <v>0</v>
      </c>
      <c r="C1817" s="122">
        <f t="shared" si="59"/>
        <v>0</v>
      </c>
      <c r="D1817" s="121">
        <f>ROUND(IF(C1817&lt;='FR_Mantenimiento tasas'!$C$55,'Tabla Ahorro Futuro Reservas'!C1817*'FR_Mantenimiento tasas'!$D$55/360,IF(C1817&lt;='FR_Mantenimiento tasas'!$C$56,'Tabla Ahorro Futuro Reservas'!C1817*'FR_Mantenimiento tasas'!$D$56/360,IF(C1817&lt;='FR_Mantenimiento tasas'!$C$57,'Tabla Ahorro Futuro Reservas'!C1817*'FR_Mantenimiento tasas'!$D$57/360,""))),5)</f>
        <v>0</v>
      </c>
      <c r="E1817" s="121">
        <f>ROUND(IF(C1817&lt;='FR_Mantenimiento tasas'!$C$55,'Tabla Ahorro Futuro Reservas'!C1817*'FR_Mantenimiento tasas'!$E$55/360,IF(C1817&lt;='FR_Mantenimiento tasas'!$C$56,'Tabla Ahorro Futuro Reservas'!C1817*'FR_Mantenimiento tasas'!$E$56/360,IF(C1817&lt;='FR_Mantenimiento tasas'!$C$57,'Tabla Ahorro Futuro Reservas'!C1817*'FR_Mantenimiento tasas'!$E$57/360,""))),5)</f>
        <v>0</v>
      </c>
    </row>
    <row r="1818" spans="1:5">
      <c r="A1818" s="123">
        <f t="shared" si="58"/>
        <v>1816</v>
      </c>
      <c r="B1818" s="122">
        <f>IF(DAY(A1818)=DAY('F-Ahorro Futuro Reservas'!$H$10),'F-Ahorro Futuro Reservas'!$H$9,0)</f>
        <v>0</v>
      </c>
      <c r="C1818" s="122">
        <f t="shared" si="59"/>
        <v>0</v>
      </c>
      <c r="D1818" s="121">
        <f>ROUND(IF(C1818&lt;='FR_Mantenimiento tasas'!$C$55,'Tabla Ahorro Futuro Reservas'!C1818*'FR_Mantenimiento tasas'!$D$55/360,IF(C1818&lt;='FR_Mantenimiento tasas'!$C$56,'Tabla Ahorro Futuro Reservas'!C1818*'FR_Mantenimiento tasas'!$D$56/360,IF(C1818&lt;='FR_Mantenimiento tasas'!$C$57,'Tabla Ahorro Futuro Reservas'!C1818*'FR_Mantenimiento tasas'!$D$57/360,""))),5)</f>
        <v>0</v>
      </c>
      <c r="E1818" s="121">
        <f>ROUND(IF(C1818&lt;='FR_Mantenimiento tasas'!$C$55,'Tabla Ahorro Futuro Reservas'!C1818*'FR_Mantenimiento tasas'!$E$55/360,IF(C1818&lt;='FR_Mantenimiento tasas'!$C$56,'Tabla Ahorro Futuro Reservas'!C1818*'FR_Mantenimiento tasas'!$E$56/360,IF(C1818&lt;='FR_Mantenimiento tasas'!$C$57,'Tabla Ahorro Futuro Reservas'!C1818*'FR_Mantenimiento tasas'!$E$57/360,""))),5)</f>
        <v>0</v>
      </c>
    </row>
    <row r="1819" spans="1:5">
      <c r="A1819" s="123">
        <f t="shared" si="58"/>
        <v>1817</v>
      </c>
      <c r="B1819" s="122">
        <f>IF(DAY(A1819)=DAY('F-Ahorro Futuro Reservas'!$H$10),'F-Ahorro Futuro Reservas'!$H$9,0)</f>
        <v>0</v>
      </c>
      <c r="C1819" s="122">
        <f t="shared" si="59"/>
        <v>0</v>
      </c>
      <c r="D1819" s="121">
        <f>ROUND(IF(C1819&lt;='FR_Mantenimiento tasas'!$C$55,'Tabla Ahorro Futuro Reservas'!C1819*'FR_Mantenimiento tasas'!$D$55/360,IF(C1819&lt;='FR_Mantenimiento tasas'!$C$56,'Tabla Ahorro Futuro Reservas'!C1819*'FR_Mantenimiento tasas'!$D$56/360,IF(C1819&lt;='FR_Mantenimiento tasas'!$C$57,'Tabla Ahorro Futuro Reservas'!C1819*'FR_Mantenimiento tasas'!$D$57/360,""))),5)</f>
        <v>0</v>
      </c>
      <c r="E1819" s="121">
        <f>ROUND(IF(C1819&lt;='FR_Mantenimiento tasas'!$C$55,'Tabla Ahorro Futuro Reservas'!C1819*'FR_Mantenimiento tasas'!$E$55/360,IF(C1819&lt;='FR_Mantenimiento tasas'!$C$56,'Tabla Ahorro Futuro Reservas'!C1819*'FR_Mantenimiento tasas'!$E$56/360,IF(C1819&lt;='FR_Mantenimiento tasas'!$C$57,'Tabla Ahorro Futuro Reservas'!C1819*'FR_Mantenimiento tasas'!$E$57/360,""))),5)</f>
        <v>0</v>
      </c>
    </row>
    <row r="1820" spans="1:5">
      <c r="A1820" s="123">
        <f t="shared" si="58"/>
        <v>1818</v>
      </c>
      <c r="B1820" s="122">
        <f>IF(DAY(A1820)=DAY('F-Ahorro Futuro Reservas'!$H$10),'F-Ahorro Futuro Reservas'!$H$9,0)</f>
        <v>0</v>
      </c>
      <c r="C1820" s="122">
        <f t="shared" si="59"/>
        <v>0</v>
      </c>
      <c r="D1820" s="121">
        <f>ROUND(IF(C1820&lt;='FR_Mantenimiento tasas'!$C$55,'Tabla Ahorro Futuro Reservas'!C1820*'FR_Mantenimiento tasas'!$D$55/360,IF(C1820&lt;='FR_Mantenimiento tasas'!$C$56,'Tabla Ahorro Futuro Reservas'!C1820*'FR_Mantenimiento tasas'!$D$56/360,IF(C1820&lt;='FR_Mantenimiento tasas'!$C$57,'Tabla Ahorro Futuro Reservas'!C1820*'FR_Mantenimiento tasas'!$D$57/360,""))),5)</f>
        <v>0</v>
      </c>
      <c r="E1820" s="121">
        <f>ROUND(IF(C1820&lt;='FR_Mantenimiento tasas'!$C$55,'Tabla Ahorro Futuro Reservas'!C1820*'FR_Mantenimiento tasas'!$E$55/360,IF(C1820&lt;='FR_Mantenimiento tasas'!$C$56,'Tabla Ahorro Futuro Reservas'!C1820*'FR_Mantenimiento tasas'!$E$56/360,IF(C1820&lt;='FR_Mantenimiento tasas'!$C$57,'Tabla Ahorro Futuro Reservas'!C1820*'FR_Mantenimiento tasas'!$E$57/360,""))),5)</f>
        <v>0</v>
      </c>
    </row>
    <row r="1821" spans="1:5">
      <c r="A1821" s="123">
        <f t="shared" si="58"/>
        <v>1819</v>
      </c>
      <c r="B1821" s="122">
        <f>IF(DAY(A1821)=DAY('F-Ahorro Futuro Reservas'!$H$10),'F-Ahorro Futuro Reservas'!$H$9,0)</f>
        <v>0</v>
      </c>
      <c r="C1821" s="122">
        <f t="shared" si="59"/>
        <v>0</v>
      </c>
      <c r="D1821" s="121">
        <f>ROUND(IF(C1821&lt;='FR_Mantenimiento tasas'!$C$55,'Tabla Ahorro Futuro Reservas'!C1821*'FR_Mantenimiento tasas'!$D$55/360,IF(C1821&lt;='FR_Mantenimiento tasas'!$C$56,'Tabla Ahorro Futuro Reservas'!C1821*'FR_Mantenimiento tasas'!$D$56/360,IF(C1821&lt;='FR_Mantenimiento tasas'!$C$57,'Tabla Ahorro Futuro Reservas'!C1821*'FR_Mantenimiento tasas'!$D$57/360,""))),5)</f>
        <v>0</v>
      </c>
      <c r="E1821" s="121">
        <f>ROUND(IF(C1821&lt;='FR_Mantenimiento tasas'!$C$55,'Tabla Ahorro Futuro Reservas'!C1821*'FR_Mantenimiento tasas'!$E$55/360,IF(C1821&lt;='FR_Mantenimiento tasas'!$C$56,'Tabla Ahorro Futuro Reservas'!C1821*'FR_Mantenimiento tasas'!$E$56/360,IF(C1821&lt;='FR_Mantenimiento tasas'!$C$57,'Tabla Ahorro Futuro Reservas'!C1821*'FR_Mantenimiento tasas'!$E$57/360,""))),5)</f>
        <v>0</v>
      </c>
    </row>
    <row r="1822" spans="1:5">
      <c r="A1822" s="123">
        <f t="shared" si="58"/>
        <v>1820</v>
      </c>
      <c r="B1822" s="122">
        <f>IF(DAY(A1822)=DAY('F-Ahorro Futuro Reservas'!$H$10),'F-Ahorro Futuro Reservas'!$H$9,0)</f>
        <v>0</v>
      </c>
      <c r="C1822" s="122">
        <f t="shared" si="59"/>
        <v>0</v>
      </c>
      <c r="D1822" s="121">
        <f>ROUND(IF(C1822&lt;='FR_Mantenimiento tasas'!$C$55,'Tabla Ahorro Futuro Reservas'!C1822*'FR_Mantenimiento tasas'!$D$55/360,IF(C1822&lt;='FR_Mantenimiento tasas'!$C$56,'Tabla Ahorro Futuro Reservas'!C1822*'FR_Mantenimiento tasas'!$D$56/360,IF(C1822&lt;='FR_Mantenimiento tasas'!$C$57,'Tabla Ahorro Futuro Reservas'!C1822*'FR_Mantenimiento tasas'!$D$57/360,""))),5)</f>
        <v>0</v>
      </c>
      <c r="E1822" s="121">
        <f>ROUND(IF(C1822&lt;='FR_Mantenimiento tasas'!$C$55,'Tabla Ahorro Futuro Reservas'!C1822*'FR_Mantenimiento tasas'!$E$55/360,IF(C1822&lt;='FR_Mantenimiento tasas'!$C$56,'Tabla Ahorro Futuro Reservas'!C1822*'FR_Mantenimiento tasas'!$E$56/360,IF(C1822&lt;='FR_Mantenimiento tasas'!$C$57,'Tabla Ahorro Futuro Reservas'!C1822*'FR_Mantenimiento tasas'!$E$57/360,""))),5)</f>
        <v>0</v>
      </c>
    </row>
    <row r="1823" spans="1:5">
      <c r="A1823" s="123">
        <f t="shared" si="58"/>
        <v>1821</v>
      </c>
      <c r="B1823" s="122">
        <f>IF(DAY(A1823)=DAY('F-Ahorro Futuro Reservas'!$H$10),'F-Ahorro Futuro Reservas'!$H$9,0)</f>
        <v>0</v>
      </c>
      <c r="C1823" s="122">
        <f t="shared" si="59"/>
        <v>0</v>
      </c>
      <c r="D1823" s="121">
        <f>ROUND(IF(C1823&lt;='FR_Mantenimiento tasas'!$C$55,'Tabla Ahorro Futuro Reservas'!C1823*'FR_Mantenimiento tasas'!$D$55/360,IF(C1823&lt;='FR_Mantenimiento tasas'!$C$56,'Tabla Ahorro Futuro Reservas'!C1823*'FR_Mantenimiento tasas'!$D$56/360,IF(C1823&lt;='FR_Mantenimiento tasas'!$C$57,'Tabla Ahorro Futuro Reservas'!C1823*'FR_Mantenimiento tasas'!$D$57/360,""))),5)</f>
        <v>0</v>
      </c>
      <c r="E1823" s="121">
        <f>ROUND(IF(C1823&lt;='FR_Mantenimiento tasas'!$C$55,'Tabla Ahorro Futuro Reservas'!C1823*'FR_Mantenimiento tasas'!$E$55/360,IF(C1823&lt;='FR_Mantenimiento tasas'!$C$56,'Tabla Ahorro Futuro Reservas'!C1823*'FR_Mantenimiento tasas'!$E$56/360,IF(C1823&lt;='FR_Mantenimiento tasas'!$C$57,'Tabla Ahorro Futuro Reservas'!C1823*'FR_Mantenimiento tasas'!$E$57/360,""))),5)</f>
        <v>0</v>
      </c>
    </row>
    <row r="1824" spans="1:5">
      <c r="A1824" s="123">
        <f t="shared" si="58"/>
        <v>1822</v>
      </c>
      <c r="B1824" s="122">
        <f>IF(DAY(A1824)=DAY('F-Ahorro Futuro Reservas'!$H$10),'F-Ahorro Futuro Reservas'!$H$9,0)</f>
        <v>0</v>
      </c>
      <c r="C1824" s="122">
        <f t="shared" si="59"/>
        <v>0</v>
      </c>
      <c r="D1824" s="121">
        <f>ROUND(IF(C1824&lt;='FR_Mantenimiento tasas'!$C$55,'Tabla Ahorro Futuro Reservas'!C1824*'FR_Mantenimiento tasas'!$D$55/360,IF(C1824&lt;='FR_Mantenimiento tasas'!$C$56,'Tabla Ahorro Futuro Reservas'!C1824*'FR_Mantenimiento tasas'!$D$56/360,IF(C1824&lt;='FR_Mantenimiento tasas'!$C$57,'Tabla Ahorro Futuro Reservas'!C1824*'FR_Mantenimiento tasas'!$D$57/360,""))),5)</f>
        <v>0</v>
      </c>
      <c r="E1824" s="121">
        <f>ROUND(IF(C1824&lt;='FR_Mantenimiento tasas'!$C$55,'Tabla Ahorro Futuro Reservas'!C1824*'FR_Mantenimiento tasas'!$E$55/360,IF(C1824&lt;='FR_Mantenimiento tasas'!$C$56,'Tabla Ahorro Futuro Reservas'!C1824*'FR_Mantenimiento tasas'!$E$56/360,IF(C1824&lt;='FR_Mantenimiento tasas'!$C$57,'Tabla Ahorro Futuro Reservas'!C1824*'FR_Mantenimiento tasas'!$E$57/360,""))),5)</f>
        <v>0</v>
      </c>
    </row>
    <row r="1825" spans="1:5">
      <c r="A1825" s="123">
        <f t="shared" si="58"/>
        <v>1823</v>
      </c>
      <c r="B1825" s="122">
        <f>IF(DAY(A1825)=DAY('F-Ahorro Futuro Reservas'!$H$10),'F-Ahorro Futuro Reservas'!$H$9,0)</f>
        <v>0</v>
      </c>
      <c r="C1825" s="122">
        <f t="shared" si="59"/>
        <v>0</v>
      </c>
      <c r="D1825" s="121">
        <f>ROUND(IF(C1825&lt;='FR_Mantenimiento tasas'!$C$55,'Tabla Ahorro Futuro Reservas'!C1825*'FR_Mantenimiento tasas'!$D$55/360,IF(C1825&lt;='FR_Mantenimiento tasas'!$C$56,'Tabla Ahorro Futuro Reservas'!C1825*'FR_Mantenimiento tasas'!$D$56/360,IF(C1825&lt;='FR_Mantenimiento tasas'!$C$57,'Tabla Ahorro Futuro Reservas'!C1825*'FR_Mantenimiento tasas'!$D$57/360,""))),5)</f>
        <v>0</v>
      </c>
      <c r="E1825" s="121">
        <f>ROUND(IF(C1825&lt;='FR_Mantenimiento tasas'!$C$55,'Tabla Ahorro Futuro Reservas'!C1825*'FR_Mantenimiento tasas'!$E$55/360,IF(C1825&lt;='FR_Mantenimiento tasas'!$C$56,'Tabla Ahorro Futuro Reservas'!C1825*'FR_Mantenimiento tasas'!$E$56/360,IF(C1825&lt;='FR_Mantenimiento tasas'!$C$57,'Tabla Ahorro Futuro Reservas'!C1825*'FR_Mantenimiento tasas'!$E$57/360,""))),5)</f>
        <v>0</v>
      </c>
    </row>
    <row r="1826" spans="1:5">
      <c r="A1826" s="123">
        <f t="shared" si="58"/>
        <v>1824</v>
      </c>
      <c r="B1826" s="122">
        <f>IF(DAY(A1826)=DAY('F-Ahorro Futuro Reservas'!$H$10),'F-Ahorro Futuro Reservas'!$H$9,0)</f>
        <v>0</v>
      </c>
      <c r="C1826" s="122">
        <f t="shared" si="59"/>
        <v>0</v>
      </c>
      <c r="D1826" s="121">
        <f>ROUND(IF(C1826&lt;='FR_Mantenimiento tasas'!$C$55,'Tabla Ahorro Futuro Reservas'!C1826*'FR_Mantenimiento tasas'!$D$55/360,IF(C1826&lt;='FR_Mantenimiento tasas'!$C$56,'Tabla Ahorro Futuro Reservas'!C1826*'FR_Mantenimiento tasas'!$D$56/360,IF(C1826&lt;='FR_Mantenimiento tasas'!$C$57,'Tabla Ahorro Futuro Reservas'!C1826*'FR_Mantenimiento tasas'!$D$57/360,""))),5)</f>
        <v>0</v>
      </c>
      <c r="E1826" s="121">
        <f>ROUND(IF(C1826&lt;='FR_Mantenimiento tasas'!$C$55,'Tabla Ahorro Futuro Reservas'!C1826*'FR_Mantenimiento tasas'!$E$55/360,IF(C1826&lt;='FR_Mantenimiento tasas'!$C$56,'Tabla Ahorro Futuro Reservas'!C1826*'FR_Mantenimiento tasas'!$E$56/360,IF(C1826&lt;='FR_Mantenimiento tasas'!$C$57,'Tabla Ahorro Futuro Reservas'!C1826*'FR_Mantenimiento tasas'!$E$57/360,""))),5)</f>
        <v>0</v>
      </c>
    </row>
    <row r="1827" spans="1:5">
      <c r="A1827" s="123">
        <f>+A1826+1</f>
        <v>1825</v>
      </c>
      <c r="B1827" s="122">
        <f>IF(DAY(A1827)=DAY('F-Ahorro Futuro Reservas'!$H$10),'F-Ahorro Futuro Reservas'!$H$9,0)</f>
        <v>0</v>
      </c>
      <c r="C1827" s="122">
        <f>+B1827+C1826+D1826</f>
        <v>0</v>
      </c>
      <c r="D1827" s="121">
        <f>ROUND(IF(C1827&lt;='FR_Mantenimiento tasas'!$C$55,'Tabla Ahorro Futuro Reservas'!C1827*'FR_Mantenimiento tasas'!$D$55/360,IF(C1827&lt;='FR_Mantenimiento tasas'!$C$56,'Tabla Ahorro Futuro Reservas'!C1827*'FR_Mantenimiento tasas'!$D$56/360,IF(C1827&lt;='FR_Mantenimiento tasas'!$C$57,'Tabla Ahorro Futuro Reservas'!C1827*'FR_Mantenimiento tasas'!$D$57/360,""))),5)</f>
        <v>0</v>
      </c>
      <c r="E1827" s="121">
        <f>ROUND(IF(C1827&lt;='FR_Mantenimiento tasas'!$C$55,'Tabla Ahorro Futuro Reservas'!C1827*'FR_Mantenimiento tasas'!$E$55/360,IF(C1827&lt;='FR_Mantenimiento tasas'!$C$56,'Tabla Ahorro Futuro Reservas'!C1827*'FR_Mantenimiento tasas'!$E$56/360,IF(C1827&lt;='FR_Mantenimiento tasas'!$C$57,'Tabla Ahorro Futuro Reservas'!C1827*'FR_Mantenimiento tasas'!$E$57/360,""))),5)</f>
        <v>0</v>
      </c>
    </row>
    <row r="1828" spans="1:5">
      <c r="A1828" s="123">
        <f>+A1827+1</f>
        <v>1826</v>
      </c>
      <c r="B1828" s="122">
        <f>IF(DAY(A1828)=DAY('F-Ahorro Futuro Reservas'!$H$10),'F-Ahorro Futuro Reservas'!$H$9,0)</f>
        <v>0</v>
      </c>
      <c r="C1828" s="122">
        <f>+B1828+C1827+D1827</f>
        <v>0</v>
      </c>
      <c r="D1828" s="121">
        <f>ROUND(IF(C1828&lt;='FR_Mantenimiento tasas'!$C$55,'Tabla Ahorro Futuro Reservas'!C1828*'FR_Mantenimiento tasas'!$D$55/360,IF(C1828&lt;='FR_Mantenimiento tasas'!$C$56,'Tabla Ahorro Futuro Reservas'!C1828*'FR_Mantenimiento tasas'!$D$56/360,IF(C1828&lt;='FR_Mantenimiento tasas'!$C$57,'Tabla Ahorro Futuro Reservas'!C1828*'FR_Mantenimiento tasas'!$D$57/360,""))),5)</f>
        <v>0</v>
      </c>
      <c r="E1828" s="121">
        <f>ROUND(IF(C1828&lt;='FR_Mantenimiento tasas'!$C$55,'Tabla Ahorro Futuro Reservas'!C1828*'FR_Mantenimiento tasas'!$E$55/360,IF(C1828&lt;='FR_Mantenimiento tasas'!$C$56,'Tabla Ahorro Futuro Reservas'!C1828*'FR_Mantenimiento tasas'!$E$56/360,IF(C1828&lt;='FR_Mantenimiento tasas'!$C$57,'Tabla Ahorro Futuro Reservas'!C1828*'FR_Mantenimiento tasas'!$E$57/360,""))),5)</f>
        <v>0</v>
      </c>
    </row>
    <row r="1829" spans="1:5">
      <c r="A1829" s="123">
        <f>+A1828+1</f>
        <v>1827</v>
      </c>
      <c r="B1829" s="122">
        <f>IF(DAY(A1829)=DAY('F-Ahorro Futuro Reservas'!$H$10),'F-Ahorro Futuro Reservas'!$H$9,0)</f>
        <v>0</v>
      </c>
      <c r="C1829" s="122">
        <f>+B1829+C1828+D1828</f>
        <v>0</v>
      </c>
      <c r="D1829" s="121">
        <f>ROUND(IF(C1829&lt;='FR_Mantenimiento tasas'!$C$55,'Tabla Ahorro Futuro Reservas'!C1829*'FR_Mantenimiento tasas'!$D$55/360,IF(C1829&lt;='FR_Mantenimiento tasas'!$C$56,'Tabla Ahorro Futuro Reservas'!C1829*'FR_Mantenimiento tasas'!$D$56/360,IF(C1829&lt;='FR_Mantenimiento tasas'!$C$57,'Tabla Ahorro Futuro Reservas'!C1829*'FR_Mantenimiento tasas'!$D$57/360,""))),5)</f>
        <v>0</v>
      </c>
      <c r="E1829" s="121">
        <f>ROUND(IF(C1829&lt;='FR_Mantenimiento tasas'!$C$55,'Tabla Ahorro Futuro Reservas'!C1829*'FR_Mantenimiento tasas'!$E$55/360,IF(C1829&lt;='FR_Mantenimiento tasas'!$C$56,'Tabla Ahorro Futuro Reservas'!C1829*'FR_Mantenimiento tasas'!$E$56/360,IF(C1829&lt;='FR_Mantenimiento tasas'!$C$57,'Tabla Ahorro Futuro Reservas'!C1829*'FR_Mantenimiento tasas'!$E$57/360,""))),5)</f>
        <v>0</v>
      </c>
    </row>
    <row r="1830" spans="1:5">
      <c r="A1830" s="123">
        <f>+A1829+1</f>
        <v>1828</v>
      </c>
      <c r="B1830" s="122">
        <f>IF(DAY(A1830)=DAY('F-Ahorro Futuro Reservas'!$H$10),'F-Ahorro Futuro Reservas'!$H$9,0)</f>
        <v>0</v>
      </c>
      <c r="C1830" s="122">
        <f>+B1830+C1829+D1829</f>
        <v>0</v>
      </c>
      <c r="D1830" s="121">
        <f>ROUND(IF(C1830&lt;='FR_Mantenimiento tasas'!$C$55,'Tabla Ahorro Futuro Reservas'!C1830*'FR_Mantenimiento tasas'!$D$55/360,IF(C1830&lt;='FR_Mantenimiento tasas'!$C$56,'Tabla Ahorro Futuro Reservas'!C1830*'FR_Mantenimiento tasas'!$D$56/360,IF(C1830&lt;='FR_Mantenimiento tasas'!$C$57,'Tabla Ahorro Futuro Reservas'!C1830*'FR_Mantenimiento tasas'!$D$57/360,""))),5)</f>
        <v>0</v>
      </c>
      <c r="E1830" s="121">
        <f>ROUND(IF(C1830&lt;='FR_Mantenimiento tasas'!$C$55,'Tabla Ahorro Futuro Reservas'!C1830*'FR_Mantenimiento tasas'!$E$55/360,IF(C1830&lt;='FR_Mantenimiento tasas'!$C$56,'Tabla Ahorro Futuro Reservas'!C1830*'FR_Mantenimiento tasas'!$E$56/360,IF(C1830&lt;='FR_Mantenimiento tasas'!$C$57,'Tabla Ahorro Futuro Reservas'!C1830*'FR_Mantenimiento tasas'!$E$57/360,""))),5)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Menu</vt:lpstr>
      <vt:lpstr>TipodeCliente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Franklin</dc:creator>
  <cp:lastModifiedBy>BP</cp:lastModifiedBy>
  <cp:lastPrinted>2015-06-26T05:31:00Z</cp:lastPrinted>
  <dcterms:created xsi:type="dcterms:W3CDTF">2006-09-15T19:51:41Z</dcterms:created>
  <dcterms:modified xsi:type="dcterms:W3CDTF">2017-02-13T22:24:04Z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